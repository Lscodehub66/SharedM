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6.xml" ContentType="application/vnd.openxmlformats-officedocument.drawing+xml"/>
  <Override PartName="/xl/tables/table20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tables/table24.xml" ContentType="application/vnd.openxmlformats-officedocument.spreadsheetml.table+xml"/>
  <Override PartName="/xl/drawings/drawing8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queryTables/queryTable16.xml" ContentType="application/vnd.openxmlformats-officedocument.spreadsheetml.queryTable+xml"/>
  <Override PartName="/xl/tables/table30.xml" ContentType="application/vnd.openxmlformats-officedocument.spreadsheetml.table+xml"/>
  <Override PartName="/xl/queryTables/queryTable17.xml" ContentType="application/vnd.openxmlformats-officedocument.spreadsheetml.queryTable+xml"/>
  <Override PartName="/xl/tables/table31.xml" ContentType="application/vnd.openxmlformats-officedocument.spreadsheetml.table+xml"/>
  <Override PartName="/xl/queryTables/queryTable18.xml" ContentType="application/vnd.openxmlformats-officedocument.spreadsheetml.queryTable+xml"/>
  <Override PartName="/xl/tables/table32.xml" ContentType="application/vnd.openxmlformats-officedocument.spreadsheetml.table+xml"/>
  <Override PartName="/xl/queryTables/queryTable19.xml" ContentType="application/vnd.openxmlformats-officedocument.spreadsheetml.queryTable+xml"/>
  <Override PartName="/xl/tables/table33.xml" ContentType="application/vnd.openxmlformats-officedocument.spreadsheetml.table+xml"/>
  <Override PartName="/xl/queryTables/queryTable20.xml" ContentType="application/vnd.openxmlformats-officedocument.spreadsheetml.queryTable+xml"/>
  <Override PartName="/xl/tables/table34.xml" ContentType="application/vnd.openxmlformats-officedocument.spreadsheetml.table+xml"/>
  <Override PartName="/xl/queryTables/queryTable21.xml" ContentType="application/vnd.openxmlformats-officedocument.spreadsheetml.queryTable+xml"/>
  <Override PartName="/xl/tables/table35.xml" ContentType="application/vnd.openxmlformats-officedocument.spreadsheetml.table+xml"/>
  <Override PartName="/xl/queryTables/queryTable22.xml" ContentType="application/vnd.openxmlformats-officedocument.spreadsheetml.queryTable+xml"/>
  <Override PartName="/xl/tables/table36.xml" ContentType="application/vnd.openxmlformats-officedocument.spreadsheetml.table+xml"/>
  <Override PartName="/xl/queryTables/queryTable23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24.xml" ContentType="application/vnd.openxmlformats-officedocument.spreadsheetml.queryTable+xml"/>
  <Override PartName="/xl/tables/table39.xml" ContentType="application/vnd.openxmlformats-officedocument.spreadsheetml.table+xml"/>
  <Override PartName="/xl/queryTables/queryTable25.xml" ContentType="application/vnd.openxmlformats-officedocument.spreadsheetml.query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queryTables/queryTable26.xml" ContentType="application/vnd.openxmlformats-officedocument.spreadsheetml.query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queryTables/queryTable27.xml" ContentType="application/vnd.openxmlformats-officedocument.spreadsheetml.query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queryTables/queryTable28.xml" ContentType="application/vnd.openxmlformats-officedocument.spreadsheetml.query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29.xml" ContentType="application/vnd.openxmlformats-officedocument.spreadsheetml.queryTable+xml"/>
  <Override PartName="/xl/tables/table59.xml" ContentType="application/vnd.openxmlformats-officedocument.spreadsheetml.table+xml"/>
  <Override PartName="/xl/queryTables/queryTable30.xml" ContentType="application/vnd.openxmlformats-officedocument.spreadsheetml.query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31.xml" ContentType="application/vnd.openxmlformats-officedocument.spreadsheetml.query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queryTables/queryTable32.xml" ContentType="application/vnd.openxmlformats-officedocument.spreadsheetml.queryTable+xml"/>
  <Override PartName="/xl/tables/table65.xml" ContentType="application/vnd.openxmlformats-officedocument.spreadsheetml.table+xml"/>
  <Override PartName="/xl/queryTables/queryTable3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1106\Data\"/>
    </mc:Choice>
  </mc:AlternateContent>
  <xr:revisionPtr revIDLastSave="0" documentId="13_ncr:1_{38044522-BAB4-4426-AA25-BBF80D386E15}" xr6:coauthVersionLast="36" xr6:coauthVersionMax="36" xr10:uidLastSave="{00000000-0000-0000-0000-000000000000}"/>
  <bookViews>
    <workbookView xWindow="-120" yWindow="-120" windowWidth="29040" windowHeight="15720" tabRatio="594" activeTab="4" xr2:uid="{00000000-000D-0000-FFFF-FFFF00000000}"/>
  </bookViews>
  <sheets>
    <sheet name="DOWNLOAD" sheetId="1" r:id="rId1"/>
    <sheet name="load" sheetId="23" r:id="rId2"/>
    <sheet name="DLD_Add" sheetId="56" state="hidden" r:id="rId3"/>
    <sheet name="REVIEW_LIST" sheetId="33" r:id="rId4"/>
    <sheet name="【FINAL】" sheetId="57" r:id="rId5"/>
    <sheet name="wCurated" sheetId="48" state="hidden" r:id="rId6"/>
    <sheet name="FUTURE" sheetId="41" state="hidden" r:id="rId7"/>
    <sheet name="wChart" sheetId="58" state="hidden" r:id="rId8"/>
    <sheet name="wCredit" sheetId="46" state="hidden" r:id="rId9"/>
    <sheet name="AddTap" sheetId="53" state="hidden" r:id="rId10"/>
    <sheet name="NEWs" sheetId="59" r:id="rId11"/>
    <sheet name="MDM" sheetId="27" r:id="rId12"/>
    <sheet name="WIP AddNew" sheetId="54" state="hidden" r:id="rId13"/>
    <sheet name="wDMI" sheetId="42" state="hidden" r:id="rId14"/>
    <sheet name="BBG" sheetId="49" state="hidden" r:id="rId15"/>
  </sheets>
  <definedNames>
    <definedName name="_xlnm._FilterDatabase" localSheetId="11" hidden="1">MDM!#REF!</definedName>
    <definedName name="_xlnm.Criteria" localSheetId="11">MDM!$R$6:$R$10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#REF!</definedName>
    <definedName name="dd_econ1">FUTURE[未来一周主要经济数据]</definedName>
    <definedName name="dd_ECONEvent">#REF!</definedName>
    <definedName name="dd_econfuture">FUTURE[未来一周主要经济数据]</definedName>
    <definedName name="dd_FutureEvent">FUTURE[未来一周主要经济数据]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结构[dd_结构]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结构[dd_结构]</definedName>
    <definedName name="dd_评级分类">tbl_dd_by_rtg[评级分类]</definedName>
    <definedName name="dd_货币">货币[货币]</definedName>
    <definedName name="ESG">dd_ESG[ESG]</definedName>
    <definedName name="ExternalData_1" localSheetId="4" hidden="1">【FINAL】!$B$6:$CI$18</definedName>
    <definedName name="ExternalData_1" localSheetId="9" hidden="1">AddTap!$B$9:$K$19</definedName>
    <definedName name="ExternalData_1" localSheetId="14" hidden="1">BBG!$A$5:$Y$18</definedName>
    <definedName name="ExternalData_1" localSheetId="11" hidden="1">MDM!$I$23:$J$29</definedName>
    <definedName name="ExternalData_1" localSheetId="5" hidden="1">wCurated!$A$4:$AZ$14</definedName>
    <definedName name="ExternalData_1" localSheetId="12" hidden="1">'WIP AddNew'!$B$6:$B$16</definedName>
    <definedName name="ExternalData_10" localSheetId="11" hidden="1">MDM!$D$41:$D$93</definedName>
    <definedName name="ExternalData_11" localSheetId="0" hidden="1">DOWNLOAD!#REF!</definedName>
    <definedName name="ExternalData_11" localSheetId="11" hidden="1">MDM!$D$6:$D$39</definedName>
    <definedName name="ExternalData_12" localSheetId="11" hidden="1">MDM!$M$6:$N$72</definedName>
    <definedName name="ExternalData_13" localSheetId="11" hidden="1">MDM!$P$6:$P$57</definedName>
    <definedName name="ExternalData_14" localSheetId="11" hidden="1">MDM!$D$106:$D$113</definedName>
    <definedName name="ExternalData_15" localSheetId="0" hidden="1">DOWNLOAD!$J$15:$CO$27</definedName>
    <definedName name="ExternalData_15" localSheetId="11" hidden="1">MDM!$I$69:$J$74</definedName>
    <definedName name="ExternalData_16" localSheetId="11" hidden="1">MDM!$I$76:$J$82</definedName>
    <definedName name="ExternalData_16" localSheetId="13" hidden="1">wDMI!$A$5:$BV$17</definedName>
    <definedName name="ExternalData_17" localSheetId="11" hidden="1">MDM!$I$84:$J$92</definedName>
    <definedName name="ExternalData_18" localSheetId="0" hidden="1">DOWNLOAD!#REF!</definedName>
    <definedName name="ExternalData_19" localSheetId="0" hidden="1">DOWNLOAD!#REF!</definedName>
    <definedName name="ExternalData_19" localSheetId="1" hidden="1">load!$P$5:$AI$15</definedName>
    <definedName name="ExternalData_2" localSheetId="9" hidden="1">AddTap!$B$26:$C$88</definedName>
    <definedName name="ExternalData_2" localSheetId="6" hidden="1">FUTURE!$A$10:$O$23</definedName>
    <definedName name="ExternalData_2" localSheetId="1" hidden="1">load!$AO$5:$BB$6</definedName>
    <definedName name="ExternalData_2" localSheetId="11" hidden="1">MDM!$I$14:$J$21</definedName>
    <definedName name="ExternalData_20" localSheetId="0" hidden="1">DOWNLOAD!$H$16:$H$17</definedName>
    <definedName name="ExternalData_21" localSheetId="0" hidden="1">DOWNLOAD!$C$21:$C$23</definedName>
    <definedName name="ExternalData_21" localSheetId="1" hidden="1">load!$BH$5:$BK$7</definedName>
    <definedName name="ExternalData_22" localSheetId="1" hidden="1">load!$B$5:$L$15</definedName>
    <definedName name="ExternalData_23" localSheetId="2" hidden="1">DLD_Add!$A$6:$DD$18</definedName>
    <definedName name="ExternalData_23" localSheetId="0" hidden="1">DOWNLOAD!$CT$15:$DA$16</definedName>
    <definedName name="ExternalData_23" localSheetId="1" hidden="1">load!#REF!</definedName>
    <definedName name="ExternalData_23" localSheetId="7" hidden="1">wChart!$A$2:$L$4</definedName>
    <definedName name="ExternalData_24" localSheetId="0" hidden="1">DOWNLOAD!$H$15:$H$17</definedName>
    <definedName name="ExternalData_24" localSheetId="1" hidden="1">load!$A$5:$E$17</definedName>
    <definedName name="ExternalData_25" localSheetId="0" hidden="1">DOWNLOAD!$H$23:$H$25</definedName>
    <definedName name="ExternalData_3" localSheetId="1" hidden="1">load!#REF!</definedName>
    <definedName name="ExternalData_3" localSheetId="11" hidden="1">MDM!$I$31:$J$37</definedName>
    <definedName name="ExternalData_5" localSheetId="11" hidden="1">MDM!$I$6:$J$11</definedName>
    <definedName name="ExternalData_5" localSheetId="5" hidden="1">wCurated!$A$4:$BT$14</definedName>
    <definedName name="ExternalData_6" localSheetId="11" hidden="1">MDM!$I$61:$J$67</definedName>
    <definedName name="ExternalData_7" localSheetId="11" hidden="1">MDM!$D$95:$D$104</definedName>
    <definedName name="ExternalData_8" localSheetId="11" hidden="1">MDM!$I$39:$J$50</definedName>
    <definedName name="ExternalData_9" localSheetId="11" hidden="1">MDM!$I$52:$J$59</definedName>
    <definedName name="ExternalData_9" localSheetId="8" hidden="1">wCredit!$A$4:$K$6</definedName>
    <definedName name="GPS">MDM!$A$1</definedName>
    <definedName name="GPS_FileName">MDM!$B$1</definedName>
    <definedName name="input_data">#REF!</definedName>
    <definedName name="IS_EXCH_FILTER">DOWNLOAD!$C$8</definedName>
    <definedName name="Monday">DOWNLOAD!$C$4</definedName>
    <definedName name="MultiSource">DOWNLOAD!$C$10</definedName>
    <definedName name="Name">load!$T$4</definedName>
    <definedName name="UpdatorWeekly">DOWNLOAD!$C$5</definedName>
    <definedName name="WeeklyFilter">DOWNLOAD!$C$9</definedName>
    <definedName name="wNews_Input_ToClear">wNews_Input[[新闻]:[来源]]</definedName>
    <definedName name="定价基准">dd_定价基准[定价基准]</definedName>
    <definedName name="新闻分类">dd_新闻分类[新闻分类]</definedName>
    <definedName name="新闻地区">dd_新闻地区[新闻地区]</definedName>
    <definedName name="港分_Role">dd_港分_ROLE[港分_ROLE]</definedName>
    <definedName name="澳门Filter">DOWNLOAD!$C$6</definedName>
    <definedName name="香港Filter">DOWNLOAD!$C$7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27" l="1"/>
  <c r="S9" i="27"/>
  <c r="S8" i="27"/>
  <c r="S7" i="27"/>
  <c r="B1" i="27"/>
  <c r="A1" i="27"/>
  <c r="T4" i="23"/>
  <c r="AQ1" i="23"/>
  <c r="AR1" i="23" s="1"/>
  <c r="R1" i="23"/>
  <c r="S1" i="23" s="1"/>
  <c r="E1" i="23"/>
  <c r="F1" i="23" s="1"/>
  <c r="F12" i="1"/>
  <c r="F11" i="1"/>
  <c r="F10" i="1"/>
  <c r="G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R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Q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8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8B65B2A6-19D7-4DA1-BA05-6166BEE851FF}" keepAlive="1" name="Query - AddTapPQ" description="Connection to the 'AddTapPQ' query in the workbook." type="5" refreshedVersion="0" background="1" saveData="1">
    <dbPr connection="Provider=Microsoft.Mashup.OleDb.1;Data Source=$Workbook$;Location=AddTapPQ;Extended Properties=&quot;&quot;" command="SELECT * FROM [AddTapPQ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B3B62E69-AEDF-481D-90D5-26B3630864B0}" keepAlive="1" name="Query - Controller" description="Connection to the 'Controller' query in the workbook." type="5" refreshedVersion="0" background="1">
    <dbPr connection="Provider=Microsoft.Mashup.OleDb.1;Data Source=$Workbook$;Location=Controller;Extended Properties=&quot;&quot;" command="SELECT * FROM [Controller]"/>
  </connection>
  <connection id="8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9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10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11" xr16:uid="{B4C9D457-3E61-492F-833F-377DEFF635B1}" keepAlive="1" name="Query - DataHubPQ" description="Connection to the 'DataHubPQ' query in the workbook." type="5" refreshedVersion="6" background="1">
    <dbPr connection="Provider=Microsoft.Mashup.OleDb.1;Data Source=$Workbook$;Location=DataHubPQ;Extended Properties=&quot;&quot;" command="SELECT * FROM [DataHubPQ]"/>
  </connection>
  <connection id="12" xr16:uid="{1569C235-3575-4390-89E5-533F698B0E7B}" keepAlive="1" name="Query - dd_ESG" description="Connection to the 'dd_ESG' query in the workbook." type="5" refreshedVersion="8" background="1" saveData="1">
    <dbPr connection="Provider=Microsoft.Mashup.OleDb.1;Data Source=$Workbook$;Location=dd_ESG;Extended Properties=&quot;&quot;" command="SELECT * FROM [dd_ESG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FA72B548-B6E5-45D5-888C-62C886BAEC1F}" keepAlive="1" name="Query - dd_定价基准" description="Connection to the 'dd_定价基准' query in the workbook." type="5" refreshedVersion="6" background="1" saveData="1">
    <dbPr connection="Provider=Microsoft.Mashup.OleDb.1;Data Source=$Workbook$;Location=dd_定价基准;Extended Properties=&quot;&quot;" command="SELECT * FROM [dd_定价基准]"/>
  </connection>
  <connection id="14" xr16:uid="{04EC04FB-EA39-41C9-880E-D310A67759CB}" keepAlive="1" name="Query - dd_港分_ROLE" description="Connection to the 'dd_港分_ROLE' query in the workbook." type="5" refreshedVersion="6" background="1" saveData="1">
    <dbPr connection="Provider=Microsoft.Mashup.OleDb.1;Data Source=$Workbook$;Location=dd_港分_ROLE;Extended Properties=&quot;&quot;" command="SELECT * FROM [dd_港分_ROLE]"/>
  </connection>
  <connection id="15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6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7" xr16:uid="{A3BEEDCE-470F-4314-A207-FC43AC137D94}" keepAlive="1" name="Query - DimFDExcel" description="Connection to the 'DimFDExcel' query in the workbook." type="5" refreshedVersion="0" background="1" saveData="1">
    <dbPr connection="Provider=Microsoft.Mashup.OleDb.1;Data Source=$Workbook$;Location=DimFDExcel;Extended Properties=&quot;&quot;" command="SELECT * FROM [DimFDExcel]"/>
  </connection>
  <connection id="18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19" xr16:uid="{611F7315-609A-4DC2-8E15-F4DE499E5059}" keepAlive="1" name="Query - Dimtbl_DMI_Filter" description="Connection to the 'Dimtbl_DMI_Filter' query in the workbook." type="5" refreshedVersion="0" background="1">
    <dbPr connection="Provider=Microsoft.Mashup.OleDb.1;Data Source=$Workbook$;Location=Dimtbl_DMI_Filter;Extended Properties=&quot;&quot;" command="SELECT * FROM [Dimtbl_DMI_Filter]"/>
  </connection>
  <connection id="20" xr16:uid="{5223AE51-58CA-4B4C-87C7-8490764DD6CC}" keepAlive="1" name="Query - DLD_Add" description="Connection to the 'DLD_Add' query in the workbook." type="5" refreshedVersion="6" background="1" saveData="1">
    <dbPr connection="Provider=Microsoft.Mashup.OleDb.1;Data Source=$Workbook$;Location=DLD_Add;Extended Properties=&quot;&quot;" command="SELECT * FROM [DLD_Add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3000000}" keepAlive="1" name="Query - DLD_BBG_Corp" description="Connection to the 'DLD_BBG_Corp' query in the workbook." type="5" refreshedVersion="6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09000000}" keepAlive="1" name="Query - DLD_Conso" description="Connection to the 'DLD_Conso' query in the workbook." type="5" refreshedVersion="6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D95A09C9-7CB9-478E-9D74-18319DB5D68C}" keepAlive="1" name="Query - DLD_DEALs" description="Connection to the 'DLD_DEALs' query in the workbook." type="5" refreshedVersion="0" background="1" saveData="1">
    <dbPr connection="Provider=Microsoft.Mashup.OleDb.1;Data Source=$Workbook$;Location=DLD_DEALs;Extended Properties=&quot;&quot;" command="SELECT * FROM [DLD_DEALs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0A000000}" keepAlive="1" name="Query - DLD_DMI" description="Connection to the 'DLD_DMI' query in the workbook." type="5" refreshedVersion="6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57EAE1B6-0C3E-40E4-8919-C36E35185C69}" keepAlive="1" name="Query - DLD_DMI_MissingPQ" description="Connection to the 'DLD_DMI_MissingPQ' query in the workbook." type="5" refreshedVersion="0" background="1">
    <dbPr connection="Provider=Microsoft.Mashup.OleDb.1;Data Source=$Workbook$;Location=DLD_DMI_MissingPQ;Extended Properties=&quot;&quot;" command="SELECT * FROM [DLD_DMI_MissingPQ]"/>
  </connection>
  <connection id="26" xr16:uid="{00000000-0015-0000-FFFF-FFFF33000000}" keepAlive="1" name="Query - DLD_QRC_23" description="Connection to the 'DLD_QRC_23' query in the workbook." type="5" refreshedVersion="6" background="1" saveData="1">
    <dbPr connection="Provider=Microsoft.Mashup.OleDb.1;Data Source=$Workbook$;Location=DLD_QRC_23;Extended Properties=&quot;&quot;" command="SELECT * FROM [DLD_QRC_23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3E0A6FC5-BDF3-4C8C-9C97-5B6F5B25B772}" keepAlive="1" name="Query - DMI_ChangedColumn" description="Connection to the 'DMI_ChangedColumn' query in the workbook." type="5" refreshedVersion="6" background="1" saveData="1">
    <dbPr connection="Provider=Microsoft.Mashup.OleDb.1;Data Source=$Workbook$;Location=DMI_ChangedColumn;Extended Properties=&quot;&quot;" command="SELECT * FROM [DMI_ChangedColumn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E625B8BF-BE23-4834-A971-DD1142ED5E96}" keepAlive="1" name="Query - DMI_NewColumn" description="Connection to the 'DMI_NewColumn' query in the workbook." type="5" refreshedVersion="6" background="1" saveData="1">
    <dbPr connection="Provider=Microsoft.Mashup.OleDb.1;Data Source=$Workbook$;Location=DMI_NewColumn;Extended Properties=&quot;&quot;" command="SELECT * FROM [DMI_NewColumn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0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0D000000}" keepAlive="1" name="Query - fx" description="Connection to the 'fx' query in the workbook." type="5" refreshedVersion="0" background="1">
    <dbPr connection="Provider=Microsoft.Mashup.OleDb.1;Data Source=$Workbook$;Location=fx;Extended Properties=&quot;&quot;" command="SELECT * FROM [fx]"/>
  </connection>
  <connection id="36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7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38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39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40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41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42" xr16:uid="{CF89096E-D60C-472D-9AC8-86537529C4A6}" keepAlive="1" name="Query - fxMerge" description="Connection to the 'fxMerge' query in the workbook." type="5" refreshedVersion="0" background="1">
    <dbPr connection="Provider=Microsoft.Mashup.OleDb.1;Data Source=$Workbook$;Location=fxMerge;Extended Properties=&quot;&quot;" command="SELECT * FROM [fxMerge]"/>
  </connection>
  <connection id="43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44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45" xr16:uid="{96688F12-6A34-47A2-BF8B-DB3DC5737510}" keepAlive="1" name="Query - fxShowDupe" description="Connection to the 'fxShowDupe' query in the workbook." type="5" refreshedVersion="0" background="1">
    <dbPr connection="Provider=Microsoft.Mashup.OleDb.1;Data Source=$Workbook$;Location=fxShowDupe;Extended Properties=&quot;&quot;" command="SELECT * FROM [fxShowDupe]"/>
  </connection>
  <connection id="46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47" xr16:uid="{B5A33C46-30A6-448A-B2E9-624B9CDBE4A4}" keepAlive="1" name="Query - fxSource_Debug" description="Connection to the 'fxSource_Debug' query in the workbook." type="5" refreshedVersion="6" background="1" saveData="1">
    <dbPr connection="Provider=Microsoft.Mashup.OleDb.1;Data Source=$Workbook$;Location=fxSource_Debug;Extended Properties=&quot;&quot;" command="SELECT * FROM [fxSource_Debug]"/>
  </connection>
  <connection id="48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49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50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51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52" xr16:uid="{988A0A5B-BE38-453C-A960-2160EAC47143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53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54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55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56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57" xr16:uid="{37E886E7-3555-40D0-87C0-23B9D1E8DA68}" keepAlive="1" name="Query - OVRDMonday" description="Connection to the 'OVRDMonday' query in the workbook." type="5" refreshedVersion="0" background="1">
    <dbPr connection="Provider=Microsoft.Mashup.OleDb.1;Data Source=$Workbook$;Location=OVRDMonday;Extended Properties=&quot;&quot;" command="SELECT * FROM [OVRDMonday]"/>
  </connection>
  <connection id="58" xr16:uid="{2B37D559-24C2-410E-B6ED-5B3135229924}" keepAlive="1" name="Query - OVRDMulti" description="Connection to the 'OVRDMulti' query in the workbook." type="5" refreshedVersion="0" background="1">
    <dbPr connection="Provider=Microsoft.Mashup.OleDb.1;Data Source=$Workbook$;Location=OVRDMulti;Extended Properties=&quot;&quot;" command="SELECT * FROM [OVRDMulti]"/>
  </connection>
  <connection id="59" xr16:uid="{19D1300C-0BAB-4E05-B057-6BE735762337}" keepAlive="1" name="Query - OVRDwFilter" description="Connection to the 'OVRDwFilter' query in the workbook." type="5" refreshedVersion="0" background="1">
    <dbPr connection="Provider=Microsoft.Mashup.OleDb.1;Data Source=$Workbook$;Location=OVRDwFilter;Extended Properties=&quot;&quot;" command="SELECT * FROM [OVRDwFilter]"/>
  </connection>
  <connection id="60" xr16:uid="{56446388-4194-40DC-96D7-7FB22086692E}" keepAlive="1" name="Query - Prefix" description="Connection to the 'Prefix' query in the workbook." type="5" refreshedVersion="0" background="1">
    <dbPr connection="Provider=Microsoft.Mashup.OleDb.1;Data Source=$Workbook$;Location=Prefix;Extended Properties=&quot;&quot;" command="SELECT * FROM [Prefix]"/>
  </connection>
  <connection id="61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62" xr16:uid="{D9BD31C0-3BE7-44F3-B49A-0B8072CF3555}" keepAlive="1" name="Query - Reviewed_curatedPQ" description="Connection to the 'Reviewed_curatedPQ' query in the workbook." type="5" refreshedVersion="0" background="1">
    <dbPr connection="Provider=Microsoft.Mashup.OleDb.1;Data Source=$Workbook$;Location=Reviewed_curatedPQ;Extended Properties=&quot;&quot;" command="SELECT * FROM [Reviewed_curatedPQ]"/>
  </connection>
  <connection id="63" xr16:uid="{3D5FADB2-F6C8-42FF-880A-8D97591D21C9}" keepAlive="1" name="Query - Reviewed_issuerPQ" description="Connection to the 'Reviewed_issuerPQ' query in the workbook." type="5" refreshedVersion="0" background="1">
    <dbPr connection="Provider=Microsoft.Mashup.OleDb.1;Data Source=$Workbook$;Location=Reviewed_issuerPQ;Extended Properties=&quot;&quot;" command="SELECT * FROM [Reviewed_issuerPQ]"/>
  </connection>
  <connection id="64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65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66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67" xr16:uid="{971827E1-6218-481A-91E3-33399F88EAA3}" keepAlive="1" name="Query - wChart" description="Connection to the 'wChart' query in the workbook." type="5" refreshedVersion="6" background="1" saveData="1">
    <dbPr connection="Provider=Microsoft.Mashup.OleDb.1;Data Source=$Workbook$;Location=wChart;Extended Properties=&quot;&quot;" command="SELECT * FROM [wChart]"/>
  </connection>
  <connection id="68" xr16:uid="{0D3DC0A5-479E-46AA-9F88-A2D8D1E96299}" keepAlive="1" name="Query - wConso" description="Connection to the 'wConso' query in the workbook." type="5" refreshedVersion="6" background="1" saveData="1">
    <dbPr connection="Provider=Microsoft.Mashup.OleDb.1;Data Source=$Workbook$;Location=wConso;Extended Properties=&quot;&quot;" command="SELECT * FROM [wConso]"/>
  </connection>
  <connection id="69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70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71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72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73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74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75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76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77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78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79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<sst xmlns="http://schemas.openxmlformats.org/spreadsheetml/2006/main" count="5675" uniqueCount="982">
  <si>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</si>
  <si>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</si>
  <si>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</si>
  <si>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</si>
  <si>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</si>
  <si>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</si>
  <si>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</si>
  <si>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</si>
  <si>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</si>
  <si>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</si>
  <si>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</si>
  <si>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</si>
  <si>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</si>
  <si>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</si>
  <si>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</si>
  <si>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</si>
  <si>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</si>
  <si>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</si>
  <si>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</si>
  <si>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</si>
  <si>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</si>
  <si>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</si>
  <si>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</si>
  <si>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</si>
  <si>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</si>
  <si>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</si>
  <si>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</si>
  <si>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</si>
  <si>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</si>
  <si>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</si>
  <si>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</si>
  <si>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</si>
  <si>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</si>
  <si>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</si>
  <si>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</si>
  <si>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</si>
  <si>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</si>
  <si>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</si>
  <si>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</si>
  <si>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</si>
  <si>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</si>
  <si>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</si>
  <si>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</si>
  <si>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</si>
  <si>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</si>
  <si>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</si>
  <si>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</si>
  <si>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</si>
  <si>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</si>
  <si>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</si>
  <si>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</si>
  <si>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</si>
  <si>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</si>
  <si>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</si>
  <si>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</si>
  <si>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</si>
  <si>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</si>
  <si>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</si>
  <si>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</si>
  <si>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</si>
  <si>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</si>
  <si>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</si>
  <si>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</si>
  <si>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</si>
  <si>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</si>
  <si>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</si>
  <si>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</si>
  <si>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</si>
  <si>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</si>
  <si>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</si>
  <si>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</si>
  <si>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</si>
  <si>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</si>
  <si>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</si>
  <si>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</si>
  <si>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</si>
  <si>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</si>
  <si>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</si>
  <si>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</si>
  <si>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</si>
  <si>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</si>
  <si>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</si>
  <si>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</si>
  <si>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</si>
  <si>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</si>
  <si>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</si>
  <si>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</si>
  <si>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</si>
  <si>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</si>
  <si>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</si>
  <si>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</si>
  <si>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</si>
  <si>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</si>
  <si>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</si>
  <si>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</si>
  <si>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</si>
  <si>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</si>
  <si>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</si>
  <si>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</si>
  <si>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</si>
  <si>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</si>
  <si>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</si>
  <si>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</si>
  <si>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</si>
  <si>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</si>
  <si>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</si>
  <si>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</si>
  <si>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</si>
  <si>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</si>
  <si>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</si>
  <si>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</si>
  <si>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</si>
  <si>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</si>
  <si>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</si>
  <si>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</si>
  <si>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定价息差</t>
  </si>
  <si>
    <t>票息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</si>
  <si>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</si>
  <si>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</si>
  <si>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</si>
  <si>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</si>
  <si>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</si>
  <si>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</si>
  <si>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</si>
  <si>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</si>
  <si>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</si>
  <si>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M6</t>
  </si>
  <si>
    <t>认购额(亿)</t>
  </si>
  <si>
    <t>IG</t>
  </si>
  <si>
    <t>HY</t>
  </si>
  <si>
    <t>发行评级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</si>
  <si>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</si>
  <si>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</si>
  <si>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</si>
  <si>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</si>
  <si>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</si>
  <si>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</si>
  <si>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</si>
  <si>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</si>
  <si>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</si>
  <si>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JBR</t>
  </si>
  <si>
    <t>JGC</t>
  </si>
  <si>
    <t>3</t>
  </si>
  <si>
    <t>定价</t>
  </si>
  <si>
    <t>前值</t>
  </si>
  <si>
    <t>预期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</si>
  <si>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</si>
  <si>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</si>
  <si>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</si>
  <si>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</si>
  <si>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</si>
  <si>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</si>
  <si>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</si>
  <si>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</si>
  <si>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</si>
  <si>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</si>
  <si>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</si>
  <si>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</si>
  <si>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</si>
  <si>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</si>
  <si>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</si>
  <si>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</si>
  <si>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</si>
  <si>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</si>
  <si>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</si>
  <si>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</si>
  <si>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</si>
  <si>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SCMI</t>
  </si>
  <si>
    <t>FI组</t>
  </si>
  <si>
    <t>PROJECT_CODE</t>
  </si>
  <si>
    <t>OC</t>
  </si>
  <si>
    <t>SOE组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</si>
  <si>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</si>
  <si>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</si>
  <si>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</si>
  <si>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</si>
  <si>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</si>
  <si>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</si>
  <si>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</si>
  <si>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</si>
  <si>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</si>
  <si>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</si>
  <si>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</si>
  <si>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</si>
  <si>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</si>
  <si>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</si>
  <si>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</si>
  <si>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</si>
  <si>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</si>
  <si>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</si>
  <si>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</si>
  <si>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</si>
  <si>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</si>
  <si>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</si>
  <si>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</si>
  <si>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期限备注</t>
  </si>
  <si>
    <t>亿港币</t>
  </si>
  <si>
    <t>SGC</t>
  </si>
  <si>
    <t>Dealer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</si>
  <si>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</si>
  <si>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</si>
  <si>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</si>
  <si>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</si>
  <si>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</si>
  <si>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</si>
  <si>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</si>
  <si>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</si>
  <si>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</si>
  <si>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</si>
  <si>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</si>
  <si>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</si>
  <si>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</si>
  <si>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首次违约日</t>
  </si>
  <si>
    <t>CY</t>
  </si>
  <si>
    <t>注册成立地</t>
  </si>
  <si>
    <t>BISL</t>
  </si>
  <si>
    <t>港分</t>
  </si>
  <si>
    <t>澳分</t>
  </si>
  <si>
    <t>英文简称</t>
  </si>
  <si>
    <t>发行架构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</si>
  <si>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</si>
  <si>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</si>
  <si>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</si>
  <si>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</si>
  <si>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</si>
  <si>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</si>
  <si>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</si>
  <si>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</si>
  <si>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</si>
  <si>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</si>
  <si>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</si>
  <si>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澳交所</t>
  </si>
  <si>
    <t>增发</t>
  </si>
  <si>
    <t>Health Checker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</si>
  <si>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</si>
  <si>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</si>
  <si>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</si>
  <si>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</si>
  <si>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</si>
  <si>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</si>
  <si>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</si>
  <si>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</si>
  <si>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</si>
  <si>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</si>
  <si>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</si>
  <si>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</si>
  <si>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Name</t>
  </si>
  <si>
    <t>黄荣左</t>
  </si>
  <si>
    <t>刘嘉西</t>
  </si>
  <si>
    <t>孙颖芝</t>
  </si>
  <si>
    <t>余烨洁</t>
  </si>
  <si>
    <t>PRJ对账号</t>
  </si>
  <si>
    <t>SortValue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</si>
  <si>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</si>
  <si>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</si>
  <si>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</si>
  <si>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</si>
  <si>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</si>
  <si>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</si>
  <si>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</si>
  <si>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</si>
  <si>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</si>
  <si>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</si>
  <si>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</si>
  <si>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</si>
  <si>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</si>
  <si>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</si>
  <si>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</si>
  <si>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</si>
  <si>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</si>
  <si>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</si>
  <si>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</si>
  <si>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</si>
  <si>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</si>
  <si>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</si>
  <si>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</si>
  <si>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</si>
  <si>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</si>
  <si>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</si>
  <si>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</si>
  <si>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</si>
  <si>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</si>
  <si>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</si>
  <si>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</si>
  <si>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</si>
  <si>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</si>
  <si>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</si>
  <si>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</si>
  <si>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</si>
  <si>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青岛银行</t>
  </si>
  <si>
    <t>新发</t>
  </si>
  <si>
    <t>中国银行</t>
  </si>
  <si>
    <t>Monday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</si>
  <si>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</si>
  <si>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</si>
  <si>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</si>
  <si>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</si>
  <si>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</si>
  <si>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</si>
  <si>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</si>
  <si>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</si>
  <si>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</si>
  <si>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</si>
  <si>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</si>
  <si>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</si>
  <si>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</si>
  <si>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</si>
  <si>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</si>
  <si>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</si>
  <si>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</si>
  <si>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</si>
  <si>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</si>
  <si>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</si>
  <si>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</si>
  <si>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</si>
  <si>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</si>
  <si>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</si>
  <si>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</si>
  <si>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</si>
  <si>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</si>
  <si>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</si>
  <si>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</si>
  <si>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</si>
  <si>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</si>
  <si>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</si>
  <si>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</si>
  <si>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</si>
  <si>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</si>
  <si>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</si>
  <si>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</si>
  <si>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</si>
  <si>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</si>
  <si>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</si>
  <si>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</si>
  <si>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</si>
  <si>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</si>
  <si>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</si>
  <si>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</si>
  <si>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</si>
  <si>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</si>
  <si>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</si>
  <si>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</si>
  <si>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</si>
  <si>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</si>
  <si>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</si>
  <si>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</si>
  <si>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</si>
  <si>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</si>
  <si>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</si>
  <si>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</si>
  <si>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</si>
  <si>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</si>
  <si>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</si>
  <si>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</si>
  <si>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</si>
  <si>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</si>
  <si>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</si>
  <si>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</si>
  <si>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</si>
  <si>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</si>
  <si>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</si>
  <si>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</si>
  <si>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</si>
  <si>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</si>
  <si>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</si>
  <si>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</si>
  <si>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</si>
  <si>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债券详情</t>
  </si>
  <si>
    <t>票息_DMI</t>
  </si>
  <si>
    <t>XS2509105412</t>
  </si>
  <si>
    <t>晋城国投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</si>
  <si>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</si>
  <si>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</si>
  <si>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</si>
  <si>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</si>
  <si>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</si>
  <si>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</si>
  <si>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</si>
  <si>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</si>
  <si>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</si>
  <si>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</si>
  <si>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</si>
  <si>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</si>
  <si>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</si>
  <si>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</si>
  <si>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</si>
  <si>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</si>
  <si>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Referenced</t>
  </si>
  <si>
    <t>未参考</t>
  </si>
  <si>
    <t>删除及隐藏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</si>
  <si>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</si>
  <si>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</si>
  <si>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</si>
  <si>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</si>
  <si>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</si>
  <si>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</si>
  <si>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</si>
  <si>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</si>
  <si>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角色详情</t>
  </si>
  <si>
    <t>未检测到DMI有新增列</t>
  </si>
  <si>
    <t>FolderPath</t>
  </si>
  <si>
    <t>4.8%</t>
  </si>
  <si>
    <t>银行</t>
  </si>
  <si>
    <t>A1/A/A</t>
  </si>
  <si>
    <t>SOFR+60</t>
  </si>
  <si>
    <t>SOFR+105a</t>
  </si>
  <si>
    <t>中银卢森堡分行</t>
  </si>
  <si>
    <t>Parent company tiker</t>
  </si>
  <si>
    <t>Parent Company 评级</t>
  </si>
  <si>
    <t>湖南银行</t>
  </si>
  <si>
    <t>Parameter</t>
  </si>
  <si>
    <t>Value</t>
  </si>
  <si>
    <t>DimMonday</t>
  </si>
  <si>
    <t>2023/10/02</t>
  </si>
  <si>
    <t>2023/10/09</t>
  </si>
  <si>
    <t>WeeklyFilter</t>
  </si>
  <si>
    <t>ON</t>
  </si>
  <si>
    <t>澳门Filter</t>
  </si>
  <si>
    <t>香港Filter</t>
  </si>
  <si>
    <t>MultiSource</t>
  </si>
  <si>
    <t>2023/10/16</t>
  </si>
  <si>
    <t>HK</t>
  </si>
  <si>
    <t>IS_EXCH</t>
  </si>
  <si>
    <t>普通债</t>
  </si>
  <si>
    <t>未到期</t>
  </si>
  <si>
    <t>固定利率</t>
  </si>
  <si>
    <t>否</t>
  </si>
  <si>
    <t>地方国有企业</t>
  </si>
  <si>
    <t>--/--</t>
  </si>
  <si>
    <t>基础建设</t>
  </si>
  <si>
    <t>Senior Unsecured</t>
  </si>
  <si>
    <t>直接发行</t>
  </si>
  <si>
    <t>RegS</t>
  </si>
  <si>
    <t>香港交易所</t>
  </si>
  <si>
    <t>3.0000</t>
  </si>
  <si>
    <t>投资级</t>
  </si>
  <si>
    <t>无评级</t>
  </si>
  <si>
    <t>中华（澳门）金融资产交易股份有限公司</t>
  </si>
  <si>
    <t>AA</t>
  </si>
  <si>
    <t>北京市</t>
  </si>
  <si>
    <t>AAA</t>
  </si>
  <si>
    <t>ESG_Indicator</t>
  </si>
  <si>
    <t>ESG_Source</t>
  </si>
  <si>
    <t>DLD_BBG</t>
  </si>
  <si>
    <t>DLD_Add</t>
  </si>
  <si>
    <t>4%</t>
  </si>
  <si>
    <t>IS_EXCH_Filter</t>
  </si>
  <si>
    <t>AddMissingISIN</t>
  </si>
  <si>
    <t>AddTap</t>
  </si>
  <si>
    <t>DMI_NewColumn</t>
  </si>
  <si>
    <t>DMI_ChangedColumn</t>
  </si>
  <si>
    <t>【】</t>
  </si>
  <si>
    <t>DLD_Conso</t>
  </si>
  <si>
    <t>香港按揭证券有限公司</t>
  </si>
  <si>
    <t>华泰国际金融控股有限公司</t>
  </si>
  <si>
    <t>2</t>
  </si>
  <si>
    <t>品种主题</t>
  </si>
  <si>
    <t>dd_结构</t>
  </si>
  <si>
    <t>担保发行</t>
  </si>
  <si>
    <t>多元金融</t>
  </si>
  <si>
    <t>香港铁路有限公司</t>
  </si>
  <si>
    <t>中华人民共和国香港特别行政区政府</t>
  </si>
  <si>
    <t>招商证券国际有限公司</t>
  </si>
  <si>
    <t>天风国际证券集团有限公司</t>
  </si>
  <si>
    <t>友邦保险控股有限公司</t>
  </si>
  <si>
    <t>星展银行有限公司</t>
  </si>
  <si>
    <t>农银国际控股有限公司</t>
  </si>
  <si>
    <t>中国国际金融(国际)有限公司</t>
  </si>
  <si>
    <t>凯基证券(香港)有限公司</t>
  </si>
  <si>
    <t>国泰君安国际控股有限公司</t>
  </si>
  <si>
    <t>招银国际租赁管理有限公司</t>
  </si>
  <si>
    <t>新鸿基地产发展有限公司</t>
  </si>
  <si>
    <t>香港上海汇丰银行有限公司</t>
  </si>
  <si>
    <t>恒基兆业地产有限公司</t>
  </si>
  <si>
    <t>恒隆地产有限公司</t>
  </si>
  <si>
    <t>香格里拉(亚洲)有限公司</t>
  </si>
  <si>
    <t>太古地产有限公司</t>
  </si>
  <si>
    <t>香港置地控股有限公司</t>
  </si>
  <si>
    <t>ESR Group Limited</t>
  </si>
  <si>
    <t>澳门国际银行股份有限公司</t>
  </si>
  <si>
    <t>希慎兴业有限公司</t>
  </si>
  <si>
    <t>太古股份有限公司</t>
  </si>
  <si>
    <t>工银国际租赁财务有限公司</t>
  </si>
  <si>
    <t>越秀地产股份有限公司</t>
  </si>
  <si>
    <t>康业金融科技集团有限公司</t>
  </si>
  <si>
    <t>长江和记实业有限公司</t>
  </si>
  <si>
    <t>中信证券经纪(香港)有限公司</t>
  </si>
  <si>
    <t>嘉里物流联网有限公司</t>
  </si>
  <si>
    <t>东亚银行有限公司</t>
  </si>
  <si>
    <t>永利澳门有限公司</t>
  </si>
  <si>
    <t>中国太平保险控股有限公司</t>
  </si>
  <si>
    <t>南洋商业银行有限公司</t>
  </si>
  <si>
    <t>上海商业银行有限公司</t>
  </si>
  <si>
    <t>秦淮数据集团控股有限公司</t>
  </si>
  <si>
    <t>申万宏源(香港)有限公司</t>
  </si>
  <si>
    <t>香港机场管理局</t>
  </si>
  <si>
    <t>领展资产管理有限公司</t>
  </si>
  <si>
    <t>集友银行有限公司</t>
  </si>
  <si>
    <t>工银国际控股有限公司</t>
  </si>
  <si>
    <t>九龙仓置业地产投资有限公司</t>
  </si>
  <si>
    <t>香港中华煤气有限公司</t>
  </si>
  <si>
    <t>国泰航空有限公司</t>
  </si>
  <si>
    <t>联想集团有限公司</t>
  </si>
  <si>
    <t>中国中信股份有限公司</t>
  </si>
  <si>
    <t>富力地产(香港)有限公司</t>
  </si>
  <si>
    <t>Sands China Ltd.</t>
  </si>
  <si>
    <t>新世界发展有限公司</t>
  </si>
  <si>
    <t>招商局港口控股有限公司</t>
  </si>
  <si>
    <t>渣打银行(香港)有限公司</t>
  </si>
  <si>
    <t>远洋集团控股有限公司</t>
  </si>
  <si>
    <t>中信银行(国际)有限公司</t>
  </si>
  <si>
    <t>港华智慧能源有限公司</t>
  </si>
  <si>
    <t>中国金茂控股集团有限公司</t>
  </si>
  <si>
    <t>新鸿基有限公司</t>
  </si>
  <si>
    <t>AMTD Group Company Limited</t>
  </si>
  <si>
    <t>中国银行(香港)有限公司</t>
  </si>
  <si>
    <t>新濠国际发展有限公司</t>
  </si>
  <si>
    <t>香港电讯信托与香港电讯有限公司</t>
  </si>
  <si>
    <t>会德丰有限公司</t>
  </si>
  <si>
    <t>创科实业有限公司</t>
  </si>
  <si>
    <t>中国美东汽车控股有限公司</t>
  </si>
  <si>
    <t>联洋智能控股有限公司</t>
  </si>
  <si>
    <t>丽新发展有限公司</t>
  </si>
  <si>
    <t>远东宏信有限公司</t>
  </si>
  <si>
    <t>长江实业集团有限公司</t>
  </si>
  <si>
    <t>和记港口信托</t>
  </si>
  <si>
    <t>九龙仓集团有限公司</t>
  </si>
  <si>
    <t>狮桥资本有限公司</t>
  </si>
  <si>
    <t>招银国际金融有限公司</t>
  </si>
  <si>
    <t>PCGI Holdings Limited</t>
  </si>
  <si>
    <t>置地控股有限公司</t>
  </si>
  <si>
    <t>长江基建集团有限公司</t>
  </si>
  <si>
    <t>中国船舶集团(香港)航运租赁有限公司</t>
  </si>
  <si>
    <t>资本策略地产有限公司</t>
  </si>
  <si>
    <t>中华电力有限公司</t>
  </si>
  <si>
    <t>远东发展有限公司</t>
  </si>
  <si>
    <t>普洛斯中国控股有限公司</t>
  </si>
  <si>
    <t>复星国际有限公司</t>
  </si>
  <si>
    <t>GLP PTE. LTD.</t>
  </si>
  <si>
    <t>交银国际控股有限公司</t>
  </si>
  <si>
    <t>盈科大衍地产发展有限公司</t>
  </si>
  <si>
    <t>利福国际集团有限公司</t>
  </si>
  <si>
    <t>澳门博彩控股有限公司</t>
  </si>
  <si>
    <t>北京控股有限公司</t>
  </si>
  <si>
    <t>乐明国际投资(香港)有限公司</t>
  </si>
  <si>
    <t>招商局集团(香港)有限公司</t>
  </si>
  <si>
    <t>怡和控股有限公司</t>
  </si>
  <si>
    <t>MGM China Holdings Limited</t>
  </si>
  <si>
    <t>香港俊发地产有限公司</t>
  </si>
  <si>
    <t>华南城控股有限公司</t>
  </si>
  <si>
    <t>建银国际(控股)有限公司</t>
  </si>
  <si>
    <t>隽洋有限公司</t>
  </si>
  <si>
    <t>青山发电有限公司</t>
  </si>
  <si>
    <t>中国海外宏洋集团有限公司</t>
  </si>
  <si>
    <t>利丰有限公司</t>
  </si>
  <si>
    <t>新濠博亚娱乐有限公司</t>
  </si>
  <si>
    <t>电讯盈科有限公司</t>
  </si>
  <si>
    <t>汇丰控股有限公司</t>
  </si>
  <si>
    <t>中国光大控股有限公司</t>
  </si>
  <si>
    <t>鼎睿再保险有限公司</t>
  </si>
  <si>
    <t>中泰金融国际有限公司</t>
  </si>
  <si>
    <t>中国华融国际控股有限公司</t>
  </si>
  <si>
    <t>第一太平有限公司</t>
  </si>
  <si>
    <t>南丰国际控股有限公司</t>
  </si>
  <si>
    <t>英皇国际集团有限公司</t>
  </si>
  <si>
    <t>香港电灯有限公司</t>
  </si>
  <si>
    <t>嘉民香港物流基金</t>
  </si>
  <si>
    <t>金界控股有限公司</t>
  </si>
  <si>
    <t>冠君产业信托</t>
  </si>
  <si>
    <t>兆邦基地产控股有限公司</t>
  </si>
  <si>
    <t>中国建设银行(亚洲)股份有限公司</t>
  </si>
  <si>
    <t>中国海外发展有限公司</t>
  </si>
  <si>
    <t>PineBridge Investments, L.P.</t>
  </si>
  <si>
    <t>瑞安建业有限公司</t>
  </si>
  <si>
    <t>太平洋航运集团有限公司</t>
  </si>
  <si>
    <t>中国海洋石油有限公司</t>
  </si>
  <si>
    <t>FWD Group Limited</t>
  </si>
  <si>
    <t>中国工商银行(澳门)股份有限公司</t>
  </si>
  <si>
    <t>普汇中金国际控股有限公司</t>
  </si>
  <si>
    <t>海通恒信金融集团有限公司</t>
  </si>
  <si>
    <t>新创建集团有限公司</t>
  </si>
  <si>
    <t>理文造纸有限公司</t>
  </si>
  <si>
    <t>IFC DEVELOPMENT LIMITED</t>
  </si>
  <si>
    <t>嘉年华国际控股有限公司</t>
  </si>
  <si>
    <t>德昌电机控股有限公司</t>
  </si>
  <si>
    <t>中国光大证券国际有限公司</t>
  </si>
  <si>
    <t>中国地产集团有限公司</t>
  </si>
  <si>
    <t>恒成国际发展有限公司</t>
  </si>
  <si>
    <t>香港航空国际控股有限公司</t>
  </si>
  <si>
    <t>天韵国际控股有限公司</t>
  </si>
  <si>
    <t>FWD Limited</t>
  </si>
  <si>
    <t>千百度国际控股有限公司</t>
  </si>
  <si>
    <t>东建国际控股有限公司</t>
  </si>
  <si>
    <t>中国环保科技控股有限公司</t>
  </si>
  <si>
    <t>爪哇控股有限公司</t>
  </si>
  <si>
    <t>招商新能源集团有限公司</t>
  </si>
  <si>
    <t>香港宽频有限公司</t>
  </si>
  <si>
    <t>稀镁科技集团控股有限公司</t>
  </si>
  <si>
    <t>绿领控股集团有限公司</t>
  </si>
  <si>
    <t>中国优通未来空间产业集团控股有限公司</t>
  </si>
  <si>
    <t>世纪阳光集团控股有限公司</t>
  </si>
  <si>
    <t>富豪酒店国际控股有限公司</t>
  </si>
  <si>
    <t>中银国际控股有限公司</t>
  </si>
  <si>
    <t>香港快运航空有限公司</t>
  </si>
  <si>
    <t>德祥地产集团有限公司</t>
  </si>
  <si>
    <t>电视广播有限公司</t>
  </si>
  <si>
    <t>CWT International Ltd</t>
  </si>
  <si>
    <t>美丽中国控股有限公司</t>
  </si>
  <si>
    <t>莱蒙国际集团有限公司</t>
  </si>
  <si>
    <t>新昌集团控股有限公司</t>
  </si>
  <si>
    <t>中国海外集团有限公司</t>
  </si>
  <si>
    <t>港灯电力投资有限公司</t>
  </si>
  <si>
    <t>中国金融投资管理有限公司</t>
  </si>
  <si>
    <t>中海重工集团有限公司</t>
  </si>
  <si>
    <t>耐世特汽车系统集团有限公司</t>
  </si>
  <si>
    <t>香港中旅(集团)有限公司</t>
  </si>
  <si>
    <t>中国农产品交易有限公司</t>
  </si>
  <si>
    <t>香港翔隆有限公司</t>
  </si>
  <si>
    <t>津联集团有限公司</t>
  </si>
  <si>
    <t>嘉华国际集团有限公司</t>
  </si>
  <si>
    <t>太平洋恩利资源发展有限公司</t>
  </si>
  <si>
    <t>丽新制衣国际有限公司</t>
  </si>
  <si>
    <t>恒生银行有限公司</t>
  </si>
  <si>
    <t>御泰中彩控股有限公司</t>
  </si>
  <si>
    <t>中国电力国际发展有限公司</t>
  </si>
  <si>
    <t>ASMPT Limited</t>
  </si>
  <si>
    <t>DMI_CNSubsi</t>
  </si>
  <si>
    <t>DMI_HK&amp;Macau</t>
  </si>
  <si>
    <t>Y</t>
  </si>
  <si>
    <t>绿色</t>
  </si>
  <si>
    <t>中信建投(国际)金融控股有限公司</t>
  </si>
  <si>
    <t>China Securities (International) Brokerage Company Limited</t>
  </si>
  <si>
    <t>CSCIF</t>
  </si>
  <si>
    <t>CHINA SECURITIES INTERNATIONAL INVESTMENT CO LTD</t>
  </si>
  <si>
    <t>山东省</t>
  </si>
  <si>
    <t>2023/10/23</t>
  </si>
  <si>
    <t>FIMTN</t>
  </si>
  <si>
    <t>mBISL</t>
  </si>
  <si>
    <t>mCredit</t>
  </si>
  <si>
    <t>mCurated</t>
  </si>
  <si>
    <t>mChart</t>
  </si>
  <si>
    <t>TICKER</t>
  </si>
  <si>
    <t>城投(DMI)</t>
  </si>
  <si>
    <t>0.2521</t>
  </si>
  <si>
    <t>0.3</t>
  </si>
  <si>
    <t>可持续</t>
  </si>
  <si>
    <t>6.5%</t>
  </si>
  <si>
    <t>社会责任</t>
  </si>
  <si>
    <t>蓝色</t>
  </si>
  <si>
    <t>可持续挂钩</t>
  </si>
  <si>
    <t>3个月</t>
  </si>
  <si>
    <t xml:space="preserve"> </t>
  </si>
  <si>
    <t>XS2707594599</t>
  </si>
  <si>
    <t>XS2706176547</t>
  </si>
  <si>
    <t>中国工商银行股份有限公司</t>
  </si>
  <si>
    <t>XS2699256710</t>
  </si>
  <si>
    <t>XS2706208506</t>
  </si>
  <si>
    <t>HK0000958584</t>
  </si>
  <si>
    <t>XS2698464299</t>
  </si>
  <si>
    <t>XS2671498520</t>
  </si>
  <si>
    <t>1.4%</t>
  </si>
  <si>
    <t>3.01Y</t>
  </si>
  <si>
    <t>4.125%</t>
  </si>
  <si>
    <t>5.375%</t>
  </si>
  <si>
    <t>1.65%</t>
  </si>
  <si>
    <t>3.0Y</t>
  </si>
  <si>
    <t>1.7%a</t>
  </si>
  <si>
    <t>T+90a</t>
  </si>
  <si>
    <t>MS+80a</t>
  </si>
  <si>
    <t>3.55%a</t>
  </si>
  <si>
    <t>3.2%</t>
  </si>
  <si>
    <t>1.8%a</t>
  </si>
  <si>
    <t>A1/--/--</t>
  </si>
  <si>
    <t>2023/10/30</t>
  </si>
  <si>
    <t>IS_KYC_DONE</t>
  </si>
  <si>
    <t>宏观新闻</t>
  </si>
  <si>
    <t>新闻</t>
  </si>
  <si>
    <t>来源</t>
  </si>
  <si>
    <t>经济数据</t>
  </si>
  <si>
    <t>政策</t>
  </si>
  <si>
    <t>官员</t>
  </si>
  <si>
    <t>美国</t>
  </si>
  <si>
    <t>焦点议题</t>
  </si>
  <si>
    <t>信用事件</t>
  </si>
  <si>
    <t>央行</t>
  </si>
  <si>
    <t>新闻分类</t>
  </si>
  <si>
    <t>新闻地区</t>
  </si>
  <si>
    <t>Over the Weekend</t>
  </si>
  <si>
    <t>成都兴蓉西集团(上海银行)</t>
  </si>
  <si>
    <t>工银新分</t>
  </si>
  <si>
    <t>工银港分</t>
  </si>
  <si>
    <t>工银卢森堡分行</t>
  </si>
  <si>
    <t>工银迪拜分行</t>
  </si>
  <si>
    <t>宝应开投(江苏银行)</t>
  </si>
  <si>
    <t>上饶城投(北京银行)</t>
  </si>
  <si>
    <t>HK0000946548</t>
  </si>
  <si>
    <t>齐河城建(恒丰银行)</t>
  </si>
  <si>
    <t>1.1</t>
  </si>
  <si>
    <t>XS2702157855</t>
  </si>
  <si>
    <t>A1/A/--</t>
  </si>
  <si>
    <t>HK0000951076</t>
  </si>
  <si>
    <t>中银法兰克福分行</t>
  </si>
  <si>
    <t>中国建设银行股份有限公司</t>
  </si>
  <si>
    <t>中国银行股份有限公司</t>
  </si>
  <si>
    <t>中国进出口银行</t>
  </si>
  <si>
    <t>中国人民银行</t>
  </si>
  <si>
    <t>中国光大银行股份有限公司</t>
  </si>
  <si>
    <t>绿景(中国)地产投资有限公司</t>
  </si>
  <si>
    <t>中国农业银行股份有限公司</t>
  </si>
  <si>
    <t>JNCHED 6.9 09/07/25</t>
  </si>
  <si>
    <t>晋城国投 6.9 2025-09-07</t>
  </si>
  <si>
    <t>山西省</t>
  </si>
  <si>
    <t>晋城市</t>
  </si>
  <si>
    <t>煤炭开采</t>
  </si>
  <si>
    <t>1.86Y</t>
  </si>
  <si>
    <t>条款：控制权变更回售@101%</t>
  </si>
  <si>
    <t>YYQQ</t>
  </si>
  <si>
    <t>23Q4</t>
  </si>
  <si>
    <t>贸易</t>
  </si>
  <si>
    <t>福建省</t>
  </si>
  <si>
    <t>2.3%</t>
  </si>
  <si>
    <t>JGC至少3家</t>
  </si>
  <si>
    <t>发行及交存代理*</t>
  </si>
  <si>
    <t>港分Global Advisor*</t>
  </si>
  <si>
    <t>交行参与投资未承销*</t>
  </si>
  <si>
    <t>T</t>
  </si>
  <si>
    <t>T3</t>
  </si>
  <si>
    <t>SOFR</t>
  </si>
  <si>
    <t>MS</t>
  </si>
  <si>
    <t>3mBBSW</t>
  </si>
  <si>
    <t>TONAR</t>
  </si>
  <si>
    <t>3mBKBM</t>
  </si>
  <si>
    <t>2023/11/06</t>
  </si>
  <si>
    <t>国有相对控股企业</t>
  </si>
  <si>
    <t>旅游综合</t>
  </si>
  <si>
    <t>1</t>
  </si>
  <si>
    <t>0.2</t>
  </si>
  <si>
    <t>2个月</t>
  </si>
  <si>
    <t>SBLC_Provider_Name</t>
  </si>
  <si>
    <t>浮息息差</t>
  </si>
  <si>
    <t>Date_Onboarded</t>
  </si>
  <si>
    <t>EXE</t>
  </si>
  <si>
    <t>PROJECT_CN</t>
  </si>
  <si>
    <t>Settlement</t>
  </si>
  <si>
    <t>BOCOM下单量</t>
  </si>
  <si>
    <t>BOCOM分配量</t>
  </si>
  <si>
    <t>交行及独家订单</t>
  </si>
  <si>
    <t>项目亮点</t>
  </si>
  <si>
    <t>定价会时间</t>
  </si>
  <si>
    <t>定价会时段</t>
  </si>
  <si>
    <t>XS2710033403</t>
  </si>
  <si>
    <t>临沂市兰山区财金投资集团有限公司</t>
  </si>
  <si>
    <t>231101XS2710033403</t>
  </si>
  <si>
    <t>XS2713228018</t>
  </si>
  <si>
    <t>厦门国贸控股集团有限公司</t>
  </si>
  <si>
    <t>231031XS2713228018</t>
  </si>
  <si>
    <t>HK0000963170</t>
  </si>
  <si>
    <t>231031HK0000963170</t>
  </si>
  <si>
    <t>XS2713117534</t>
  </si>
  <si>
    <t>陕西旅游集团有限公司</t>
  </si>
  <si>
    <t>231031XS2713117534</t>
  </si>
  <si>
    <t>XS2713732365</t>
  </si>
  <si>
    <t>231030XS2713732365</t>
  </si>
  <si>
    <t>XS2713733173</t>
  </si>
  <si>
    <t>231030XS2713733173</t>
  </si>
  <si>
    <t>XS2685913035</t>
  </si>
  <si>
    <t>常德市经济建设投资集团有限公司</t>
  </si>
  <si>
    <t>231030XS2685913035</t>
  </si>
  <si>
    <t>LYLSFI 2.3 11/08/26</t>
  </si>
  <si>
    <t>兰山财金 2.3 2026-11-08</t>
  </si>
  <si>
    <t>SBLC+担保</t>
  </si>
  <si>
    <t>青岛银行股份有限公司临沂分行</t>
  </si>
  <si>
    <t>临沂市</t>
  </si>
  <si>
    <t>China International Capital Corporation Hong Kong Securities Limited;Sigma Capital Management Limited;Zhongtai International Securities Limited;Guotai Junan Securities (Hong Kong) Limited</t>
  </si>
  <si>
    <t>物流</t>
  </si>
  <si>
    <t>For project construction and replenishment of working capital</t>
  </si>
  <si>
    <t>LYLSFI</t>
  </si>
  <si>
    <t>LANGYA OVERSEAS CO., LTD</t>
  </si>
  <si>
    <t>控制权变更回售@100%</t>
  </si>
  <si>
    <t>China Zheshang Bank Co., Ltd. Hong Kong Branch;Zhonghui International Securities Limited</t>
  </si>
  <si>
    <t>China International Capital Corporation Hong Kong Securities Limited;China Zheshang Bank Co., Ltd. Hong Kong Branch;Zhonghui International Securities Limited;Guotai Junan Securities (Hong Kong) Limited;Zhongtai International Securities Limited;Sigma Capital Management Limited</t>
  </si>
  <si>
    <t>XMITGH 4.3 11/05/24</t>
  </si>
  <si>
    <t>国贸控股 4.3 2024-11-05</t>
  </si>
  <si>
    <t>0.9945</t>
  </si>
  <si>
    <t>香港交易所;中华（澳门）金融资产交易股份有限公司</t>
  </si>
  <si>
    <t>4.3%</t>
  </si>
  <si>
    <t>厦门市</t>
  </si>
  <si>
    <t>Luso International Banking Ltd;China CITIC Bank International Limited;Industrial Bank Co., Ltd. Hong Kong Branch</t>
  </si>
  <si>
    <t>Applying for purposes in compliance with applicable laws and regulations, such as replenishing offshore working capital and refinancing existing offshore indebtedness, etc.</t>
  </si>
  <si>
    <t>XMITGH</t>
  </si>
  <si>
    <t>ITG HOLDING INVESTMENT (HK) LIMITED</t>
  </si>
  <si>
    <t>认购期权：控制权变更时认购价为101%；未注册事件时认购价为100%。</t>
  </si>
  <si>
    <t>Chiyu Banking Corporation Limited;Hua Xia Bank Co., Limited Hong Kong Branch;CNCB (Hong Kong) Capital Limited;China Zheshang Bank Co., Ltd. Hong Kong Branch;Guotai Junan Securities (Hong Kong) Limited;CMB Wing Lung Bank Limited</t>
  </si>
  <si>
    <t>Chiyu Banking Corporation Limited;Hua Xia Bank Co., Limited Hong Kong Branch;Luso International Banking Ltd;Industrial Bank Co., Ltd. Hong Kong Branch;CNCB (Hong Kong) Capital Limited;China Zheshang Bank Co., Ltd. Hong Kong Branch;China CITIC Bank International Limited;Guotai Junan Securities (Hong Kong) Limited;CMB Wing Lung Bank Limited</t>
  </si>
  <si>
    <t>XMITGH 6.9 11/05/24</t>
  </si>
  <si>
    <t>国贸控股 6.9 2024-11-05</t>
  </si>
  <si>
    <t>6.9%</t>
  </si>
  <si>
    <t>Luso International Banking Ltd;CNCB (Hong Kong) Capital Limited;Industrial Bank Co., Ltd. Hong Kong Branch;Bank of Communications Co., Ltd. Hong Kong Branch</t>
  </si>
  <si>
    <t>Chiyu Banking Corporation Limited;Guoyuan Securities Brokerage (Hong Kong) Limited;SPDB International Capital Limited;China Industrial Securities International Brokerage Limited;Hua Xia Bank Co., Limited Hong Kong Branch;China International Capital Corporation Hong Kong Securities Limited;China CITIC Bank International Limited;Guotai Junan Securities (Hong Kong) Limited;CMB Wing Lung Bank Limited;CMBC Securities Company Limited</t>
  </si>
  <si>
    <t>Chiyu Banking Corporation Limited;Guoyuan Securities Brokerage (Hong Kong) Limited;SPDB International Capital Limited;China Industrial Securities International Brokerage Limited;Hua Xia Bank Co., Limited Hong Kong Branch;Luso International Banking Ltd;Industrial Bank Co., Ltd. Hong Kong Branch;Bank of Communications Co., Ltd. Hong Kong Branch;China International Capital Corporation Hong Kong Securities Limited;CNCB (Hong Kong) Capital Limited;China CITIC Bank International Limited;Guotai Junan Securities (Hong Kong) Limited;CMB Wing Lung Bank Limited;CMBC Securities Company Limited</t>
  </si>
  <si>
    <t>SXTOUR 4.8 11/03/26</t>
  </si>
  <si>
    <t>陕旅集团 4.8 2026-11-03</t>
  </si>
  <si>
    <t>SBLC</t>
  </si>
  <si>
    <t>东亚银行（中国）有限公司西安分行</t>
  </si>
  <si>
    <t>陕西省</t>
  </si>
  <si>
    <t>西安市</t>
  </si>
  <si>
    <t>The Bank of East Asia, Limited;China PA Securities (Hong Kong) Company Limited;Initial Capital Securities Limited;Fosun International Securities Limited</t>
  </si>
  <si>
    <t>For project development</t>
  </si>
  <si>
    <t>SXTOUR</t>
  </si>
  <si>
    <t>China Zheshang Bank Co., Ltd. Hong Kong Branch;SMBC Nikko Securities (Hong Kong) Limited;China Everbright Bank Co., Ltd Hong Kong Branch;Industrial Bank Co., Ltd. Hong Kong Branch;Huatai Financial Holdings (Hong Kong) Limited;CLSA Limited;China Minsheng Banking Corp., Ltd., Hong Kong Branch</t>
  </si>
  <si>
    <t>Fosun International Securities Limited;CLSA Limited;SMBC Nikko Securities (Hong Kong) Limited;China Everbright Bank Co., Ltd Hong Kong Branch;Industrial Bank Co., Ltd. Hong Kong Branch;Initial Capital Securities Limited;China Minsheng Banking Corp., Ltd., Hong Kong Branch;China Zheshang Bank Co., Ltd. Hong Kong Branch;Huatai Financial Holdings (Hong Kong) Limited;China PA Securities (Hong Kong) Company Limited;The Bank of East Asia, Limited</t>
  </si>
  <si>
    <t>CSCIF 5.1 01/03/24</t>
  </si>
  <si>
    <t>中信建投国际 5.1 2024-01-03</t>
  </si>
  <si>
    <t>0.1726</t>
  </si>
  <si>
    <t>CSCIF 5.5 02/01/24</t>
  </si>
  <si>
    <t>中信建投国际 5.5 2024-02-01</t>
  </si>
  <si>
    <t>1.0Y</t>
  </si>
  <si>
    <t>CHAECO 5.5 11/01/24</t>
  </si>
  <si>
    <t>常德经投 5.5 2024-11-01</t>
  </si>
  <si>
    <t>Ba1/--</t>
  </si>
  <si>
    <t>稳定/--</t>
  </si>
  <si>
    <t>新加坡交易所</t>
  </si>
  <si>
    <t>维好协议</t>
  </si>
  <si>
    <t>湖南省</t>
  </si>
  <si>
    <t>常德市</t>
  </si>
  <si>
    <t>Dongxing Securities (Hong Kong) Company Limited;First Shanghai Securities Ltd</t>
  </si>
  <si>
    <t>高收益</t>
  </si>
  <si>
    <t>CHAECO</t>
  </si>
  <si>
    <t>SUMMER SPRING PROJECT LTD</t>
  </si>
  <si>
    <t>CMB International Capital Limited;Haitong International Securities Company Limited;Shanxi Securities</t>
  </si>
  <si>
    <t>CMB International Capital Limited;First Shanghai Securities Ltd;Dongxing Securities (Hong Kong) Company Limited;Shanxi Securities;Haitong International Securities Company Limited</t>
  </si>
  <si>
    <t>天津市</t>
  </si>
  <si>
    <t>有IPG</t>
  </si>
  <si>
    <t>东亚银行</t>
  </si>
  <si>
    <t>4.8%a</t>
  </si>
  <si>
    <t>港交所;澳交所</t>
  </si>
  <si>
    <t>7%a</t>
  </si>
  <si>
    <t>364天</t>
  </si>
  <si>
    <t>5.5%</t>
  </si>
  <si>
    <t>5.1%</t>
  </si>
  <si>
    <t>HK0000963584</t>
  </si>
  <si>
    <t>都江堰市城乡建设集团有限公司</t>
  </si>
  <si>
    <t>4.8</t>
  </si>
  <si>
    <t>231103HK0000963584</t>
  </si>
  <si>
    <t>威海市文登区蓝海投资开发有限公司</t>
  </si>
  <si>
    <t>ROWEN INTERNATIONAL CO LTD</t>
  </si>
  <si>
    <t>WEIHAI WENDENG DISTRICT BLUESEA INVESTMENT &amp; DEVELOPMENT CO LTD</t>
  </si>
  <si>
    <t>1449670D CH</t>
  </si>
  <si>
    <t>XS2693585304</t>
  </si>
  <si>
    <t>菏泽城投控股集团有限公司</t>
  </si>
  <si>
    <t>VG</t>
  </si>
  <si>
    <t>HEZE CITY INVESTMENT HOLDINGS</t>
  </si>
  <si>
    <t>HEZE CITY INVESTMENT HOLDINGS GROUP CO LTD</t>
  </si>
  <si>
    <t>8</t>
  </si>
  <si>
    <t>1865164D CH</t>
  </si>
  <si>
    <t>231102XS2693585304</t>
  </si>
  <si>
    <t>US66980Q2D87</t>
  </si>
  <si>
    <t>中银航空租赁有限公司</t>
  </si>
  <si>
    <t>US</t>
  </si>
  <si>
    <t>--/A-/A-</t>
  </si>
  <si>
    <t>BOC AVIATION USA CORP</t>
  </si>
  <si>
    <t>BOC AVIATION LTD</t>
  </si>
  <si>
    <t>5.75</t>
  </si>
  <si>
    <t>2588 HK</t>
  </si>
  <si>
    <t>231102US66980Q2D87</t>
  </si>
  <si>
    <t>LANGYA OVERSEAS CO LTD</t>
  </si>
  <si>
    <t>LINYI LANSHAN DISTRICT FINANCE INVESTMENT GROUP CO LTD</t>
  </si>
  <si>
    <t>2.2999999999999998</t>
  </si>
  <si>
    <t>Bank of Qingdao Co Ltd/Linyi</t>
  </si>
  <si>
    <t>HK0000963576</t>
  </si>
  <si>
    <t>中信证券国际有限公司</t>
  </si>
  <si>
    <t>--/BBB+/--</t>
  </si>
  <si>
    <t>CSI MTN LTD</t>
  </si>
  <si>
    <t>CITIC SECURITIES INTERNATIONAL CO LTD</t>
  </si>
  <si>
    <t>0</t>
  </si>
  <si>
    <t>600030 CH</t>
  </si>
  <si>
    <t>231031HK0000963576</t>
  </si>
  <si>
    <t>ITG HOLDING INVESTMENT HK LTD</t>
  </si>
  <si>
    <t>XIAMEN ITG HOLDING GROUP CO LTD</t>
  </si>
  <si>
    <t>6.9</t>
  </si>
  <si>
    <t>ITGHOZ CH</t>
  </si>
  <si>
    <t>4.3</t>
  </si>
  <si>
    <t>SHAANXI TOURISM GROUP CO LTD</t>
  </si>
  <si>
    <t>1315645D CH</t>
  </si>
  <si>
    <t>Bank of East Asia Ltd/Xi'an</t>
  </si>
  <si>
    <t>CHINA SECURITIES INTERNATIONAL</t>
  </si>
  <si>
    <t>CHINA SECURITIES INTERNATIONAL FINANCE HOLDING CO LTD</t>
  </si>
  <si>
    <t>5.0999999999999996</t>
  </si>
  <si>
    <t>6066 HK</t>
  </si>
  <si>
    <t>--/BBB+/BBB+</t>
  </si>
  <si>
    <t>5.5</t>
  </si>
  <si>
    <t>CHANGDE ECONOMIC CONSTRUCTION</t>
  </si>
  <si>
    <t>0791031D CH</t>
  </si>
  <si>
    <t>债券简称_1</t>
  </si>
  <si>
    <t>天津银行股份有限公司</t>
  </si>
  <si>
    <t>四川省</t>
  </si>
  <si>
    <t>BOCAVI 5.75 11/09/28</t>
  </si>
  <si>
    <t>中银航空租赁 5.75 2028-11-09</t>
  </si>
  <si>
    <t>--/A-</t>
  </si>
  <si>
    <t>--/稳定</t>
  </si>
  <si>
    <t>5.0000</t>
  </si>
  <si>
    <t>Bank of China International Ltd;Citigroup Global Markets Asia Ltd;Goldman Sachs (Asia);HSBC Investment Bank Asia Limited</t>
  </si>
  <si>
    <t>4.93Y+31D</t>
  </si>
  <si>
    <t>BOCAVI</t>
  </si>
  <si>
    <t>Mizuho Bank Ltd;OCBC Wing Hang Bank Ltd</t>
  </si>
  <si>
    <t>OCBC Wing Hang Bank Ltd;Mizuho Bank Ltd;HSBC Investment Bank Asia Limited;Citigroup Global Markets Asia Ltd;Bank of China International Ltd;Goldman Sachs (Asia)</t>
  </si>
  <si>
    <t>可赎回债</t>
  </si>
  <si>
    <t>威海市</t>
  </si>
  <si>
    <t>HZCCIH 8 11/07/26</t>
  </si>
  <si>
    <t>菏泽城投控股 8 2026-11-07</t>
  </si>
  <si>
    <t>菏泽市</t>
  </si>
  <si>
    <t>China Credit International Securities Co Ltd;China Zheshang Bank Co Ltd/Hong Kong;CITIC Securities International Co Ltd;Essence International Financial Holdings Limited;Far East Horizon International Securities Limited;Fosun International Securities Limited;Huatai International Finance Ltd;JQ Securities Hong Kong Ltd;Zhongtai International Securities Ltd</t>
  </si>
  <si>
    <t>HZCCIH</t>
  </si>
  <si>
    <t>HEZE CITY INVESTMENT HOLDINGS INTERNATIONAL CO LTD</t>
  </si>
  <si>
    <t>Fosun International Securities Limited;CITIC Securities International Co Ltd;Huatai International Finance Ltd;China Zheshang Bank Co Ltd/Hong Kong;China Credit International Securities Co Ltd;Zhongtai International Securities Ltd;JQ Securities Hong Kong Ltd;Far East Horizon International Securities Limited;Essence International Financial Holdings Limited</t>
  </si>
  <si>
    <t>61D</t>
  </si>
  <si>
    <t>90D</t>
  </si>
  <si>
    <t>364D</t>
  </si>
  <si>
    <t>Ba1/--/【】</t>
  </si>
  <si>
    <t>8%</t>
  </si>
  <si>
    <t>5</t>
  </si>
  <si>
    <t>5.75%</t>
  </si>
  <si>
    <t>Ba1/--/--</t>
  </si>
  <si>
    <t>4.8% 区域</t>
  </si>
  <si>
    <t>7.0% 区域</t>
  </si>
  <si>
    <t>4.8% (THE NUMBER)</t>
  </si>
  <si>
    <t>DMI行业</t>
  </si>
  <si>
    <t>2023/11/13</t>
  </si>
  <si>
    <t>周初日本10年期国债触及10年新高，次日，日本央行维持超宽松政策不变，1%的收益率变为参考上限。日元暴跌再破151。日本央行行长称将逐步取消超宽松货币政策，并寻求在明年某个时候退出执行了近十年的宽松政策。</t>
  </si>
  <si>
    <t>https://finance.sina.com.cn/money/bond/2023-11-03/doc-imztirui9649298.shtml</t>
  </si>
  <si>
    <t>美国ADP就业数据连续三个月不及预期，10月ADP就业人数增加11.3万人，不及预期的15万人，高于前值的8.9万人，可能表明美国劳动力市场开始更加明显地降温，薪资增速放缓至两年来最低。</t>
  </si>
  <si>
    <t>https://finance.sina.com.cn/stock/usstock/c/2023-11-01/doc-imztcqen5557414.shtml</t>
  </si>
  <si>
    <t>美联储公布了最新的利率决议，宣布维持基准利率不变，将联邦基金利率目标区间继续维持在5.25%至5.50%之间，这也是美联储自去年3月开启本轮加息周期以来，连续第二次暂停加息。美联储主席发表鸽派评论，声明中增加关注“金融状况”收紧、声明强调通胀有双向风险。鲍威尔称，美联储接近结束加息，正谨慎行事。市场借贷成本需持续上升才会影响决策，考虑是否必须再加息，未考虑降息。</t>
  </si>
  <si>
    <t>https://finance.sina.com.cn/stock/usstock/c/2023-11-03/doc-imzthcte7620200.shtml</t>
  </si>
  <si>
    <t>英国预计维持政策利率不变，英国央行行长发言称将在更长时间内维持更高的利率策略，以抑制通胀，符合市场预期。</t>
  </si>
  <si>
    <t>https://finance.sina.cn/2023-11-03/detail-imztiruh4318024.d.html?vt=4&amp;cid=76524&amp;node_id=76524</t>
  </si>
  <si>
    <t>T5+155a</t>
  </si>
  <si>
    <t>T5+130</t>
  </si>
  <si>
    <t>T5</t>
  </si>
  <si>
    <t>HK0000963345</t>
  </si>
  <si>
    <t>仪征市城市国有资产投资发展（集团）有限公司</t>
  </si>
  <si>
    <t>231103HK0000963345</t>
  </si>
  <si>
    <t>XS2706169922</t>
  </si>
  <si>
    <t>8.5</t>
  </si>
  <si>
    <t>231102XS2706169922</t>
  </si>
  <si>
    <t>23/11/6 9:00</t>
  </si>
  <si>
    <t>仪征市城市国有资产投资发展(集团)有限公司</t>
  </si>
  <si>
    <t>仪征国资 4 2026-11-10</t>
  </si>
  <si>
    <t>4.1%区域</t>
  </si>
  <si>
    <t>0.04</t>
  </si>
  <si>
    <t>SBLC+维好</t>
  </si>
  <si>
    <t>南京银行股份有限公司</t>
  </si>
  <si>
    <t>江苏省</t>
  </si>
  <si>
    <t>仪征市</t>
  </si>
  <si>
    <t>DJYSCJ 4.8 11/10/26</t>
  </si>
  <si>
    <t>都江堰城建集团 4.8 2026-11-10</t>
  </si>
  <si>
    <t>成都市</t>
  </si>
  <si>
    <t>China International Capital Corporation Hong Kong Securities Limited;HUNG SING SECURITIES LIMITED</t>
  </si>
  <si>
    <t>农业综合</t>
  </si>
  <si>
    <t>Project development and supplement of working capital</t>
  </si>
  <si>
    <t>DJYSCJ</t>
  </si>
  <si>
    <t>Zheshang International Financial Holdings Co., Limited;CEB International Capital Corporation Limited;China Galaxy International Securities (Hong Kong) Company Limited;Orient Securities (Hong Kong) Limited;Dongxing Securities (Hong Kong) Company Limited;SPDB International Capital Limited;China Industrial Securities International Brokerage Limited;CNI Securities Group Ltd;Industrial Bank Co., Ltd. Hong Kong Branch;BOCOM International Securities Limited;CNCB (Hong Kong) Capital Limited;Huatai Financial Holdings (Hong Kong) Limited;China CITIC Bank International Limited;SunRiver International Securities Group Limited;ABCI Capital Limited</t>
  </si>
  <si>
    <t>Zheshang International Financial Holdings Co., Limited;CEB International Capital Corporation Limited;China Galaxy International Securities (Hong Kong) Company Limited;Orient Securities (Hong Kong) Limited;Dongxing Securities (Hong Kong) Company Limited;SPDB International Capital Limited;China Industrial Securities International Brokerage Limited;CNI Securities Group Ltd;Industrial Bank Co., Ltd. Hong Kong Branch;BOCOM International Securities Limited;CNCB (Hong Kong) Capital Limited;China International Capital Corporation Hong Kong Securities Limited;Huatai Financial Holdings (Hong Kong) Limited;China CITIC Bank International Limited;SunRiver International Securities Group Limited;HUNG SING SECURITIES LIMITED;ABCI Capital Limited</t>
  </si>
  <si>
    <t>T+155区域</t>
  </si>
  <si>
    <t>T+130</t>
  </si>
  <si>
    <t>WHWDLH 8.5 11/04/24</t>
  </si>
  <si>
    <t>蓝海投资 8.5 2024-11-04</t>
  </si>
  <si>
    <t>无/--</t>
  </si>
  <si>
    <t>China Credit International Securities Co., Limited; China Galaxy International Securities (Hong Kong) Co., Limited;Cinda International Capital Limited;Excellent Tide Securities Limited;Guotai Junan Securities (Hong Kong) Limited;Roofer Securities Ltd;Shenwan Hongyuan Securities (H.K.) Limited;Zhongtai International Securities Limited</t>
  </si>
  <si>
    <t>WHWDLH</t>
  </si>
  <si>
    <t>China Credit International Securities Co., Limited;Shenwan Hongyuan Securities (H.K.) Limited;Roofer Securities Ltd; China Galaxy International Securities (Hong Kong) Co., Limited;Cinda International Capital Limited;Guotai Junan Securities (Hong Kong) Limited;Zhongtai International Securities Limited;Excellent Tide Securities Limited</t>
  </si>
  <si>
    <t>nil</t>
  </si>
  <si>
    <t>4.1%a</t>
  </si>
  <si>
    <t>8.5%</t>
  </si>
  <si>
    <t>T+155a</t>
  </si>
  <si>
    <t>4.000%</t>
  </si>
  <si>
    <t>Tianfu Source</t>
  </si>
  <si>
    <t>周五公布的非农就业数据显示美国10月就业增长放缓幅度超过预期，失业率升至近两年高位，接近出发预测经济衰退的萨姆规则</t>
  </si>
  <si>
    <t>https://stock.finance.sina.com.cn/stock/go.php/vReport_Show/kind/lastest/rptid/752513157662/index.phtml</t>
  </si>
  <si>
    <t>都江堰城建</t>
  </si>
  <si>
    <t>仪征国资</t>
  </si>
  <si>
    <t>都江堰城投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</si>
</sst>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72" formatCode="0.0%"/>
  </numFmts>
  <fonts count="63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2"/>
      <color rgb="FFC2B59B"/>
      <name val="Microsoft JhengHei UI"/>
      <family val="2"/>
      <scheme val="minor"/>
    </font>
    <font>
      <sz val="8"/>
      <color rgb="FF888AA6"/>
      <name val="Microsoft JhengHei UI"/>
      <family val="2"/>
      <scheme val="minor"/>
    </font>
    <font>
      <sz val="20"/>
      <color theme="1"/>
      <name val="Microsoft JhengHei UI"/>
      <family val="2"/>
      <scheme val="minor"/>
    </font>
    <font>
      <sz val="11"/>
      <color rgb="FF0000FF"/>
      <name val="Microsoft JhengHei UI"/>
      <family val="2"/>
      <scheme val="minor"/>
    </font>
    <font>
      <sz val="11"/>
      <color rgb="FFAFB6C4"/>
      <name val="Consolas"/>
      <family val="3"/>
    </font>
    <font>
      <sz val="24"/>
      <color rgb="FFFF9900"/>
      <name val="Microsoft JhengHei UI"/>
      <family val="2"/>
    </font>
    <font>
      <sz val="16"/>
      <color rgb="FF008080"/>
      <name val="Microsoft JhengHei UI"/>
      <family val="2"/>
    </font>
    <font>
      <sz val="24"/>
      <color rgb="FF000080"/>
      <name val="Microsoft JhengHei U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</borders>
  <cellStyleXfs count="10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18" fillId="0" borderId="0"/>
    <xf numFmtId="0" fontId="22" fillId="14" borderId="5" applyNumberFormat="0" applyAlignment="0" applyProtection="0"/>
    <xf numFmtId="0" fontId="25" fillId="14" borderId="6" applyNumberFormat="0" applyAlignment="0" applyProtection="0"/>
    <xf numFmtId="0" fontId="51" fillId="16" borderId="10" applyNumberFormat="0" applyAlignment="0" applyProtection="0"/>
  </cellStyleXfs>
  <cellXfs count="149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13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13" borderId="0" xfId="0" applyFill="1" applyAlignment="1">
      <alignment horizontal="left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19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13" borderId="0" xfId="0" applyNumberFormat="1" applyFill="1" applyAlignment="1">
      <alignment horizontal="left"/>
    </xf>
    <xf numFmtId="0" fontId="23" fillId="3" borderId="0" xfId="0" applyFont="1" applyFill="1" applyAlignment="1">
      <alignment vertical="center"/>
    </xf>
    <xf numFmtId="0" fontId="24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9" fillId="3" borderId="0" xfId="0" applyFont="1" applyFill="1" applyAlignment="1">
      <alignment vertical="center"/>
    </xf>
    <xf numFmtId="0" fontId="20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27" fillId="14" borderId="8" xfId="8" applyFont="1" applyBorder="1" applyAlignment="1" applyProtection="1">
      <alignment horizontal="center" vertical="center"/>
      <protection locked="0"/>
    </xf>
    <xf numFmtId="0" fontId="21" fillId="3" borderId="0" xfId="0" applyFont="1" applyFill="1" applyAlignment="1" applyProtection="1">
      <alignment wrapText="1"/>
      <protection locked="0"/>
    </xf>
    <xf numFmtId="0" fontId="21" fillId="3" borderId="0" xfId="0" applyFont="1" applyFill="1" applyAlignment="1" applyProtection="1">
      <alignment vertical="center" wrapText="1"/>
      <protection locked="0"/>
    </xf>
    <xf numFmtId="0" fontId="27" fillId="14" borderId="8" xfId="8" applyFont="1" applyBorder="1" applyAlignment="1" applyProtection="1">
      <alignment horizontal="center" vertical="center" wrapText="1"/>
      <protection locked="0"/>
    </xf>
    <xf numFmtId="0" fontId="26" fillId="3" borderId="0" xfId="0" applyFont="1" applyFill="1" applyAlignment="1">
      <alignment vertical="center"/>
    </xf>
    <xf numFmtId="0" fontId="26" fillId="3" borderId="0" xfId="0" applyFont="1" applyFill="1" applyAlignment="1">
      <alignment horizontal="left" vertical="center"/>
    </xf>
    <xf numFmtId="0" fontId="31" fillId="3" borderId="0" xfId="0" applyFont="1" applyFill="1" applyAlignment="1" applyProtection="1">
      <alignment horizontal="center" wrapText="1"/>
      <protection locked="0"/>
    </xf>
    <xf numFmtId="0" fontId="31" fillId="3" borderId="0" xfId="0" applyFont="1" applyFill="1" applyAlignment="1" applyProtection="1">
      <alignment horizontal="center" vertical="center"/>
      <protection locked="0"/>
    </xf>
    <xf numFmtId="0" fontId="33" fillId="3" borderId="0" xfId="0" applyFont="1" applyFill="1"/>
    <xf numFmtId="0" fontId="34" fillId="3" borderId="0" xfId="0" applyFont="1" applyFill="1"/>
    <xf numFmtId="0" fontId="35" fillId="3" borderId="0" xfId="0" applyFont="1" applyFill="1"/>
    <xf numFmtId="164" fontId="27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36" fillId="3" borderId="0" xfId="0" applyFont="1" applyFill="1" applyAlignment="1">
      <alignment horizontal="center"/>
    </xf>
    <xf numFmtId="164" fontId="0" fillId="0" borderId="0" xfId="0" applyNumberFormat="1"/>
    <xf numFmtId="167" fontId="17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35" fillId="3" borderId="0" xfId="0" applyNumberFormat="1" applyFont="1" applyFill="1"/>
    <xf numFmtId="164" fontId="36" fillId="3" borderId="0" xfId="0" applyNumberFormat="1" applyFont="1" applyFill="1" applyAlignment="1">
      <alignment horizontal="center"/>
    </xf>
    <xf numFmtId="164" fontId="34" fillId="3" borderId="0" xfId="0" applyNumberFormat="1" applyFont="1" applyFill="1"/>
    <xf numFmtId="0" fontId="37" fillId="5" borderId="2" xfId="0" applyFont="1" applyFill="1" applyBorder="1" applyAlignment="1">
      <alignment horizontal="center" vertical="center" wrapText="1"/>
    </xf>
    <xf numFmtId="0" fontId="38" fillId="3" borderId="0" xfId="0" applyFont="1" applyFill="1"/>
    <xf numFmtId="0" fontId="39" fillId="3" borderId="0" xfId="0" applyFont="1" applyFill="1"/>
    <xf numFmtId="0" fontId="40" fillId="3" borderId="0" xfId="0" applyFont="1" applyFill="1"/>
    <xf numFmtId="0" fontId="41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42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43" fillId="8" borderId="0" xfId="0" applyFont="1" applyFill="1"/>
    <xf numFmtId="0" fontId="2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26" fillId="12" borderId="0" xfId="0" applyFont="1" applyFill="1" applyAlignment="1">
      <alignment vertical="center"/>
    </xf>
    <xf numFmtId="164" fontId="26" fillId="12" borderId="0" xfId="0" applyNumberFormat="1" applyFont="1" applyFill="1" applyAlignment="1">
      <alignment vertical="center"/>
    </xf>
    <xf numFmtId="164" fontId="26" fillId="12" borderId="0" xfId="8" applyNumberFormat="1" applyFont="1" applyFill="1" applyBorder="1" applyAlignment="1" applyProtection="1">
      <alignment horizontal="center" vertical="center"/>
      <protection locked="0"/>
    </xf>
    <xf numFmtId="165" fontId="26" fillId="12" borderId="0" xfId="0" applyNumberFormat="1" applyFont="1" applyFill="1" applyAlignment="1">
      <alignment vertical="center"/>
    </xf>
    <xf numFmtId="0" fontId="26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44" fillId="3" borderId="0" xfId="0" applyFont="1" applyFill="1" applyAlignment="1">
      <alignment horizontal="center" vertical="center"/>
    </xf>
    <xf numFmtId="0" fontId="4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46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0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48" fillId="3" borderId="0" xfId="0" applyFont="1" applyFill="1" applyAlignment="1">
      <alignment horizontal="center" vertical="center"/>
    </xf>
    <xf numFmtId="0" fontId="22" fillId="14" borderId="5" xfId="7" applyAlignment="1">
      <alignment horizontal="left" vertical="center"/>
    </xf>
    <xf numFmtId="0" fontId="49" fillId="3" borderId="0" xfId="0" applyFont="1" applyFill="1" applyAlignment="1">
      <alignment horizontal="center" vertical="center"/>
    </xf>
    <xf numFmtId="0" fontId="52" fillId="17" borderId="11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50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31" fillId="17" borderId="11" xfId="9" applyFont="1" applyFill="1" applyBorder="1" applyAlignment="1">
      <alignment horizontal="center" vertical="center"/>
    </xf>
    <xf numFmtId="0" fontId="53" fillId="3" borderId="11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54" fillId="3" borderId="7" xfId="0" applyFont="1" applyFill="1" applyBorder="1" applyAlignment="1">
      <alignment horizontal="left"/>
    </xf>
    <xf numFmtId="0" fontId="49" fillId="3" borderId="7" xfId="0" applyFont="1" applyFill="1" applyBorder="1" applyAlignment="1">
      <alignment vertical="center"/>
    </xf>
    <xf numFmtId="0" fontId="54" fillId="3" borderId="0" xfId="0" applyFont="1" applyFill="1" applyAlignment="1">
      <alignment horizontal="left" vertical="center" wrapText="1"/>
    </xf>
    <xf numFmtId="0" fontId="55" fillId="3" borderId="0" xfId="0" applyFont="1" applyFill="1" applyAlignment="1">
      <alignment horizontal="center" vertical="center"/>
    </xf>
    <xf numFmtId="0" fontId="54" fillId="3" borderId="7" xfId="0" applyFont="1" applyFill="1" applyBorder="1" applyAlignment="1">
      <alignment horizontal="left" vertical="center" wrapText="1"/>
    </xf>
    <xf numFmtId="0" fontId="55" fillId="3" borderId="7" xfId="0" applyFont="1" applyFill="1" applyBorder="1" applyAlignment="1">
      <alignment horizontal="center" vertical="center"/>
    </xf>
    <xf numFmtId="0" fontId="49" fillId="3" borderId="0" xfId="0" applyFont="1" applyFill="1" applyAlignment="1">
      <alignment vertical="center"/>
    </xf>
    <xf numFmtId="0" fontId="56" fillId="3" borderId="0" xfId="0" applyFont="1" applyFill="1" applyAlignment="1">
      <alignment vertical="center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wrapText="1"/>
    </xf>
    <xf numFmtId="9" fontId="0" fillId="3" borderId="0" xfId="0" applyNumberFormat="1" applyFill="1" applyAlignment="1" applyProtection="1">
      <alignment horizontal="center" vertical="center"/>
      <protection locked="0"/>
    </xf>
    <xf numFmtId="0" fontId="57" fillId="3" borderId="0" xfId="0" applyFont="1" applyFill="1"/>
    <xf numFmtId="0" fontId="0" fillId="13" borderId="0" xfId="0" applyFill="1" applyAlignment="1">
      <alignment horizontal="center" wrapText="1"/>
    </xf>
    <xf numFmtId="0" fontId="21" fillId="13" borderId="0" xfId="0" applyFont="1" applyFill="1" applyAlignment="1">
      <alignment wrapText="1"/>
    </xf>
    <xf numFmtId="0" fontId="58" fillId="13" borderId="0" xfId="0" applyFont="1" applyFill="1" applyAlignment="1">
      <alignment wrapText="1"/>
    </xf>
    <xf numFmtId="22" fontId="0" fillId="0" borderId="0" xfId="0" applyNumberFormat="1"/>
    <xf numFmtId="166" fontId="0" fillId="0" borderId="0" xfId="0" applyNumberFormat="1"/>
    <xf numFmtId="0" fontId="59" fillId="0" borderId="0" xfId="0" applyFont="1" applyAlignment="1">
      <alignment vertical="center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NumberFormat="1"/>
    <xf numFmtId="0" fontId="0" fillId="12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0" fontId="58" fillId="0" borderId="0" xfId="0" applyFont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72" fontId="0" fillId="3" borderId="0" xfId="0" applyNumberFormat="1" applyFill="1" applyAlignment="1" applyProtection="1">
      <alignment horizontal="center" vertical="center"/>
      <protection locked="0"/>
    </xf>
  </cellXfs>
  <cellStyles count="10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666"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7" formatCode="m/d/yyyy\ h:mm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yyyy/m/d;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19" formatCode="m/d/yyyy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2" tint="0.499984740745262"/>
        <name val="Microsoft JhengHei UI"/>
        <family val="2"/>
        <scheme val="minor"/>
      </font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Microsoft JhengHei UI"/>
        <family val="2"/>
        <scheme val="minor"/>
      </font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665"/>
      <tableStyleElement type="headerRow" dxfId="664"/>
      <tableStyleElement type="totalRow" dxfId="663"/>
    </tableStyle>
    <tableStyle name="BISL_Directory" pivot="0" count="4" xr9:uid="{CF694ADA-B24E-4A9B-A4CF-440A866B1DFE}">
      <tableStyleElement type="wholeTable" dxfId="662"/>
      <tableStyleElement type="headerRow" dxfId="661"/>
      <tableStyleElement type="firstRowStripe" dxfId="660"/>
      <tableStyleElement type="secondRowStripe" dxfId="659"/>
    </tableStyle>
    <tableStyle name="Blank" pivot="0" count="1" xr9:uid="{00000000-0011-0000-FFFF-FFFF00000000}">
      <tableStyleElement type="wholeTable" dxfId="658"/>
    </tableStyle>
    <tableStyle name="DimSum" pivot="0" count="4" xr9:uid="{C064D3B7-4B8F-409A-AB9E-51AC3AD0F8B5}">
      <tableStyleElement type="wholeTable" dxfId="657"/>
      <tableStyleElement type="headerRow" dxfId="656"/>
      <tableStyleElement type="totalRow" dxfId="655"/>
      <tableStyleElement type="secondRowStripe" dxfId="654"/>
    </tableStyle>
    <tableStyle name="ECON" pivot="0" count="2" xr9:uid="{00000000-0011-0000-FFFF-FFFF01000000}">
      <tableStyleElement type="wholeTable" dxfId="653"/>
      <tableStyleElement type="headerRow" dxfId="652"/>
    </tableStyle>
    <tableStyle name="Load Style" pivot="0" count="2" xr9:uid="{00000000-0011-0000-FFFF-FFFF0F000000}">
      <tableStyleElement type="wholeTable" dxfId="651"/>
      <tableStyleElement type="headerRow" dxfId="650"/>
    </tableStyle>
    <tableStyle name="mFTZ" pivot="0" count="4" xr9:uid="{F9D19170-5D53-4CC9-B6DA-01874D40D6CB}">
      <tableStyleElement type="wholeTable" dxfId="649"/>
      <tableStyleElement type="headerRow" dxfId="648"/>
      <tableStyleElement type="totalRow" dxfId="647"/>
      <tableStyleElement type="secondRowStripe" dxfId="646"/>
    </tableStyle>
    <tableStyle name="Named_dd" pivot="0" count="2" xr9:uid="{00000000-0011-0000-FFFF-FFFF02000000}">
      <tableStyleElement type="wholeTable" dxfId="645"/>
      <tableStyleElement type="headerRow" dxfId="644"/>
    </tableStyle>
    <tableStyle name="PRJ Style" pivot="0" count="4" xr9:uid="{00000000-0011-0000-FFFF-FFFF11000000}">
      <tableStyleElement type="wholeTable" dxfId="643"/>
      <tableStyleElement type="headerRow" dxfId="642"/>
      <tableStyleElement type="firstRowStripe" dxfId="641"/>
      <tableStyleElement type="secondRowStripe" dxfId="640"/>
    </tableStyle>
    <tableStyle name="Qry Load" pivot="0" count="3" xr9:uid="{00000000-0011-0000-FFFF-FFFF05000000}">
      <tableStyleElement type="wholeTable" dxfId="639"/>
      <tableStyleElement type="headerRow" dxfId="638"/>
      <tableStyleElement type="totalRow" dxfId="637"/>
    </tableStyle>
    <tableStyle name="Qry Load 2" pivot="0" count="3" xr9:uid="{00000000-0011-0000-FFFF-FFFF06000000}">
      <tableStyleElement type="wholeTable" dxfId="636"/>
      <tableStyleElement type="headerRow" dxfId="635"/>
      <tableStyleElement type="totalRow" dxfId="634"/>
    </tableStyle>
    <tableStyle name="Qry Load 3" pivot="0" count="3" xr9:uid="{00000000-0011-0000-FFFF-FFFF07000000}">
      <tableStyleElement type="wholeTable" dxfId="633"/>
      <tableStyleElement type="headerRow" dxfId="632"/>
      <tableStyleElement type="totalRow" dxfId="631"/>
    </tableStyle>
    <tableStyle name="Qry Load 3 2" pivot="0" count="3" xr9:uid="{39E27C42-0E7B-4337-87F7-A7AC3E9F7517}">
      <tableStyleElement type="wholeTable" dxfId="630"/>
      <tableStyleElement type="headerRow" dxfId="629"/>
      <tableStyleElement type="totalRow" dxfId="628"/>
    </tableStyle>
    <tableStyle name="Qry Load 3 3" pivot="0" count="3" xr9:uid="{00000000-0011-0000-FFFF-FFFF08000000}">
      <tableStyleElement type="wholeTable" dxfId="627"/>
      <tableStyleElement type="headerRow" dxfId="626"/>
      <tableStyleElement type="totalRow" dxfId="625"/>
    </tableStyle>
    <tableStyle name="Qry Load 4" pivot="0" count="3" xr9:uid="{00000000-0011-0000-FFFF-FFFF08000000}">
      <tableStyleElement type="wholeTable" dxfId="624"/>
      <tableStyleElement type="headerRow" dxfId="623"/>
      <tableStyleElement type="totalRow" dxfId="622"/>
    </tableStyle>
    <tableStyle name="Qry Load 5" pivot="0" count="3" xr9:uid="{00000000-0011-0000-FFFF-FFFF09000000}">
      <tableStyleElement type="wholeTable" dxfId="621"/>
      <tableStyleElement type="headerRow" dxfId="620"/>
      <tableStyleElement type="totalRow" dxfId="619"/>
    </tableStyle>
    <tableStyle name="Qry Load 6" pivot="0" count="3" xr9:uid="{8540037C-F48A-45D6-B06D-3E416FD50039}">
      <tableStyleElement type="wholeTable" dxfId="618"/>
      <tableStyleElement type="headerRow" dxfId="617"/>
      <tableStyleElement type="totalRow" dxfId="616"/>
    </tableStyle>
    <tableStyle name="Qry Source" pivot="0" count="2" xr9:uid="{00000000-0011-0000-FFFF-FFFF0A000000}">
      <tableStyleElement type="wholeTable" dxfId="615"/>
      <tableStyleElement type="headerRow" dxfId="614"/>
    </tableStyle>
    <tableStyle name="Qry Source 2" pivot="0" count="2" xr9:uid="{00000000-0011-0000-FFFF-FFFF0B000000}">
      <tableStyleElement type="wholeTable" dxfId="613"/>
      <tableStyleElement type="headerRow" dxfId="612"/>
    </tableStyle>
    <tableStyle name="Qry Source 2 2" pivot="0" count="3" xr9:uid="{00000000-0011-0000-FFFF-FFFF0C000000}">
      <tableStyleElement type="wholeTable" dxfId="611"/>
      <tableStyleElement type="headerRow" dxfId="610"/>
      <tableStyleElement type="secondRowStripe" dxfId="609"/>
    </tableStyle>
    <tableStyle name="review" pivot="0" count="3" xr9:uid="{00000000-0011-0000-FFFF-FFFF0C000000}">
      <tableStyleElement type="wholeTable" dxfId="608"/>
      <tableStyleElement type="headerRow" dxfId="607"/>
      <tableStyleElement type="totalRow" dxfId="606"/>
    </tableStyle>
    <tableStyle name="review 2" pivot="0" count="3" xr9:uid="{7E48D373-8BD3-405C-AC0B-582D578C48DF}">
      <tableStyleElement type="wholeTable" dxfId="605"/>
      <tableStyleElement type="headerRow" dxfId="604"/>
      <tableStyleElement type="totalRow" dxfId="603"/>
    </tableStyle>
    <tableStyle name="Table Style 1 2" pivot="0" count="4" xr9:uid="{00000000-0011-0000-FFFF-FFFF10000000}">
      <tableStyleElement type="wholeTable" dxfId="602"/>
      <tableStyleElement type="headerRow" dxfId="601"/>
      <tableStyleElement type="firstRowStripe" dxfId="600"/>
      <tableStyleElement type="secondRowStripe" dxfId="599"/>
    </tableStyle>
  </tableStyles>
  <colors>
    <mruColors>
      <color rgb="FF0000FF"/>
      <color rgb="FF234473"/>
      <color rgb="FFF4EBE0"/>
      <color rgb="FF2A7968"/>
      <color rgb="FF888AA6"/>
      <color rgb="FF0071BA"/>
      <color rgb="FFE1E1E9"/>
      <color rgb="FF379E4E"/>
      <color rgb="FFC69E62"/>
      <color rgb="FFEDF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</xdr:colOff>
      <xdr:row>9</xdr:row>
      <xdr:rowOff>313766</xdr:rowOff>
    </xdr:from>
    <xdr:to>
      <xdr:col>11</xdr:col>
      <xdr:colOff>1886255</xdr:colOff>
      <xdr:row>11</xdr:row>
      <xdr:rowOff>377554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598958" y="4852148"/>
          <a:ext cx="3204883" cy="893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⚠️ Review</a:t>
          </a:r>
          <a:r>
            <a:rPr lang="en-US" altLang="zh-CN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FIMTN Classification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4</xdr:row>
          <xdr:rowOff>76200</xdr:rowOff>
        </xdr:from>
        <xdr:to>
          <xdr:col>5</xdr:col>
          <xdr:colOff>1028700</xdr:colOff>
          <xdr:row>7</xdr:row>
          <xdr:rowOff>47625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145676</xdr:colOff>
      <xdr:row>2</xdr:row>
      <xdr:rowOff>11206</xdr:rowOff>
    </xdr:from>
    <xdr:to>
      <xdr:col>6</xdr:col>
      <xdr:colOff>103602</xdr:colOff>
      <xdr:row>4</xdr:row>
      <xdr:rowOff>323509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12558" y="1647265"/>
          <a:ext cx="3431750" cy="1141538"/>
        </a:xfrm>
        <a:prstGeom prst="leftArrow">
          <a:avLst/>
        </a:prstGeom>
        <a:solidFill>
          <a:srgbClr val="FFBA5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Set Parameters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489470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1000125</xdr:colOff>
          <xdr:row>1</xdr:row>
          <xdr:rowOff>190500</xdr:rowOff>
        </xdr:from>
        <xdr:to>
          <xdr:col>15</xdr:col>
          <xdr:colOff>295275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oneCellAnchor>
    <xdr:from>
      <xdr:col>43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40239354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16</xdr:col>
      <xdr:colOff>18324</xdr:colOff>
      <xdr:row>3</xdr:row>
      <xdr:rowOff>0</xdr:rowOff>
    </xdr:from>
    <xdr:to>
      <xdr:col>16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5728971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3</xdr:col>
          <xdr:colOff>800100</xdr:colOff>
          <xdr:row>3</xdr:row>
          <xdr:rowOff>704850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387070</xdr:colOff>
      <xdr:row>11</xdr:row>
      <xdr:rowOff>4604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FridayRun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1294390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133351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3651494" y="0"/>
          <a:ext cx="4544786" cy="3764216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333375</xdr:colOff>
          <xdr:row>5</xdr:row>
          <xdr:rowOff>171450</xdr:rowOff>
        </xdr:from>
        <xdr:to>
          <xdr:col>65</xdr:col>
          <xdr:colOff>561975</xdr:colOff>
          <xdr:row>12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3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57150</xdr:rowOff>
        </xdr:from>
        <xdr:to>
          <xdr:col>3</xdr:col>
          <xdr:colOff>1555377</xdr:colOff>
          <xdr:row>3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62865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</xdr:row>
      <xdr:rowOff>28575</xdr:rowOff>
    </xdr:from>
    <xdr:ext cx="2552700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8100" y="542925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2" xr16:uid="{00000000-0016-0000-0100-000000000000}" autoFormatId="16" applyNumberFormats="0" applyBorderFormats="0" applyFontFormats="0" applyPatternFormats="0" applyAlignmentFormats="0" applyWidthHeightFormats="0">
  <queryTableRefresh nextId="719">
    <queryTableFields count="84">
      <queryTableField id="107" name="Index" tableColumnId="67"/>
      <queryTableField id="629" name="IS_FIMTN" tableColumnId="81"/>
      <queryTableField id="1" name="信用主体" tableColumnId="1"/>
      <queryTableField id="9" name="ISIN" tableColumnId="9"/>
      <queryTableField id="12" name="定价日" tableColumnId="12"/>
      <queryTableField id="27" name="货币" tableColumnId="27"/>
      <queryTableField id="10" name="主题债券" tableColumnId="10"/>
      <queryTableField id="98" name="IPT_DMI" tableColumnId="20"/>
      <queryTableField id="99" name="FPG_DMI" tableColumnId="21"/>
      <queryTableField id="36" name="联席全球协调人" tableColumnId="36"/>
      <queryTableField id="50" name="牵头经办人" tableColumnId="50"/>
      <queryTableField id="717" name="DMI行业" tableColumnId="3"/>
      <queryTableField id="450" name="英文简称" tableColumnId="23"/>
      <queryTableField id="57" name="付息频率" tableColumnId="57"/>
      <queryTableField id="58" name="维好协议提供者" tableColumnId="58"/>
      <queryTableField id="56" name="特殊条款" tableColumnId="56"/>
      <queryTableField id="55" name="债券类型" tableColumnId="55"/>
      <queryTableField id="54" name="交易状态" tableColumnId="54"/>
      <queryTableField id="53" name="利率类型" tableColumnId="53"/>
      <queryTableField id="52" name="是否存单" tableColumnId="52"/>
      <queryTableField id="51" name="是否永续债" tableColumnId="51"/>
      <queryTableField id="128" name="联席账簿管理人" tableColumnId="78"/>
      <queryTableField id="49" name="特殊条款说明" tableColumnId="49"/>
      <queryTableField id="48" name="上市日期" tableColumnId="48"/>
      <queryTableField id="136" name="定价_DMI" tableColumnId="77"/>
      <queryTableField id="47" name="发行起始日" tableColumnId="47"/>
      <queryTableField id="46" name="担保人" tableColumnId="46"/>
      <queryTableField id="45" name="发行人" tableColumnId="45"/>
      <queryTableField id="44" name="首次付息日" tableColumnId="44"/>
      <queryTableField id="43" name="计息基准" tableColumnId="43"/>
      <queryTableField id="42" name="最新票面利率" tableColumnId="42"/>
      <queryTableField id="41" name="行权兑付日" tableColumnId="41"/>
      <queryTableField id="40" name="起息日期" tableColumnId="40"/>
      <queryTableField id="39" name="债券余额" tableColumnId="39"/>
      <queryTableField id="38" name="债券最新面值" tableColumnId="38"/>
      <queryTableField id="37" name="ticker" tableColumnId="37"/>
      <queryTableField id="126" name="筹款用途" tableColumnId="76"/>
      <queryTableField id="125" name="投资者分布" tableColumnId="75"/>
      <queryTableField id="124" name="投资者类型" tableColumnId="74"/>
      <queryTableField id="123" name="投资者账户数" tableColumnId="73"/>
      <queryTableField id="11" name="评级类型" tableColumnId="11"/>
      <queryTableField id="2" name="公司类型" tableColumnId="2"/>
      <queryTableField id="122" name="剩余期限" tableColumnId="70"/>
      <queryTableField id="17" name="境内主体评级" tableColumnId="17"/>
      <queryTableField id="16" name="债项初始评级" tableColumnId="16"/>
      <queryTableField id="4" name="细分行业" tableColumnId="4"/>
      <queryTableField id="93" name="发行方式" tableColumnId="72"/>
      <queryTableField id="35" name="基金占比" tableColumnId="35"/>
      <queryTableField id="34" name="亚洲占比" tableColumnId="34"/>
      <queryTableField id="33" name="认购倍数" tableColumnId="33"/>
      <queryTableField id="32" name="认购额(亿)" tableColumnId="32"/>
      <queryTableField id="7" name="区县" tableColumnId="7"/>
      <queryTableField id="6" name="城市" tableColumnId="6"/>
      <queryTableField id="5" name="省份" tableColumnId="5"/>
      <queryTableField id="31" name="首日涨跌" tableColumnId="31"/>
      <queryTableField id="29" name="发行价" tableColumnId="29"/>
      <queryTableField id="25" name="偿还顺位" tableColumnId="25"/>
      <queryTableField id="24" name="SBLC提供者" tableColumnId="24"/>
      <queryTableField id="144" name="发行架构" tableColumnId="62"/>
      <queryTableField id="552" name="发行规则" tableColumnId="82"/>
      <queryTableField id="22" name="收窄幅度(bp)" tableColumnId="22"/>
      <queryTableField id="30" name="发行场所" tableColumnId="30"/>
      <queryTableField id="19" name="兑付日" tableColumnId="19"/>
      <queryTableField id="587" name="票息_DMI" tableColumnId="18"/>
      <queryTableField id="28" name="发行期限(年)" tableColumnId="28"/>
      <queryTableField id="26" name="发行规模(亿)" tableColumnId="26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91" name="DataSource" tableColumnId="88"/>
      <queryTableField id="620" name="首次违约日" tableColumnId="60"/>
      <queryTableField id="621" name="IS_EXCH" tableColumnId="61"/>
      <queryTableField id="91" name="地区" tableColumnId="71"/>
      <queryTableField id="628" name="BISL_ROLE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622" name="ESG_Indicator" tableColumnId="64"/>
      <queryTableField id="59" name="Check" tableColumnId="59"/>
      <queryTableField id="716" name="债券简称_1" tableColumnId="8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6" xr16:uid="{F941766C-C1E3-4D5B-9306-14DC737AEF57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8" xr16:uid="{43D6E4C5-E72E-4A44-B952-0E0564CAAC61}" autoFormatId="16" applyNumberFormats="0" applyBorderFormats="0" applyFontFormats="0" applyPatternFormats="0" applyAlignmentFormats="0" applyWidthHeightFormats="0">
  <queryTableRefresh nextId="2">
    <queryTableFields count="1">
      <queryTableField id="1" name="DMI_NewColumn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7" xr16:uid="{20F33C39-7B40-4351-A081-E5F6FADBD527}" autoFormatId="16" applyNumberFormats="0" applyBorderFormats="0" applyFontFormats="0" applyPatternFormats="0" applyAlignmentFormats="0" applyWidthHeightFormats="0">
  <queryTableRefresh nextId="2">
    <queryTableFields count="1">
      <queryTableField id="1" name="DMI_ChangedColumn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4" xr16:uid="{00000000-0016-0000-0200-000003000000}" autoFormatId="16" applyNumberFormats="0" applyBorderFormats="0" applyFontFormats="0" applyPatternFormats="0" applyAlignmentFormats="0" applyWidthHeightFormats="0">
  <queryTableRefresh nextId="133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131" name="定价基准" tableColumnId="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129" name="品种主题" tableColumnId="3"/>
      <queryTableField id="73" name="上市" tableColumnId="33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2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3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31" xr16:uid="{92972967-9496-427B-9BFA-83AE3DFDDFF6}" autoFormatId="16" applyNumberFormats="0" applyBorderFormats="0" applyFontFormats="0" applyPatternFormats="0" applyAlignmentFormats="0" applyWidthHeightFormats="0">
  <queryTableRefresh nextId="12">
    <queryTableFields count="11">
      <queryTableField id="1" name="删除及隐藏" tableColumnId="1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8" name="备证行" tableColumnId="8"/>
      <queryTableField id="9" name="港分_ROLE" tableColumnId="9"/>
      <queryTableField id="10" name="澳分_ROLE" tableColumnId="10"/>
      <queryTableField id="11" name="Check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0" xr16:uid="{CCBC90C1-EC75-4CFF-AE53-0DD8206070E0}" autoFormatId="16" applyNumberFormats="0" applyBorderFormats="0" applyFontFormats="0" applyPatternFormats="0" applyAlignmentFormats="0" applyWidthHeightFormats="0">
  <queryTableRefresh nextId="160">
    <queryTableFields count="108">
      <queryTableField id="1" name="Index" tableColumnId="1"/>
      <queryTableField id="2" name="IS_FIMTN" tableColumnId="2"/>
      <queryTableField id="3" name="信用主体" tableColumnId="3"/>
      <queryTableField id="5" name="ISIN" tableColumnId="5"/>
      <queryTableField id="6" name="定价日" tableColumnId="6"/>
      <queryTableField id="7" name="货币" tableColumnId="7"/>
      <queryTableField id="8" name="ESG_Source" tableColumnId="8"/>
      <queryTableField id="9" name="IPT_DMI" tableColumnId="9"/>
      <queryTableField id="10" name="FPG_DMI" tableColumnId="10"/>
      <queryTableField id="11" name="联席全球协调人" tableColumnId="11"/>
      <queryTableField id="12" name="牵头经办人" tableColumnId="12"/>
      <queryTableField id="158" name="DMI行业" tableColumnId="4"/>
      <queryTableField id="13" name="英文简称" tableColumnId="13"/>
      <queryTableField id="15" name="付息频率" tableColumnId="15"/>
      <queryTableField id="16" name="维好协议提供者" tableColumnId="16"/>
      <queryTableField id="17" name="特殊条款" tableColumnId="17"/>
      <queryTableField id="18" name="债券类型" tableColumnId="18"/>
      <queryTableField id="19" name="交易状态" tableColumnId="19"/>
      <queryTableField id="20" name="利率类型" tableColumnId="20"/>
      <queryTableField id="21" name="是否存单" tableColumnId="21"/>
      <queryTableField id="22" name="是否永续债" tableColumnId="22"/>
      <queryTableField id="23" name="联席账簿管理人" tableColumnId="23"/>
      <queryTableField id="24" name="特殊条款说明" tableColumnId="24"/>
      <queryTableField id="25" name="上市日期" tableColumnId="25"/>
      <queryTableField id="26" name="定价_DMI" tableColumnId="26"/>
      <queryTableField id="27" name="发行起始日" tableColumnId="27"/>
      <queryTableField id="28" name="担保人" tableColumnId="28"/>
      <queryTableField id="29" name="发行人" tableColumnId="29"/>
      <queryTableField id="30" name="首次付息日" tableColumnId="30"/>
      <queryTableField id="31" name="计息基准" tableColumnId="31"/>
      <queryTableField id="32" name="最新票面利率" tableColumnId="32"/>
      <queryTableField id="33" name="行权兑付日" tableColumnId="33"/>
      <queryTableField id="34" name="起息日期" tableColumnId="34"/>
      <queryTableField id="35" name="债券余额" tableColumnId="35"/>
      <queryTableField id="36" name="债券最新面值" tableColumnId="36"/>
      <queryTableField id="37" name="ticker" tableColumnId="37"/>
      <queryTableField id="38" name="筹款用途" tableColumnId="38"/>
      <queryTableField id="39" name="投资者分布" tableColumnId="39"/>
      <queryTableField id="40" name="投资者类型" tableColumnId="40"/>
      <queryTableField id="41" name="投资者账户数" tableColumnId="41"/>
      <queryTableField id="42" name="评级类型" tableColumnId="42"/>
      <queryTableField id="43" name="公司类型" tableColumnId="43"/>
      <queryTableField id="44" name="剩余期限" tableColumnId="44"/>
      <queryTableField id="45" name="境内主体评级" tableColumnId="45"/>
      <queryTableField id="46" name="债项初始评级" tableColumnId="46"/>
      <queryTableField id="47" name="细分行业" tableColumnId="47"/>
      <queryTableField id="48" name="发行方式" tableColumnId="48"/>
      <queryTableField id="49" name="基金占比" tableColumnId="49"/>
      <queryTableField id="50" name="亚洲占比" tableColumnId="50"/>
      <queryTableField id="51" name="认购倍数" tableColumnId="51"/>
      <queryTableField id="52" name="认购额(亿)" tableColumnId="52"/>
      <queryTableField id="53" name="区县" tableColumnId="53"/>
      <queryTableField id="54" name="城市" tableColumnId="54"/>
      <queryTableField id="55" name="省份" tableColumnId="55"/>
      <queryTableField id="56" name="首日涨跌" tableColumnId="56"/>
      <queryTableField id="57" name="发行价" tableColumnId="57"/>
      <queryTableField id="58" name="偿还顺位" tableColumnId="58"/>
      <queryTableField id="59" name="SBLC提供者" tableColumnId="59"/>
      <queryTableField id="60" name="发行架构" tableColumnId="60"/>
      <queryTableField id="61" name="发行规则" tableColumnId="61"/>
      <queryTableField id="62" name="收窄幅度(bp)" tableColumnId="62"/>
      <queryTableField id="63" name="发行场所" tableColumnId="63"/>
      <queryTableField id="64" name="兑付日" tableColumnId="64"/>
      <queryTableField id="65" name="票息_DMI" tableColumnId="65"/>
      <queryTableField id="66" name="发行期限(年)" tableColumnId="66"/>
      <queryTableField id="67" name="发行规模(亿)" tableColumnId="67"/>
      <queryTableField id="68" name="债项评级" tableColumnId="68"/>
      <queryTableField id="69" name="主体评级展望" tableColumnId="69"/>
      <queryTableField id="70" name="穆迪/标普" tableColumnId="70"/>
      <queryTableField id="71" name="债券简称" tableColumnId="71"/>
      <queryTableField id="72" name="DataSource" tableColumnId="72"/>
      <queryTableField id="73" name="首次违约日" tableColumnId="73"/>
      <queryTableField id="74" name="IS_EXCH" tableColumnId="74"/>
      <queryTableField id="75" name="地区" tableColumnId="75"/>
      <queryTableField id="76" name="BISL_ROLE" tableColumnId="76"/>
      <queryTableField id="77" name="注册成立地" tableColumnId="77"/>
      <queryTableField id="78" name="发行人主上市地" tableColumnId="78"/>
      <queryTableField id="79" name="补充OMAS updates" tableColumnId="79"/>
      <queryTableField id="80" name="定价息差" tableColumnId="80"/>
      <queryTableField id="81" name="发行评级" tableColumnId="81"/>
      <queryTableField id="82" name="主体评级" tableColumnId="82"/>
      <queryTableField id="156" name="债券简称_1" tableColumnId="14"/>
      <queryTableField id="83" name="结构" tableColumnId="83"/>
      <queryTableField id="84" name="备证行" tableColumnId="84"/>
      <queryTableField id="90" name="增发判定" tableColumnId="90"/>
      <queryTableField id="85" name="上市" tableColumnId="85"/>
      <queryTableField id="86" name="通过分行" tableColumnId="86"/>
      <queryTableField id="147" name="YYQQ" tableColumnId="103"/>
      <queryTableField id="148" name="USD" tableColumnId="105"/>
      <queryTableField id="149" name="CNH" tableColumnId="106"/>
      <queryTableField id="150" name="HKD" tableColumnId="107"/>
      <queryTableField id="87" name="亿美元" tableColumnId="87"/>
      <queryTableField id="88" name="亿元" tableColumnId="88"/>
      <queryTableField id="89" name="亿港币" tableColumnId="89"/>
      <queryTableField id="91" name="Stats" tableColumnId="91"/>
      <queryTableField id="92" name="澳分_ROLE" tableColumnId="92"/>
      <queryTableField id="93" name="港分_ROLE" tableColumnId="93"/>
      <queryTableField id="94" name="定价基准" tableColumnId="94"/>
      <queryTableField id="95" name="收窄基点" tableColumnId="95"/>
      <queryTableField id="96" name="IPG" tableColumnId="96"/>
      <queryTableField id="97" name="FPG" tableColumnId="97"/>
      <queryTableField id="98" name="定价" tableColumnId="98"/>
      <queryTableField id="99" name="票息" tableColumnId="99"/>
      <queryTableField id="100" name="年期" tableColumnId="100"/>
      <queryTableField id="101" name="期限备注" tableColumnId="101"/>
      <queryTableField id="105" name="品种主题" tableColumnId="102"/>
      <queryTableField id="145" name="ESG" tableColumnId="124"/>
      <queryTableField id="104" name="Check" tableColumnId="10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8" xr16:uid="{902DE114-C6DA-43B0-BA02-B7E12B185B20}" autoFormatId="16" applyNumberFormats="0" applyBorderFormats="0" applyFontFormats="0" applyPatternFormats="0" applyAlignmentFormats="0" applyWidthHeightFormats="0">
  <queryTableRefresh nextId="151">
    <queryTableFields count="86">
      <queryTableField id="1" name="Index" tableColumnId="1"/>
      <queryTableField id="2" name="删除及隐藏" tableColumnId="2"/>
      <queryTableField id="3" name="信用主体" tableColumnId="3"/>
      <queryTableField id="4" name="ISIN" tableColumnId="4"/>
      <queryTableField id="5" name="定价日" tableColumnId="5"/>
      <queryTableField id="6" name="发行评级" tableColumnId="6"/>
      <queryTableField id="7" name="主体评级" tableColumnId="7"/>
      <queryTableField id="8" name="境内主体评级" tableColumnId="8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4" name="FPG" tableColumnId="14"/>
      <queryTableField id="15" name="定价" tableColumnId="15"/>
      <queryTableField id="16" name="收窄基点" tableColumnId="16"/>
      <queryTableField id="17" name="定价基准" tableColumnId="17"/>
      <queryTableField id="18" name="发行价" tableColumnId="18"/>
      <queryTableField id="19" name="结构" tableColumnId="19"/>
      <queryTableField id="20" name="上市" tableColumnId="20"/>
      <queryTableField id="21" name="港分_ROLE" tableColumnId="21"/>
      <queryTableField id="22" name="澳分_ROLE" tableColumnId="22"/>
      <queryTableField id="23" name="增发判定" tableColumnId="23"/>
      <queryTableField id="24" name="付息频率" tableColumnId="24"/>
      <queryTableField id="25" name="起息日期" tableColumnId="25"/>
      <queryTableField id="26" name="首次付息日" tableColumnId="26"/>
      <queryTableField id="27" name="兑付日" tableColumnId="27"/>
      <queryTableField id="28" name="亿美元" tableColumnId="28"/>
      <queryTableField id="29" name="亿元" tableColumnId="29"/>
      <queryTableField id="30" name="亿港币" tableColumnId="30"/>
      <queryTableField id="31" name="ticker" tableColumnId="31"/>
      <queryTableField id="32" name="注册成立地" tableColumnId="32"/>
      <queryTableField id="33" name="发行人主上市地" tableColumnId="33"/>
      <queryTableField id="34" name="通过分行" tableColumnId="34"/>
      <queryTableField id="35" name="发行人" tableColumnId="35"/>
      <queryTableField id="36" name="担保人" tableColumnId="36"/>
      <queryTableField id="37" name="维好协议提供者" tableColumnId="37"/>
      <queryTableField id="38" name="备证行" tableColumnId="38"/>
      <queryTableField id="39" name="ESG" tableColumnId="39"/>
      <queryTableField id="40" name="品种主题" tableColumnId="40"/>
      <queryTableField id="41" name="亮点" tableColumnId="41"/>
      <queryTableField id="42" name="期限备注" tableColumnId="42"/>
      <queryTableField id="43" name="SPECIALs" tableColumnId="43"/>
      <queryTableField id="44" name="OTHER_ISIN" tableColumnId="44"/>
      <queryTableField id="45" name="Stats" tableColumnId="45"/>
      <queryTableField id="46" name="筹款用途" tableColumnId="46"/>
      <queryTableField id="47" name="发行方式" tableColumnId="47"/>
      <queryTableField id="48" name="DataSource" tableColumnId="48"/>
      <queryTableField id="49" name="Updator" tableColumnId="49"/>
      <queryTableField id="50" name="Timestamp" tableColumnId="50"/>
      <queryTableField id="51" name="Check" tableColumnId="51"/>
      <queryTableField id="52" name="mCurated" tableColumnId="52"/>
      <queryTableField id="123" name="Date_Onboarded" tableColumnId="80"/>
      <queryTableField id="124" name="EXE" tableColumnId="81"/>
      <queryTableField id="125" name="PROJECT_CN" tableColumnId="82"/>
      <queryTableField id="59" name="PROJECT_CODE" tableColumnId="59"/>
      <queryTableField id="60" name="期数" tableColumnId="60"/>
      <queryTableField id="53" name="BISL_ROLE" tableColumnId="53"/>
      <queryTableField id="57" name="新规角色" tableColumnId="57"/>
      <queryTableField id="55" name="IS_B&amp;D" tableColumnId="55"/>
      <queryTableField id="54" name="IS_LEAD" tableColumnId="54"/>
      <queryTableField id="56" name="是否合名" tableColumnId="56"/>
      <queryTableField id="58" name="COVERAGE" tableColumnId="58"/>
      <queryTableField id="126" name="Settlement" tableColumnId="83"/>
      <queryTableField id="127" name="BOCOM下单量" tableColumnId="84"/>
      <queryTableField id="128" name="BOCOM分配量" tableColumnId="85"/>
      <queryTableField id="129" name="交行及独家订单" tableColumnId="86"/>
      <queryTableField id="130" name="项目亮点" tableColumnId="87"/>
      <queryTableField id="131" name="定价会时间" tableColumnId="88"/>
      <queryTableField id="132" name="定价会时段" tableColumnId="89"/>
      <queryTableField id="61" name="台账序号" tableColumnId="61"/>
      <queryTableField id="65" name="FolderPath" tableColumnId="65"/>
      <queryTableField id="107" name="IS_KYC_DONE" tableColumnId="79"/>
      <queryTableField id="66" name="PRJ对账号" tableColumnId="66"/>
      <queryTableField id="67" name="mBISL" tableColumnId="67"/>
      <queryTableField id="68" name="mChart" tableColumnId="68"/>
      <queryTableField id="109" name="信用主体简称" tableColumnId="69"/>
      <queryTableField id="70" name="板块" tableColumnId="70"/>
      <queryTableField id="71" name="中资属性" tableColumnId="71"/>
      <queryTableField id="110" name="地区" tableColumnId="72"/>
      <queryTableField id="111" name="城市" tableColumnId="73"/>
      <queryTableField id="112" name="区县" tableColumnId="74"/>
      <queryTableField id="113" name="首次违约日" tableColumnId="75"/>
      <queryTableField id="114" name="DEBUT_DATE" tableColumnId="76"/>
      <queryTableField id="149" name="DMI行业" tableColumnId="62"/>
      <queryTableField id="78" name="mCredit" tableColumnId="7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0" xr16:uid="{9A83D6E5-8028-451F-81EB-6106800FC1B7}" autoFormatId="16" applyNumberFormats="0" applyBorderFormats="0" applyFontFormats="0" applyPatternFormats="0" applyAlignmentFormats="0" applyWidthHeightFormats="0">
  <queryTableRefresh nextId="124">
    <queryTableFields count="52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121" name="品种主题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  <queryTableField id="123" name="mCurated" tableColumnId="5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67" xr16:uid="{CD7C4381-7052-4CA4-91F6-996BF768CCF2}" autoFormatId="16" applyNumberFormats="0" applyBorderFormats="0" applyFontFormats="0" applyPatternFormats="0" applyAlignmentFormats="0" applyWidthHeightFormats="0">
  <queryTableRefresh nextId="13">
    <queryTableFields count="12">
      <queryTableField id="1" name="Index" tableColumnId="1"/>
      <queryTableField id="2" name="删除及隐藏" tableColumnId="2"/>
      <queryTableField id="3" name="定价日" tableColumnId="3"/>
      <queryTableField id="4" name="ISIN" tableColumnId="4"/>
      <queryTableField id="5" name="信用主体" tableColumnId="5"/>
      <queryTableField id="6" name="发行评级" tableColumnId="6"/>
      <queryTableField id="7" name="货币" tableColumnId="7"/>
      <queryTableField id="8" name="发行规模(亿)" tableColumnId="8"/>
      <queryTableField id="9" name="亿美元" tableColumnId="9"/>
      <queryTableField id="10" name="年期" tableColumnId="10"/>
      <queryTableField id="11" name="Check" tableColumnId="11"/>
      <queryTableField id="12" name="mChart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9" xr16:uid="{00000000-0016-0000-0400-00000A000000}" autoFormatId="16" applyNumberFormats="0" applyBorderFormats="0" applyFontFormats="0" applyPatternFormats="0" applyAlignmentFormats="0" applyWidthHeightFormats="0">
  <queryTableRefresh nextId="161">
    <queryTableFields count="11">
      <queryTableField id="7" name="信用主体" tableColumnId="7"/>
      <queryTableField id="147" name="信用主体简称" tableColumnId="4"/>
      <queryTableField id="22" name="板块" tableColumnId="3"/>
      <queryTableField id="12" name="中资属性" tableColumnId="2"/>
      <queryTableField id="148" name="地区" tableColumnId="5"/>
      <queryTableField id="149" name="城市" tableColumnId="6"/>
      <queryTableField id="150" name="区县" tableColumnId="8"/>
      <queryTableField id="151" name="首次违约日" tableColumnId="9"/>
      <queryTableField id="152" name="DEBUT_DATE" tableColumnId="10"/>
      <queryTableField id="153" name="DMI行业" tableColumnId="11"/>
      <queryTableField id="128" name="mCredit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73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5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5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76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78" xr16:uid="{51E4E338-3CAB-48E9-BD5F-A6370EA50F3B}" autoFormatId="16" applyNumberFormats="0" applyBorderFormats="0" applyFontFormats="0" applyPatternFormats="0" applyAlignmentFormats="0" applyWidthHeightFormats="0">
  <queryTableRefresh nextId="3">
    <queryTableFields count="1">
      <queryTableField id="2" name="dd_结构" tableColumnId="1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77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79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72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75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74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8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2" xr16:uid="{D8090183-389D-4C12-8930-956090CBBAF9}" autoFormatId="16" applyNumberFormats="0" applyBorderFormats="0" applyFontFormats="0" applyPatternFormats="0" applyAlignmentFormats="0" applyWidthHeightFormats="0">
  <queryTableRefresh nextId="3">
    <queryTableFields count="2">
      <queryTableField id="1" name="ESG" tableColumnId="1"/>
      <queryTableField id="2" name="SortValue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4" xr16:uid="{965395F6-617C-4046-9082-DAD00500E2C1}" autoFormatId="16" applyNumberFormats="0" applyBorderFormats="0" applyFontFormats="0" applyPatternFormats="0" applyAlignmentFormats="0" applyWidthHeightFormats="0">
  <queryTableRefresh nextId="3">
    <queryTableFields count="2">
      <queryTableField id="1" name="港分_ROLE" tableColumnId="1"/>
      <queryTableField id="2" name="Sort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3" xr16:uid="{FE4AD6C7-ECC8-4327-8028-676E272D43AE}" autoFormatId="16" applyNumberFormats="0" applyBorderFormats="0" applyFontFormats="0" applyPatternFormats="0" applyAlignmentFormats="0" applyWidthHeightFormats="0">
  <queryTableRefresh nextId="3">
    <queryTableFields count="2">
      <queryTableField id="1" name="定价基准" tableColumnId="1"/>
      <queryTableField id="2" name="SortValue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4" xr16:uid="{B8FD89C8-856C-4BC4-965B-5913312DB0D0}" autoFormatId="16" applyNumberFormats="0" applyBorderFormats="0" applyFontFormats="0" applyPatternFormats="0" applyAlignmentFormats="0" applyWidthHeightFormats="0">
  <queryTableRefresh nextId="913">
    <queryTableFields count="74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504" name="票息_DMI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484" name="发行规则" tableColumnId="71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23" name="发行方式" tableColumnId="23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911" name="DMI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4" name="计息基准" tableColumnId="44"/>
      <queryTableField id="43" name="最新票面利率" tableColumnId="43"/>
      <queryTableField id="45" name="首次付息日" tableColumnId="45"/>
      <queryTableField id="46" name="发行人" tableColumnId="46"/>
      <queryTableField id="48" name="发行起始日" tableColumnId="48"/>
      <queryTableField id="67" name="定价_DMI" tableColumnId="67"/>
      <queryTableField id="47" name="担保人" tableColumnId="4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906" name="债券简称_1" tableColumnId="72"/>
      <queryTableField id="510" name="DataSource" tableColumnId="73"/>
      <queryTableField id="579" name="首次违约日" tableColumnId="70"/>
      <queryTableField id="580" name="IS_EXCH" tableColumnId="74"/>
      <queryTableField id="60" name="地区" tableColumnId="60"/>
      <queryTableField id="61" name="Check" tableColumnId="6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0B373777-6D0E-4373-8161-40D12EDDEF4D}" autoFormatId="16" applyNumberFormats="0" applyBorderFormats="0" applyFontFormats="0" applyPatternFormats="0" applyAlignmentFormats="0" applyWidthHeightFormats="0">
  <queryTableRefresh nextId="109">
    <queryTableFields count="25"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85" name="注册成立地" tableColumnId="12"/>
      <queryTableField id="15" name="发行人主上市地" tableColumnId="13"/>
      <queryTableField id="7" name="主体评级" tableColumnId="7"/>
      <queryTableField id="8" name="定价息差" tableColumnId="8"/>
      <queryTableField id="107" name="浮息息差" tableColumnId="9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87" name="发行价" tableColumnId="29"/>
      <queryTableField id="29" name="发行规模(亿)" tableColumnId="24"/>
      <queryTableField id="67" name="Parent company tiker" tableColumnId="15"/>
      <queryTableField id="68" name="Parent Company 评级" tableColumnId="25"/>
      <queryTableField id="103" name="ESG_Indicator" tableColumnId="1"/>
      <queryTableField id="105" name="SBLC_Provider_Name" tableColumnId="6"/>
      <queryTableField id="10" name="Check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_Conso" displayName="DLD_Conso" ref="J15:CO27" tableType="queryTable" totalsRowShown="0" headerRowDxfId="598" dataDxfId="597">
  <autoFilter ref="J15:CO27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</autoFilter>
  <tableColumns count="84">
    <tableColumn id="67" xr3:uid="{89571AE0-3879-457F-B318-34D498859252}" uniqueName="67" name="Index" queryTableFieldId="107" dataDxfId="376"/>
    <tableColumn id="81" xr3:uid="{FBB68DBD-A5F0-4ABA-98BE-70FB69D716D4}" uniqueName="81" name="IS_FIMTN" queryTableFieldId="629" dataDxfId="375"/>
    <tableColumn id="1" xr3:uid="{00000000-0010-0000-1400-000001000000}" uniqueName="1" name="信用主体" queryTableFieldId="1" dataDxfId="374"/>
    <tableColumn id="9" xr3:uid="{00000000-0010-0000-1400-000009000000}" uniqueName="9" name="ISIN" queryTableFieldId="9" dataDxfId="373"/>
    <tableColumn id="12" xr3:uid="{00000000-0010-0000-1400-00000C000000}" uniqueName="12" name="定价日" queryTableFieldId="12" dataDxfId="372"/>
    <tableColumn id="27" xr3:uid="{00000000-0010-0000-1400-00001B000000}" uniqueName="27" name="货币" queryTableFieldId="27" dataDxfId="371"/>
    <tableColumn id="10" xr3:uid="{00000000-0010-0000-1400-00000A000000}" uniqueName="10" name="主题债券" queryTableFieldId="10" dataDxfId="370"/>
    <tableColumn id="20" xr3:uid="{2E21E1F0-B3C8-4D63-81C1-4DEA5849D935}" uniqueName="20" name="IPT_DMI" queryTableFieldId="98" dataDxfId="369"/>
    <tableColumn id="21" xr3:uid="{721CAAAA-9532-4A2C-AF68-00307121AC06}" uniqueName="21" name="FPG_DMI" queryTableFieldId="99" dataDxfId="368"/>
    <tableColumn id="36" xr3:uid="{00000000-0010-0000-1400-000024000000}" uniqueName="36" name="联席全球协调人" queryTableFieldId="36" dataDxfId="367"/>
    <tableColumn id="50" xr3:uid="{00000000-0010-0000-1400-000032000000}" uniqueName="50" name="牵头经办人" queryTableFieldId="50" dataDxfId="366"/>
    <tableColumn id="3" xr3:uid="{7DB6801B-7DCF-4EB7-9A71-506BFB7DA4C5}" uniqueName="3" name="DMI行业" queryTableFieldId="717" dataDxfId="365"/>
    <tableColumn id="23" xr3:uid="{B5A6303E-E7C0-43D0-A6BB-6FDABEE4ABD9}" uniqueName="23" name="英文简称" queryTableFieldId="450" dataDxfId="364"/>
    <tableColumn id="57" xr3:uid="{00000000-0010-0000-1400-000039000000}" uniqueName="57" name="付息频率" queryTableFieldId="57" dataDxfId="363"/>
    <tableColumn id="58" xr3:uid="{00000000-0010-0000-1400-00003A000000}" uniqueName="58" name="维好协议提供者" queryTableFieldId="58" dataDxfId="362"/>
    <tableColumn id="56" xr3:uid="{00000000-0010-0000-1400-000038000000}" uniqueName="56" name="特殊条款" queryTableFieldId="56" dataDxfId="361"/>
    <tableColumn id="55" xr3:uid="{00000000-0010-0000-1400-000037000000}" uniqueName="55" name="债券类型" queryTableFieldId="55" dataDxfId="360"/>
    <tableColumn id="54" xr3:uid="{00000000-0010-0000-1400-000036000000}" uniqueName="54" name="交易状态" queryTableFieldId="54" dataDxfId="359"/>
    <tableColumn id="53" xr3:uid="{00000000-0010-0000-1400-000035000000}" uniqueName="53" name="利率类型" queryTableFieldId="53" dataDxfId="358"/>
    <tableColumn id="52" xr3:uid="{00000000-0010-0000-1400-000034000000}" uniqueName="52" name="是否存单" queryTableFieldId="52" dataDxfId="357"/>
    <tableColumn id="51" xr3:uid="{00000000-0010-0000-1400-000033000000}" uniqueName="51" name="是否永续债" queryTableFieldId="51" dataDxfId="356"/>
    <tableColumn id="78" xr3:uid="{A0CF3BD1-5FCF-4795-AF10-20DDD23A6110}" uniqueName="78" name="联席账簿管理人" queryTableFieldId="128" dataDxfId="355"/>
    <tableColumn id="49" xr3:uid="{00000000-0010-0000-1400-000031000000}" uniqueName="49" name="特殊条款说明" queryTableFieldId="49" dataDxfId="354"/>
    <tableColumn id="48" xr3:uid="{00000000-0010-0000-1400-000030000000}" uniqueName="48" name="上市日期" queryTableFieldId="48" dataDxfId="353"/>
    <tableColumn id="77" xr3:uid="{96AB1C8E-595F-43D9-A802-E2A6579CD92F}" uniqueName="77" name="定价_DMI" queryTableFieldId="136" dataDxfId="352"/>
    <tableColumn id="47" xr3:uid="{00000000-0010-0000-1400-00002F000000}" uniqueName="47" name="发行起始日" queryTableFieldId="47" dataDxfId="351"/>
    <tableColumn id="46" xr3:uid="{00000000-0010-0000-1400-00002E000000}" uniqueName="46" name="担保人" queryTableFieldId="46" dataDxfId="350"/>
    <tableColumn id="45" xr3:uid="{00000000-0010-0000-1400-00002D000000}" uniqueName="45" name="发行人" queryTableFieldId="45" dataDxfId="349"/>
    <tableColumn id="44" xr3:uid="{00000000-0010-0000-1400-00002C000000}" uniqueName="44" name="首次付息日" queryTableFieldId="44" dataDxfId="348"/>
    <tableColumn id="43" xr3:uid="{00000000-0010-0000-1400-00002B000000}" uniqueName="43" name="计息基准" queryTableFieldId="43" dataDxfId="347"/>
    <tableColumn id="42" xr3:uid="{00000000-0010-0000-1400-00002A000000}" uniqueName="42" name="最新票面利率" queryTableFieldId="42" dataDxfId="346"/>
    <tableColumn id="41" xr3:uid="{00000000-0010-0000-1400-000029000000}" uniqueName="41" name="行权兑付日" queryTableFieldId="41" dataDxfId="345"/>
    <tableColumn id="40" xr3:uid="{00000000-0010-0000-1400-000028000000}" uniqueName="40" name="起息日期" queryTableFieldId="40" dataDxfId="344"/>
    <tableColumn id="39" xr3:uid="{00000000-0010-0000-1400-000027000000}" uniqueName="39" name="债券余额" queryTableFieldId="39" dataDxfId="343"/>
    <tableColumn id="38" xr3:uid="{00000000-0010-0000-1400-000026000000}" uniqueName="38" name="债券最新面值" queryTableFieldId="38" dataDxfId="342"/>
    <tableColumn id="37" xr3:uid="{00000000-0010-0000-1400-000025000000}" uniqueName="37" name="TICKER" queryTableFieldId="37" dataDxfId="341"/>
    <tableColumn id="76" xr3:uid="{99F5C9BF-819A-4B74-90A6-3D912D600F26}" uniqueName="76" name="筹款用途" queryTableFieldId="126" dataDxfId="340"/>
    <tableColumn id="75" xr3:uid="{8379EAC2-F6FB-4868-9327-F4926D5314B2}" uniqueName="75" name="投资者分布" queryTableFieldId="125" dataDxfId="339"/>
    <tableColumn id="74" xr3:uid="{F3AEB759-21B8-4CF1-A6A6-D6587E7B0569}" uniqueName="74" name="投资者类型" queryTableFieldId="124" dataDxfId="338"/>
    <tableColumn id="73" xr3:uid="{EC155D5D-7034-4D98-AE8E-9FD72DE0014F}" uniqueName="73" name="投资者账户数" queryTableFieldId="123" dataDxfId="337"/>
    <tableColumn id="11" xr3:uid="{00000000-0010-0000-1400-00000B000000}" uniqueName="11" name="评级类型" queryTableFieldId="11" dataDxfId="336"/>
    <tableColumn id="2" xr3:uid="{00000000-0010-0000-1400-000002000000}" uniqueName="2" name="公司类型" queryTableFieldId="2" dataDxfId="335"/>
    <tableColumn id="70" xr3:uid="{D4D745FA-E2EC-49A7-8DD6-A7E0C561075E}" uniqueName="70" name="剩余期限" queryTableFieldId="122" dataDxfId="334"/>
    <tableColumn id="17" xr3:uid="{00000000-0010-0000-1400-000011000000}" uniqueName="17" name="境内主体评级" queryTableFieldId="17" dataDxfId="333"/>
    <tableColumn id="16" xr3:uid="{00000000-0010-0000-1400-000010000000}" uniqueName="16" name="债项初始评级" queryTableFieldId="16" dataDxfId="332"/>
    <tableColumn id="4" xr3:uid="{00000000-0010-0000-1400-000004000000}" uniqueName="4" name="细分行业" queryTableFieldId="4" dataDxfId="331"/>
    <tableColumn id="72" xr3:uid="{00000000-0010-0000-1400-000048000000}" uniqueName="72" name="发行方式" queryTableFieldId="93" dataDxfId="330"/>
    <tableColumn id="35" xr3:uid="{00000000-0010-0000-1400-000023000000}" uniqueName="35" name="基金占比" queryTableFieldId="35" dataDxfId="329"/>
    <tableColumn id="34" xr3:uid="{00000000-0010-0000-1400-000022000000}" uniqueName="34" name="亚洲占比" queryTableFieldId="34" dataDxfId="328"/>
    <tableColumn id="33" xr3:uid="{00000000-0010-0000-1400-000021000000}" uniqueName="33" name="认购倍数" queryTableFieldId="33" dataDxfId="327"/>
    <tableColumn id="32" xr3:uid="{00000000-0010-0000-1400-000020000000}" uniqueName="32" name="认购额(亿)" queryTableFieldId="32" dataDxfId="326"/>
    <tableColumn id="7" xr3:uid="{00000000-0010-0000-1400-000007000000}" uniqueName="7" name="区县" queryTableFieldId="7" dataDxfId="325"/>
    <tableColumn id="6" xr3:uid="{00000000-0010-0000-1400-000006000000}" uniqueName="6" name="城市" queryTableFieldId="6" dataDxfId="324"/>
    <tableColumn id="5" xr3:uid="{00000000-0010-0000-1400-000005000000}" uniqueName="5" name="省份" queryTableFieldId="5" dataDxfId="323"/>
    <tableColumn id="31" xr3:uid="{00000000-0010-0000-1400-00001F000000}" uniqueName="31" name="首日涨跌" queryTableFieldId="31" dataDxfId="322"/>
    <tableColumn id="29" xr3:uid="{00000000-0010-0000-1400-00001D000000}" uniqueName="29" name="发行价" queryTableFieldId="29" dataDxfId="321"/>
    <tableColumn id="25" xr3:uid="{00000000-0010-0000-1400-000019000000}" uniqueName="25" name="偿还顺位" queryTableFieldId="25" dataDxfId="320"/>
    <tableColumn id="24" xr3:uid="{00000000-0010-0000-1400-000018000000}" uniqueName="24" name="SBLC提供者" queryTableFieldId="24" dataDxfId="319"/>
    <tableColumn id="62" xr3:uid="{9E4808FC-4C9C-428D-82BA-2929B856B8D6}" uniqueName="62" name="发行架构" queryTableFieldId="144" dataDxfId="318"/>
    <tableColumn id="82" xr3:uid="{8C16BF61-CC83-4336-BE5B-8B8A13B0CA9C}" uniqueName="82" name="发行规则" queryTableFieldId="552" dataDxfId="317"/>
    <tableColumn id="22" xr3:uid="{00000000-0010-0000-1400-000016000000}" uniqueName="22" name="收窄幅度(bp)" queryTableFieldId="22" dataDxfId="316"/>
    <tableColumn id="30" xr3:uid="{00000000-0010-0000-1400-00001E000000}" uniqueName="30" name="发行场所" queryTableFieldId="30" dataDxfId="315"/>
    <tableColumn id="19" xr3:uid="{00000000-0010-0000-1400-000013000000}" uniqueName="19" name="兑付日" queryTableFieldId="19" dataDxfId="314"/>
    <tableColumn id="18" xr3:uid="{AE2E760D-01E7-4A99-A03D-0E14B2E5A35B}" uniqueName="18" name="票息_DMI" queryTableFieldId="587" dataDxfId="313"/>
    <tableColumn id="28" xr3:uid="{00000000-0010-0000-1400-00001C000000}" uniqueName="28" name="发行期限(年)" queryTableFieldId="28" dataDxfId="312"/>
    <tableColumn id="26" xr3:uid="{00000000-0010-0000-1400-00001A000000}" uniqueName="26" name="发行规模(亿)" queryTableFieldId="26" dataDxfId="311"/>
    <tableColumn id="15" xr3:uid="{00000000-0010-0000-1400-00000F000000}" uniqueName="15" name="债项评级" queryTableFieldId="15" dataDxfId="310"/>
    <tableColumn id="14" xr3:uid="{00000000-0010-0000-1400-00000E000000}" uniqueName="14" name="主体评级展望" queryTableFieldId="14" dataDxfId="309"/>
    <tableColumn id="13" xr3:uid="{00000000-0010-0000-1400-00000D000000}" uniqueName="13" name="穆迪/标普" queryTableFieldId="13" dataDxfId="308"/>
    <tableColumn id="8" xr3:uid="{00000000-0010-0000-1400-000008000000}" uniqueName="8" name="债券简称" queryTableFieldId="8" dataDxfId="307"/>
    <tableColumn id="88" xr3:uid="{A85513D1-22EA-42F5-ADC2-5073B6878BBC}" uniqueName="88" name="DataSource" queryTableFieldId="591" dataDxfId="306"/>
    <tableColumn id="60" xr3:uid="{D42CB076-F4CD-492B-B69C-C447AAD8B44C}" uniqueName="60" name="首次违约日" queryTableFieldId="620" dataDxfId="305"/>
    <tableColumn id="61" xr3:uid="{7E81C1D7-7EA6-4BD6-AC66-518E7843033B}" uniqueName="61" name="IS_EXCH" queryTableFieldId="621" dataDxfId="304"/>
    <tableColumn id="71" xr3:uid="{00000000-0010-0000-1400-000047000000}" uniqueName="71" name="地区" queryTableFieldId="91" dataDxfId="303"/>
    <tableColumn id="69" xr3:uid="{5C3486A7-3354-40AB-8A31-6EF60BDA9826}" uniqueName="69" name="BISL_ROLE" queryTableFieldId="628" dataDxfId="302"/>
    <tableColumn id="79" xr3:uid="{4D5A05D7-BD47-4CF2-BA37-25E4CD582264}" uniqueName="79" name="注册成立地" queryTableFieldId="140" dataDxfId="301"/>
    <tableColumn id="80" xr3:uid="{7D0B3F21-10BB-4E32-89D1-69E4FA31A948}" uniqueName="80" name="发行人主上市地" queryTableFieldId="507" dataDxfId="300"/>
    <tableColumn id="63" xr3:uid="{222E9603-970D-4782-9F61-BA306470C980}" uniqueName="63" name="补充OMAS updates" queryTableFieldId="111" dataDxfId="299"/>
    <tableColumn id="65" xr3:uid="{80765AA5-3F0E-470B-9194-548C15E96FE2}" uniqueName="65" name="定价息差" queryTableFieldId="112" dataDxfId="298"/>
    <tableColumn id="66" xr3:uid="{835384CB-5EA1-4AA5-80C7-6E7A7E31992D}" uniqueName="66" name="发行评级" queryTableFieldId="113" dataDxfId="297"/>
    <tableColumn id="68" xr3:uid="{3FAE810C-DBB1-4EA1-887E-C959C6AEE507}" uniqueName="68" name="主体评级" queryTableFieldId="114" dataDxfId="296"/>
    <tableColumn id="64" xr3:uid="{2EF4E456-BC8A-4E0C-AFB9-AA330EE81DC0}" uniqueName="64" name="ESG_Indicator" queryTableFieldId="622" dataDxfId="295"/>
    <tableColumn id="59" xr3:uid="{00000000-0010-0000-1400-00003B000000}" uniqueName="59" name="Check" queryTableFieldId="59" dataDxfId="294"/>
    <tableColumn id="83" xr3:uid="{88EC5E06-3290-4BA2-9BB7-DC761E8B8AD3}" uniqueName="83" name="债券简称_1" queryTableFieldId="716" dataDxfId="293"/>
  </tableColumns>
  <tableStyleInfo name="Qry Load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12" totalsRowShown="0" headerRowDxfId="596" dataDxfId="595">
  <autoFilter ref="A3:C12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594"/>
    <tableColumn id="4" xr3:uid="{01BB5857-C8A7-4203-A587-04BFC8573813}" name="Parameter" dataDxfId="593"/>
    <tableColumn id="5" xr3:uid="{D010838C-EEEF-40BF-9135-662BB9B0DB52}" name="Value" dataDxfId="592"/>
  </tableColumns>
  <tableStyleInfo name="Bla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CB4987-CACE-49DD-B4DF-453D0739B9B7}" name="DLD_QRC_23" displayName="DLD_QRC_23" ref="CT15:DA16" tableType="queryTable" insertRow="1" totalsRowShown="0">
  <autoFilter ref="CT15:DA16" xr:uid="{2241697C-73A8-4C22-B4FA-5F2C3A02E1B7}"/>
  <tableColumns count="8">
    <tableColumn id="1" xr3:uid="{9DAC8948-DAFD-470D-BBBB-7438AE890060}" uniqueName="1" name="Project Name" queryTableFieldId="1"/>
    <tableColumn id="2" xr3:uid="{E0D19AF5-9F56-420C-BE6F-5792D31C8F10}" uniqueName="2" name="ISIN" queryTableFieldId="2"/>
    <tableColumn id="3" xr3:uid="{1B386BC7-C983-4E5C-A2D3-54DF24835F23}" uniqueName="3" name="项目名称（集团全称）" queryTableFieldId="3"/>
    <tableColumn id="4" xr3:uid="{E1C4CAD1-CBD0-41E3-AF73-79A611F3403A}" uniqueName="4" name="台账序号" queryTableFieldId="4"/>
    <tableColumn id="5" xr3:uid="{E978DEAB-FE96-4F72-9EEE-2D8009EF9D54}" uniqueName="5" name="担任角色" queryTableFieldId="5" dataDxfId="451"/>
    <tableColumn id="6" xr3:uid="{1BC26FCE-CF9B-4873-82CF-EC4F556D7E26}" uniqueName="6" name="新规角色" queryTableFieldId="6"/>
    <tableColumn id="7" xr3:uid="{2C8EA1EC-5FFC-4C17-9004-497BCB6D4E2A}" uniqueName="7" name="COVERAGE" queryTableFieldId="7"/>
    <tableColumn id="8" xr3:uid="{1BC42834-1C57-40F4-B31F-F9924832E77D}" uniqueName="8" name="项目定价日" queryTableFieldId="8" dataDxfId="450"/>
  </tableColumns>
  <tableStyleInfo name="Qry Loa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134790-3717-40BB-85C1-4F545A5822CD}" name="DMI_NewColumn" displayName="DMI_NewColumn" ref="H15:H17" tableType="queryTable" totalsRowShown="0">
  <autoFilter ref="H15:H17" xr:uid="{986C8F8A-D26E-4FF0-8FCE-51DD8C3DBC57}">
    <filterColumn colId="0" hiddenButton="1"/>
  </autoFilter>
  <tableColumns count="1">
    <tableColumn id="1" xr3:uid="{51FA600C-3001-498B-B675-E08F1D02D1AA}" uniqueName="1" name="DMI_NewColumn" queryTableFieldId="1"/>
  </tableColumns>
  <tableStyleInfo name="Qry Loa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FBB7C50-29D2-443F-AA62-710C1739A2E6}" name="DMI_ChangedColumn" displayName="DMI_ChangedColumn" ref="H23:H25" tableType="queryTable" totalsRowShown="0" dataDxfId="591">
  <autoFilter ref="H23:H25" xr:uid="{4B67918F-3C3B-4F9A-A697-A1DB99D331D6}">
    <filterColumn colId="0" hiddenButton="1"/>
  </autoFilter>
  <tableColumns count="1">
    <tableColumn id="1" xr3:uid="{A1350E74-0595-41C1-8E1D-1F86762512DC}" uniqueName="1" name="DMI_ChangedColumn" queryTableFieldId="1" dataDxfId="590"/>
  </tableColumns>
  <tableStyleInfo name="Qry Loa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I15" tableType="queryTable" totalsRowShown="0">
  <autoFilter ref="P5:AI1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165"/>
    <tableColumn id="2" xr3:uid="{00000000-0010-0000-1700-000002000000}" uniqueName="2" name="信用主体" queryTableFieldId="2" dataDxfId="164"/>
    <tableColumn id="15" xr3:uid="{E24E777A-D49C-4B3E-93AA-DFAEBA57F42B}" uniqueName="15" name="ESG" queryTableFieldId="55" dataDxfId="163"/>
    <tableColumn id="12" xr3:uid="{00000000-0010-0000-1700-00000C000000}" uniqueName="12" name="IPG" queryTableFieldId="12" dataDxfId="162"/>
    <tableColumn id="13" xr3:uid="{00000000-0010-0000-1700-00000D000000}" uniqueName="13" name="FPG" queryTableFieldId="13" dataDxfId="161"/>
    <tableColumn id="14" xr3:uid="{00000000-0010-0000-1700-00000E000000}" uniqueName="14" name="收窄基点" queryTableFieldId="14" dataDxfId="160"/>
    <tableColumn id="4" xr3:uid="{6C7FD7BE-8D8C-4280-8400-F9D8BA7FAAB5}" uniqueName="4" name="定价基准" queryTableFieldId="131" dataDxfId="159"/>
    <tableColumn id="25" xr3:uid="{00000000-0010-0000-1700-000019000000}" uniqueName="25" name="定价" queryTableFieldId="25" dataDxfId="158"/>
    <tableColumn id="31" xr3:uid="{FFCE47EB-D5CF-4D34-81FA-065EDA65F5D5}" uniqueName="31" name="增发判定" queryTableFieldId="72" dataDxfId="157"/>
    <tableColumn id="8" xr3:uid="{00000000-0010-0000-1700-000008000000}" uniqueName="8" name="货币" queryTableFieldId="8" dataDxfId="156"/>
    <tableColumn id="9" xr3:uid="{00000000-0010-0000-1700-000009000000}" uniqueName="9" name="发行规模(亿)" queryTableFieldId="9" dataDxfId="155"/>
    <tableColumn id="5" xr3:uid="{A465A109-439B-46CC-B8D9-8536815366D7}" uniqueName="5" name="年期" queryTableFieldId="52" dataDxfId="154"/>
    <tableColumn id="11" xr3:uid="{00000000-0010-0000-1700-00000B000000}" uniqueName="11" name="票息" queryTableFieldId="11" dataDxfId="153"/>
    <tableColumn id="3" xr3:uid="{24F0DFD7-9531-4CB3-A79F-E21707EF0921}" uniqueName="3" name="品种主题" queryTableFieldId="129" dataDxfId="152"/>
    <tableColumn id="33" xr3:uid="{F7F8C15B-103F-4121-B909-0AA998B5A268}" uniqueName="33" name="上市" queryTableFieldId="73" dataDxfId="151"/>
    <tableColumn id="23" xr3:uid="{00000000-0010-0000-1700-000017000000}" uniqueName="23" name="亿美元" queryTableFieldId="23" dataDxfId="150"/>
    <tableColumn id="24" xr3:uid="{00000000-0010-0000-1700-000018000000}" uniqueName="24" name="亿元" queryTableFieldId="24" dataDxfId="149"/>
    <tableColumn id="21" xr3:uid="{02205151-A1BC-4641-96CA-0A9C736A8B39}" uniqueName="21" name="亿港币" queryTableFieldId="84" dataDxfId="148"/>
    <tableColumn id="35" xr3:uid="{00000000-0010-0000-1700-000023000000}" uniqueName="35" name="ISIN" queryTableFieldId="35" dataDxfId="147"/>
    <tableColumn id="19" xr3:uid="{00000000-0010-0000-1700-000013000000}" uniqueName="19" name="Check" queryTableFieldId="49" dataDxfId="146"/>
  </tableColumns>
  <tableStyleInfo name="Qry Loa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O5:BB6" tableType="queryTable" totalsRowShown="0">
  <autoFilter ref="AO5:BB6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292"/>
    <tableColumn id="2" xr3:uid="{00000000-0010-0000-1800-000002000000}" uniqueName="2" name="ISIN" queryTableFieldId="2" dataDxfId="291"/>
    <tableColumn id="3" xr3:uid="{00000000-0010-0000-1800-000003000000}" uniqueName="3" name="定价日" queryTableFieldId="3" dataDxfId="290"/>
    <tableColumn id="18" xr3:uid="{CE8319FC-590C-4EDF-A68D-FBC91063B4F2}" uniqueName="18" name="台账序号" queryTableFieldId="38" dataDxfId="289"/>
    <tableColumn id="10" xr3:uid="{00000000-0010-0000-1800-00000A000000}" uniqueName="10" name="Project Name" queryTableFieldId="22" dataDxfId="288"/>
    <tableColumn id="8" xr3:uid="{00000000-0010-0000-1800-000008000000}" uniqueName="8" name="COVERAGE" queryTableFieldId="16" dataDxfId="287"/>
    <tableColumn id="12" xr3:uid="{00000000-0010-0000-1800-00000C000000}" uniqueName="12" name="新规角色" queryTableFieldId="12" dataDxfId="286"/>
    <tableColumn id="9" xr3:uid="{00000000-0010-0000-1800-000009000000}" uniqueName="9" name="PROJECT_CODE" queryTableFieldId="17" dataDxfId="285"/>
    <tableColumn id="15" xr3:uid="{00000000-0010-0000-1800-00000F000000}" uniqueName="15" name="期数" queryTableFieldId="15" dataDxfId="284"/>
    <tableColumn id="5" xr3:uid="{00000000-0010-0000-1800-000005000000}" uniqueName="5" name="BISL_ROLE" queryTableFieldId="5" dataDxfId="283"/>
    <tableColumn id="11" xr3:uid="{00000000-0010-0000-1800-00000B000000}" uniqueName="11" name="IS_LEAD" queryTableFieldId="30" dataDxfId="282"/>
    <tableColumn id="13" xr3:uid="{00000000-0010-0000-1800-00000D000000}" uniqueName="13" name="IS_B&amp;D" queryTableFieldId="31" dataDxfId="281"/>
    <tableColumn id="14" xr3:uid="{00000000-0010-0000-1800-00000E000000}" uniqueName="14" name="是否合名" queryTableFieldId="32" dataDxfId="280"/>
  </tableColumns>
  <tableStyleInfo name="Qry Load 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BH5:BK7" tableType="queryTable" totalsRowShown="0">
  <autoFilter ref="BH5:BK7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15" tableType="queryTable" totalsRowShown="0">
  <autoFilter ref="B5:L15" xr:uid="{5C4B1B8C-A0D4-4D02-A871-15DC30D8DA09}"/>
  <tableColumns count="11">
    <tableColumn id="1" xr3:uid="{3E9647E3-CCA2-4EE2-BC8F-94A72BF1C6FB}" uniqueName="1" name="删除及隐藏" queryTableFieldId="1" dataDxfId="176"/>
    <tableColumn id="2" xr3:uid="{2989A5DB-032C-4A61-9F1B-232A1392CB59}" uniqueName="2" name="ISIN" queryTableFieldId="2" dataDxfId="175"/>
    <tableColumn id="3" xr3:uid="{54C99E76-3C90-4DC7-B18C-794479F768ED}" uniqueName="3" name="定价日" queryTableFieldId="3" dataDxfId="174"/>
    <tableColumn id="4" xr3:uid="{505BB7FB-E263-483A-AC0A-0AE9317B9D8F}" uniqueName="4" name="信用主体" queryTableFieldId="4" dataDxfId="173"/>
    <tableColumn id="5" xr3:uid="{315B6BA9-3BCB-45C2-9A6C-9FBD75E934D6}" uniqueName="5" name="发行评级" queryTableFieldId="5" dataDxfId="172"/>
    <tableColumn id="6" xr3:uid="{ACB704AC-62D4-40E7-A2F0-002B6341CEAF}" uniqueName="6" name="主体评级" queryTableFieldId="6" dataDxfId="171"/>
    <tableColumn id="7" xr3:uid="{D73EE109-D3A9-4E56-A56C-D8807776759C}" uniqueName="7" name="结构" queryTableFieldId="7" dataDxfId="170"/>
    <tableColumn id="8" xr3:uid="{8ABF59A6-478C-4513-AA15-48E44F9ED3B2}" uniqueName="8" name="备证行" queryTableFieldId="8" dataDxfId="169"/>
    <tableColumn id="9" xr3:uid="{0B451F54-19BB-415D-8E9F-1F0685BB9AD2}" uniqueName="9" name="港分_ROLE" queryTableFieldId="9" dataDxfId="168"/>
    <tableColumn id="10" xr3:uid="{26B4736D-076D-4E30-9954-6491DC39F40B}" uniqueName="10" name="澳分_ROLE" queryTableFieldId="10" dataDxfId="167"/>
    <tableColumn id="11" xr3:uid="{A1D5D74A-E135-4039-9984-BA315ECFEBA2}" uniqueName="11" name="Check" queryTableFieldId="11" dataDxfId="166"/>
  </tableColumns>
  <tableStyleInfo name="Qry Loa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DDF5528-447C-443B-AF7C-674545284801}" name="DLD_Add" displayName="DLD_Add" ref="A6:DD18" tableType="queryTable" totalsRowShown="0">
  <autoFilter ref="A6:DD18" xr:uid="{CDDF5528-447C-443B-AF7C-674545284801}"/>
  <tableColumns count="108">
    <tableColumn id="1" xr3:uid="{C0844C81-13FB-48BE-BDE9-F0D29D54269E}" uniqueName="1" name="Index" queryTableFieldId="1" dataDxfId="279"/>
    <tableColumn id="2" xr3:uid="{4A568699-9719-499E-BA66-35A7C05B513F}" uniqueName="2" name="IS_FIMTN" queryTableFieldId="2" dataDxfId="278"/>
    <tableColumn id="3" xr3:uid="{AC1BC36F-CCDC-477B-832E-1E8CE6730098}" uniqueName="3" name="信用主体" queryTableFieldId="3" dataDxfId="277"/>
    <tableColumn id="5" xr3:uid="{9BB249D6-B921-409C-BD25-1143AD7E4A15}" uniqueName="5" name="ISIN" queryTableFieldId="5" dataDxfId="276"/>
    <tableColumn id="6" xr3:uid="{92748992-E149-4DC2-9B29-E2EFE1DB117C}" uniqueName="6" name="定价日" queryTableFieldId="6" dataDxfId="275"/>
    <tableColumn id="7" xr3:uid="{2876D30C-814B-43A4-B8F6-8C4DA856FC56}" uniqueName="7" name="货币" queryTableFieldId="7" dataDxfId="274"/>
    <tableColumn id="8" xr3:uid="{64D6EB2D-7AC6-4160-962B-80870A88FE9C}" uniqueName="8" name="ESG_Source" queryTableFieldId="8" dataDxfId="273"/>
    <tableColumn id="9" xr3:uid="{8F4A4264-E4EB-465C-95BF-43829C64E429}" uniqueName="9" name="IPT_DMI" queryTableFieldId="9" dataDxfId="272"/>
    <tableColumn id="10" xr3:uid="{452A448D-CFA5-4DB8-AD7B-CCADF1BC6711}" uniqueName="10" name="FPG_DMI" queryTableFieldId="10" dataDxfId="271"/>
    <tableColumn id="11" xr3:uid="{CE87F2C8-60A7-4F20-A21A-839EEE9168C7}" uniqueName="11" name="联席全球协调人" queryTableFieldId="11" dataDxfId="270"/>
    <tableColumn id="12" xr3:uid="{08EB1D31-2036-4406-B445-E8F3BF86B96D}" uniqueName="12" name="牵头经办人" queryTableFieldId="12" dataDxfId="269"/>
    <tableColumn id="4" xr3:uid="{45C997D1-1F05-4CCD-B643-8ADCA6DC40EB}" uniqueName="4" name="DMI行业" queryTableFieldId="158"/>
    <tableColumn id="13" xr3:uid="{BBA949DC-8CFA-4955-8128-ADB18AEF6B87}" uniqueName="13" name="英文简称" queryTableFieldId="13" dataDxfId="268"/>
    <tableColumn id="15" xr3:uid="{DD880CCD-C32F-4426-8544-CD57679F31FB}" uniqueName="15" name="付息频率" queryTableFieldId="15" dataDxfId="267"/>
    <tableColumn id="16" xr3:uid="{EC267DCA-B7BB-4080-B715-A81622734B97}" uniqueName="16" name="维好协议提供者" queryTableFieldId="16" dataDxfId="266"/>
    <tableColumn id="17" xr3:uid="{4F6E8B26-AA02-4350-8D29-EE5F63183020}" uniqueName="17" name="特殊条款" queryTableFieldId="17" dataDxfId="265"/>
    <tableColumn id="18" xr3:uid="{D5F5D2FD-2D1D-4C73-9503-B08C22459B30}" uniqueName="18" name="债券类型" queryTableFieldId="18" dataDxfId="264"/>
    <tableColumn id="19" xr3:uid="{160E00C3-CA1D-4E34-AFFB-500E27DD7358}" uniqueName="19" name="交易状态" queryTableFieldId="19" dataDxfId="263"/>
    <tableColumn id="20" xr3:uid="{EB39CAED-E998-4724-A29F-9923AA8E87CD}" uniqueName="20" name="利率类型" queryTableFieldId="20" dataDxfId="262"/>
    <tableColumn id="21" xr3:uid="{5AD7D3DC-431C-4D40-A998-715A4B5D4ED3}" uniqueName="21" name="是否存单" queryTableFieldId="21" dataDxfId="261"/>
    <tableColumn id="22" xr3:uid="{FA3F4F21-7EFE-4A67-82FF-76BB902BB391}" uniqueName="22" name="是否永续债" queryTableFieldId="22" dataDxfId="260"/>
    <tableColumn id="23" xr3:uid="{53CAA8EF-4AEC-46A8-9E27-441717E56129}" uniqueName="23" name="联席账簿管理人" queryTableFieldId="23" dataDxfId="259"/>
    <tableColumn id="24" xr3:uid="{845A41CB-6954-43DF-B920-27D89360F0AC}" uniqueName="24" name="特殊条款说明" queryTableFieldId="24" dataDxfId="258"/>
    <tableColumn id="25" xr3:uid="{717F72D8-0F14-4058-A303-D5D8C035AF0D}" uniqueName="25" name="上市日期" queryTableFieldId="25" dataDxfId="257"/>
    <tableColumn id="26" xr3:uid="{2023C00C-A429-4931-BDDA-17ECE8CD2384}" uniqueName="26" name="定价_DMI" queryTableFieldId="26" dataDxfId="256"/>
    <tableColumn id="27" xr3:uid="{7BEF2D8D-31E3-42F9-B2F8-1285A8AEA53A}" uniqueName="27" name="发行起始日" queryTableFieldId="27" dataDxfId="255"/>
    <tableColumn id="28" xr3:uid="{F441BC3E-ED42-4AB1-8228-1B6924DBA6CA}" uniqueName="28" name="担保人" queryTableFieldId="28" dataDxfId="254"/>
    <tableColumn id="29" xr3:uid="{7C19D6E4-E675-4348-BF0E-C18ECC98656C}" uniqueName="29" name="发行人" queryTableFieldId="29" dataDxfId="253"/>
    <tableColumn id="30" xr3:uid="{39392E72-E631-4B30-9315-002E2790687A}" uniqueName="30" name="首次付息日" queryTableFieldId="30" dataDxfId="252"/>
    <tableColumn id="31" xr3:uid="{D3781C9C-3707-41FB-8F6D-766D1ACE952A}" uniqueName="31" name="计息基准" queryTableFieldId="31" dataDxfId="251"/>
    <tableColumn id="32" xr3:uid="{B6E85873-8F4C-4565-8097-7B038054A199}" uniqueName="32" name="最新票面利率" queryTableFieldId="32" dataDxfId="250"/>
    <tableColumn id="33" xr3:uid="{695DA9AF-3950-4624-88E4-0BD1A253DC7F}" uniqueName="33" name="行权兑付日" queryTableFieldId="33" dataDxfId="249"/>
    <tableColumn id="34" xr3:uid="{E3854E03-8195-4691-9B35-F53C79A07D5F}" uniqueName="34" name="起息日期" queryTableFieldId="34" dataDxfId="248"/>
    <tableColumn id="35" xr3:uid="{4EF15B80-BCC6-4F99-8109-08B4F9A13EB4}" uniqueName="35" name="债券余额" queryTableFieldId="35" dataDxfId="247"/>
    <tableColumn id="36" xr3:uid="{6548ED30-3A02-441C-BCC5-B75D134C2FE2}" uniqueName="36" name="债券最新面值" queryTableFieldId="36" dataDxfId="246"/>
    <tableColumn id="37" xr3:uid="{514DDF5A-DDA1-4CB3-8126-EC129D7C9ACA}" uniqueName="37" name="TICKER" queryTableFieldId="37" dataDxfId="245"/>
    <tableColumn id="38" xr3:uid="{75CD578C-1F6A-49BE-A807-22D0A211955A}" uniqueName="38" name="筹款用途" queryTableFieldId="38" dataDxfId="244"/>
    <tableColumn id="39" xr3:uid="{52CCEFB4-75D0-4445-91A7-112CAC632FBE}" uniqueName="39" name="投资者分布" queryTableFieldId="39" dataDxfId="243"/>
    <tableColumn id="40" xr3:uid="{9E7A2765-F24C-4E03-9D4C-AF98B2BE6AC5}" uniqueName="40" name="投资者类型" queryTableFieldId="40" dataDxfId="242"/>
    <tableColumn id="41" xr3:uid="{8AF16E58-A015-418C-8513-49EBB27EDBF4}" uniqueName="41" name="投资者账户数" queryTableFieldId="41" dataDxfId="241"/>
    <tableColumn id="42" xr3:uid="{19823FC0-944D-47BA-8510-F821401D7848}" uniqueName="42" name="评级类型" queryTableFieldId="42" dataDxfId="240"/>
    <tableColumn id="43" xr3:uid="{1CB6CFDB-15FC-4372-91FF-32B5ACF96887}" uniqueName="43" name="公司类型" queryTableFieldId="43" dataDxfId="239"/>
    <tableColumn id="44" xr3:uid="{15AD3519-B16C-49DD-99DF-A71C1D2B3038}" uniqueName="44" name="剩余期限" queryTableFieldId="44" dataDxfId="238"/>
    <tableColumn id="45" xr3:uid="{603C7CC9-59E6-482A-A158-925ABF70B72E}" uniqueName="45" name="境内主体评级" queryTableFieldId="45" dataDxfId="237"/>
    <tableColumn id="46" xr3:uid="{22C27A75-0B9A-4C70-92F0-CB323071B28F}" uniqueName="46" name="债项初始评级" queryTableFieldId="46" dataDxfId="236"/>
    <tableColumn id="47" xr3:uid="{199FFD36-853A-43EA-B94A-48E44C24CB23}" uniqueName="47" name="细分行业" queryTableFieldId="47" dataDxfId="235"/>
    <tableColumn id="48" xr3:uid="{0E271067-DA5D-4EBA-9454-332850429252}" uniqueName="48" name="发行方式" queryTableFieldId="48" dataDxfId="234"/>
    <tableColumn id="49" xr3:uid="{7AD1ADFE-896F-47FF-A6B9-438BBA7FEC00}" uniqueName="49" name="基金占比" queryTableFieldId="49" dataDxfId="233"/>
    <tableColumn id="50" xr3:uid="{3A7E0BC9-8420-4B67-8EEF-8F0A5A3DAA50}" uniqueName="50" name="亚洲占比" queryTableFieldId="50" dataDxfId="232"/>
    <tableColumn id="51" xr3:uid="{5C000353-D0CB-4F5B-A11B-638B87E5E1B7}" uniqueName="51" name="认购倍数" queryTableFieldId="51" dataDxfId="231"/>
    <tableColumn id="52" xr3:uid="{5A03D882-1ECF-4876-A9AC-28A8D78CED8C}" uniqueName="52" name="认购额(亿)" queryTableFieldId="52" dataDxfId="230"/>
    <tableColumn id="53" xr3:uid="{70ABA819-A038-4323-839D-97C08EEF63CD}" uniqueName="53" name="区县" queryTableFieldId="53" dataDxfId="229"/>
    <tableColumn id="54" xr3:uid="{4CEE06E0-A31E-4018-BEFE-442BA305B966}" uniqueName="54" name="城市" queryTableFieldId="54" dataDxfId="228"/>
    <tableColumn id="55" xr3:uid="{76931474-83FB-4867-AF9C-D7E65B44B26F}" uniqueName="55" name="省份" queryTableFieldId="55" dataDxfId="227"/>
    <tableColumn id="56" xr3:uid="{6EE32153-3E0D-4C3C-94C7-7FE691EB6D02}" uniqueName="56" name="首日涨跌" queryTableFieldId="56" dataDxfId="226"/>
    <tableColumn id="57" xr3:uid="{A279FC67-8893-466D-A727-00889FD4AD1E}" uniqueName="57" name="发行价" queryTableFieldId="57" dataDxfId="225"/>
    <tableColumn id="58" xr3:uid="{C20545BE-F0E3-4358-96EB-833986AFB640}" uniqueName="58" name="偿还顺位" queryTableFieldId="58" dataDxfId="224"/>
    <tableColumn id="59" xr3:uid="{4D39C025-1DCB-4366-9CF7-30ADF8318EC5}" uniqueName="59" name="SBLC提供者" queryTableFieldId="59" dataDxfId="223"/>
    <tableColumn id="60" xr3:uid="{9AFC4BEF-D3CB-4B94-A996-8556C6B34025}" uniqueName="60" name="发行架构" queryTableFieldId="60" dataDxfId="222"/>
    <tableColumn id="61" xr3:uid="{00F8644A-D6DA-4985-8E6B-73B8DCB4459B}" uniqueName="61" name="发行规则" queryTableFieldId="61" dataDxfId="221"/>
    <tableColumn id="62" xr3:uid="{8B44A811-8D8C-4FBA-AEB0-B2A31EA1AD09}" uniqueName="62" name="收窄幅度(bp)" queryTableFieldId="62" dataDxfId="220"/>
    <tableColumn id="63" xr3:uid="{48856535-C351-461C-B64D-8FC779702C24}" uniqueName="63" name="发行场所" queryTableFieldId="63" dataDxfId="219"/>
    <tableColumn id="64" xr3:uid="{3A8EE787-58D6-40FA-A8E0-C1EE401DE4B9}" uniqueName="64" name="兑付日" queryTableFieldId="64" dataDxfId="218"/>
    <tableColumn id="65" xr3:uid="{09A5C30C-729A-48CC-B4EB-3B865E699265}" uniqueName="65" name="票息_DMI" queryTableFieldId="65" dataDxfId="217"/>
    <tableColumn id="66" xr3:uid="{656A4809-8342-40A9-84C6-D5F07C399DCE}" uniqueName="66" name="发行期限(年)" queryTableFieldId="66" dataDxfId="216"/>
    <tableColumn id="67" xr3:uid="{BE8D6084-916D-4133-B3A2-D2905CFDDD76}" uniqueName="67" name="发行规模(亿)" queryTableFieldId="67" dataDxfId="215"/>
    <tableColumn id="68" xr3:uid="{98BF047E-6060-4684-871F-830B4E0B249C}" uniqueName="68" name="债项评级" queryTableFieldId="68" dataDxfId="214"/>
    <tableColumn id="69" xr3:uid="{E39B5F07-4C36-4BFD-BCED-77021B12F7EC}" uniqueName="69" name="主体评级展望" queryTableFieldId="69" dataDxfId="213"/>
    <tableColumn id="70" xr3:uid="{F9720734-02A9-4BCF-90D7-93CF9F1A9A77}" uniqueName="70" name="穆迪/标普" queryTableFieldId="70" dataDxfId="212"/>
    <tableColumn id="71" xr3:uid="{904F8824-A527-4DD3-A91E-090295245807}" uniqueName="71" name="债券简称" queryTableFieldId="71" dataDxfId="211"/>
    <tableColumn id="72" xr3:uid="{36609404-44F5-4DF0-BDD0-C17E6084BB98}" uniqueName="72" name="DataSource" queryTableFieldId="72" dataDxfId="210"/>
    <tableColumn id="73" xr3:uid="{4D85F51E-D29E-4116-94CC-E00DFE58D5BF}" uniqueName="73" name="首次违约日" queryTableFieldId="73" dataDxfId="209"/>
    <tableColumn id="74" xr3:uid="{4A571569-1D0E-4C48-859E-A52D4AAE080A}" uniqueName="74" name="IS_EXCH" queryTableFieldId="74" dataDxfId="208"/>
    <tableColumn id="75" xr3:uid="{6CD67985-9A55-4359-8E30-3955714BAAE8}" uniqueName="75" name="地区" queryTableFieldId="75" dataDxfId="207"/>
    <tableColumn id="76" xr3:uid="{5B53AACC-5E76-4DB6-99B8-B2C4410F91B2}" uniqueName="76" name="BISL_ROLE" queryTableFieldId="76" dataDxfId="206"/>
    <tableColumn id="77" xr3:uid="{56E72876-2036-484B-AA92-043D4C2CD055}" uniqueName="77" name="注册成立地" queryTableFieldId="77" dataDxfId="205"/>
    <tableColumn id="78" xr3:uid="{6806FE0C-2F89-4FCB-9CD5-22A9BE33B59D}" uniqueName="78" name="发行人主上市地" queryTableFieldId="78" dataDxfId="204"/>
    <tableColumn id="79" xr3:uid="{38EED0C3-EE66-4A96-A601-0BBBDEB18E44}" uniqueName="79" name="补充OMAS updates" queryTableFieldId="79" dataDxfId="203"/>
    <tableColumn id="80" xr3:uid="{2AA2F95F-67EF-49FE-90BA-65856DA12BEA}" uniqueName="80" name="定价息差" queryTableFieldId="80" dataDxfId="202"/>
    <tableColumn id="81" xr3:uid="{E71EC63D-EBDC-4FF6-A877-995A9CD60C2B}" uniqueName="81" name="发行评级" queryTableFieldId="81" dataDxfId="201"/>
    <tableColumn id="82" xr3:uid="{98DF1031-C7F2-4850-9922-C4A7E135D979}" uniqueName="82" name="主体评级" queryTableFieldId="82" dataDxfId="200"/>
    <tableColumn id="14" xr3:uid="{E12A0108-A962-4CC9-87EF-A8D163B9813B}" uniqueName="14" name="债券简称_1" queryTableFieldId="156"/>
    <tableColumn id="83" xr3:uid="{2A5CE70B-57D3-4AAD-9D97-84E3D2E342CB}" uniqueName="83" name="结构" queryTableFieldId="83" dataDxfId="199"/>
    <tableColumn id="84" xr3:uid="{F6238EE2-E999-4AE5-B8FE-FF168088BDE1}" uniqueName="84" name="备证行" queryTableFieldId="84" dataDxfId="198"/>
    <tableColumn id="90" xr3:uid="{51E8488C-A4C5-46E0-968E-7BAEC9AF5102}" uniqueName="90" name="增发判定" queryTableFieldId="90" dataDxfId="197"/>
    <tableColumn id="85" xr3:uid="{07222D66-BA37-4381-9F23-B87C506C86D7}" uniqueName="85" name="上市" queryTableFieldId="85" dataDxfId="196"/>
    <tableColumn id="86" xr3:uid="{9F0CE7F1-E4E4-4A27-B3FB-E740BE1932AB}" uniqueName="86" name="通过分行" queryTableFieldId="86" dataDxfId="195"/>
    <tableColumn id="103" xr3:uid="{E19CB8A6-0ED0-445D-9823-E7B95FAB3D17}" uniqueName="103" name="YYQQ" queryTableFieldId="147" dataDxfId="194"/>
    <tableColumn id="105" xr3:uid="{BC52A170-3E8D-49D3-AF5C-C5B002F15749}" uniqueName="105" name="USD" queryTableFieldId="148"/>
    <tableColumn id="106" xr3:uid="{59FFA814-7B91-4CB0-9843-A1F8F172B6B6}" uniqueName="106" name="CNH" queryTableFieldId="149"/>
    <tableColumn id="107" xr3:uid="{1533B589-DEE0-480D-8770-FFC3316F52EE}" uniqueName="107" name="HKD" queryTableFieldId="150"/>
    <tableColumn id="87" xr3:uid="{E1E52557-E125-48BE-85E0-86E4AA479955}" uniqueName="87" name="亿美元" queryTableFieldId="87" dataDxfId="193"/>
    <tableColumn id="88" xr3:uid="{1154296F-F3FC-4CA0-98AF-8D22E01B8000}" uniqueName="88" name="亿元" queryTableFieldId="88" dataDxfId="192"/>
    <tableColumn id="89" xr3:uid="{EF573876-F515-4239-978A-01B791677A7F}" uniqueName="89" name="亿港币" queryTableFieldId="89" dataDxfId="191"/>
    <tableColumn id="91" xr3:uid="{E281CCBC-4E73-4172-9B3E-940FB0855D6C}" uniqueName="91" name="Stats" queryTableFieldId="91" dataDxfId="190"/>
    <tableColumn id="92" xr3:uid="{A4554850-5480-4186-9DE3-8DE2D4EB8508}" uniqueName="92" name="澳分_ROLE" queryTableFieldId="92" dataDxfId="189"/>
    <tableColumn id="93" xr3:uid="{2DDB51B6-1CC9-4F1C-8FC4-133D6813C8DB}" uniqueName="93" name="港分_ROLE" queryTableFieldId="93" dataDxfId="188"/>
    <tableColumn id="94" xr3:uid="{53730C2E-59B8-4BDD-9DD2-58D88D639803}" uniqueName="94" name="定价基准" queryTableFieldId="94" dataDxfId="187"/>
    <tableColumn id="95" xr3:uid="{C50074D1-2A77-4129-95DA-E6F5C1646D8F}" uniqueName="95" name="收窄基点" queryTableFieldId="95" dataDxfId="186"/>
    <tableColumn id="96" xr3:uid="{ED22D00F-0374-4021-9E1C-9F55BB0F5DC8}" uniqueName="96" name="IPG" queryTableFieldId="96" dataDxfId="185"/>
    <tableColumn id="97" xr3:uid="{5F496631-96B8-4DC5-B5FB-DA8AE719C716}" uniqueName="97" name="FPG" queryTableFieldId="97" dataDxfId="184"/>
    <tableColumn id="98" xr3:uid="{5F4C16F3-DCCB-42C8-A380-52393FD186EF}" uniqueName="98" name="定价" queryTableFieldId="98" dataDxfId="183"/>
    <tableColumn id="99" xr3:uid="{EA26FB25-CA11-410B-B694-EFE2B2B204BF}" uniqueName="99" name="票息" queryTableFieldId="99" dataDxfId="182"/>
    <tableColumn id="100" xr3:uid="{DDE5A8BA-8BC7-4900-BD81-D30DC22E753F}" uniqueName="100" name="年期" queryTableFieldId="100" dataDxfId="181"/>
    <tableColumn id="101" xr3:uid="{964E4155-2518-4B85-89DF-A54AA3A83296}" uniqueName="101" name="期限备注" queryTableFieldId="101" dataDxfId="180"/>
    <tableColumn id="102" xr3:uid="{8A4F6F8B-4B3F-42B0-BFC9-50EE9505184A}" uniqueName="102" name="品种主题" queryTableFieldId="105" dataDxfId="179"/>
    <tableColumn id="124" xr3:uid="{B9E27D4F-FAA9-4BEA-8354-1A1DBF0E8943}" uniqueName="124" name="ESG" queryTableFieldId="145" dataDxfId="178"/>
    <tableColumn id="104" xr3:uid="{19CE9159-6664-4EC8-A1AC-08A9A2A1392E}" uniqueName="104" name="Check" queryTableFieldId="104" dataDxfId="177"/>
  </tableColumns>
  <tableStyleInfo name="Qry Loa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589" dataDxfId="588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587"/>
    <tableColumn id="2" xr3:uid="{00000000-0010-0000-1A00-000002000000}" name="信用主体" dataDxfId="586"/>
    <tableColumn id="3" xr3:uid="{00000000-0010-0000-1A00-000003000000}" name="ESG" dataDxfId="585"/>
    <tableColumn id="4" xr3:uid="{00000000-0010-0000-1A00-000004000000}" name="IPG" dataDxfId="584"/>
    <tableColumn id="6" xr3:uid="{00000000-0010-0000-1A00-000006000000}" name="FPG" dataDxfId="583"/>
    <tableColumn id="16" xr3:uid="{00000000-0010-0000-1A00-000010000000}" name="收窄基点" dataDxfId="582"/>
    <tableColumn id="11" xr3:uid="{00000000-0010-0000-1A00-00000B000000}" name="定价基准" dataDxfId="581"/>
    <tableColumn id="12" xr3:uid="{00000000-0010-0000-1A00-00000C000000}" name="定价" dataDxfId="580"/>
    <tableColumn id="13" xr3:uid="{00000000-0010-0000-1A00-00000D000000}" name="增发判定" dataDxfId="579"/>
    <tableColumn id="14" xr3:uid="{00000000-0010-0000-1A00-00000E000000}" name="货币" dataDxfId="578"/>
    <tableColumn id="19" xr3:uid="{00000000-0010-0000-1A00-000013000000}" name="发行规模(亿)" dataDxfId="577"/>
    <tableColumn id="5" xr3:uid="{00000000-0010-0000-1A00-000005000000}" name="年期" dataDxfId="576"/>
    <tableColumn id="7" xr3:uid="{00000000-0010-0000-1A00-000007000000}" name="票息" dataDxfId="575"/>
    <tableColumn id="8" xr3:uid="{00000000-0010-0000-1A00-000008000000}" name="品种主题" dataDxfId="574"/>
    <tableColumn id="9" xr3:uid="{00000000-0010-0000-1A00-000009000000}" name="上市" dataDxfId="573"/>
    <tableColumn id="10" xr3:uid="{00000000-0010-0000-1A00-00000A000000}" name="亿美元" dataDxfId="572"/>
    <tableColumn id="17" xr3:uid="{00000000-0010-0000-1A00-000011000000}" name="亿元" dataDxfId="571"/>
    <tableColumn id="18" xr3:uid="{00000000-0010-0000-1A00-000012000000}" name="亿港币" dataDxfId="570"/>
    <tableColumn id="15" xr3:uid="{00000000-0010-0000-1A00-00000F000000}" name="ISIN" dataDxfId="569"/>
    <tableColumn id="20" xr3:uid="{00000000-0010-0000-1A00-000014000000}" name="Check" dataDxfId="568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567" dataDxfId="566">
  <tableColumns count="14">
    <tableColumn id="1" xr3:uid="{00000000-0010-0000-1B00-000001000000}" name="信用主体" dataDxfId="565"/>
    <tableColumn id="2" xr3:uid="{00000000-0010-0000-1B00-000002000000}" name="Check" dataDxfId="564"/>
    <tableColumn id="3" xr3:uid="{00000000-0010-0000-1B00-000003000000}" name="ISIN" dataDxfId="563"/>
    <tableColumn id="4" xr3:uid="{00000000-0010-0000-1B00-000004000000}" name="定价日" dataDxfId="562"/>
    <tableColumn id="5" xr3:uid="{00000000-0010-0000-1B00-000005000000}" name="台账序号" dataDxfId="561"/>
    <tableColumn id="6" xr3:uid="{00000000-0010-0000-1B00-000006000000}" name="Project Name" dataDxfId="560"/>
    <tableColumn id="7" xr3:uid="{00000000-0010-0000-1B00-000007000000}" name="COVERAGE" dataDxfId="559"/>
    <tableColumn id="8" xr3:uid="{00000000-0010-0000-1B00-000008000000}" name="新规角色" dataDxfId="558"/>
    <tableColumn id="9" xr3:uid="{00000000-0010-0000-1B00-000009000000}" name="PROJECT_CODE" dataDxfId="557"/>
    <tableColumn id="10" xr3:uid="{00000000-0010-0000-1B00-00000A000000}" name="期数" dataDxfId="556"/>
    <tableColumn id="11" xr3:uid="{00000000-0010-0000-1B00-00000B000000}" name="BISL_ROLE" dataDxfId="555"/>
    <tableColumn id="12" xr3:uid="{00000000-0010-0000-1B00-00000C000000}" name="IS_LEAD" dataDxfId="554"/>
    <tableColumn id="13" xr3:uid="{00000000-0010-0000-1B00-00000D000000}" name="IS_B&amp;D" dataDxfId="553"/>
    <tableColumn id="14" xr3:uid="{00000000-0010-0000-1B00-00000E000000}" name="是否合名" dataDxfId="552"/>
  </tableColumns>
  <tableStyleInfo name="review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2" totalsRowShown="0" headerRowDxfId="551" dataDxfId="550">
  <autoFilter ref="BF3:BI12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549"/>
    <tableColumn id="2" xr3:uid="{00000000-0010-0000-1C00-000002000000}" name="SHORTNAMER" dataDxfId="548"/>
    <tableColumn id="3" xr3:uid="{00000000-0010-0000-1C00-000003000000}" name="中资属性" dataDxfId="547"/>
    <tableColumn id="4" xr3:uid="{00000000-0010-0000-1C00-000004000000}" name="板块" dataDxfId="546"/>
  </tableColumns>
  <tableStyleInfo name="review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545"/>
    <tableColumn id="4" xr3:uid="{0C203217-F646-4D3C-BCC1-CB5D146D778A}" name="信用主体" dataDxfId="544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E6D085-E21A-4E8F-A53A-C8E82C98F1D2}" name="wConso" displayName="wConso" ref="B6:CI18" tableType="queryTable" totalsRowShown="0">
  <autoFilter ref="B6:CI18" xr:uid="{11C6B267-9841-4AFA-84D0-7B04A87D3DA9}"/>
  <tableColumns count="86">
    <tableColumn id="1" xr3:uid="{49C84CFB-F7A2-42E9-A567-E78D80A6A9EB}" uniqueName="1" name="Index" queryTableFieldId="1"/>
    <tableColumn id="2" xr3:uid="{5391C6C1-694E-4B38-B0E7-1D036FC97B80}" uniqueName="2" name="删除及隐藏" queryTableFieldId="2" dataDxfId="70"/>
    <tableColumn id="3" xr3:uid="{30AEE88C-F7D8-4915-9C60-E7FB9D2B6B0A}" uniqueName="3" name="信用主体" queryTableFieldId="3" dataDxfId="69"/>
    <tableColumn id="4" xr3:uid="{E4016D6D-F47F-44C4-BE9A-6B665A4B3B74}" uniqueName="4" name="ISIN" queryTableFieldId="4" dataDxfId="68"/>
    <tableColumn id="5" xr3:uid="{C5F3905A-7503-4C09-8BC2-F8F75FB787E2}" uniqueName="5" name="定价日" queryTableFieldId="5" dataDxfId="67"/>
    <tableColumn id="6" xr3:uid="{56423A97-32F1-4BA5-8F25-D70A4FA34F74}" uniqueName="6" name="发行评级" queryTableFieldId="6" dataDxfId="66"/>
    <tableColumn id="7" xr3:uid="{16AAB038-B673-4A11-9D4F-C69C2FBCA8F8}" uniqueName="7" name="主体评级" queryTableFieldId="7" dataDxfId="65"/>
    <tableColumn id="8" xr3:uid="{1968EBC8-5A19-45E9-AF08-5218615579D8}" uniqueName="8" name="境内主体评级" queryTableFieldId="8" dataDxfId="64"/>
    <tableColumn id="9" xr3:uid="{A650CF03-5030-46F2-82E5-B6F54676C743}" uniqueName="9" name="货币" queryTableFieldId="9" dataDxfId="63"/>
    <tableColumn id="10" xr3:uid="{21E51DCC-7040-45E3-A2B9-978FB679C460}" uniqueName="10" name="发行规模(亿)" queryTableFieldId="10" dataDxfId="62"/>
    <tableColumn id="11" xr3:uid="{EB439C5C-BAB2-4AFF-A57D-0318D4B8B590}" uniqueName="11" name="年期" queryTableFieldId="11" dataDxfId="61"/>
    <tableColumn id="12" xr3:uid="{802F46BB-319C-44D3-9FAD-4431BE10BF59}" uniqueName="12" name="票息" queryTableFieldId="12" dataDxfId="60"/>
    <tableColumn id="13" xr3:uid="{5636182E-856B-46D0-9A63-7E79773603D1}" uniqueName="13" name="IPG" queryTableFieldId="13" dataDxfId="59"/>
    <tableColumn id="14" xr3:uid="{75243A32-D580-486D-9826-B7B5135977DE}" uniqueName="14" name="FPG" queryTableFieldId="14" dataDxfId="58"/>
    <tableColumn id="15" xr3:uid="{B864466F-CF3D-4CA7-BFB3-976E3124C961}" uniqueName="15" name="定价" queryTableFieldId="15" dataDxfId="57"/>
    <tableColumn id="16" xr3:uid="{19734BE8-7A34-422B-87BC-EA6F796132A4}" uniqueName="16" name="收窄基点" queryTableFieldId="16"/>
    <tableColumn id="17" xr3:uid="{7D768D0B-CF3E-47CB-A9C5-CAE9ED2FE7EE}" uniqueName="17" name="定价基准" queryTableFieldId="17" dataDxfId="56"/>
    <tableColumn id="18" xr3:uid="{BED07932-948A-44FA-AF6B-8B9CA8B3715E}" uniqueName="18" name="发行价" queryTableFieldId="18"/>
    <tableColumn id="19" xr3:uid="{0A94885E-7247-426C-A1BA-829EE9864EFA}" uniqueName="19" name="结构" queryTableFieldId="19" dataDxfId="55"/>
    <tableColumn id="20" xr3:uid="{4C650ED6-C9D0-4B5B-BD04-4920F327DE76}" uniqueName="20" name="上市" queryTableFieldId="20" dataDxfId="54"/>
    <tableColumn id="21" xr3:uid="{9BB36B2D-00DF-46AB-A552-027C6B9E6698}" uniqueName="21" name="港分_ROLE" queryTableFieldId="21" dataDxfId="53"/>
    <tableColumn id="22" xr3:uid="{FCE5B259-E893-4D15-A23E-D3B85BC84284}" uniqueName="22" name="澳分_ROLE" queryTableFieldId="22" dataDxfId="52"/>
    <tableColumn id="23" xr3:uid="{DAD00B99-E16D-46F9-BBFE-C39B5E51F8B4}" uniqueName="23" name="增发判定" queryTableFieldId="23" dataDxfId="51"/>
    <tableColumn id="24" xr3:uid="{7E76AE3B-E535-4875-926F-50D9B0BD9CA3}" uniqueName="24" name="付息频率" queryTableFieldId="24" dataDxfId="50"/>
    <tableColumn id="25" xr3:uid="{D210E24B-6303-4F5B-964F-F043F84EADC0}" uniqueName="25" name="起息日期" queryTableFieldId="25" dataDxfId="49"/>
    <tableColumn id="26" xr3:uid="{3503A059-19B5-4994-AA31-2EB00F65C20D}" uniqueName="26" name="首次付息日" queryTableFieldId="26" dataDxfId="48"/>
    <tableColumn id="27" xr3:uid="{7BA8DB13-6078-4A5F-920B-455C89B692E8}" uniqueName="27" name="兑付日" queryTableFieldId="27" dataDxfId="47"/>
    <tableColumn id="28" xr3:uid="{34F18E86-AE88-43DF-A931-58B145B8C31B}" uniqueName="28" name="亿美元" queryTableFieldId="28" dataDxfId="46"/>
    <tableColumn id="29" xr3:uid="{5F450BB9-0D6C-4278-B44C-CE58B9AF8AD2}" uniqueName="29" name="亿元" queryTableFieldId="29" dataDxfId="45"/>
    <tableColumn id="30" xr3:uid="{89AFE930-1F34-4FBB-B11C-D71C795B0FE6}" uniqueName="30" name="亿港币" queryTableFieldId="30" dataDxfId="44"/>
    <tableColumn id="31" xr3:uid="{11137EDA-E209-4DE4-89EF-BFBC5F28196A}" uniqueName="31" name="TICKER" queryTableFieldId="31"/>
    <tableColumn id="32" xr3:uid="{36301663-8F58-4550-84FE-8696F73CB6CA}" uniqueName="32" name="注册成立地" queryTableFieldId="32" dataDxfId="43"/>
    <tableColumn id="33" xr3:uid="{6725112C-5597-436E-8E0E-AA13B66F2F8E}" uniqueName="33" name="发行人主上市地" queryTableFieldId="33" dataDxfId="42"/>
    <tableColumn id="34" xr3:uid="{2C2BB375-0A4F-4358-B6A3-28775B7A1032}" uniqueName="34" name="通过分行" queryTableFieldId="34" dataDxfId="41"/>
    <tableColumn id="35" xr3:uid="{8D9845ED-E6A1-4236-9925-21C027C59C8B}" uniqueName="35" name="发行人" queryTableFieldId="35"/>
    <tableColumn id="36" xr3:uid="{3E5B4170-3625-4006-8A05-027F6A1A926E}" uniqueName="36" name="担保人" queryTableFieldId="36"/>
    <tableColumn id="37" xr3:uid="{9C047B2A-73C7-4782-9019-E64A80C8942B}" uniqueName="37" name="维好协议提供者" queryTableFieldId="37"/>
    <tableColumn id="38" xr3:uid="{C1A6DE7D-1435-4AF9-BDDB-856A17B3441A}" uniqueName="38" name="备证行" queryTableFieldId="38"/>
    <tableColumn id="39" xr3:uid="{308E3923-7218-4F54-942A-5F3AE05A87D3}" uniqueName="39" name="ESG" queryTableFieldId="39" dataDxfId="40"/>
    <tableColumn id="40" xr3:uid="{A8274D6B-F485-4D0B-AA5A-F76DB3BD48F9}" uniqueName="40" name="品种主题" queryTableFieldId="40" dataDxfId="39"/>
    <tableColumn id="41" xr3:uid="{450B9AE7-BD9C-4B5A-A014-DFCF4E39A058}" uniqueName="41" name="亮点" queryTableFieldId="41" dataDxfId="38"/>
    <tableColumn id="42" xr3:uid="{F468E57E-4B4B-49F0-9B1A-643846561B90}" uniqueName="42" name="期限备注" queryTableFieldId="42" dataDxfId="37"/>
    <tableColumn id="43" xr3:uid="{416DE0C2-D39B-4398-A881-FFB4F6F3DBED}" uniqueName="43" name="SPECIALs" queryTableFieldId="43" dataDxfId="36"/>
    <tableColumn id="44" xr3:uid="{A9A61A03-BCDF-47BC-8A88-6DD60BDA0D48}" uniqueName="44" name="OTHER_ISIN" queryTableFieldId="44" dataDxfId="35"/>
    <tableColumn id="45" xr3:uid="{3D555690-F5C6-4DEC-9A61-61FE5F3B393B}" uniqueName="45" name="Stats" queryTableFieldId="45" dataDxfId="34"/>
    <tableColumn id="46" xr3:uid="{1D4468C1-FE0C-47B6-A9B3-426D283F795B}" uniqueName="46" name="筹款用途" queryTableFieldId="46" dataDxfId="33"/>
    <tableColumn id="47" xr3:uid="{249E466B-DC8F-4E1C-87C7-318025F34396}" uniqueName="47" name="发行方式" queryTableFieldId="47" dataDxfId="32"/>
    <tableColumn id="48" xr3:uid="{0778CABD-2A27-4DD9-B44D-3F26DBDA112A}" uniqueName="48" name="DataSource" queryTableFieldId="48" dataDxfId="31"/>
    <tableColumn id="49" xr3:uid="{AE89ED19-4403-409F-BF1D-1BC079FC0AE7}" uniqueName="49" name="Updator" queryTableFieldId="49" dataDxfId="30"/>
    <tableColumn id="50" xr3:uid="{4515DAF1-F030-4E39-B35F-0CCBF6CBA330}" uniqueName="50" name="Timestamp" queryTableFieldId="50" dataDxfId="29"/>
    <tableColumn id="51" xr3:uid="{A1C8DF4C-5627-413A-9669-A64708A1B7E0}" uniqueName="51" name="Check" queryTableFieldId="51" dataDxfId="28"/>
    <tableColumn id="52" xr3:uid="{A7543B36-AE90-4A7B-84A9-58743741DDEA}" uniqueName="52" name="mCurated" queryTableFieldId="52" dataDxfId="27"/>
    <tableColumn id="80" xr3:uid="{0EDE92D2-BE78-43F6-A2BE-C53BD533C9B4}" uniqueName="80" name="Date_Onboarded" queryTableFieldId="123" dataDxfId="26"/>
    <tableColumn id="81" xr3:uid="{64DA84B6-5E56-41A0-A132-67C22B68F820}" uniqueName="81" name="EXE" queryTableFieldId="124" dataDxfId="25"/>
    <tableColumn id="82" xr3:uid="{6FAE94C7-D5D3-4ACF-B580-F861963930D3}" uniqueName="82" name="PROJECT_CN" queryTableFieldId="125"/>
    <tableColumn id="59" xr3:uid="{8A2D9D71-A110-4C20-BE9E-24107E2E6717}" uniqueName="59" name="PROJECT_CODE" queryTableFieldId="59"/>
    <tableColumn id="60" xr3:uid="{0BC8C201-9A40-4BF4-A9DF-D8E8ED230357}" uniqueName="60" name="期数" queryTableFieldId="60"/>
    <tableColumn id="53" xr3:uid="{C3E4DE16-F266-4E37-B887-201A1994C79F}" uniqueName="53" name="BISL_ROLE" queryTableFieldId="53" dataDxfId="24"/>
    <tableColumn id="57" xr3:uid="{26FC0C70-3C7E-438F-A4C8-A26B0B8A7776}" uniqueName="57" name="新规角色" queryTableFieldId="57" dataDxfId="23"/>
    <tableColumn id="55" xr3:uid="{EEA635BE-DB56-4DCA-83D6-2C9208EF96FF}" uniqueName="55" name="IS_B&amp;D" queryTableFieldId="55" dataDxfId="22"/>
    <tableColumn id="54" xr3:uid="{0A1F1C73-ADAF-49EE-B732-FBE4F8EA6EC3}" uniqueName="54" name="IS_LEAD" queryTableFieldId="54" dataDxfId="21"/>
    <tableColumn id="56" xr3:uid="{142DAE2B-1A5B-4ACB-9A5A-4D94A060AC5B}" uniqueName="56" name="是否合名" queryTableFieldId="56" dataDxfId="20"/>
    <tableColumn id="58" xr3:uid="{C859D04F-8FF3-4AE5-B54E-4C1238A4CF2D}" uniqueName="58" name="COVERAGE" queryTableFieldId="58" dataDxfId="19"/>
    <tableColumn id="83" xr3:uid="{A8B23CF4-AB6B-44D3-B837-6B559208B86B}" uniqueName="83" name="Settlement" queryTableFieldId="126" dataDxfId="18"/>
    <tableColumn id="84" xr3:uid="{3308990B-6F24-4F97-B43F-5DF02DE253A0}" uniqueName="84" name="BOCOM下单量" queryTableFieldId="127" dataDxfId="17"/>
    <tableColumn id="85" xr3:uid="{6DE0CC37-30BF-4531-A9F1-E08BB46B2251}" uniqueName="85" name="BOCOM分配量" queryTableFieldId="128" dataDxfId="16"/>
    <tableColumn id="86" xr3:uid="{1FE47D55-24D0-4645-9BC3-C1BE2BB95698}" uniqueName="86" name="交行及独家订单" queryTableFieldId="129" dataDxfId="15"/>
    <tableColumn id="87" xr3:uid="{F0C9CB5A-AF36-42C5-AB40-B25447A8586D}" uniqueName="87" name="项目亮点" queryTableFieldId="130" dataDxfId="14"/>
    <tableColumn id="88" xr3:uid="{AD457361-C0A0-488D-AFC1-EA99E86DF6B0}" uniqueName="88" name="定价会时间" queryTableFieldId="131" dataDxfId="13"/>
    <tableColumn id="89" xr3:uid="{C660E4ED-6344-42AE-A451-BC48BD37290C}" uniqueName="89" name="定价会时段" queryTableFieldId="132"/>
    <tableColumn id="61" xr3:uid="{DF3C96F0-686A-48A2-A3F7-9E54CBC5E9BC}" uniqueName="61" name="台账序号" queryTableFieldId="61" dataDxfId="12"/>
    <tableColumn id="65" xr3:uid="{5215B6A6-D323-45D0-A2D3-8F20033772D9}" uniqueName="65" name="FolderPath" queryTableFieldId="65"/>
    <tableColumn id="79" xr3:uid="{0345E64D-DCE4-48D5-9233-2022919D13FA}" uniqueName="79" name="IS_KYC_DONE" queryTableFieldId="107" dataDxfId="11"/>
    <tableColumn id="66" xr3:uid="{66FFF509-430F-4747-B1AA-3A099312B9FE}" uniqueName="66" name="PRJ对账号" queryTableFieldId="66" dataDxfId="10"/>
    <tableColumn id="67" xr3:uid="{E64E3C6B-E113-4763-B283-E7849DBD809B}" uniqueName="67" name="mBISL" queryTableFieldId="67" dataDxfId="9"/>
    <tableColumn id="68" xr3:uid="{4632AE26-2302-43CF-83AA-F156C643C478}" uniqueName="68" name="mChart" queryTableFieldId="68"/>
    <tableColumn id="69" xr3:uid="{5482AD1E-3E8F-4FCA-AEAF-1D6E703C1875}" uniqueName="69" name="信用主体简称" queryTableFieldId="109" dataDxfId="8"/>
    <tableColumn id="70" xr3:uid="{EE9EE208-9F60-4444-B350-6176976954DF}" uniqueName="70" name="板块" queryTableFieldId="70" dataDxfId="7"/>
    <tableColumn id="71" xr3:uid="{E7031E0E-77AC-458C-B331-6C7CCE830EBB}" uniqueName="71" name="中资属性" queryTableFieldId="71" dataDxfId="6"/>
    <tableColumn id="72" xr3:uid="{4C278638-5A20-41A0-9C40-A873B957F011}" uniqueName="72" name="地区" queryTableFieldId="110" dataDxfId="5"/>
    <tableColumn id="73" xr3:uid="{798741A1-F625-432A-BC2E-9E1B244BBDA1}" uniqueName="73" name="城市" queryTableFieldId="111" dataDxfId="4"/>
    <tableColumn id="74" xr3:uid="{C4C97C64-1B22-48CA-965F-674CD3E6D746}" uniqueName="74" name="区县" queryTableFieldId="112" dataDxfId="3"/>
    <tableColumn id="75" xr3:uid="{364936CA-530A-4C38-B9F1-80898CE6B53A}" uniqueName="75" name="首次违约日" queryTableFieldId="113" dataDxfId="2"/>
    <tableColumn id="76" xr3:uid="{B73FFE7B-E0D0-4870-A664-EC53720DA4C8}" uniqueName="76" name="DEBUT_DATE" queryTableFieldId="114" dataDxfId="1"/>
    <tableColumn id="62" xr3:uid="{9D289614-9363-40B0-96F7-315D026713D4}" uniqueName="62" name="DMI行业" queryTableFieldId="149"/>
    <tableColumn id="78" xr3:uid="{E9C5B3D7-1F65-42A2-B490-4540C81D2036}" uniqueName="78" name="mCredit" queryTableFieldId="78" dataDxfId="0"/>
  </tableColumns>
  <tableStyleInfo name="Table Style 1 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Z14" tableType="queryTable" totalsRowShown="0">
  <autoFilter ref="A4:AZ14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2">
    <tableColumn id="1" xr3:uid="{791E5B07-BD81-4C7D-914D-F61E0BD81704}" uniqueName="1" name="Index" queryTableFieldId="1" dataDxfId="130"/>
    <tableColumn id="50" xr3:uid="{56AFA799-4BDB-4EF4-B64C-858A5DD46BD4}" uniqueName="50" name="删除及隐藏" queryTableFieldId="70" dataDxfId="129"/>
    <tableColumn id="2" xr3:uid="{E4F1AA1A-4561-4DCC-BD36-6E0C0BF9681D}" uniqueName="2" name="信用主体" queryTableFieldId="2" dataDxfId="128"/>
    <tableColumn id="3" xr3:uid="{BCA724F0-8962-4CF8-9F27-DFAB5A7EE57F}" uniqueName="3" name="ISIN" queryTableFieldId="3" dataDxfId="127"/>
    <tableColumn id="4" xr3:uid="{7B86C8AE-E7F7-4B8E-A455-4336C7F9D6D4}" uniqueName="4" name="定价日" queryTableFieldId="4" dataDxfId="126"/>
    <tableColumn id="5" xr3:uid="{8479A384-B664-40C5-817C-35D95E248CA9}" uniqueName="5" name="发行评级" queryTableFieldId="5" dataDxfId="125"/>
    <tableColumn id="6" xr3:uid="{560F1DF2-A9DC-4732-81D4-617CC1DDABEC}" uniqueName="6" name="主体评级" queryTableFieldId="6" dataDxfId="124"/>
    <tableColumn id="7" xr3:uid="{78286578-0202-44D4-898F-7BC8053C30D1}" uniqueName="7" name="境内主体评级" queryTableFieldId="7" dataDxfId="123"/>
    <tableColumn id="8" xr3:uid="{11202A1D-7F53-4AFC-889F-FD580FC6F359}" uniqueName="8" name="货币" queryTableFieldId="8" dataDxfId="122"/>
    <tableColumn id="9" xr3:uid="{00F822E0-673A-426E-97E0-C7C03264A9B7}" uniqueName="9" name="发行规模(亿)" queryTableFieldId="9" dataDxfId="121"/>
    <tableColumn id="10" xr3:uid="{A4600EBC-E807-4C67-B01C-5CD1E3909F2C}" uniqueName="10" name="年期" queryTableFieldId="10" dataDxfId="120"/>
    <tableColumn id="11" xr3:uid="{3882855A-6F78-4733-843C-A5CCC8C71BBE}" uniqueName="11" name="票息" queryTableFieldId="11" dataDxfId="119"/>
    <tableColumn id="12" xr3:uid="{AA7813E9-B7C0-4485-97E4-3E4D3C485DA4}" uniqueName="12" name="IPG" queryTableFieldId="12" dataDxfId="118"/>
    <tableColumn id="13" xr3:uid="{6BC3F1E2-AC4E-42E4-8B1C-4FFDBF40A64D}" uniqueName="13" name="FPG" queryTableFieldId="13" dataDxfId="117"/>
    <tableColumn id="14" xr3:uid="{A56676CE-514E-4236-AF6A-12F9A2068657}" uniqueName="14" name="定价" queryTableFieldId="14" dataDxfId="116"/>
    <tableColumn id="15" xr3:uid="{8DC4F8E2-94E1-4CA7-8249-B35B934BB7A7}" uniqueName="15" name="收窄基点" queryTableFieldId="15" dataDxfId="115"/>
    <tableColumn id="16" xr3:uid="{2A30FA30-EA68-445A-B3B2-07A216AE817C}" uniqueName="16" name="定价基准" queryTableFieldId="16" dataDxfId="114"/>
    <tableColumn id="18" xr3:uid="{68B928C8-F110-4275-943D-B563184CF448}" uniqueName="18" name="发行价" queryTableFieldId="39" dataDxfId="113"/>
    <tableColumn id="17" xr3:uid="{0ACF0E03-B0D4-4057-BF46-E322F4936C17}" uniqueName="17" name="结构" queryTableFieldId="17" dataDxfId="112"/>
    <tableColumn id="19" xr3:uid="{979EE12C-AD42-4833-8A99-EC817C6F2D45}" uniqueName="19" name="上市" queryTableFieldId="19" dataDxfId="111"/>
    <tableColumn id="20" xr3:uid="{E6204F0C-29FB-48D4-9E0E-4731335D7A28}" uniqueName="20" name="港分_ROLE" queryTableFieldId="20" dataDxfId="110"/>
    <tableColumn id="21" xr3:uid="{DBF246C1-9F14-46AE-BBC3-92DB6B28A9F5}" uniqueName="21" name="澳分_ROLE" queryTableFieldId="21" dataDxfId="109"/>
    <tableColumn id="22" xr3:uid="{A427B15A-1E3B-4176-8AAF-3C66C694FA16}" uniqueName="22" name="增发判定" queryTableFieldId="22" dataDxfId="108"/>
    <tableColumn id="26" xr3:uid="{D81B8EC4-1E43-4536-91C9-D9443CB5B5E6}" uniqueName="26" name="付息频率" queryTableFieldId="40" dataDxfId="107"/>
    <tableColumn id="27" xr3:uid="{1B4F1862-A915-4343-BD42-60FE8D9C5914}" uniqueName="27" name="起息日期" queryTableFieldId="41" dataDxfId="106"/>
    <tableColumn id="39" xr3:uid="{63B90420-8840-4507-9FE7-AEEA98D3C1EA}" uniqueName="39" name="首次付息日" queryTableFieldId="42" dataDxfId="105"/>
    <tableColumn id="40" xr3:uid="{BD1F8AC9-D7AC-4D02-8E73-E640E429EA37}" uniqueName="40" name="兑付日" queryTableFieldId="43" dataDxfId="104"/>
    <tableColumn id="23" xr3:uid="{32278D46-AAFB-46AC-B876-F0B2F5B3D38C}" uniqueName="23" name="亿美元" queryTableFieldId="23" dataDxfId="103"/>
    <tableColumn id="24" xr3:uid="{1F885E33-0B82-4272-882B-8A2CC2097721}" uniqueName="24" name="亿元" queryTableFieldId="24" dataDxfId="102"/>
    <tableColumn id="25" xr3:uid="{636B29DB-50B6-49B5-9EE5-519500C5F4C5}" uniqueName="25" name="亿港币" queryTableFieldId="25" dataDxfId="101"/>
    <tableColumn id="41" xr3:uid="{88894D22-D148-449D-8AFE-C1E41A6237D0}" uniqueName="41" name="TICKER" queryTableFieldId="44" dataDxfId="100"/>
    <tableColumn id="45" xr3:uid="{D35F78CD-33DF-4BE5-B09E-5792350E6F5E}" uniqueName="45" name="注册成立地" queryTableFieldId="57" dataDxfId="99"/>
    <tableColumn id="46" xr3:uid="{8292EA6A-E652-4AD6-980B-A367229A037B}" uniqueName="46" name="发行人主上市地" queryTableFieldId="59" dataDxfId="98"/>
    <tableColumn id="32" xr3:uid="{DF9610CA-17E8-4B49-910E-BA6EB58E92E6}" uniqueName="32" name="通过分行" queryTableFieldId="32" dataDxfId="97"/>
    <tableColumn id="42" xr3:uid="{A2CC7DB9-0BC7-4182-BD08-B5982994B9A6}" uniqueName="42" name="发行人" queryTableFieldId="45" dataDxfId="96"/>
    <tableColumn id="43" xr3:uid="{D8401749-5222-4202-B6A6-652D8A1D8E68}" uniqueName="43" name="担保人" queryTableFieldId="46" dataDxfId="95"/>
    <tableColumn id="44" xr3:uid="{38FFC5B5-8532-438A-9D5B-F9205283973B}" uniqueName="44" name="维好协议提供者" queryTableFieldId="47" dataDxfId="94"/>
    <tableColumn id="28" xr3:uid="{636A1BFB-2DD2-4E7A-8C04-E4AD77737D6B}" uniqueName="28" name="备证行" queryTableFieldId="28" dataDxfId="93"/>
    <tableColumn id="29" xr3:uid="{22C55275-6BA9-4912-9032-F35F16DFEF5E}" uniqueName="29" name="ESG" queryTableFieldId="29" dataDxfId="92"/>
    <tableColumn id="30" xr3:uid="{2EB27555-D39E-4DC6-9B68-30D70AC527E0}" uniqueName="30" name="品种主题" queryTableFieldId="121" dataDxfId="91"/>
    <tableColumn id="31" xr3:uid="{C11B3DB5-9721-4EF1-B0A1-D0EB6C66C057}" uniqueName="31" name="亮点" queryTableFieldId="31"/>
    <tableColumn id="33" xr3:uid="{F3F9AA75-29DA-43EE-BB6E-5BA6DF5BB1E3}" uniqueName="33" name="期限备注" queryTableFieldId="33" dataDxfId="90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 dataDxfId="89"/>
    <tableColumn id="48" xr3:uid="{E1E50F04-1EEC-4969-9690-F77BC431406E}" uniqueName="48" name="筹款用途" queryTableFieldId="65" dataDxfId="88"/>
    <tableColumn id="49" xr3:uid="{F1995DCC-88E7-4FCF-A524-C4324C258A84}" uniqueName="49" name="发行方式" queryTableFieldId="66" dataDxfId="87"/>
    <tableColumn id="51" xr3:uid="{220C35B1-5CBF-43F8-8977-7181DB08812C}" uniqueName="51" name="DataSource" queryTableFieldId="71" dataDxfId="86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85"/>
    <tableColumn id="52" xr3:uid="{6F545A79-7795-4ADD-BD59-AFD3E9558D2C}" uniqueName="52" name="mCurated" queryTableFieldId="1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3" totalsRowShown="0" dataDxfId="543">
  <autoFilter ref="A10:O23" xr:uid="{EC380FD7-61D3-49F7-9E43-37885EA54264}"/>
  <sortState ref="A11:O23">
    <sortCondition descending="1" ref="I10:I23"/>
  </sortState>
  <tableColumns count="15">
    <tableColumn id="1" xr3:uid="{00000000-0010-0000-2800-000001000000}" name="Date" dataDxfId="542"/>
    <tableColumn id="2" xr3:uid="{00000000-0010-0000-2800-000002000000}" name="Region" dataDxfId="541"/>
    <tableColumn id="3" xr3:uid="{00000000-0010-0000-2800-000003000000}" name="Event" dataDxfId="540"/>
    <tableColumn id="4" xr3:uid="{00000000-0010-0000-2800-000004000000}" name="Period" dataDxfId="539"/>
    <tableColumn id="5" xr3:uid="{00000000-0010-0000-2800-000005000000}" name="Survey" dataDxfId="538"/>
    <tableColumn id="6" xr3:uid="{00000000-0010-0000-2800-000006000000}" name="Actual" dataDxfId="537"/>
    <tableColumn id="7" xr3:uid="{00000000-0010-0000-2800-000007000000}" name="Prior" dataDxfId="536"/>
    <tableColumn id="8" xr3:uid="{00000000-0010-0000-2800-000008000000}" name="Revised" dataDxfId="535"/>
    <tableColumn id="9" xr3:uid="{00000000-0010-0000-2800-000009000000}" name="Relevance" dataDxfId="534"/>
    <tableColumn id="10" xr3:uid="{00000000-0010-0000-2800-00000A000000}" name="Ticker" dataDxfId="533"/>
    <tableColumn id="11" xr3:uid="{00000000-0010-0000-2800-00000B000000}" name="Time" dataDxfId="532"/>
    <tableColumn id="12" xr3:uid="{00000000-0010-0000-2800-00000C000000}" name="Table" dataDxfId="531"/>
    <tableColumn id="14" xr3:uid="{00000000-0010-0000-2800-00000E000000}" name="区间" dataDxfId="530"/>
    <tableColumn id="15" xr3:uid="{00000000-0010-0000-2800-00000F000000}" name="范围" dataDxfId="529"/>
    <tableColumn id="16" xr3:uid="{00000000-0010-0000-2800-000010000000}" name="未来一周主要经济数据" dataDxfId="528"/>
  </tableColumns>
  <tableStyleInfo name="Qry Load 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527" dataDxfId="526">
  <autoFilter ref="B2:F8" xr:uid="{39A1B0C9-8B1C-4C7A-AB01-A5DC6D5CE22B}"/>
  <sortState ref="B3:F8">
    <sortCondition ref="D2:D8"/>
  </sortState>
  <tableColumns count="5">
    <tableColumn id="6" xr3:uid="{00000000-0010-0000-2900-000006000000}" name="Index" dataDxfId="525"/>
    <tableColumn id="1" xr3:uid="{00000000-0010-0000-2900-000001000000}" name="未来一周主要经济数据" dataDxfId="524"/>
    <tableColumn id="2" xr3:uid="{00000000-0010-0000-2900-000002000000}" name="预计发布(HKT) " dataDxfId="523"/>
    <tableColumn id="3" xr3:uid="{00000000-0010-0000-2900-000003000000}" name="前值" dataDxfId="522"/>
    <tableColumn id="4" xr3:uid="{00000000-0010-0000-2900-000004000000}" name="预期" dataDxfId="521"/>
  </tableColumns>
  <tableStyleInfo name="Qry Load 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5714DA5-2F85-43CD-9AF7-23E1A4BE7CED}" name="wChart" displayName="wChart" ref="A2:L4" tableType="queryTable" totalsRowShown="0">
  <autoFilter ref="A2:L4" xr:uid="{0929954B-29C3-4504-9EDC-67D1EAAC0BE8}"/>
  <tableColumns count="12">
    <tableColumn id="1" xr3:uid="{00A1FE7B-CB1B-450B-96D4-A7C2A44816C1}" uniqueName="1" name="Index" queryTableFieldId="1"/>
    <tableColumn id="2" xr3:uid="{6D843772-2F42-4B9B-8361-6FE369712A82}" uniqueName="2" name="删除及隐藏" queryTableFieldId="2"/>
    <tableColumn id="3" xr3:uid="{DC7C4A45-AE89-46C2-B5CC-263D46714208}" uniqueName="3" name="定价日" queryTableFieldId="3" dataDxfId="77"/>
    <tableColumn id="4" xr3:uid="{56972BF7-D0A2-45BE-85AF-42CD4BC0C07C}" uniqueName="4" name="ISIN" queryTableFieldId="4" dataDxfId="520"/>
    <tableColumn id="5" xr3:uid="{3EE9FE56-784A-465A-8A3D-D0760F10D723}" uniqueName="5" name="信用主体" queryTableFieldId="5" dataDxfId="519"/>
    <tableColumn id="6" xr3:uid="{71FEB4EC-9A23-48FE-B427-FA17FB83724A}" uniqueName="6" name="发行评级" queryTableFieldId="6" dataDxfId="518"/>
    <tableColumn id="7" xr3:uid="{388B22D6-7275-4674-9DBA-38C93EED0C40}" uniqueName="7" name="货币" queryTableFieldId="7" dataDxfId="517"/>
    <tableColumn id="8" xr3:uid="{48A8B314-ED6E-4C50-B982-A04C001710A3}" uniqueName="8" name="发行规模(亿)" queryTableFieldId="8" dataDxfId="516"/>
    <tableColumn id="9" xr3:uid="{CF1C7724-269B-4B37-A402-12011F9DAA4D}" uniqueName="9" name="亿美元" queryTableFieldId="9" dataDxfId="515"/>
    <tableColumn id="10" xr3:uid="{54EB0500-BD9E-471F-9AB8-E19DC72A9E2D}" uniqueName="10" name="年期" queryTableFieldId="10" dataDxfId="514"/>
    <tableColumn id="11" xr3:uid="{F5D65BA1-355C-4FF2-AD0B-4320F6653F25}" uniqueName="11" name="Check" queryTableFieldId="11" dataDxfId="513"/>
    <tableColumn id="12" xr3:uid="{BB656818-0EBD-4E1B-A4BF-8E4CC6793ED8}" uniqueName="12" name="mChart" queryTableFieldId="1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K6" tableType="queryTable" totalsRowShown="0">
  <autoFilter ref="A4:K6" xr:uid="{00000000-0009-0000-0100-00001E000000}">
    <filterColumn colId="0" hiddenButton="1"/>
    <filterColumn colId="2" hiddenButton="1"/>
    <filterColumn colId="3" hiddenButton="1"/>
  </autoFilter>
  <tableColumns count="11">
    <tableColumn id="7" xr3:uid="{00000000-0010-0000-2100-000007000000}" uniqueName="7" name="信用主体" queryTableFieldId="7"/>
    <tableColumn id="4" xr3:uid="{BB7286E9-B0CF-4486-916E-14173AB59C33}" uniqueName="4" name="信用主体简称" queryTableFieldId="147"/>
    <tableColumn id="3" xr3:uid="{B0A40063-19C6-436A-B9D7-8F869CBB7078}" uniqueName="3" name="板块" queryTableFieldId="22"/>
    <tableColumn id="2" xr3:uid="{2E2AEFE9-AB5E-4BE5-BAE0-A95DCF912FA9}" uniqueName="2" name="中资属性" queryTableFieldId="12"/>
    <tableColumn id="5" xr3:uid="{94336C94-549F-40DB-9C8A-CA16D021854B}" uniqueName="5" name="地区" queryTableFieldId="148"/>
    <tableColumn id="6" xr3:uid="{A4098B58-9AD2-48B8-A87F-3AE0FF659A4E}" uniqueName="6" name="城市" queryTableFieldId="149"/>
    <tableColumn id="8" xr3:uid="{007F0818-DC3B-4CC1-B291-45D265094FB4}" uniqueName="8" name="区县" queryTableFieldId="150"/>
    <tableColumn id="9" xr3:uid="{D3C4A684-0B58-44B2-BD69-B89AB5616A19}" uniqueName="9" name="首次违约日" queryTableFieldId="151" dataDxfId="82"/>
    <tableColumn id="10" xr3:uid="{963FFF82-C92C-4F59-A494-4C2943C86152}" uniqueName="10" name="DEBUT_DATE" queryTableFieldId="152" dataDxfId="81"/>
    <tableColumn id="11" xr3:uid="{D048DA4B-3C38-4B3A-943B-6325A98B915E}" uniqueName="11" name="DMI行业" queryTableFieldId="153"/>
    <tableColumn id="1" xr3:uid="{84BDBED0-D7D1-404F-9B76-BF5093CAA233}" uniqueName="1" name="mCredit" queryTableFieldId="128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323D2C52-55F5-448C-89A1-53E3222370A9}"/>
  <tableColumns count="10">
    <tableColumn id="1" xr3:uid="{591A65D1-33C5-4B09-93B1-9B61D0B7E533}" uniqueName="1" name="ISIN" queryTableFieldId="1"/>
    <tableColumn id="2" xr3:uid="{36C220A0-AC3E-48B4-91C4-67D47AE4ADB3}" uniqueName="2" name="信用主体(备证行)" queryTableFieldId="2"/>
    <tableColumn id="3" xr3:uid="{B4A1215C-8492-46AA-BAA4-C4DEB72F1E41}" uniqueName="3" name="定价日" queryTableFieldId="3"/>
    <tableColumn id="4" xr3:uid="{23315F29-1535-4ED7-BD7F-F9DF7A25A027}" uniqueName="4" name="发行评级" queryTableFieldId="4"/>
    <tableColumn id="5" xr3:uid="{2E8D674B-FDBF-4BF3-B7AA-825B8F81C14C}" uniqueName="5" name="货币" queryTableFieldId="5"/>
    <tableColumn id="6" xr3:uid="{11E57370-F69B-49EF-9B3C-AC42D77B07E1}" uniqueName="6" name="发行规模(亿)" queryTableFieldId="6" dataDxfId="512"/>
    <tableColumn id="7" xr3:uid="{E24DA3A7-EFAA-4B31-BAB1-DC2476434C65}" uniqueName="7" name="年期" queryTableFieldId="7"/>
    <tableColumn id="8" xr3:uid="{AA80ACBF-AA63-4A41-A7C4-5335882BA0F1}" uniqueName="8" name="票息" queryTableFieldId="8"/>
    <tableColumn id="9" xr3:uid="{60D5BDA3-0DDE-452F-918B-EAB1B96F5BFE}" uniqueName="9" name="IPG" queryTableFieldId="9"/>
    <tableColumn id="10" xr3:uid="{6F615765-FC7E-4AB2-B959-C14ABC0CDFB0}" uniqueName="10" name="收窄基点" queryTableFieldId="10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511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510"/>
    <tableColumn id="10" xr3:uid="{C2C4EF50-FD6F-4B1E-A545-2ECC96F9A905}" name="添加增发方式" dataDxfId="509"/>
    <tableColumn id="11" xr3:uid="{79B76218-E0E4-4A89-BE76-301D01940875}" name="增发判定" dataDxfId="508"/>
    <tableColumn id="12" xr3:uid="{EDA4F6FC-E9AF-428D-8455-7CAE58E2C730}" name="增发ISIN" dataDxfId="507"/>
    <tableColumn id="2" xr3:uid="{27B5EFE8-4072-49BD-B6A9-5FF970467B1C}" name="定价日" dataDxfId="506"/>
    <tableColumn id="3" xr3:uid="{AD0350DC-2C22-4D91-9AA2-3F091B8A9FED}" name="发行规模(亿)" dataDxfId="505"/>
    <tableColumn id="4" xr3:uid="{C498A0CC-CED1-41FB-877E-641A32287CEF}" name="IPT" dataDxfId="504"/>
    <tableColumn id="5" xr3:uid="{EDF855A7-BA7A-40AF-8D1C-50F6E2692F36}" name="FPG" dataDxfId="503"/>
    <tableColumn id="6" xr3:uid="{19553095-3CC0-4C17-9C9F-D62F43223F22}" name="BOCOM_JGC" dataDxfId="502"/>
    <tableColumn id="8" xr3:uid="{2ABEAA2D-F8C8-4F6E-BB0B-5ED3A2C55235}" name="BOCOM_JBR" dataDxfId="501"/>
  </tableColumns>
  <tableStyleInfo name="review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88" tableType="queryTable" totalsRowShown="0">
  <autoFilter ref="B26:C88" xr:uid="{13E57BC5-5381-4B21-915A-56BB1155E16E}"/>
  <tableColumns count="2">
    <tableColumn id="23" xr3:uid="{2B4F470D-5393-407C-81AA-C0830E8F96A1}" uniqueName="23" name="Column1" queryTableFieldId="1" dataDxfId="500"/>
    <tableColumn id="24" xr3:uid="{EAD53C83-0843-49F8-80DF-27B7042770D9}" uniqueName="24" name="Column2" queryTableFieldId="2" dataDxfId="499"/>
  </tableColumns>
  <tableStyleInfo name="Qry Load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498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497"/>
    <tableColumn id="2" xr3:uid="{D1462E68-AD85-4F5B-9217-1461281B8D2F}" name="输入主体关键字" dataDxfId="496"/>
    <tableColumn id="3" xr3:uid="{7082A380-A3A2-4FAF-A950-6756985F63E9}" name="AddToDLD" dataDxfId="495"/>
  </tableColumns>
  <tableStyleInfo name="Qry Load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5EAB2CA1-646B-48B9-9A2D-DD0EB31DE521}" name="wNews_Input" displayName="wNews_Input" ref="A4:C10" totalsRowShown="0" dataDxfId="494">
  <tableColumns count="3">
    <tableColumn id="1" xr3:uid="{D2575DE4-269F-4959-A577-39811CF1BAA4}" name="Index" dataDxfId="493"/>
    <tableColumn id="3" xr3:uid="{7AC0BB8C-CC34-429C-8AF1-376F90827DC0}" name="新闻" dataDxfId="492"/>
    <tableColumn id="4" xr3:uid="{08C05BDA-0D65-4471-B3AB-B4ACFF300E8B}" name="来源" dataDxfId="491"/>
  </tableColumns>
  <tableStyleInfo name="Qry Load 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F19:F25" totalsRowShown="0">
  <autoFilter ref="F19:F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F14:F17" totalsRowShown="0">
  <autoFilter ref="F14:F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F33:F37" totalsRowShown="0">
  <autoFilter ref="F33:F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I14:J21" tableType="queryTable" totalsRowShown="0">
  <autoFilter ref="I14:J21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71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I31:J37" tableType="queryTable" totalsRowShown="0">
  <autoFilter ref="I31:J37" xr:uid="{FF208760-EA58-4FEC-8BFC-A2D10CC56FD3}">
    <filterColumn colId="0" hiddenButton="1"/>
  </autoFilter>
  <tableColumns count="2">
    <tableColumn id="1" xr3:uid="{E8A08C19-4FDD-411B-A6E1-3AEE07FBDDD9}" uniqueName="1" name="BISL_ROLE" queryTableFieldId="1" dataDxfId="72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I6:J11" tableType="queryTable" totalsRowShown="0">
  <autoFilter ref="I6:J11" xr:uid="{999A9F35-E4E0-4D85-AD86-43F048CB5B5A}">
    <filterColumn colId="0" hiddenButton="1"/>
  </autoFilter>
  <tableColumns count="2">
    <tableColumn id="1" xr3:uid="{2AA3E575-2017-4E83-9753-495BF623DBCA}" uniqueName="1" name="Updator" queryTableFieldId="1" dataDxfId="73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I61:J67" tableType="queryTable" totalsRowShown="0">
  <autoFilter ref="I61:J67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74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D95:D104" tableType="queryTable" totalsRowShown="0">
  <autoFilter ref="D95:D104" xr:uid="{C59B98D9-DE6D-4FBE-945C-51BABF760B41}"/>
  <tableColumns count="1">
    <tableColumn id="1" xr3:uid="{A6F299EA-476D-4DD5-BED2-A486CAE02C36}" uniqueName="1" name="dd_结构" queryTableFieldId="2" dataDxfId="490"/>
  </tableColumns>
  <tableStyleInfo name="Named_dd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23:J29" tableType="queryTable" totalsRowShown="0">
  <autoFilter ref="I23:J29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75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I39:J50" tableType="queryTable" totalsRowShown="0">
  <autoFilter ref="I39:J50" xr:uid="{AF8038FA-F5FD-4B93-A069-021973B2B269}"/>
  <tableColumns count="2">
    <tableColumn id="1" xr3:uid="{DD06F972-EA09-468A-B735-0CEFD18E493E}" uniqueName="1" name="货币" queryTableFieldId="1" dataDxfId="76"/>
    <tableColumn id="2" xr3:uid="{6DB657FB-E1F1-4EA3-83FA-7AC2169895B1}" uniqueName="2" name="SortValue" queryTableFieldId="2" dataDxfId="489"/>
  </tableColumns>
  <tableStyleInfo name="Named_dd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I52:J59" tableType="queryTable" totalsRowShown="0">
  <autoFilter ref="I52:J59" xr:uid="{6603B9A1-E294-40E5-AD4D-4E9927CD4CAF}"/>
  <tableColumns count="2">
    <tableColumn id="1" xr3:uid="{369F5811-C952-4951-A1BB-EF52B7DFEE11}" uniqueName="1" name="上市分类" queryTableFieldId="1" dataDxfId="79"/>
    <tableColumn id="2" xr3:uid="{C1D12E41-5DFD-4B2B-90E5-92838B701E0D}" uniqueName="2" name="SortValue" queryTableFieldId="2" dataDxfId="488"/>
  </tableColumns>
  <tableStyleInfo name="Named_dd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F6:G12" totalsRowShown="0">
  <autoFilter ref="F6:G12" xr:uid="{F131EFEA-EDB6-4A52-9DED-ECD123312D50}"/>
  <tableColumns count="2">
    <tableColumn id="2" xr3:uid="{384BB053-CFF0-4AED-A763-F8A27CA9F7F0}" name="Find" dataDxfId="487"/>
    <tableColumn id="1" xr3:uid="{FFDAFF75-50D1-41BB-9E49-2BB8B082E04A}" name="Replace"/>
  </tableColumns>
  <tableStyleInfo name="Qry Source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D41:D93" tableType="queryTable" totalsRowShown="0">
  <autoFilter ref="D41:D93" xr:uid="{3D15E97E-A96B-46C8-8F14-CDD4B9B5EBE7}"/>
  <tableColumns count="1">
    <tableColumn id="1" xr3:uid="{31D67C13-2CDE-467D-9B70-F948A089647C}" uniqueName="1" name="备证行" queryTableFieldId="1" dataDxfId="78"/>
  </tableColumns>
  <tableStyleInfo name="Named_dd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D6:D39" tableType="queryTable" totalsRowShown="0">
  <autoFilter ref="D6:D39" xr:uid="{674F3B76-C03B-4E27-8476-5372BCDF0398}"/>
  <tableColumns count="1">
    <tableColumn id="1" xr3:uid="{C598F51B-4DEA-4A6F-AB97-273D8E4586FB}" uniqueName="1" name="地区" queryTableFieldId="1" dataDxfId="80"/>
  </tableColumns>
  <tableStyleInfo name="Named_dd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F27:F31" totalsRowShown="0">
  <autoFilter ref="F27:F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M6:N72" tableType="queryTable" totalsRowShown="0">
  <autoFilter ref="M6:N72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R6:S10" totalsRowShown="0">
  <autoFilter ref="R6:S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P6:P57" totalsRowShown="0">
  <autoFilter ref="P6:P57" xr:uid="{67EDE75D-B77F-479E-AE38-E240ED6FF7A1}"/>
  <tableColumns count="1">
    <tableColumn id="1" xr3:uid="{570EC7CC-3877-428E-B59C-EA2EA4EFCDAE}" name="ColNow_mCurated"/>
  </tableColumns>
  <tableStyleInfo name="Qry Source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D106:D113" tableType="queryTable" totalsRowShown="0">
  <autoFilter ref="D106:D113" xr:uid="{1DC51F1B-1F4F-4981-99A0-790DB39684D9}">
    <filterColumn colId="0" hiddenButton="1"/>
  </autoFilter>
  <tableColumns count="1">
    <tableColumn id="1" xr3:uid="{80691C07-9984-443C-A245-A32A722F8460}" uniqueName="1" name="DimMonday" queryTableFieldId="1" dataDxfId="83"/>
  </tableColumns>
  <tableStyleInfo name="Named_dd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B062175-B112-4C2F-8D1F-92B9612565F7}" name="DMI_HKEntity" displayName="DMI_HKEntity" ref="U6:V125" totalsRowShown="0">
  <autoFilter ref="U6:V125" xr:uid="{4B062175-B112-4C2F-8D1F-92B9612565F7}"/>
  <tableColumns count="2">
    <tableColumn id="1" xr3:uid="{95FC4F14-F848-4ECD-8084-D72717289F0F}" name="DMI_HK&amp;Macau"/>
    <tableColumn id="2" xr3:uid="{EDFC9426-E7E8-4BE4-A575-28EAE78C1B9C}" name="DMI_CNSubsi"/>
  </tableColumns>
  <tableStyleInfo name="Qry Source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11DFADF-F3AE-49D9-BC2B-5E6AD4CE759F}" name="dd_ESG" displayName="dd_ESG" ref="I69:J74" tableType="queryTable" totalsRowShown="0">
  <autoFilter ref="I69:J74" xr:uid="{111DFADF-F3AE-49D9-BC2B-5E6AD4CE759F}"/>
  <tableColumns count="2">
    <tableColumn id="1" xr3:uid="{F689DC6D-5E70-49EB-A51C-BB9EF30556B5}" uniqueName="1" name="ESG" queryTableFieldId="1" dataDxfId="486"/>
    <tableColumn id="2" xr3:uid="{6D7F5D52-78BC-4D49-A292-F6AF87AE5339}" uniqueName="2" name="SortValue" queryTableFieldId="2" dataDxfId="485"/>
  </tableColumns>
  <tableStyleInfo name="Named_dd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1BF747A-3099-4AC8-98BB-86A7AE61C531}" name="dd_新闻分类" displayName="dd_新闻分类" ref="D115:D122" totalsRowShown="0">
  <autoFilter ref="D115:D122" xr:uid="{2CCC43E2-BC45-47E5-B24A-579E315DAFB4}"/>
  <tableColumns count="1">
    <tableColumn id="1" xr3:uid="{C6821DF5-A99A-432D-93A6-E8A1E26A9881}" name="新闻分类"/>
  </tableColumns>
  <tableStyleInfo name="Named_dd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B9827B1-D7B3-4824-8ABC-EFDB5F91689B}" name="dd_新闻地区" displayName="dd_新闻地区" ref="D124:D127" totalsRowShown="0">
  <autoFilter ref="D124:D127" xr:uid="{9E8E6DC3-51E5-47C4-9340-B324AE8AB7F6}"/>
  <tableColumns count="1">
    <tableColumn id="1" xr3:uid="{41C07ED1-0B41-4718-A93D-5AA15F4B6E7B}" name="新闻地区"/>
  </tableColumns>
  <tableStyleInfo name="Named_dd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A189EFD-B11D-4A1B-887A-94C203DA521A}" name="dd_港分_ROLE" displayName="dd_港分_ROLE" ref="I76:J82" tableType="queryTable" totalsRowShown="0">
  <autoFilter ref="I76:J82" xr:uid="{DA189EFD-B11D-4A1B-887A-94C203DA521A}"/>
  <tableColumns count="2">
    <tableColumn id="1" xr3:uid="{FEA200F6-24EA-45F2-A61B-12C4A2B04526}" uniqueName="1" name="港分_ROLE" queryTableFieldId="1"/>
    <tableColumn id="2" xr3:uid="{C4627043-0314-4861-B5B0-B520C30756E7}" uniqueName="2" name="SortValue" queryTableFieldId="2"/>
  </tableColumns>
  <tableStyleInfo name="Named_dd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27AD7AD-EA1D-4E1B-AA8B-78E95EAAB59F}" name="dd_定价基准" displayName="dd_定价基准" ref="I84:J92" tableType="queryTable" totalsRowShown="0">
  <autoFilter ref="I84:J92" xr:uid="{227AD7AD-EA1D-4E1B-AA8B-78E95EAAB59F}"/>
  <tableColumns count="2">
    <tableColumn id="1" xr3:uid="{420ECBF4-BE2B-4A66-942D-3210F6729A3C}" uniqueName="1" name="定价基准" queryTableFieldId="1" dataDxfId="84"/>
    <tableColumn id="2" xr3:uid="{4B0DED31-4087-4A25-AFC9-0AEEA9BA8F37}" uniqueName="2" name="SortValue" queryTableFieldId="2" dataDxfId="484"/>
  </tableColumns>
  <tableStyleInfo name="Named_dd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483">
  <autoFilter ref="B3:C4" xr:uid="{24E2BF76-3300-438F-8E58-CCD22086EA5B}"/>
  <tableColumns count="2">
    <tableColumn id="2" xr3:uid="{0B4B4AD7-3A5E-433D-ACCF-42F67840B2E1}" name="输入主体关键字" dataDxfId="482"/>
    <tableColumn id="3" xr3:uid="{16B87CBB-0A54-4266-9A25-E5E43224FB20}" name="AddToDLD" dataDxfId="481"/>
  </tableColumns>
  <tableStyleInfo name="Qry Load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480"/>
  </tableColumns>
  <tableStyleInfo name="Qry Load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479" dataDxfId="478">
  <autoFilter ref="B24:C38" xr:uid="{388A3E41-C0C7-41AE-A48B-DD7590A31971}"/>
  <tableColumns count="2">
    <tableColumn id="1" xr3:uid="{E44BDF86-0634-4A21-B8E8-0190644A6748}" name="债券详情" dataDxfId="477"/>
    <tableColumn id="2" xr3:uid="{14940635-2BDC-46A7-B0FA-93640165F19A}" name="Input" dataDxfId="476"/>
  </tableColumns>
  <tableStyleInfo name="Qry Load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DLD_DMI" displayName="DLD_DMI" ref="A5:BV17" tableType="queryTable" totalsRowShown="0">
  <autoFilter ref="A5:BV17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72" hiddenButton="1"/>
    <filterColumn colId="73" hiddenButton="1"/>
  </autoFilter>
  <tableColumns count="74">
    <tableColumn id="1" xr3:uid="{65CE1E33-8359-4C0B-9221-1E30F7E1CEF4}" uniqueName="1" name="信用主体" queryTableFieldId="1" dataDxfId="449"/>
    <tableColumn id="24" xr3:uid="{A81CDE9A-F459-467A-95A6-76B9882E80D7}" uniqueName="24" name="英文简称" queryTableFieldId="384" dataDxfId="448"/>
    <tableColumn id="9" xr3:uid="{6CF5A73E-65DE-485F-A790-2A65D986DCCA}" uniqueName="9" name="ISIN" queryTableFieldId="9" dataDxfId="447"/>
    <tableColumn id="12" xr3:uid="{2FAEB098-B99A-49BC-8F9E-60BB22B8B1A8}" uniqueName="12" name="定价日" queryTableFieldId="12" dataDxfId="446"/>
    <tableColumn id="8" xr3:uid="{5ABB02D5-4AA9-47AD-B0BA-BE18B2B3C4DE}" uniqueName="8" name="债券简称" queryTableFieldId="8" dataDxfId="445"/>
    <tableColumn id="13" xr3:uid="{5E4165C1-E3B4-48D3-8D3A-10EB35D470E0}" uniqueName="13" name="穆迪/标普" queryTableFieldId="13" dataDxfId="444"/>
    <tableColumn id="14" xr3:uid="{D0CD7E0A-5738-4057-9BC0-77E832B4C25E}" uniqueName="14" name="主体评级展望" queryTableFieldId="14" dataDxfId="443"/>
    <tableColumn id="15" xr3:uid="{32ECF4B7-EF13-4935-98C6-7E853C1916B9}" uniqueName="15" name="债项评级" queryTableFieldId="15" dataDxfId="442"/>
    <tableColumn id="27" xr3:uid="{00C79F5A-7701-4B0D-8C7E-8C5F683178C5}" uniqueName="27" name="发行规模(亿)" queryTableFieldId="27" dataDxfId="441"/>
    <tableColumn id="28" xr3:uid="{E7406E52-8977-4808-A788-298B36157479}" uniqueName="28" name="货币" queryTableFieldId="28" dataDxfId="440"/>
    <tableColumn id="29" xr3:uid="{697EF4DB-C377-4637-A8D4-B512822D8F0E}" uniqueName="29" name="发行期限(年)" queryTableFieldId="29" dataDxfId="439"/>
    <tableColumn id="18" xr3:uid="{35998095-7833-40E5-863C-D415A0A936DB}" uniqueName="18" name="票息_DMI" queryTableFieldId="504" dataDxfId="438"/>
    <tableColumn id="19" xr3:uid="{4C2677D7-B95D-4CBD-97D0-A324C689DECD}" uniqueName="19" name="兑付日" queryTableFieldId="19" dataDxfId="437"/>
    <tableColumn id="31" xr3:uid="{9394B226-D977-440D-BBB4-696AAAD92014}" uniqueName="31" name="发行场所" queryTableFieldId="31" dataDxfId="436"/>
    <tableColumn id="20" xr3:uid="{140F0A6F-50E8-4D1A-8A9F-8D00CEE04850}" uniqueName="20" name="IPT_DMI" queryTableFieldId="20" dataDxfId="435"/>
    <tableColumn id="21" xr3:uid="{536CD873-CE57-4DE2-A54F-18E33D004325}" uniqueName="21" name="FPG_DMI" queryTableFieldId="21" dataDxfId="434"/>
    <tableColumn id="22" xr3:uid="{82FAF641-AB3E-4935-B71A-3C539F35361C}" uniqueName="22" name="收窄幅度(bp)" queryTableFieldId="22" dataDxfId="433"/>
    <tableColumn id="71" xr3:uid="{E14716B4-D6D5-436D-BD61-6C2392A1635D}" uniqueName="71" name="发行规则" queryTableFieldId="484" dataDxfId="432"/>
    <tableColumn id="69" xr3:uid="{66B79F56-B661-4ED8-8D3C-3F444AAC1C7D}" uniqueName="69" name="发行架构" queryTableFieldId="78" dataDxfId="431"/>
    <tableColumn id="25" xr3:uid="{89B2DB1E-4CFE-4140-9A07-0F1E43F6C9AC}" uniqueName="25" name="SBLC提供者" queryTableFieldId="25" dataDxfId="430"/>
    <tableColumn id="26" xr3:uid="{C94A4441-8480-4C30-99DA-F2FF91A5E801}" uniqueName="26" name="偿还顺位" queryTableFieldId="26" dataDxfId="429"/>
    <tableColumn id="30" xr3:uid="{6BA1C82B-55CF-4344-AFEE-FD6746AB9A6C}" uniqueName="30" name="发行价" queryTableFieldId="30" dataDxfId="428"/>
    <tableColumn id="32" xr3:uid="{A6056AD5-48AD-4001-A74C-ECA77FC26CB2}" uniqueName="32" name="首日涨跌" queryTableFieldId="32" dataDxfId="427"/>
    <tableColumn id="5" xr3:uid="{FFD49085-9527-4367-B0C2-2E8443581C7C}" uniqueName="5" name="省份" queryTableFieldId="5" dataDxfId="426"/>
    <tableColumn id="6" xr3:uid="{851B0F66-A6A0-4EE3-AEC3-02593C4D8B13}" uniqueName="6" name="城市" queryTableFieldId="6" dataDxfId="425"/>
    <tableColumn id="7" xr3:uid="{015C4268-F544-4F8B-A375-27371977DA3A}" uniqueName="7" name="区县" queryTableFieldId="7" dataDxfId="424"/>
    <tableColumn id="33" xr3:uid="{072BF78A-2040-4CCF-95BA-462ACF02A26B}" uniqueName="33" name="认购额(亿)" queryTableFieldId="33" dataDxfId="423"/>
    <tableColumn id="34" xr3:uid="{79315342-FB4B-48FA-9D0E-BB5182F1342A}" uniqueName="34" name="认购倍数" queryTableFieldId="34" dataDxfId="422"/>
    <tableColumn id="35" xr3:uid="{3B7B9C0D-05D5-4554-9DD5-4648FC9FD35A}" uniqueName="35" name="亚洲占比" queryTableFieldId="35" dataDxfId="421"/>
    <tableColumn id="36" xr3:uid="{7E161805-3582-4E8B-AD1E-8D44C6578511}" uniqueName="36" name="基金占比" queryTableFieldId="36" dataDxfId="420"/>
    <tableColumn id="37" xr3:uid="{678B1454-0186-4392-9084-8A4631663D07}" uniqueName="37" name="联席全球协调人" queryTableFieldId="37" dataDxfId="419"/>
    <tableColumn id="23" xr3:uid="{50116619-6391-40C5-AAE1-F0D778876139}" uniqueName="23" name="发行方式" queryTableFieldId="23" dataDxfId="418"/>
    <tableColumn id="4" xr3:uid="{F2F32A9C-87BC-497A-A806-ABCC694FD9DD}" uniqueName="4" name="细分行业" queryTableFieldId="4" dataDxfId="417"/>
    <tableColumn id="10" xr3:uid="{43CE6995-65BA-4391-BADA-3C1BCBA73A55}" uniqueName="10" name="主题债券" queryTableFieldId="10" dataDxfId="416"/>
    <tableColumn id="16" xr3:uid="{31CB77BA-C75C-4904-BE05-EA3D31CB0E8E}" uniqueName="16" name="债项初始评级" queryTableFieldId="16" dataDxfId="415"/>
    <tableColumn id="17" xr3:uid="{EAB58105-9561-4364-BE64-FA9715A8F45D}" uniqueName="17" name="境内主体评级" queryTableFieldId="17" dataDxfId="414"/>
    <tableColumn id="3" xr3:uid="{3B7C82EA-B4D2-4AFE-9B7B-27774267B877}" uniqueName="3" name="DMI行业" queryTableFieldId="911" dataDxfId="413"/>
    <tableColumn id="62" xr3:uid="{788704BA-E54A-4436-9FC7-E5EEF473C596}" uniqueName="62" name="剩余期限" queryTableFieldId="62" dataDxfId="412"/>
    <tableColumn id="2" xr3:uid="{D2679A15-B28C-4B9B-90D8-85DA1F060224}" uniqueName="2" name="公司类型" queryTableFieldId="2" dataDxfId="411"/>
    <tableColumn id="11" xr3:uid="{A0E133D3-082C-430A-8830-87B8C99C392A}" uniqueName="11" name="评级类型" queryTableFieldId="11" dataDxfId="410"/>
    <tableColumn id="63" xr3:uid="{EE264CCC-DCFC-4688-9A0B-4A404F87045B}" uniqueName="63" name="投资者账户数" queryTableFieldId="63" dataDxfId="409"/>
    <tableColumn id="64" xr3:uid="{EAE71064-4CB1-4B07-944E-84D6F3C49081}" uniqueName="64" name="投资者类型" queryTableFieldId="64" dataDxfId="408"/>
    <tableColumn id="65" xr3:uid="{E7174B24-DE40-43F6-8633-438CBA936C58}" uniqueName="65" name="投资者分布" queryTableFieldId="65" dataDxfId="407"/>
    <tableColumn id="66" xr3:uid="{CC4128EA-9B08-4BCD-B35C-71CF4AAFA24C}" uniqueName="66" name="筹款用途" queryTableFieldId="66" dataDxfId="406"/>
    <tableColumn id="38" xr3:uid="{975ADB86-B00A-4806-9500-96E93B0E8E67}" uniqueName="38" name="TICKER" queryTableFieldId="38" dataDxfId="405"/>
    <tableColumn id="39" xr3:uid="{72AA5BB3-7E54-4DE0-9CE8-13DDE5A6A94C}" uniqueName="39" name="债券最新面值" queryTableFieldId="39" dataDxfId="404"/>
    <tableColumn id="40" xr3:uid="{4EE46BC2-E1CF-462A-A03E-DF0563BE31D9}" uniqueName="40" name="债券余额" queryTableFieldId="40" dataDxfId="403"/>
    <tableColumn id="41" xr3:uid="{4BFB0F89-8CA1-4D0F-9EB3-325F7C449AB2}" uniqueName="41" name="起息日期" queryTableFieldId="41" dataDxfId="402"/>
    <tableColumn id="42" xr3:uid="{2E685F7F-FFBA-484A-A377-6390F6A585BE}" uniqueName="42" name="行权兑付日" queryTableFieldId="42" dataDxfId="401"/>
    <tableColumn id="44" xr3:uid="{0E120977-4EC2-4818-BC4D-6CCE5264355E}" uniqueName="44" name="计息基准" queryTableFieldId="44" dataDxfId="400"/>
    <tableColumn id="43" xr3:uid="{7A00E475-6904-4819-BC88-02B7AD3D67B7}" uniqueName="43" name="最新票面利率" queryTableFieldId="43" dataDxfId="399"/>
    <tableColumn id="45" xr3:uid="{1C61FECB-9E8B-4B0A-A577-E0EADEE6ACB0}" uniqueName="45" name="首次付息日" queryTableFieldId="45" dataDxfId="398"/>
    <tableColumn id="46" xr3:uid="{20F5098B-FF11-4DA0-A626-7DF045DB0FB3}" uniqueName="46" name="发行人" queryTableFieldId="46" dataDxfId="397"/>
    <tableColumn id="48" xr3:uid="{E3D34E72-CB63-4E18-AED9-A3EC74CFDD3C}" uniqueName="48" name="发行起始日" queryTableFieldId="48" dataDxfId="396"/>
    <tableColumn id="67" xr3:uid="{AD599695-8522-46E7-B118-DE2179D8EA71}" uniqueName="67" name="定价_DMI" queryTableFieldId="67" dataDxfId="395"/>
    <tableColumn id="47" xr3:uid="{17C9AFD4-5642-48EA-8D06-494AAC11A915}" uniqueName="47" name="担保人" queryTableFieldId="47" dataDxfId="394"/>
    <tableColumn id="49" xr3:uid="{1682CF98-DB54-47C3-8A44-144BB70D0821}" uniqueName="49" name="上市日期" queryTableFieldId="49" dataDxfId="393"/>
    <tableColumn id="50" xr3:uid="{2215B6A7-05C9-4C6B-8AE1-E60AE330BE07}" uniqueName="50" name="特殊条款说明" queryTableFieldId="50" dataDxfId="392"/>
    <tableColumn id="51" xr3:uid="{E59ECFC4-F0C9-41B1-9733-1AEB70C7437B}" uniqueName="51" name="牵头经办人" queryTableFieldId="51" dataDxfId="391"/>
    <tableColumn id="68" xr3:uid="{DDA77D44-FA04-425D-9DA1-4DAB31A61BB6}" uniqueName="68" name="联席账簿管理人" queryTableFieldId="68" dataDxfId="390"/>
    <tableColumn id="52" xr3:uid="{A98F2AA1-AD8E-4BE7-8B74-C3458DC2EC64}" uniqueName="52" name="是否永续债" queryTableFieldId="52" dataDxfId="389"/>
    <tableColumn id="53" xr3:uid="{74446647-F415-46DC-A41C-CE06D819E843}" uniqueName="53" name="是否存单" queryTableFieldId="53" dataDxfId="388"/>
    <tableColumn id="54" xr3:uid="{D1474CED-58C4-4A46-81D9-D99210D02234}" uniqueName="54" name="利率类型" queryTableFieldId="54" dataDxfId="387"/>
    <tableColumn id="55" xr3:uid="{40CC185A-EE88-4DE1-8A90-03B8F737740F}" uniqueName="55" name="交易状态" queryTableFieldId="55" dataDxfId="386"/>
    <tableColumn id="56" xr3:uid="{6CE7EEB7-7E14-4960-892D-D2B4A752EA7F}" uniqueName="56" name="债券类型" queryTableFieldId="56" dataDxfId="385"/>
    <tableColumn id="57" xr3:uid="{145EA911-7D60-43D2-854F-080D2E91B1E5}" uniqueName="57" name="特殊条款" queryTableFieldId="57" dataDxfId="384"/>
    <tableColumn id="58" xr3:uid="{019381F3-72FB-4C5F-9AB8-FA53CD073BE5}" uniqueName="58" name="付息频率" queryTableFieldId="58" dataDxfId="383"/>
    <tableColumn id="59" xr3:uid="{C8D1AF04-7E6F-4D88-B06F-C8310837A162}" uniqueName="59" name="维好协议提供者" queryTableFieldId="59" dataDxfId="382"/>
    <tableColumn id="72" xr3:uid="{B663511F-710C-4D2D-AED6-FD0B485A1F58}" uniqueName="72" name="债券简称_1" queryTableFieldId="906" dataDxfId="381"/>
    <tableColumn id="73" xr3:uid="{D45A8B32-650E-4461-9DBC-CC40BC94C9C7}" uniqueName="73" name="DataSource" queryTableFieldId="510" dataDxfId="380"/>
    <tableColumn id="70" xr3:uid="{C098BFC0-DF64-48A5-9DDA-B376C2CFBD48}" uniqueName="70" name="首次违约日" queryTableFieldId="579" dataDxfId="379"/>
    <tableColumn id="74" xr3:uid="{D3AD0107-C4F3-47F5-ACE8-5088D9D8E9BE}" uniqueName="74" name="IS_EXCH" queryTableFieldId="580"/>
    <tableColumn id="60" xr3:uid="{92CFA544-119D-46AF-AD53-05E6F7709CB5}" uniqueName="60" name="地区" queryTableFieldId="60" dataDxfId="378"/>
    <tableColumn id="61" xr3:uid="{EFAB649D-F0FE-4812-A2D5-2D3BCB496CCA}" uniqueName="61" name="Check" queryTableFieldId="61" dataDxfId="377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DLD_BBG_Corp" displayName="DLD_BBG_Corp" ref="A5:Y18" tableType="queryTable" totalsRowShown="0">
  <autoFilter ref="A5:Y18" xr:uid="{FD7ECA0B-0FF6-411A-8C06-812B258A1B50}">
    <filterColumn colId="0" hiddenButton="1"/>
    <filterColumn colId="1" hiddenButton="1"/>
    <filterColumn colId="3" hiddenButton="1"/>
    <filterColumn colId="4" hiddenButton="1"/>
    <filterColumn colId="7" hiddenButton="1"/>
    <filterColumn colId="8" hiddenButton="1"/>
    <filterColumn colId="24" hiddenButton="1"/>
  </autoFilter>
  <tableColumns count="25">
    <tableColumn id="2" xr3:uid="{C3F732B3-45FA-4844-A166-E4D90A2FF4A7}" uniqueName="2" name="定价日" queryTableFieldId="2" dataDxfId="475"/>
    <tableColumn id="3" xr3:uid="{693984F3-D10B-45D9-B70A-607684C923C4}" uniqueName="3" name="ISIN" queryTableFieldId="3" dataDxfId="474"/>
    <tableColumn id="14" xr3:uid="{1FE375EE-64D4-41E4-9AB6-C8F32DFC2099}" uniqueName="14" name="信用主体" queryTableFieldId="19" dataDxfId="473"/>
    <tableColumn id="4" xr3:uid="{B82F24B2-2DE7-431E-BEF8-F7696535CFF8}" uniqueName="4" name="补充OMAS updates" queryTableFieldId="4" dataDxfId="472"/>
    <tableColumn id="5" xr3:uid="{51954C56-B4CD-447B-A9B9-324865237CD6}" uniqueName="5" name="发行评级" queryTableFieldId="5" dataDxfId="471"/>
    <tableColumn id="12" xr3:uid="{F2329A4A-604D-4BC8-B12C-E58836340D28}" uniqueName="12" name="注册成立地" queryTableFieldId="85" dataDxfId="470"/>
    <tableColumn id="13" xr3:uid="{369EC4CC-5DB7-4BCD-99FE-A3F32004470B}" uniqueName="13" name="发行人主上市地" queryTableFieldId="15" dataDxfId="469"/>
    <tableColumn id="7" xr3:uid="{A5B0308D-B1F8-4208-A561-DF94E20F0BAA}" uniqueName="7" name="主体评级" queryTableFieldId="7" dataDxfId="468"/>
    <tableColumn id="8" xr3:uid="{8DD9D5B0-06FC-4925-B90A-757DFCE21989}" uniqueName="8" name="定价息差" queryTableFieldId="8" dataDxfId="467"/>
    <tableColumn id="9" xr3:uid="{0BAD3055-0445-4B68-9890-16BFB731F6E5}" uniqueName="9" name="浮息息差" queryTableFieldId="107"/>
    <tableColumn id="16" xr3:uid="{3E06751F-A27C-4B1E-BD59-92656265A7A9}" uniqueName="16" name="发行人" queryTableFieldId="21" dataDxfId="466"/>
    <tableColumn id="17" xr3:uid="{EFF30CDB-A88C-42BD-A514-B174CC57CC5D}" uniqueName="17" name="担保人" queryTableFieldId="22" dataDxfId="465"/>
    <tableColumn id="18" xr3:uid="{96D1A663-CCB3-44A9-846A-F39B3CA437D8}" uniqueName="18" name="维好协议提供者" queryTableFieldId="23" dataDxfId="464"/>
    <tableColumn id="19" xr3:uid="{87375B86-F24A-452E-B65A-E8B35EB9352A}" uniqueName="19" name="起息日期" queryTableFieldId="24" dataDxfId="463"/>
    <tableColumn id="20" xr3:uid="{8859C58B-3298-479E-A954-938769580176}" uniqueName="20" name="兑付日" queryTableFieldId="25" dataDxfId="462"/>
    <tableColumn id="21" xr3:uid="{0C5CEC34-E95E-4857-8A41-8F7F44631569}" uniqueName="21" name="行权兑付日" queryTableFieldId="26" dataDxfId="461"/>
    <tableColumn id="22" xr3:uid="{A4BE284D-5EF5-47BE-9E18-C5BC347BCC1C}" uniqueName="22" name="票息" queryTableFieldId="27" dataDxfId="460"/>
    <tableColumn id="23" xr3:uid="{B383C507-7740-4FD0-94F7-85A9318DF079}" uniqueName="23" name="货币" queryTableFieldId="28" dataDxfId="459"/>
    <tableColumn id="29" xr3:uid="{92C376F0-AEF8-4A89-8B12-4375BAD83233}" uniqueName="29" name="发行价" queryTableFieldId="87" dataDxfId="458"/>
    <tableColumn id="24" xr3:uid="{6905DCD5-D9B9-4451-9777-0DA3B8755041}" uniqueName="24" name="发行规模(亿)" queryTableFieldId="29" dataDxfId="457"/>
    <tableColumn id="15" xr3:uid="{A3009FFD-D392-4D2E-999F-4A08797D61D0}" uniqueName="15" name="Parent company tiker" queryTableFieldId="67" dataDxfId="456"/>
    <tableColumn id="25" xr3:uid="{8E0E31D6-684B-4875-B983-55FCAD60BB9C}" uniqueName="25" name="Parent Company 评级" queryTableFieldId="68" dataDxfId="455"/>
    <tableColumn id="1" xr3:uid="{87EBDB82-2F66-49B7-A196-30AADE1A0BAC}" uniqueName="1" name="ESG_Indicator" queryTableFieldId="103" dataDxfId="454"/>
    <tableColumn id="6" xr3:uid="{3F9A66C9-7ECD-41CF-87C7-17F3BE1A6540}" uniqueName="6" name="SBLC_Provider_Name" queryTableFieldId="105" dataDxfId="453"/>
    <tableColumn id="10" xr3:uid="{FB6745CE-81E9-4406-ACE4-86067C25D3F3}" uniqueName="10" name="Check" queryTableFieldId="10" dataDxfId="45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ctrlProp" Target="../ctrlProps/ctrlProp4.xml"/><Relationship Id="rId9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26" Type="http://schemas.openxmlformats.org/officeDocument/2006/relationships/table" Target="../tables/table50.xml"/><Relationship Id="rId3" Type="http://schemas.openxmlformats.org/officeDocument/2006/relationships/table" Target="../tables/table27.xml"/><Relationship Id="rId21" Type="http://schemas.openxmlformats.org/officeDocument/2006/relationships/table" Target="../tables/table45.xml"/><Relationship Id="rId34" Type="http://schemas.openxmlformats.org/officeDocument/2006/relationships/table" Target="../tables/table58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5" Type="http://schemas.openxmlformats.org/officeDocument/2006/relationships/table" Target="../tables/table49.xml"/><Relationship Id="rId33" Type="http://schemas.openxmlformats.org/officeDocument/2006/relationships/table" Target="../tables/table57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20" Type="http://schemas.openxmlformats.org/officeDocument/2006/relationships/table" Target="../tables/table44.xml"/><Relationship Id="rId29" Type="http://schemas.openxmlformats.org/officeDocument/2006/relationships/table" Target="../tables/table5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24" Type="http://schemas.openxmlformats.org/officeDocument/2006/relationships/table" Target="../tables/table48.xml"/><Relationship Id="rId32" Type="http://schemas.openxmlformats.org/officeDocument/2006/relationships/table" Target="../tables/table56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23" Type="http://schemas.openxmlformats.org/officeDocument/2006/relationships/table" Target="../tables/table47.xml"/><Relationship Id="rId28" Type="http://schemas.openxmlformats.org/officeDocument/2006/relationships/table" Target="../tables/table52.xml"/><Relationship Id="rId10" Type="http://schemas.openxmlformats.org/officeDocument/2006/relationships/table" Target="../tables/table34.xml"/><Relationship Id="rId19" Type="http://schemas.openxmlformats.org/officeDocument/2006/relationships/table" Target="../tables/table43.xml"/><Relationship Id="rId31" Type="http://schemas.openxmlformats.org/officeDocument/2006/relationships/table" Target="../tables/table55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Relationship Id="rId22" Type="http://schemas.openxmlformats.org/officeDocument/2006/relationships/table" Target="../tables/table46.xml"/><Relationship Id="rId27" Type="http://schemas.openxmlformats.org/officeDocument/2006/relationships/table" Target="../tables/table51.xml"/><Relationship Id="rId30" Type="http://schemas.openxmlformats.org/officeDocument/2006/relationships/table" Target="../tables/table54.xml"/><Relationship Id="rId35" Type="http://schemas.openxmlformats.org/officeDocument/2006/relationships/table" Target="../tables/table59.xml"/><Relationship Id="rId8" Type="http://schemas.openxmlformats.org/officeDocument/2006/relationships/table" Target="../tables/table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DD44"/>
  <sheetViews>
    <sheetView topLeftCell="A2" zoomScale="85" zoomScaleNormal="85" workbookViewId="0">
      <selection activeCell="K27" sqref="K27"/>
    </sheetView>
  </sheetViews>
  <sheetFormatPr defaultColWidth="8.88671875" defaultRowHeight="18" customHeight="1" outlineLevelCol="1" x14ac:dyDescent="0.25"/>
  <cols>
    <col min="1" max="1" width="6.21875" style="2" customWidth="1"/>
    <col min="2" max="3" width="20" style="2" customWidth="1"/>
    <col min="4" max="4" width="11.21875" style="116" customWidth="1"/>
    <col min="5" max="5" width="17.21875" style="2" customWidth="1"/>
    <col min="6" max="6" width="12" style="2" customWidth="1"/>
    <col min="7" max="7" width="4.77734375" style="2" customWidth="1"/>
    <col min="8" max="8" width="19.44140625" style="2" bestFit="1" customWidth="1"/>
    <col min="9" max="9" width="7.88671875" style="2" customWidth="1"/>
    <col min="10" max="10" width="5.6640625" style="2" bestFit="1" customWidth="1"/>
    <col min="11" max="11" width="10.109375" style="2" bestFit="1" customWidth="1"/>
    <col min="12" max="12" width="34.5546875" style="2" bestFit="1" customWidth="1"/>
    <col min="13" max="13" width="14" style="2" bestFit="1" customWidth="1"/>
    <col min="14" max="14" width="10.44140625" style="2" bestFit="1" customWidth="1"/>
    <col min="15" max="15" width="4.77734375" style="2" bestFit="1" customWidth="1"/>
    <col min="16" max="16" width="7.77734375" style="2" bestFit="1" customWidth="1"/>
    <col min="17" max="17" width="17.109375" style="2" bestFit="1" customWidth="1"/>
    <col min="18" max="18" width="8.5546875" style="2" bestFit="1" customWidth="1"/>
    <col min="19" max="19" width="80.88671875" style="2" bestFit="1" customWidth="1"/>
    <col min="20" max="21" width="80.88671875" style="2" hidden="1" customWidth="1" outlineLevel="1"/>
    <col min="22" max="22" width="19" style="2" hidden="1" customWidth="1" outlineLevel="1"/>
    <col min="23" max="23" width="13.21875" style="2" hidden="1" customWidth="1" outlineLevel="1"/>
    <col min="24" max="24" width="7.6640625" style="2" hidden="1" customWidth="1" outlineLevel="1"/>
    <col min="25" max="25" width="12.6640625" style="2" hidden="1" customWidth="1" outlineLevel="1"/>
    <col min="26" max="30" width="7.6640625" style="2" hidden="1" customWidth="1" outlineLevel="1"/>
    <col min="31" max="31" width="9.33203125" style="2" hidden="1" customWidth="1" outlineLevel="1"/>
    <col min="32" max="32" width="80.88671875" style="2" hidden="1" customWidth="1" outlineLevel="1"/>
    <col min="33" max="33" width="19" style="2" hidden="1" customWidth="1" outlineLevel="1"/>
    <col min="34" max="34" width="10.33203125" style="2" hidden="1" customWidth="1" outlineLevel="1"/>
    <col min="35" max="35" width="8.6640625" style="2" hidden="1" customWidth="1" outlineLevel="1"/>
    <col min="36" max="36" width="10.33203125" style="2" hidden="1" customWidth="1" outlineLevel="1"/>
    <col min="37" max="37" width="25.88671875" style="2" hidden="1" customWidth="1" outlineLevel="1"/>
    <col min="38" max="38" width="48" style="2" hidden="1" customWidth="1" outlineLevel="1"/>
    <col min="39" max="39" width="10.33203125" style="2" hidden="1" customWidth="1" outlineLevel="1"/>
    <col min="40" max="40" width="22" style="2" hidden="1" customWidth="1" outlineLevel="1"/>
    <col min="41" max="41" width="11" style="2" hidden="1" customWidth="1" outlineLevel="1"/>
    <col min="42" max="42" width="9.33203125" style="2" hidden="1" customWidth="1" outlineLevel="1"/>
    <col min="43" max="43" width="10.33203125" style="2" hidden="1" customWidth="1" outlineLevel="1"/>
    <col min="44" max="44" width="7.6640625" style="2" hidden="1" customWidth="1" outlineLevel="1"/>
    <col min="45" max="45" width="11" style="2" hidden="1" customWidth="1" outlineLevel="1"/>
    <col min="46" max="46" width="8.21875" style="2" hidden="1" customWidth="1" outlineLevel="1"/>
    <col min="47" max="47" width="80.88671875" style="2" hidden="1" customWidth="1" outlineLevel="1"/>
    <col min="48" max="49" width="9.33203125" style="2" hidden="1" customWidth="1" outlineLevel="1"/>
    <col min="50" max="50" width="11" style="2" hidden="1" customWidth="1" outlineLevel="1"/>
    <col min="51" max="51" width="7.6640625" style="2" hidden="1" customWidth="1" outlineLevel="1"/>
    <col min="52" max="52" width="11" style="2" hidden="1" customWidth="1" outlineLevel="1"/>
    <col min="53" max="53" width="7.6640625" style="2" hidden="1" customWidth="1" outlineLevel="1"/>
    <col min="54" max="55" width="11" style="2" hidden="1" customWidth="1" outlineLevel="1"/>
    <col min="56" max="60" width="7.6640625" style="2" hidden="1" customWidth="1" outlineLevel="1"/>
    <col min="61" max="61" width="8.77734375" style="2" hidden="1" customWidth="1" outlineLevel="1"/>
    <col min="62" max="64" width="6" style="2" hidden="1" customWidth="1" outlineLevel="1"/>
    <col min="65" max="65" width="7.6640625" style="2" hidden="1" customWidth="1" outlineLevel="1"/>
    <col min="66" max="66" width="7" style="2" hidden="1" customWidth="1" outlineLevel="1"/>
    <col min="67" max="67" width="14.88671875" style="2" hidden="1" customWidth="1" outlineLevel="1"/>
    <col min="68" max="68" width="10.109375" style="2" hidden="1" customWidth="1" outlineLevel="1"/>
    <col min="69" max="70" width="7.6640625" style="2" hidden="1" customWidth="1" outlineLevel="1"/>
    <col min="71" max="71" width="11" style="2" hidden="1" customWidth="1" outlineLevel="1"/>
    <col min="72" max="72" width="31.5546875" style="2" hidden="1" customWidth="1" outlineLevel="1"/>
    <col min="73" max="73" width="10.33203125" style="2" hidden="1" customWidth="1" outlineLevel="1"/>
    <col min="74" max="74" width="8.6640625" style="2" hidden="1" customWidth="1" outlineLevel="1"/>
    <col min="75" max="76" width="10.44140625" style="1" hidden="1" customWidth="1" outlineLevel="1"/>
    <col min="77" max="77" width="7.6640625" style="1" hidden="1" customWidth="1" outlineLevel="1"/>
    <col min="78" max="78" width="11" style="2" hidden="1" customWidth="1" outlineLevel="1"/>
    <col min="79" max="79" width="8.44140625" style="1" hidden="1" customWidth="1" outlineLevel="1"/>
    <col min="80" max="80" width="26.77734375" style="2" hidden="1" customWidth="1" outlineLevel="1"/>
    <col min="81" max="81" width="10.44140625" style="2" hidden="1" customWidth="1" outlineLevel="1"/>
    <col min="82" max="82" width="9.33203125" style="2" hidden="1" customWidth="1" outlineLevel="1"/>
    <col min="83" max="83" width="7.77734375" style="2" hidden="1" customWidth="1" outlineLevel="1"/>
    <col min="84" max="84" width="4.33203125" style="2" hidden="1" customWidth="1" outlineLevel="1"/>
    <col min="85" max="85" width="9.5546875" style="2" hidden="1" customWidth="1" outlineLevel="1"/>
    <col min="86" max="86" width="9.33203125" style="1" hidden="1" customWidth="1" outlineLevel="1"/>
    <col min="87" max="87" width="12.6640625" style="1" hidden="1" customWidth="1" outlineLevel="1"/>
    <col min="88" max="88" width="16.6640625" style="1" hidden="1" customWidth="1" outlineLevel="1"/>
    <col min="89" max="89" width="7.6640625" style="1" hidden="1" customWidth="1" outlineLevel="1" collapsed="1"/>
    <col min="90" max="90" width="7.6640625" style="1" hidden="1" customWidth="1" outlineLevel="1"/>
    <col min="91" max="91" width="9.109375" style="1" hidden="1" customWidth="1" outlineLevel="1"/>
    <col min="92" max="92" width="12.21875" style="1" hidden="1" customWidth="1" outlineLevel="1"/>
    <col min="93" max="94" width="11.21875" style="1" bestFit="1" customWidth="1" outlineLevel="1"/>
    <col min="95" max="95" width="20" style="1" hidden="1" customWidth="1" outlineLevel="1"/>
    <col min="96" max="96" width="17.44140625" style="1" hidden="1" customWidth="1" outlineLevel="1"/>
    <col min="97" max="97" width="17.5546875" style="1" hidden="1" customWidth="1" outlineLevel="1"/>
    <col min="98" max="98" width="13.77734375" style="1" bestFit="1" customWidth="1"/>
    <col min="99" max="99" width="6.21875" style="1" bestFit="1" customWidth="1"/>
    <col min="100" max="100" width="19.6640625" style="1" bestFit="1" customWidth="1"/>
    <col min="101" max="102" width="9.44140625" style="1" bestFit="1" customWidth="1"/>
    <col min="103" max="103" width="9.44140625" style="2" bestFit="1" customWidth="1"/>
    <col min="104" max="104" width="11.6640625" style="2" bestFit="1" customWidth="1"/>
    <col min="105" max="106" width="11.109375" style="2" bestFit="1" customWidth="1"/>
    <col min="107" max="107" width="11.109375" style="1" bestFit="1" customWidth="1"/>
    <col min="108" max="108" width="7.77734375" style="1" bestFit="1" customWidth="1"/>
    <col min="109" max="109" width="6" style="2" bestFit="1" customWidth="1"/>
    <col min="110" max="110" width="8.88671875" style="2" bestFit="1" customWidth="1"/>
    <col min="111" max="113" width="19.5546875" style="2" bestFit="1" customWidth="1"/>
    <col min="114" max="114" width="8.88671875" style="2" bestFit="1" customWidth="1"/>
    <col min="115" max="115" width="10.5546875" style="2" bestFit="1" customWidth="1"/>
    <col min="116" max="117" width="10.33203125" style="2" bestFit="1" customWidth="1"/>
    <col min="118" max="118" width="10.5546875" style="2" bestFit="1" customWidth="1"/>
    <col min="119" max="119" width="19.5546875" style="2" bestFit="1" customWidth="1"/>
    <col min="120" max="120" width="10.5546875" style="2" bestFit="1" customWidth="1"/>
    <col min="121" max="121" width="10.33203125" style="2" bestFit="1" customWidth="1"/>
    <col min="122" max="123" width="10.5546875" style="2" bestFit="1" customWidth="1"/>
    <col min="124" max="124" width="16.6640625" style="2" bestFit="1" customWidth="1"/>
    <col min="125" max="125" width="7.6640625" style="2" bestFit="1" customWidth="1"/>
    <col min="126" max="127" width="10.44140625" style="2" bestFit="1" customWidth="1"/>
    <col min="128" max="128" width="17.33203125" style="2" bestFit="1" customWidth="1"/>
    <col min="129" max="130" width="10.109375" style="2" bestFit="1" customWidth="1"/>
    <col min="131" max="132" width="12.44140625" style="2" bestFit="1" customWidth="1"/>
    <col min="133" max="133" width="8.6640625" style="2" bestFit="1" customWidth="1"/>
    <col min="134" max="136" width="8.6640625" style="2" customWidth="1"/>
    <col min="137" max="137" width="9.21875" style="2" customWidth="1"/>
    <col min="138" max="138" width="28.6640625" style="2" customWidth="1"/>
    <col min="139" max="139" width="9" style="2" customWidth="1"/>
    <col min="140" max="140" width="11.6640625" style="2" customWidth="1"/>
    <col min="141" max="142" width="9.21875" style="2" customWidth="1"/>
    <col min="143" max="143" width="10.44140625" style="2" customWidth="1"/>
    <col min="144" max="144" width="11.6640625" style="2" customWidth="1"/>
    <col min="145" max="145" width="9.21875" style="2" customWidth="1"/>
    <col min="146" max="146" width="10.44140625" style="2" customWidth="1"/>
    <col min="147" max="147" width="20.109375" style="2" customWidth="1"/>
    <col min="148" max="148" width="37.77734375" style="2" customWidth="1"/>
    <col min="149" max="149" width="43.21875" style="2" customWidth="1"/>
    <col min="150" max="150" width="9.21875" style="2" customWidth="1"/>
    <col min="151" max="151" width="13.77734375" style="2" customWidth="1"/>
    <col min="152" max="152" width="37.109375" style="2" customWidth="1"/>
    <col min="153" max="153" width="10.44140625" style="2" customWidth="1"/>
    <col min="154" max="159" width="9.21875" style="2" customWidth="1"/>
    <col min="160" max="160" width="12.33203125" style="2" bestFit="1" customWidth="1"/>
    <col min="161" max="161" width="11.109375" style="2" customWidth="1"/>
    <col min="162" max="162" width="11.6640625" style="2" bestFit="1" customWidth="1"/>
    <col min="163" max="163" width="11.6640625" style="2" customWidth="1"/>
    <col min="164" max="164" width="4.77734375" style="2" bestFit="1" customWidth="1"/>
    <col min="165" max="165" width="7.44140625" style="2" bestFit="1" customWidth="1"/>
    <col min="166" max="16384" width="8.88671875" style="2"/>
  </cols>
  <sheetData>
    <row r="1" spans="1:108" ht="64.5" customHeight="1" x14ac:dyDescent="0.25">
      <c r="A1" s="33" t="s">
        <v>189</v>
      </c>
      <c r="K1" s="119"/>
      <c r="BW1" s="2"/>
      <c r="BX1" s="2"/>
      <c r="BY1" s="2"/>
      <c r="CA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DC1" s="2"/>
      <c r="DD1" s="2"/>
    </row>
    <row r="2" spans="1:108" ht="64.5" customHeight="1" x14ac:dyDescent="0.25">
      <c r="A2" s="34" t="s">
        <v>105</v>
      </c>
      <c r="K2" s="119"/>
      <c r="BW2" s="2"/>
      <c r="BX2" s="2"/>
      <c r="BY2" s="2"/>
      <c r="CA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DC2" s="2"/>
      <c r="DD2" s="2"/>
    </row>
    <row r="3" spans="1:108" ht="32.25" customHeight="1" thickBot="1" x14ac:dyDescent="0.3">
      <c r="A3" s="112" t="s">
        <v>84</v>
      </c>
      <c r="B3" s="112" t="s">
        <v>410</v>
      </c>
      <c r="C3" s="112" t="s">
        <v>411</v>
      </c>
      <c r="I3" s="127"/>
      <c r="J3" s="127"/>
      <c r="K3" s="39" t="s">
        <v>452</v>
      </c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39" t="s">
        <v>226</v>
      </c>
      <c r="CW3" s="39"/>
      <c r="CX3" s="127"/>
      <c r="CY3" s="127"/>
      <c r="DC3" s="2"/>
      <c r="DD3" s="2"/>
    </row>
    <row r="4" spans="1:108" ht="32.25" customHeight="1" thickTop="1" thickBot="1" x14ac:dyDescent="0.3">
      <c r="A4" s="112">
        <v>1</v>
      </c>
      <c r="B4" s="115" t="s">
        <v>292</v>
      </c>
      <c r="C4" s="117" t="s">
        <v>732</v>
      </c>
      <c r="BW4" s="2"/>
      <c r="BX4" s="2"/>
      <c r="BY4" s="2"/>
      <c r="CA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DC4" s="2"/>
      <c r="DD4" s="2"/>
    </row>
    <row r="5" spans="1:108" ht="32.25" customHeight="1" thickTop="1" thickBot="1" x14ac:dyDescent="0.3">
      <c r="A5" s="112">
        <v>2</v>
      </c>
      <c r="B5" s="115" t="s">
        <v>157</v>
      </c>
      <c r="C5" s="113" t="s">
        <v>5</v>
      </c>
      <c r="BW5" s="2"/>
      <c r="BX5" s="2"/>
      <c r="BY5" s="2"/>
      <c r="CA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DC5" s="2"/>
      <c r="DD5" s="2"/>
    </row>
    <row r="6" spans="1:108" ht="32.25" customHeight="1" thickTop="1" thickBot="1" x14ac:dyDescent="0.3">
      <c r="A6" s="112">
        <v>3</v>
      </c>
      <c r="B6" s="115" t="s">
        <v>417</v>
      </c>
      <c r="C6" s="118" t="s">
        <v>416</v>
      </c>
      <c r="BW6" s="2"/>
      <c r="BX6" s="2"/>
      <c r="BY6" s="2"/>
      <c r="CA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DC6" s="2"/>
      <c r="DD6" s="2"/>
    </row>
    <row r="7" spans="1:108" ht="32.25" customHeight="1" thickTop="1" thickBot="1" x14ac:dyDescent="0.3">
      <c r="A7" s="112">
        <v>4</v>
      </c>
      <c r="B7" s="115" t="s">
        <v>418</v>
      </c>
      <c r="C7" s="118" t="s">
        <v>416</v>
      </c>
      <c r="BW7" s="2"/>
      <c r="BX7" s="2"/>
      <c r="BY7" s="2"/>
      <c r="CA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DC7" s="2"/>
      <c r="DD7" s="2"/>
    </row>
    <row r="8" spans="1:108" ht="32.25" customHeight="1" thickTop="1" thickBot="1" x14ac:dyDescent="0.3">
      <c r="A8" s="112">
        <v>5</v>
      </c>
      <c r="B8" s="115" t="s">
        <v>446</v>
      </c>
      <c r="C8" s="118" t="s">
        <v>416</v>
      </c>
      <c r="BW8" s="2"/>
      <c r="BX8" s="2"/>
      <c r="BY8" s="2"/>
      <c r="CA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114"/>
      <c r="CV8" s="2"/>
      <c r="CW8" s="2"/>
      <c r="CX8" s="2"/>
      <c r="DC8" s="2"/>
      <c r="DD8" s="2"/>
    </row>
    <row r="9" spans="1:108" ht="32.25" customHeight="1" thickTop="1" thickBot="1" x14ac:dyDescent="0.3">
      <c r="A9" s="112">
        <v>6</v>
      </c>
      <c r="B9" s="115" t="s">
        <v>415</v>
      </c>
      <c r="C9" s="118" t="s">
        <v>416</v>
      </c>
      <c r="E9" s="120" t="s">
        <v>233</v>
      </c>
      <c r="F9" s="121"/>
      <c r="BW9" s="2"/>
      <c r="BX9" s="2"/>
      <c r="BY9" s="2"/>
      <c r="CA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DC9" s="2"/>
      <c r="DD9" s="2"/>
    </row>
    <row r="10" spans="1:108" ht="32.25" customHeight="1" thickTop="1" thickBot="1" x14ac:dyDescent="0.3">
      <c r="A10" s="112">
        <v>7</v>
      </c>
      <c r="B10" s="115" t="s">
        <v>419</v>
      </c>
      <c r="C10" s="118" t="s">
        <v>416</v>
      </c>
      <c r="E10" s="122" t="s">
        <v>227</v>
      </c>
      <c r="F10" s="123">
        <f>MAX(DLD_Conso[Index])</f>
        <v>12</v>
      </c>
      <c r="BW10" s="2"/>
      <c r="BX10" s="2"/>
      <c r="BY10" s="2"/>
      <c r="CA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DC10" s="2"/>
      <c r="DD10" s="2"/>
    </row>
    <row r="11" spans="1:108" ht="32.25" customHeight="1" thickTop="1" thickBot="1" x14ac:dyDescent="0.3">
      <c r="A11" s="112">
        <v>8</v>
      </c>
      <c r="B11" s="115" t="s">
        <v>447</v>
      </c>
      <c r="C11" s="118" t="s">
        <v>284</v>
      </c>
      <c r="E11" s="122" t="s">
        <v>228</v>
      </c>
      <c r="F11" s="123">
        <f>COUNTA(DLD_BBG_Corp[ISIN])</f>
        <v>13</v>
      </c>
      <c r="G11" s="53">
        <f>$F$11-F$10</f>
        <v>1</v>
      </c>
      <c r="BW11" s="2"/>
      <c r="BX11" s="2"/>
      <c r="BY11" s="2"/>
      <c r="CA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DC11" s="2"/>
      <c r="DD11" s="2"/>
    </row>
    <row r="12" spans="1:108" ht="32.25" customHeight="1" thickTop="1" thickBot="1" x14ac:dyDescent="0.3">
      <c r="A12" s="112">
        <v>9</v>
      </c>
      <c r="B12" s="115" t="s">
        <v>448</v>
      </c>
      <c r="C12" s="118" t="s">
        <v>284</v>
      </c>
      <c r="E12" s="124" t="s">
        <v>229</v>
      </c>
      <c r="F12" s="125">
        <f>MAX(DLD_QRC_23[台账序号])</f>
        <v>0</v>
      </c>
      <c r="CS12" s="2"/>
      <c r="CT12" s="2"/>
      <c r="CU12" s="2"/>
      <c r="CV12" s="2"/>
      <c r="CW12" s="2"/>
      <c r="CX12" s="2"/>
      <c r="DC12" s="2"/>
      <c r="DD12" s="2"/>
    </row>
    <row r="13" spans="1:108" ht="32.25" hidden="1" customHeight="1" thickTop="1" x14ac:dyDescent="0.25">
      <c r="A13" s="112"/>
      <c r="B13" s="115"/>
      <c r="CS13" s="2"/>
      <c r="CT13" s="2"/>
      <c r="CU13" s="2"/>
      <c r="CV13" s="2"/>
      <c r="CW13" s="2"/>
      <c r="CX13" s="2"/>
      <c r="DC13" s="2"/>
      <c r="DD13" s="2"/>
    </row>
    <row r="14" spans="1:108" ht="32.25" hidden="1" customHeight="1" x14ac:dyDescent="0.25">
      <c r="A14" s="112"/>
      <c r="B14" s="115"/>
      <c r="CU14" s="2"/>
      <c r="CV14" s="2"/>
      <c r="CW14" s="2"/>
      <c r="CX14" s="2"/>
      <c r="DC14" s="2"/>
      <c r="DD14" s="2"/>
    </row>
    <row r="15" spans="1:108" ht="19.5" thickTop="1" x14ac:dyDescent="0.25">
      <c r="G15" s="52"/>
      <c r="H15" s="26" t="s">
        <v>449</v>
      </c>
      <c r="J15" s="61" t="s">
        <v>84</v>
      </c>
      <c r="K15" s="61" t="s">
        <v>163</v>
      </c>
      <c r="L15" s="61" t="s">
        <v>92</v>
      </c>
      <c r="M15" s="61" t="s">
        <v>47</v>
      </c>
      <c r="N15" s="61" t="s">
        <v>48</v>
      </c>
      <c r="O15" s="61" t="s">
        <v>63</v>
      </c>
      <c r="P15" s="61" t="s">
        <v>94</v>
      </c>
      <c r="Q15" s="61" t="s">
        <v>192</v>
      </c>
      <c r="R15" s="61" t="s">
        <v>193</v>
      </c>
      <c r="S15" s="61" t="s">
        <v>64</v>
      </c>
      <c r="T15" s="61" t="s">
        <v>73</v>
      </c>
      <c r="U15" t="s">
        <v>926</v>
      </c>
      <c r="V15" s="61" t="s">
        <v>218</v>
      </c>
      <c r="W15" s="61" t="s">
        <v>79</v>
      </c>
      <c r="X15" s="61" t="s">
        <v>80</v>
      </c>
      <c r="Y15" s="61" t="s">
        <v>103</v>
      </c>
      <c r="Z15" s="61" t="s">
        <v>78</v>
      </c>
      <c r="AA15" s="61" t="s">
        <v>77</v>
      </c>
      <c r="AB15" s="61" t="s">
        <v>76</v>
      </c>
      <c r="AC15" s="61" t="s">
        <v>75</v>
      </c>
      <c r="AD15" s="61" t="s">
        <v>74</v>
      </c>
      <c r="AE15" s="61" t="s">
        <v>208</v>
      </c>
      <c r="AF15" s="61" t="s">
        <v>102</v>
      </c>
      <c r="AG15" s="61" t="s">
        <v>72</v>
      </c>
      <c r="AH15" s="61" t="s">
        <v>209</v>
      </c>
      <c r="AI15" s="61" t="s">
        <v>71</v>
      </c>
      <c r="AJ15" s="61" t="s">
        <v>70</v>
      </c>
      <c r="AK15" s="61" t="s">
        <v>69</v>
      </c>
      <c r="AL15" s="61" t="s">
        <v>68</v>
      </c>
      <c r="AM15" s="61" t="s">
        <v>67</v>
      </c>
      <c r="AN15" s="61" t="s">
        <v>101</v>
      </c>
      <c r="AO15" s="61" t="s">
        <v>66</v>
      </c>
      <c r="AP15" s="61" t="s">
        <v>65</v>
      </c>
      <c r="AQ15" s="61" t="s">
        <v>100</v>
      </c>
      <c r="AR15" s="61" t="s">
        <v>99</v>
      </c>
      <c r="AS15" s="61" t="s">
        <v>641</v>
      </c>
      <c r="AT15" s="61" t="s">
        <v>207</v>
      </c>
      <c r="AU15" s="61" t="s">
        <v>206</v>
      </c>
      <c r="AV15" s="61" t="s">
        <v>205</v>
      </c>
      <c r="AW15" s="61" t="s">
        <v>204</v>
      </c>
      <c r="AX15" s="61" t="s">
        <v>95</v>
      </c>
      <c r="AY15" s="61" t="s">
        <v>41</v>
      </c>
      <c r="AZ15" s="61" t="s">
        <v>203</v>
      </c>
      <c r="BA15" s="61" t="s">
        <v>50</v>
      </c>
      <c r="BB15" s="61" t="s">
        <v>164</v>
      </c>
      <c r="BC15" s="61" t="s">
        <v>43</v>
      </c>
      <c r="BD15" s="61" t="s">
        <v>185</v>
      </c>
      <c r="BE15" s="61" t="s">
        <v>62</v>
      </c>
      <c r="BF15" s="61" t="s">
        <v>61</v>
      </c>
      <c r="BG15" s="61" t="s">
        <v>60</v>
      </c>
      <c r="BH15" s="61" t="s">
        <v>127</v>
      </c>
      <c r="BI15" s="61" t="s">
        <v>45</v>
      </c>
      <c r="BJ15" s="61" t="s">
        <v>44</v>
      </c>
      <c r="BK15" s="61" t="s">
        <v>93</v>
      </c>
      <c r="BL15" s="61" t="s">
        <v>59</v>
      </c>
      <c r="BM15" s="61" t="s">
        <v>58</v>
      </c>
      <c r="BN15" s="61" t="s">
        <v>55</v>
      </c>
      <c r="BO15" s="61" t="s">
        <v>54</v>
      </c>
      <c r="BP15" s="61" t="s">
        <v>219</v>
      </c>
      <c r="BQ15" s="61" t="s">
        <v>288</v>
      </c>
      <c r="BR15" s="61" t="s">
        <v>53</v>
      </c>
      <c r="BS15" s="61" t="s">
        <v>98</v>
      </c>
      <c r="BT15" s="61" t="s">
        <v>51</v>
      </c>
      <c r="BU15" s="61" t="s">
        <v>368</v>
      </c>
      <c r="BV15" s="61" t="s">
        <v>57</v>
      </c>
      <c r="BW15" s="61" t="s">
        <v>56</v>
      </c>
      <c r="BX15" s="61" t="s">
        <v>49</v>
      </c>
      <c r="BY15" s="61" t="s">
        <v>97</v>
      </c>
      <c r="BZ15" s="61" t="s">
        <v>96</v>
      </c>
      <c r="CA15" s="61" t="s">
        <v>46</v>
      </c>
      <c r="CB15" s="61" t="s">
        <v>377</v>
      </c>
      <c r="CC15" s="61" t="s">
        <v>212</v>
      </c>
      <c r="CD15" s="61" t="s">
        <v>422</v>
      </c>
      <c r="CE15" s="61" t="s">
        <v>87</v>
      </c>
      <c r="CF15" s="61" t="s">
        <v>139</v>
      </c>
      <c r="CG15" s="61" t="s">
        <v>214</v>
      </c>
      <c r="CH15" s="61" t="s">
        <v>241</v>
      </c>
      <c r="CI15" s="61" t="s">
        <v>137</v>
      </c>
      <c r="CJ15" s="61" t="s">
        <v>115</v>
      </c>
      <c r="CK15" s="61" t="s">
        <v>130</v>
      </c>
      <c r="CL15" s="61" t="s">
        <v>165</v>
      </c>
      <c r="CM15" s="61" t="s">
        <v>441</v>
      </c>
      <c r="CN15" s="61" t="s">
        <v>132</v>
      </c>
      <c r="CO15" t="s">
        <v>893</v>
      </c>
      <c r="CS15" s="2"/>
      <c r="CT15" s="26" t="s">
        <v>174</v>
      </c>
      <c r="CU15" s="26" t="s">
        <v>47</v>
      </c>
      <c r="CV15" s="26" t="s">
        <v>223</v>
      </c>
      <c r="CW15" s="26" t="s">
        <v>190</v>
      </c>
      <c r="CX15" s="26" t="s">
        <v>224</v>
      </c>
      <c r="CY15" s="26" t="s">
        <v>159</v>
      </c>
      <c r="CZ15" s="26" t="s">
        <v>160</v>
      </c>
      <c r="DA15" s="26" t="s">
        <v>225</v>
      </c>
      <c r="DC15" s="2"/>
      <c r="DD15" s="2"/>
    </row>
    <row r="16" spans="1:108" ht="18.75" x14ac:dyDescent="0.25">
      <c r="G16" s="52"/>
      <c r="H16" t="s">
        <v>945</v>
      </c>
      <c r="J16" s="61">
        <v>12</v>
      </c>
      <c r="K16" s="143" t="s">
        <v>276</v>
      </c>
      <c r="L16" s="144" t="s">
        <v>841</v>
      </c>
      <c r="M16" s="144" t="s">
        <v>840</v>
      </c>
      <c r="N16" s="128">
        <v>45233</v>
      </c>
      <c r="O16" s="144" t="s">
        <v>104</v>
      </c>
      <c r="P16" s="144" t="s">
        <v>276</v>
      </c>
      <c r="Q16" s="144" t="s">
        <v>90</v>
      </c>
      <c r="R16" s="144" t="s">
        <v>401</v>
      </c>
      <c r="S16" s="144" t="s">
        <v>957</v>
      </c>
      <c r="T16" s="144" t="s">
        <v>961</v>
      </c>
      <c r="U16" s="142" t="s">
        <v>2</v>
      </c>
      <c r="V16" s="144" t="s">
        <v>954</v>
      </c>
      <c r="W16" s="144" t="s">
        <v>126</v>
      </c>
      <c r="X16" s="61" t="s">
        <v>90</v>
      </c>
      <c r="Y16" s="144" t="s">
        <v>90</v>
      </c>
      <c r="Z16" s="144" t="s">
        <v>423</v>
      </c>
      <c r="AA16" s="144" t="s">
        <v>424</v>
      </c>
      <c r="AB16" s="144" t="s">
        <v>425</v>
      </c>
      <c r="AC16" s="144" t="s">
        <v>426</v>
      </c>
      <c r="AD16" s="144" t="s">
        <v>426</v>
      </c>
      <c r="AE16" s="144" t="s">
        <v>962</v>
      </c>
      <c r="AF16" s="144" t="s">
        <v>778</v>
      </c>
      <c r="AG16" s="129">
        <v>45240</v>
      </c>
      <c r="AH16" s="144" t="s">
        <v>401</v>
      </c>
      <c r="AI16" s="129">
        <v>45240</v>
      </c>
      <c r="AJ16" s="61" t="s">
        <v>90</v>
      </c>
      <c r="AK16" s="61" t="s">
        <v>841</v>
      </c>
      <c r="AL16" s="129">
        <v>45422</v>
      </c>
      <c r="AM16" s="61" t="s">
        <v>90</v>
      </c>
      <c r="AN16" s="144">
        <v>4.8</v>
      </c>
      <c r="AO16" s="129"/>
      <c r="AP16" s="129">
        <v>45240</v>
      </c>
      <c r="AQ16" s="61">
        <v>9.69</v>
      </c>
      <c r="AR16" s="144">
        <v>10000</v>
      </c>
      <c r="AS16" s="61" t="s">
        <v>960</v>
      </c>
      <c r="AT16" s="144" t="s">
        <v>959</v>
      </c>
      <c r="AU16" s="144" t="s">
        <v>90</v>
      </c>
      <c r="AV16" s="144" t="s">
        <v>90</v>
      </c>
      <c r="AW16" s="61"/>
      <c r="AX16" s="144" t="s">
        <v>436</v>
      </c>
      <c r="AY16" s="144" t="s">
        <v>427</v>
      </c>
      <c r="AZ16" s="61" t="s">
        <v>661</v>
      </c>
      <c r="BA16" s="144" t="s">
        <v>90</v>
      </c>
      <c r="BB16" s="144" t="s">
        <v>428</v>
      </c>
      <c r="BC16" s="144" t="s">
        <v>958</v>
      </c>
      <c r="BD16" s="144" t="s">
        <v>290</v>
      </c>
      <c r="BE16" s="61"/>
      <c r="BF16" s="61"/>
      <c r="BG16" s="61"/>
      <c r="BH16" s="61"/>
      <c r="BI16" s="144" t="s">
        <v>90</v>
      </c>
      <c r="BJ16" s="144" t="s">
        <v>956</v>
      </c>
      <c r="BK16" s="144" t="s">
        <v>895</v>
      </c>
      <c r="BL16" s="61"/>
      <c r="BM16" s="61">
        <v>100</v>
      </c>
      <c r="BN16" s="144" t="s">
        <v>430</v>
      </c>
      <c r="BO16" s="144" t="s">
        <v>894</v>
      </c>
      <c r="BP16" s="144" t="s">
        <v>802</v>
      </c>
      <c r="BQ16" s="144" t="s">
        <v>432</v>
      </c>
      <c r="BR16" s="61"/>
      <c r="BS16" s="144" t="s">
        <v>433</v>
      </c>
      <c r="BT16" s="129">
        <v>46336</v>
      </c>
      <c r="BU16" s="61">
        <v>4.8</v>
      </c>
      <c r="BV16" s="144" t="s">
        <v>434</v>
      </c>
      <c r="BW16" s="144">
        <v>9.69</v>
      </c>
      <c r="BX16" s="144" t="s">
        <v>428</v>
      </c>
      <c r="BY16" s="144" t="s">
        <v>428</v>
      </c>
      <c r="BZ16" s="144" t="s">
        <v>428</v>
      </c>
      <c r="CA16" s="144" t="s">
        <v>955</v>
      </c>
      <c r="CB16" s="144" t="s">
        <v>222</v>
      </c>
      <c r="CC16" s="129"/>
      <c r="CD16" s="144" t="s">
        <v>7</v>
      </c>
      <c r="CE16" s="144" t="s">
        <v>19</v>
      </c>
      <c r="CF16" s="144" t="s">
        <v>140</v>
      </c>
      <c r="CG16" s="144" t="s">
        <v>90</v>
      </c>
      <c r="CH16" s="144" t="s">
        <v>90</v>
      </c>
      <c r="CI16" s="129"/>
      <c r="CJ16" s="61"/>
      <c r="CK16" s="144" t="s">
        <v>451</v>
      </c>
      <c r="CL16" s="144" t="s">
        <v>451</v>
      </c>
      <c r="CM16" s="144"/>
      <c r="CN16" s="144" t="s">
        <v>843</v>
      </c>
      <c r="CO16" s="142"/>
      <c r="CS16" s="2"/>
      <c r="CT16"/>
      <c r="CU16"/>
      <c r="CV16"/>
      <c r="CW16"/>
      <c r="CX16" s="26"/>
      <c r="CY16"/>
      <c r="CZ16"/>
      <c r="DA16" s="38"/>
      <c r="DC16" s="2"/>
      <c r="DD16" s="2"/>
    </row>
    <row r="17" spans="2:108" ht="15" x14ac:dyDescent="0.25">
      <c r="H17" t="s">
        <v>399</v>
      </c>
      <c r="J17" s="61">
        <v>11</v>
      </c>
      <c r="K17" s="143" t="s">
        <v>832</v>
      </c>
      <c r="L17" s="144" t="s">
        <v>946</v>
      </c>
      <c r="M17" s="144" t="s">
        <v>939</v>
      </c>
      <c r="N17" s="128">
        <v>45233</v>
      </c>
      <c r="O17" s="144" t="s">
        <v>104</v>
      </c>
      <c r="P17" s="144" t="s">
        <v>90</v>
      </c>
      <c r="Q17" s="144" t="s">
        <v>948</v>
      </c>
      <c r="R17" s="144" t="s">
        <v>949</v>
      </c>
      <c r="S17" s="144" t="s">
        <v>90</v>
      </c>
      <c r="T17" s="144" t="s">
        <v>90</v>
      </c>
      <c r="U17" s="142" t="s">
        <v>1</v>
      </c>
      <c r="V17" s="144" t="s">
        <v>90</v>
      </c>
      <c r="W17" s="144" t="s">
        <v>90</v>
      </c>
      <c r="X17" s="61" t="s">
        <v>90</v>
      </c>
      <c r="Y17" s="144" t="s">
        <v>90</v>
      </c>
      <c r="Z17" s="144" t="s">
        <v>90</v>
      </c>
      <c r="AA17" s="144" t="s">
        <v>90</v>
      </c>
      <c r="AB17" s="144" t="s">
        <v>90</v>
      </c>
      <c r="AC17" s="144" t="s">
        <v>90</v>
      </c>
      <c r="AD17" s="144" t="s">
        <v>90</v>
      </c>
      <c r="AE17" s="144" t="s">
        <v>90</v>
      </c>
      <c r="AF17" s="144" t="s">
        <v>90</v>
      </c>
      <c r="AG17" s="129"/>
      <c r="AH17" s="144" t="s">
        <v>90</v>
      </c>
      <c r="AI17" s="129"/>
      <c r="AJ17" s="61" t="s">
        <v>90</v>
      </c>
      <c r="AK17" s="61" t="s">
        <v>90</v>
      </c>
      <c r="AL17" s="129"/>
      <c r="AM17" s="61" t="s">
        <v>90</v>
      </c>
      <c r="AN17" s="144">
        <v>4</v>
      </c>
      <c r="AO17" s="129"/>
      <c r="AP17" s="129"/>
      <c r="AQ17" s="61"/>
      <c r="AR17" s="144"/>
      <c r="AS17" s="61" t="s">
        <v>90</v>
      </c>
      <c r="AT17" s="144" t="s">
        <v>90</v>
      </c>
      <c r="AU17" s="144" t="s">
        <v>90</v>
      </c>
      <c r="AV17" s="144" t="s">
        <v>90</v>
      </c>
      <c r="AW17" s="61"/>
      <c r="AX17" s="144" t="s">
        <v>90</v>
      </c>
      <c r="AY17" s="144" t="s">
        <v>427</v>
      </c>
      <c r="AZ17" s="61" t="s">
        <v>661</v>
      </c>
      <c r="BA17" s="144" t="s">
        <v>90</v>
      </c>
      <c r="BB17" s="144" t="s">
        <v>90</v>
      </c>
      <c r="BC17" s="144" t="s">
        <v>90</v>
      </c>
      <c r="BD17" s="144" t="s">
        <v>90</v>
      </c>
      <c r="BE17" s="61"/>
      <c r="BF17" s="61"/>
      <c r="BG17" s="61"/>
      <c r="BH17" s="61"/>
      <c r="BI17" s="144" t="s">
        <v>90</v>
      </c>
      <c r="BJ17" s="144" t="s">
        <v>953</v>
      </c>
      <c r="BK17" s="144" t="s">
        <v>952</v>
      </c>
      <c r="BL17" s="61"/>
      <c r="BM17" s="61">
        <v>100</v>
      </c>
      <c r="BN17" s="144" t="s">
        <v>90</v>
      </c>
      <c r="BO17" s="144" t="s">
        <v>951</v>
      </c>
      <c r="BP17" s="144" t="s">
        <v>950</v>
      </c>
      <c r="BQ17" s="144" t="s">
        <v>90</v>
      </c>
      <c r="BR17" s="61">
        <v>10</v>
      </c>
      <c r="BS17" s="144" t="s">
        <v>437</v>
      </c>
      <c r="BT17" s="129">
        <v>46336</v>
      </c>
      <c r="BU17" s="61">
        <v>4</v>
      </c>
      <c r="BV17" s="144" t="s">
        <v>434</v>
      </c>
      <c r="BW17" s="144">
        <v>3.65</v>
      </c>
      <c r="BX17" s="144" t="s">
        <v>428</v>
      </c>
      <c r="BY17" s="144" t="s">
        <v>90</v>
      </c>
      <c r="BZ17" s="144" t="s">
        <v>428</v>
      </c>
      <c r="CA17" s="144" t="s">
        <v>947</v>
      </c>
      <c r="CB17" s="144" t="s">
        <v>222</v>
      </c>
      <c r="CC17" s="129"/>
      <c r="CD17" s="144" t="s">
        <v>7</v>
      </c>
      <c r="CE17" s="144" t="s">
        <v>17</v>
      </c>
      <c r="CF17" s="144" t="s">
        <v>7</v>
      </c>
      <c r="CG17" s="144" t="s">
        <v>90</v>
      </c>
      <c r="CH17" s="144" t="s">
        <v>90</v>
      </c>
      <c r="CI17" s="129"/>
      <c r="CJ17" s="61"/>
      <c r="CK17" s="144" t="s">
        <v>451</v>
      </c>
      <c r="CL17" s="144" t="s">
        <v>451</v>
      </c>
      <c r="CM17" s="144"/>
      <c r="CN17" s="144" t="s">
        <v>941</v>
      </c>
      <c r="CO17" s="142"/>
      <c r="CV17" s="2"/>
      <c r="CW17" s="2"/>
      <c r="CX17" s="2"/>
      <c r="CZ17" s="1"/>
      <c r="DA17" s="1"/>
      <c r="DC17" s="2"/>
      <c r="DD17" s="2"/>
    </row>
    <row r="18" spans="2:108" ht="18.75" x14ac:dyDescent="0.25">
      <c r="B18"/>
      <c r="G18" s="52"/>
      <c r="J18" s="61">
        <v>10</v>
      </c>
      <c r="K18" s="143" t="s">
        <v>721</v>
      </c>
      <c r="L18" s="144" t="s">
        <v>849</v>
      </c>
      <c r="M18" s="144" t="s">
        <v>848</v>
      </c>
      <c r="N18" s="128">
        <v>45232</v>
      </c>
      <c r="O18" s="144" t="s">
        <v>83</v>
      </c>
      <c r="P18" s="144" t="s">
        <v>90</v>
      </c>
      <c r="Q18" s="144" t="s">
        <v>90</v>
      </c>
      <c r="R18" s="144" t="s">
        <v>90</v>
      </c>
      <c r="S18" s="144" t="s">
        <v>911</v>
      </c>
      <c r="T18" s="144" t="s">
        <v>90</v>
      </c>
      <c r="U18" s="142" t="s">
        <v>1</v>
      </c>
      <c r="V18" s="144" t="s">
        <v>908</v>
      </c>
      <c r="W18" s="144" t="s">
        <v>126</v>
      </c>
      <c r="X18" s="61" t="s">
        <v>90</v>
      </c>
      <c r="Y18" s="144" t="s">
        <v>90</v>
      </c>
      <c r="Z18" s="144" t="s">
        <v>423</v>
      </c>
      <c r="AA18" s="144" t="s">
        <v>424</v>
      </c>
      <c r="AB18" s="144" t="s">
        <v>425</v>
      </c>
      <c r="AC18" s="144" t="s">
        <v>426</v>
      </c>
      <c r="AD18" s="144" t="s">
        <v>426</v>
      </c>
      <c r="AE18" s="144" t="s">
        <v>914</v>
      </c>
      <c r="AF18" s="144" t="s">
        <v>90</v>
      </c>
      <c r="AG18" s="129">
        <v>45237</v>
      </c>
      <c r="AH18" s="144" t="s">
        <v>90</v>
      </c>
      <c r="AI18" s="129">
        <v>45237</v>
      </c>
      <c r="AJ18" s="61" t="s">
        <v>849</v>
      </c>
      <c r="AK18" s="61" t="s">
        <v>913</v>
      </c>
      <c r="AL18" s="129">
        <v>45419</v>
      </c>
      <c r="AM18" s="61" t="s">
        <v>90</v>
      </c>
      <c r="AN18" s="144">
        <v>8</v>
      </c>
      <c r="AO18" s="129"/>
      <c r="AP18" s="129">
        <v>45237</v>
      </c>
      <c r="AQ18" s="61">
        <v>0.82279999999999998</v>
      </c>
      <c r="AR18" s="144">
        <v>1000</v>
      </c>
      <c r="AS18" s="61" t="s">
        <v>912</v>
      </c>
      <c r="AT18" s="144" t="s">
        <v>90</v>
      </c>
      <c r="AU18" s="144" t="s">
        <v>90</v>
      </c>
      <c r="AV18" s="144" t="s">
        <v>90</v>
      </c>
      <c r="AW18" s="61"/>
      <c r="AX18" s="144" t="s">
        <v>436</v>
      </c>
      <c r="AY18" s="144" t="s">
        <v>427</v>
      </c>
      <c r="AZ18" s="61" t="s">
        <v>661</v>
      </c>
      <c r="BA18" s="144" t="s">
        <v>372</v>
      </c>
      <c r="BB18" s="144" t="s">
        <v>428</v>
      </c>
      <c r="BC18" s="144" t="s">
        <v>429</v>
      </c>
      <c r="BD18" s="144" t="s">
        <v>290</v>
      </c>
      <c r="BE18" s="61"/>
      <c r="BF18" s="61"/>
      <c r="BG18" s="61"/>
      <c r="BH18" s="61"/>
      <c r="BI18" s="144" t="s">
        <v>90</v>
      </c>
      <c r="BJ18" s="144" t="s">
        <v>910</v>
      </c>
      <c r="BK18" s="144" t="s">
        <v>634</v>
      </c>
      <c r="BL18" s="61"/>
      <c r="BM18" s="61">
        <v>100</v>
      </c>
      <c r="BN18" s="144" t="s">
        <v>430</v>
      </c>
      <c r="BO18" s="144" t="s">
        <v>90</v>
      </c>
      <c r="BP18" s="144" t="s">
        <v>458</v>
      </c>
      <c r="BQ18" s="144" t="s">
        <v>432</v>
      </c>
      <c r="BR18" s="61"/>
      <c r="BS18" s="144" t="s">
        <v>437</v>
      </c>
      <c r="BT18" s="129">
        <v>46333</v>
      </c>
      <c r="BU18" s="61">
        <v>8</v>
      </c>
      <c r="BV18" s="144" t="s">
        <v>434</v>
      </c>
      <c r="BW18" s="144">
        <v>0.82299999999999995</v>
      </c>
      <c r="BX18" s="144" t="s">
        <v>428</v>
      </c>
      <c r="BY18" s="144" t="s">
        <v>428</v>
      </c>
      <c r="BZ18" s="144" t="s">
        <v>428</v>
      </c>
      <c r="CA18" s="144" t="s">
        <v>909</v>
      </c>
      <c r="CB18" s="144" t="s">
        <v>222</v>
      </c>
      <c r="CC18" s="129"/>
      <c r="CD18" s="144" t="s">
        <v>7</v>
      </c>
      <c r="CE18" s="144" t="s">
        <v>10</v>
      </c>
      <c r="CF18" s="144" t="s">
        <v>7</v>
      </c>
      <c r="CG18" s="144" t="s">
        <v>850</v>
      </c>
      <c r="CH18" s="144" t="s">
        <v>90</v>
      </c>
      <c r="CI18" s="129"/>
      <c r="CJ18" s="61"/>
      <c r="CK18" s="144" t="s">
        <v>81</v>
      </c>
      <c r="CL18" s="144" t="s">
        <v>81</v>
      </c>
      <c r="CM18" s="144" t="s">
        <v>651</v>
      </c>
      <c r="CN18" s="144" t="s">
        <v>855</v>
      </c>
      <c r="CO18" s="142"/>
      <c r="CV18" s="2"/>
      <c r="CW18" s="2"/>
      <c r="CX18" s="2"/>
      <c r="CZ18" s="1"/>
      <c r="DA18" s="1"/>
      <c r="DC18" s="2"/>
      <c r="DD18" s="2"/>
    </row>
    <row r="19" spans="2:108" ht="15.75" x14ac:dyDescent="0.25">
      <c r="E19" s="126"/>
      <c r="F19" s="126"/>
      <c r="J19" s="61">
        <v>9</v>
      </c>
      <c r="K19" s="143" t="s">
        <v>721</v>
      </c>
      <c r="L19" s="144" t="s">
        <v>844</v>
      </c>
      <c r="M19" s="144" t="s">
        <v>942</v>
      </c>
      <c r="N19" s="128">
        <v>45232</v>
      </c>
      <c r="O19" s="144" t="s">
        <v>83</v>
      </c>
      <c r="P19" s="144" t="s">
        <v>90</v>
      </c>
      <c r="Q19" s="144" t="s">
        <v>90</v>
      </c>
      <c r="R19" s="144" t="s">
        <v>90</v>
      </c>
      <c r="S19" s="144" t="s">
        <v>968</v>
      </c>
      <c r="T19" s="144" t="s">
        <v>90</v>
      </c>
      <c r="U19" s="142" t="s">
        <v>1</v>
      </c>
      <c r="V19" s="144" t="s">
        <v>965</v>
      </c>
      <c r="W19" s="144" t="s">
        <v>90</v>
      </c>
      <c r="X19" s="61" t="s">
        <v>90</v>
      </c>
      <c r="Y19" s="144" t="s">
        <v>90</v>
      </c>
      <c r="Z19" s="144" t="s">
        <v>423</v>
      </c>
      <c r="AA19" s="144" t="s">
        <v>424</v>
      </c>
      <c r="AB19" s="144" t="s">
        <v>425</v>
      </c>
      <c r="AC19" s="144" t="s">
        <v>426</v>
      </c>
      <c r="AD19" s="144" t="s">
        <v>426</v>
      </c>
      <c r="AE19" s="144" t="s">
        <v>970</v>
      </c>
      <c r="AF19" s="144" t="s">
        <v>90</v>
      </c>
      <c r="AG19" s="129">
        <v>45236</v>
      </c>
      <c r="AH19" s="144" t="s">
        <v>90</v>
      </c>
      <c r="AI19" s="129">
        <v>45236</v>
      </c>
      <c r="AJ19" s="61" t="s">
        <v>844</v>
      </c>
      <c r="AK19" s="61" t="s">
        <v>845</v>
      </c>
      <c r="AL19" s="129">
        <v>45600</v>
      </c>
      <c r="AM19" s="61" t="s">
        <v>90</v>
      </c>
      <c r="AN19" s="144">
        <v>8.5</v>
      </c>
      <c r="AO19" s="129"/>
      <c r="AP19" s="129">
        <v>45236</v>
      </c>
      <c r="AQ19" s="61">
        <v>0.98</v>
      </c>
      <c r="AR19" s="144">
        <v>1000</v>
      </c>
      <c r="AS19" s="61" t="s">
        <v>969</v>
      </c>
      <c r="AT19" s="144" t="s">
        <v>90</v>
      </c>
      <c r="AU19" s="144" t="s">
        <v>90</v>
      </c>
      <c r="AV19" s="144" t="s">
        <v>90</v>
      </c>
      <c r="AW19" s="61"/>
      <c r="AX19" s="144" t="s">
        <v>436</v>
      </c>
      <c r="AY19" s="144" t="s">
        <v>427</v>
      </c>
      <c r="AZ19" s="61" t="s">
        <v>917</v>
      </c>
      <c r="BA19" s="144" t="s">
        <v>372</v>
      </c>
      <c r="BB19" s="144" t="s">
        <v>428</v>
      </c>
      <c r="BC19" s="144" t="s">
        <v>429</v>
      </c>
      <c r="BD19" s="144" t="s">
        <v>290</v>
      </c>
      <c r="BE19" s="61"/>
      <c r="BF19" s="61"/>
      <c r="BG19" s="61"/>
      <c r="BH19" s="61"/>
      <c r="BI19" s="144" t="s">
        <v>90</v>
      </c>
      <c r="BJ19" s="144" t="s">
        <v>907</v>
      </c>
      <c r="BK19" s="144" t="s">
        <v>634</v>
      </c>
      <c r="BL19" s="61"/>
      <c r="BM19" s="61"/>
      <c r="BN19" s="144" t="s">
        <v>430</v>
      </c>
      <c r="BO19" s="144" t="s">
        <v>90</v>
      </c>
      <c r="BP19" s="144" t="s">
        <v>458</v>
      </c>
      <c r="BQ19" s="144" t="s">
        <v>432</v>
      </c>
      <c r="BR19" s="61"/>
      <c r="BS19" s="144" t="s">
        <v>433</v>
      </c>
      <c r="BT19" s="129">
        <v>45600</v>
      </c>
      <c r="BU19" s="61">
        <v>8.5</v>
      </c>
      <c r="BV19" s="144" t="s">
        <v>783</v>
      </c>
      <c r="BW19" s="144">
        <v>0.98</v>
      </c>
      <c r="BX19" s="144" t="s">
        <v>428</v>
      </c>
      <c r="BY19" s="144" t="s">
        <v>967</v>
      </c>
      <c r="BZ19" s="144" t="s">
        <v>428</v>
      </c>
      <c r="CA19" s="144" t="s">
        <v>966</v>
      </c>
      <c r="CB19" s="144" t="s">
        <v>222</v>
      </c>
      <c r="CC19" s="129"/>
      <c r="CD19" s="144" t="s">
        <v>7</v>
      </c>
      <c r="CE19" s="144" t="s">
        <v>10</v>
      </c>
      <c r="CF19" s="144" t="s">
        <v>7</v>
      </c>
      <c r="CG19" s="144" t="s">
        <v>421</v>
      </c>
      <c r="CH19" s="144" t="s">
        <v>90</v>
      </c>
      <c r="CI19" s="129"/>
      <c r="CJ19" s="61"/>
      <c r="CK19" s="144" t="s">
        <v>81</v>
      </c>
      <c r="CL19" s="144" t="s">
        <v>81</v>
      </c>
      <c r="CM19" s="144" t="s">
        <v>651</v>
      </c>
      <c r="CN19" s="144" t="s">
        <v>944</v>
      </c>
      <c r="CO19" s="142"/>
      <c r="CV19" s="2"/>
      <c r="CW19" s="2"/>
      <c r="CX19" s="2"/>
      <c r="CZ19" s="1"/>
      <c r="DA19" s="1"/>
      <c r="DC19" s="2"/>
      <c r="DD19" s="2"/>
    </row>
    <row r="20" spans="2:108" ht="15" x14ac:dyDescent="0.25">
      <c r="J20" s="61">
        <v>8</v>
      </c>
      <c r="K20" s="143" t="s">
        <v>832</v>
      </c>
      <c r="L20" s="144" t="s">
        <v>857</v>
      </c>
      <c r="M20" s="144" t="s">
        <v>856</v>
      </c>
      <c r="N20" s="128">
        <v>45232</v>
      </c>
      <c r="O20" s="144" t="s">
        <v>83</v>
      </c>
      <c r="P20" s="144" t="s">
        <v>90</v>
      </c>
      <c r="Q20" s="144" t="s">
        <v>963</v>
      </c>
      <c r="R20" s="144" t="s">
        <v>964</v>
      </c>
      <c r="S20" s="144" t="s">
        <v>901</v>
      </c>
      <c r="T20" s="144" t="s">
        <v>904</v>
      </c>
      <c r="U20" s="142" t="s">
        <v>82</v>
      </c>
      <c r="V20" s="144" t="s">
        <v>896</v>
      </c>
      <c r="W20" s="144" t="s">
        <v>126</v>
      </c>
      <c r="X20" s="61" t="s">
        <v>90</v>
      </c>
      <c r="Y20" s="144" t="s">
        <v>90</v>
      </c>
      <c r="Z20" s="144" t="s">
        <v>906</v>
      </c>
      <c r="AA20" s="144" t="s">
        <v>424</v>
      </c>
      <c r="AB20" s="144" t="s">
        <v>425</v>
      </c>
      <c r="AC20" s="144" t="s">
        <v>426</v>
      </c>
      <c r="AD20" s="144" t="s">
        <v>426</v>
      </c>
      <c r="AE20" s="144" t="s">
        <v>905</v>
      </c>
      <c r="AF20" s="144" t="s">
        <v>90</v>
      </c>
      <c r="AG20" s="129">
        <v>45239</v>
      </c>
      <c r="AH20" s="144" t="s">
        <v>90</v>
      </c>
      <c r="AI20" s="129">
        <v>45239</v>
      </c>
      <c r="AJ20" s="61" t="s">
        <v>857</v>
      </c>
      <c r="AK20" s="61" t="s">
        <v>860</v>
      </c>
      <c r="AL20" s="129">
        <v>45421</v>
      </c>
      <c r="AM20" s="61" t="s">
        <v>90</v>
      </c>
      <c r="AN20" s="144">
        <v>5.75</v>
      </c>
      <c r="AO20" s="129">
        <v>47035</v>
      </c>
      <c r="AP20" s="129">
        <v>45239</v>
      </c>
      <c r="AQ20" s="61">
        <v>5</v>
      </c>
      <c r="AR20" s="144">
        <v>1000</v>
      </c>
      <c r="AS20" s="61" t="s">
        <v>903</v>
      </c>
      <c r="AT20" s="144" t="s">
        <v>90</v>
      </c>
      <c r="AU20" s="144" t="s">
        <v>90</v>
      </c>
      <c r="AV20" s="144" t="s">
        <v>90</v>
      </c>
      <c r="AW20" s="61"/>
      <c r="AX20" s="144" t="s">
        <v>435</v>
      </c>
      <c r="AY20" s="144" t="s">
        <v>733</v>
      </c>
      <c r="AZ20" s="61" t="s">
        <v>902</v>
      </c>
      <c r="BA20" s="144" t="s">
        <v>90</v>
      </c>
      <c r="BB20" s="144" t="s">
        <v>428</v>
      </c>
      <c r="BC20" s="144" t="s">
        <v>459</v>
      </c>
      <c r="BD20" s="144" t="s">
        <v>290</v>
      </c>
      <c r="BE20" s="61"/>
      <c r="BF20" s="61"/>
      <c r="BG20" s="61"/>
      <c r="BH20" s="61"/>
      <c r="BI20" s="144" t="s">
        <v>90</v>
      </c>
      <c r="BJ20" s="144" t="s">
        <v>90</v>
      </c>
      <c r="BK20" s="144" t="s">
        <v>831</v>
      </c>
      <c r="BL20" s="61"/>
      <c r="BM20" s="61">
        <v>99.213999999999999</v>
      </c>
      <c r="BN20" s="144" t="s">
        <v>430</v>
      </c>
      <c r="BO20" s="144" t="s">
        <v>90</v>
      </c>
      <c r="BP20" s="144" t="s">
        <v>458</v>
      </c>
      <c r="BQ20" s="144" t="s">
        <v>432</v>
      </c>
      <c r="BR20" s="61">
        <v>25</v>
      </c>
      <c r="BS20" s="144" t="s">
        <v>821</v>
      </c>
      <c r="BT20" s="129">
        <v>47066</v>
      </c>
      <c r="BU20" s="61">
        <v>5.75</v>
      </c>
      <c r="BV20" s="144" t="s">
        <v>900</v>
      </c>
      <c r="BW20" s="144">
        <v>5</v>
      </c>
      <c r="BX20" s="144" t="s">
        <v>428</v>
      </c>
      <c r="BY20" s="144" t="s">
        <v>899</v>
      </c>
      <c r="BZ20" s="144" t="s">
        <v>898</v>
      </c>
      <c r="CA20" s="144" t="s">
        <v>897</v>
      </c>
      <c r="CB20" s="144" t="s">
        <v>222</v>
      </c>
      <c r="CC20" s="129"/>
      <c r="CD20" s="144" t="s">
        <v>7</v>
      </c>
      <c r="CE20" s="144" t="s">
        <v>28</v>
      </c>
      <c r="CF20" s="144" t="s">
        <v>7</v>
      </c>
      <c r="CG20" s="144" t="s">
        <v>858</v>
      </c>
      <c r="CH20" s="144" t="s">
        <v>90</v>
      </c>
      <c r="CI20" s="129"/>
      <c r="CJ20" s="61"/>
      <c r="CK20" s="144" t="s">
        <v>81</v>
      </c>
      <c r="CL20" s="144" t="s">
        <v>859</v>
      </c>
      <c r="CM20" s="144" t="s">
        <v>651</v>
      </c>
      <c r="CN20" s="144" t="s">
        <v>864</v>
      </c>
      <c r="CO20" s="142"/>
      <c r="CV20" s="2"/>
      <c r="CW20" s="2"/>
      <c r="CX20" s="2"/>
      <c r="CZ20" s="1"/>
      <c r="DA20" s="1"/>
      <c r="DC20" s="2"/>
      <c r="DD20" s="2"/>
    </row>
    <row r="21" spans="2:108" ht="15" x14ac:dyDescent="0.25">
      <c r="J21" s="61">
        <v>7</v>
      </c>
      <c r="K21" s="143" t="s">
        <v>721</v>
      </c>
      <c r="L21" s="144" t="s">
        <v>751</v>
      </c>
      <c r="M21" s="144" t="s">
        <v>750</v>
      </c>
      <c r="N21" s="128">
        <v>45231</v>
      </c>
      <c r="O21" s="144" t="s">
        <v>242</v>
      </c>
      <c r="P21" s="144" t="s">
        <v>90</v>
      </c>
      <c r="Q21" s="144" t="s">
        <v>90</v>
      </c>
      <c r="R21" s="144" t="s">
        <v>720</v>
      </c>
      <c r="S21" s="144" t="s">
        <v>773</v>
      </c>
      <c r="T21" s="144" t="s">
        <v>779</v>
      </c>
      <c r="U21" s="142" t="s">
        <v>2</v>
      </c>
      <c r="V21" s="144" t="s">
        <v>768</v>
      </c>
      <c r="W21" s="144" t="s">
        <v>126</v>
      </c>
      <c r="X21" s="61" t="s">
        <v>90</v>
      </c>
      <c r="Y21" s="144" t="s">
        <v>90</v>
      </c>
      <c r="Z21" s="144" t="s">
        <v>423</v>
      </c>
      <c r="AA21" s="144" t="s">
        <v>424</v>
      </c>
      <c r="AB21" s="144" t="s">
        <v>425</v>
      </c>
      <c r="AC21" s="144" t="s">
        <v>426</v>
      </c>
      <c r="AD21" s="144" t="s">
        <v>426</v>
      </c>
      <c r="AE21" s="144" t="s">
        <v>780</v>
      </c>
      <c r="AF21" s="144" t="s">
        <v>778</v>
      </c>
      <c r="AG21" s="129">
        <v>45238</v>
      </c>
      <c r="AH21" s="144" t="s">
        <v>720</v>
      </c>
      <c r="AI21" s="129">
        <v>45238</v>
      </c>
      <c r="AJ21" s="61" t="s">
        <v>751</v>
      </c>
      <c r="AK21" s="61" t="s">
        <v>777</v>
      </c>
      <c r="AL21" s="129">
        <v>45420</v>
      </c>
      <c r="AM21" s="61" t="s">
        <v>90</v>
      </c>
      <c r="AN21" s="144">
        <v>2.2999999999999998</v>
      </c>
      <c r="AO21" s="129"/>
      <c r="AP21" s="129">
        <v>45238</v>
      </c>
      <c r="AQ21" s="61">
        <v>39</v>
      </c>
      <c r="AR21" s="144">
        <v>10000000</v>
      </c>
      <c r="AS21" s="61" t="s">
        <v>776</v>
      </c>
      <c r="AT21" s="144" t="s">
        <v>775</v>
      </c>
      <c r="AU21" s="144" t="s">
        <v>90</v>
      </c>
      <c r="AV21" s="144" t="s">
        <v>90</v>
      </c>
      <c r="AW21" s="61"/>
      <c r="AX21" s="144" t="s">
        <v>436</v>
      </c>
      <c r="AY21" s="144" t="s">
        <v>427</v>
      </c>
      <c r="AZ21" s="61" t="s">
        <v>661</v>
      </c>
      <c r="BA21" s="144" t="s">
        <v>438</v>
      </c>
      <c r="BB21" s="144" t="s">
        <v>428</v>
      </c>
      <c r="BC21" s="144" t="s">
        <v>774</v>
      </c>
      <c r="BD21" s="144" t="s">
        <v>290</v>
      </c>
      <c r="BE21" s="61"/>
      <c r="BF21" s="61"/>
      <c r="BG21" s="61"/>
      <c r="BH21" s="61"/>
      <c r="BI21" s="144" t="s">
        <v>90</v>
      </c>
      <c r="BJ21" s="144" t="s">
        <v>772</v>
      </c>
      <c r="BK21" s="144" t="s">
        <v>634</v>
      </c>
      <c r="BL21" s="61"/>
      <c r="BM21" s="61">
        <v>100</v>
      </c>
      <c r="BN21" s="144" t="s">
        <v>430</v>
      </c>
      <c r="BO21" s="144" t="s">
        <v>771</v>
      </c>
      <c r="BP21" s="144" t="s">
        <v>770</v>
      </c>
      <c r="BQ21" s="144" t="s">
        <v>432</v>
      </c>
      <c r="BR21" s="61"/>
      <c r="BS21" s="144" t="s">
        <v>437</v>
      </c>
      <c r="BT21" s="129">
        <v>46334</v>
      </c>
      <c r="BU21" s="61">
        <v>2.2999999999999998</v>
      </c>
      <c r="BV21" s="144" t="s">
        <v>434</v>
      </c>
      <c r="BW21" s="144">
        <v>39</v>
      </c>
      <c r="BX21" s="144" t="s">
        <v>428</v>
      </c>
      <c r="BY21" s="144" t="s">
        <v>428</v>
      </c>
      <c r="BZ21" s="144" t="s">
        <v>428</v>
      </c>
      <c r="CA21" s="144" t="s">
        <v>769</v>
      </c>
      <c r="CB21" s="144" t="s">
        <v>222</v>
      </c>
      <c r="CC21" s="129"/>
      <c r="CD21" s="144" t="s">
        <v>7</v>
      </c>
      <c r="CE21" s="144" t="s">
        <v>10</v>
      </c>
      <c r="CF21" s="144" t="s">
        <v>7</v>
      </c>
      <c r="CG21" s="144" t="s">
        <v>850</v>
      </c>
      <c r="CH21" s="144" t="s">
        <v>90</v>
      </c>
      <c r="CI21" s="129"/>
      <c r="CJ21" s="61"/>
      <c r="CK21" s="144" t="s">
        <v>81</v>
      </c>
      <c r="CL21" s="144" t="s">
        <v>81</v>
      </c>
      <c r="CM21" s="144" t="s">
        <v>651</v>
      </c>
      <c r="CN21" s="144" t="s">
        <v>752</v>
      </c>
      <c r="CO21" s="142"/>
      <c r="CV21" s="2"/>
      <c r="CW21" s="2"/>
      <c r="CX21" s="2"/>
      <c r="CZ21" s="1"/>
      <c r="DA21" s="1"/>
      <c r="DC21" s="2"/>
      <c r="DD21" s="2"/>
    </row>
    <row r="22" spans="2:108" ht="15" x14ac:dyDescent="0.25">
      <c r="J22" s="61">
        <v>6</v>
      </c>
      <c r="K22" s="143" t="s">
        <v>832</v>
      </c>
      <c r="L22" s="144" t="s">
        <v>759</v>
      </c>
      <c r="M22" s="144" t="s">
        <v>758</v>
      </c>
      <c r="N22" s="128">
        <v>45230</v>
      </c>
      <c r="O22" s="144" t="s">
        <v>104</v>
      </c>
      <c r="P22" s="144" t="s">
        <v>90</v>
      </c>
      <c r="Q22" s="144" t="s">
        <v>925</v>
      </c>
      <c r="R22" s="144" t="s">
        <v>401</v>
      </c>
      <c r="S22" s="144" t="s">
        <v>806</v>
      </c>
      <c r="T22" s="144" t="s">
        <v>809</v>
      </c>
      <c r="U22" s="142" t="s">
        <v>2</v>
      </c>
      <c r="V22" s="144" t="s">
        <v>800</v>
      </c>
      <c r="W22" s="144" t="s">
        <v>126</v>
      </c>
      <c r="X22" s="61" t="s">
        <v>90</v>
      </c>
      <c r="Y22" s="144" t="s">
        <v>90</v>
      </c>
      <c r="Z22" s="144" t="s">
        <v>423</v>
      </c>
      <c r="AA22" s="144" t="s">
        <v>424</v>
      </c>
      <c r="AB22" s="144" t="s">
        <v>425</v>
      </c>
      <c r="AC22" s="144" t="s">
        <v>426</v>
      </c>
      <c r="AD22" s="144" t="s">
        <v>426</v>
      </c>
      <c r="AE22" s="144" t="s">
        <v>810</v>
      </c>
      <c r="AF22" s="144" t="s">
        <v>778</v>
      </c>
      <c r="AG22" s="129">
        <v>45233</v>
      </c>
      <c r="AH22" s="144" t="s">
        <v>401</v>
      </c>
      <c r="AI22" s="129">
        <v>45233</v>
      </c>
      <c r="AJ22" s="61" t="s">
        <v>90</v>
      </c>
      <c r="AK22" s="61" t="s">
        <v>759</v>
      </c>
      <c r="AL22" s="129">
        <v>45415</v>
      </c>
      <c r="AM22" s="61" t="s">
        <v>90</v>
      </c>
      <c r="AN22" s="144">
        <v>4.8</v>
      </c>
      <c r="AO22" s="129"/>
      <c r="AP22" s="129">
        <v>45233</v>
      </c>
      <c r="AQ22" s="61">
        <v>3.58</v>
      </c>
      <c r="AR22" s="144">
        <v>10000</v>
      </c>
      <c r="AS22" s="61" t="s">
        <v>808</v>
      </c>
      <c r="AT22" s="144" t="s">
        <v>807</v>
      </c>
      <c r="AU22" s="144" t="s">
        <v>90</v>
      </c>
      <c r="AV22" s="144" t="s">
        <v>90</v>
      </c>
      <c r="AW22" s="61"/>
      <c r="AX22" s="144" t="s">
        <v>436</v>
      </c>
      <c r="AY22" s="144" t="s">
        <v>427</v>
      </c>
      <c r="AZ22" s="61" t="s">
        <v>665</v>
      </c>
      <c r="BA22" s="144" t="s">
        <v>438</v>
      </c>
      <c r="BB22" s="144" t="s">
        <v>428</v>
      </c>
      <c r="BC22" s="144" t="s">
        <v>734</v>
      </c>
      <c r="BD22" s="144" t="s">
        <v>290</v>
      </c>
      <c r="BE22" s="61"/>
      <c r="BF22" s="61"/>
      <c r="BG22" s="61"/>
      <c r="BH22" s="61"/>
      <c r="BI22" s="144" t="s">
        <v>90</v>
      </c>
      <c r="BJ22" s="144" t="s">
        <v>805</v>
      </c>
      <c r="BK22" s="144" t="s">
        <v>804</v>
      </c>
      <c r="BL22" s="61"/>
      <c r="BM22" s="61">
        <v>100</v>
      </c>
      <c r="BN22" s="144" t="s">
        <v>430</v>
      </c>
      <c r="BO22" s="144" t="s">
        <v>803</v>
      </c>
      <c r="BP22" s="144" t="s">
        <v>802</v>
      </c>
      <c r="BQ22" s="144" t="s">
        <v>432</v>
      </c>
      <c r="BR22" s="61">
        <v>0</v>
      </c>
      <c r="BS22" s="144" t="s">
        <v>437</v>
      </c>
      <c r="BT22" s="129">
        <v>46329</v>
      </c>
      <c r="BU22" s="61">
        <v>4.8</v>
      </c>
      <c r="BV22" s="144" t="s">
        <v>434</v>
      </c>
      <c r="BW22" s="144">
        <v>3.58</v>
      </c>
      <c r="BX22" s="144" t="s">
        <v>428</v>
      </c>
      <c r="BY22" s="144" t="s">
        <v>428</v>
      </c>
      <c r="BZ22" s="144" t="s">
        <v>428</v>
      </c>
      <c r="CA22" s="144" t="s">
        <v>801</v>
      </c>
      <c r="CB22" s="144" t="s">
        <v>222</v>
      </c>
      <c r="CC22" s="129"/>
      <c r="CD22" s="144" t="s">
        <v>7</v>
      </c>
      <c r="CE22" s="144" t="s">
        <v>15</v>
      </c>
      <c r="CF22" s="144" t="s">
        <v>7</v>
      </c>
      <c r="CG22" s="144" t="s">
        <v>230</v>
      </c>
      <c r="CH22" s="144" t="s">
        <v>90</v>
      </c>
      <c r="CI22" s="129"/>
      <c r="CJ22" s="61"/>
      <c r="CK22" s="144" t="s">
        <v>81</v>
      </c>
      <c r="CL22" s="144" t="s">
        <v>81</v>
      </c>
      <c r="CM22" s="144" t="s">
        <v>651</v>
      </c>
      <c r="CN22" s="144" t="s">
        <v>760</v>
      </c>
      <c r="CO22" s="142"/>
      <c r="CW22" s="2"/>
      <c r="CX22" s="2"/>
      <c r="DA22" s="1"/>
      <c r="DC22" s="2"/>
      <c r="DD22" s="2"/>
    </row>
    <row r="23" spans="2:108" ht="15.75" x14ac:dyDescent="0.25">
      <c r="D23" s="112"/>
      <c r="E23" s="112"/>
      <c r="F23" s="112"/>
      <c r="H23" s="26" t="s">
        <v>450</v>
      </c>
      <c r="J23" s="61">
        <v>5</v>
      </c>
      <c r="K23" s="143" t="s">
        <v>832</v>
      </c>
      <c r="L23" s="144" t="s">
        <v>754</v>
      </c>
      <c r="M23" s="144" t="s">
        <v>753</v>
      </c>
      <c r="N23" s="128">
        <v>45230</v>
      </c>
      <c r="O23" s="144" t="s">
        <v>83</v>
      </c>
      <c r="P23" s="144" t="s">
        <v>90</v>
      </c>
      <c r="Q23" s="144" t="s">
        <v>924</v>
      </c>
      <c r="R23" s="144" t="s">
        <v>796</v>
      </c>
      <c r="S23" s="144" t="s">
        <v>797</v>
      </c>
      <c r="T23" s="144" t="s">
        <v>798</v>
      </c>
      <c r="U23" s="142" t="s">
        <v>2</v>
      </c>
      <c r="V23" s="144" t="s">
        <v>794</v>
      </c>
      <c r="W23" s="144" t="s">
        <v>126</v>
      </c>
      <c r="X23" s="61" t="s">
        <v>90</v>
      </c>
      <c r="Y23" s="144" t="s">
        <v>90</v>
      </c>
      <c r="Z23" s="144" t="s">
        <v>423</v>
      </c>
      <c r="AA23" s="144" t="s">
        <v>424</v>
      </c>
      <c r="AB23" s="144" t="s">
        <v>425</v>
      </c>
      <c r="AC23" s="144" t="s">
        <v>426</v>
      </c>
      <c r="AD23" s="144" t="s">
        <v>426</v>
      </c>
      <c r="AE23" s="144" t="s">
        <v>799</v>
      </c>
      <c r="AF23" s="144" t="s">
        <v>791</v>
      </c>
      <c r="AG23" s="129">
        <v>45237</v>
      </c>
      <c r="AH23" s="144" t="s">
        <v>796</v>
      </c>
      <c r="AI23" s="129">
        <v>45237</v>
      </c>
      <c r="AJ23" s="61" t="s">
        <v>754</v>
      </c>
      <c r="AK23" s="61" t="s">
        <v>790</v>
      </c>
      <c r="AL23" s="129">
        <v>45419</v>
      </c>
      <c r="AM23" s="61" t="s">
        <v>90</v>
      </c>
      <c r="AN23" s="144">
        <v>6.9</v>
      </c>
      <c r="AO23" s="129"/>
      <c r="AP23" s="129">
        <v>45237</v>
      </c>
      <c r="AQ23" s="61">
        <v>1.7</v>
      </c>
      <c r="AR23" s="144">
        <v>1000</v>
      </c>
      <c r="AS23" s="61" t="s">
        <v>789</v>
      </c>
      <c r="AT23" s="144" t="s">
        <v>788</v>
      </c>
      <c r="AU23" s="144" t="s">
        <v>90</v>
      </c>
      <c r="AV23" s="144" t="s">
        <v>90</v>
      </c>
      <c r="AW23" s="61"/>
      <c r="AX23" s="144" t="s">
        <v>436</v>
      </c>
      <c r="AY23" s="144" t="s">
        <v>427</v>
      </c>
      <c r="AZ23" s="61" t="s">
        <v>816</v>
      </c>
      <c r="BA23" s="144" t="s">
        <v>440</v>
      </c>
      <c r="BB23" s="144" t="s">
        <v>428</v>
      </c>
      <c r="BC23" s="144" t="s">
        <v>718</v>
      </c>
      <c r="BD23" s="144" t="s">
        <v>290</v>
      </c>
      <c r="BE23" s="61"/>
      <c r="BF23" s="61"/>
      <c r="BG23" s="61"/>
      <c r="BH23" s="61"/>
      <c r="BI23" s="144" t="s">
        <v>90</v>
      </c>
      <c r="BJ23" s="144" t="s">
        <v>786</v>
      </c>
      <c r="BK23" s="144" t="s">
        <v>719</v>
      </c>
      <c r="BL23" s="61"/>
      <c r="BM23" s="61">
        <v>100</v>
      </c>
      <c r="BN23" s="144" t="s">
        <v>430</v>
      </c>
      <c r="BO23" s="144" t="s">
        <v>90</v>
      </c>
      <c r="BP23" s="144" t="s">
        <v>458</v>
      </c>
      <c r="BQ23" s="144" t="s">
        <v>432</v>
      </c>
      <c r="BR23" s="61">
        <v>10</v>
      </c>
      <c r="BS23" s="144" t="s">
        <v>784</v>
      </c>
      <c r="BT23" s="129">
        <v>45601</v>
      </c>
      <c r="BU23" s="61">
        <v>6.9</v>
      </c>
      <c r="BV23" s="144" t="s">
        <v>783</v>
      </c>
      <c r="BW23" s="144">
        <v>1.7</v>
      </c>
      <c r="BX23" s="144" t="s">
        <v>428</v>
      </c>
      <c r="BY23" s="144" t="s">
        <v>428</v>
      </c>
      <c r="BZ23" s="144" t="s">
        <v>428</v>
      </c>
      <c r="CA23" s="144" t="s">
        <v>795</v>
      </c>
      <c r="CB23" s="144" t="s">
        <v>222</v>
      </c>
      <c r="CC23" s="129"/>
      <c r="CD23" s="144" t="s">
        <v>7</v>
      </c>
      <c r="CE23" s="144" t="s">
        <v>16</v>
      </c>
      <c r="CF23" s="144" t="s">
        <v>7</v>
      </c>
      <c r="CG23" s="144" t="s">
        <v>421</v>
      </c>
      <c r="CH23" s="144" t="s">
        <v>90</v>
      </c>
      <c r="CI23" s="129"/>
      <c r="CJ23" s="61"/>
      <c r="CK23" s="144" t="s">
        <v>81</v>
      </c>
      <c r="CL23" s="144" t="s">
        <v>81</v>
      </c>
      <c r="CM23" s="144" t="s">
        <v>651</v>
      </c>
      <c r="CN23" s="144" t="s">
        <v>755</v>
      </c>
      <c r="CO23" s="142"/>
      <c r="CW23" s="2"/>
      <c r="CX23" s="2"/>
      <c r="DA23" s="1"/>
      <c r="DC23" s="2"/>
      <c r="DD23" s="2"/>
    </row>
    <row r="24" spans="2:108" ht="15.75" x14ac:dyDescent="0.25">
      <c r="D24" s="112"/>
      <c r="E24" s="112"/>
      <c r="F24" s="112"/>
      <c r="H24" t="s">
        <v>945</v>
      </c>
      <c r="J24" s="61">
        <v>4</v>
      </c>
      <c r="K24" s="143" t="s">
        <v>832</v>
      </c>
      <c r="L24" s="144" t="s">
        <v>754</v>
      </c>
      <c r="M24" s="144" t="s">
        <v>756</v>
      </c>
      <c r="N24" s="128">
        <v>45230</v>
      </c>
      <c r="O24" s="144" t="s">
        <v>104</v>
      </c>
      <c r="P24" s="144" t="s">
        <v>90</v>
      </c>
      <c r="Q24" s="144" t="s">
        <v>923</v>
      </c>
      <c r="R24" s="144" t="s">
        <v>785</v>
      </c>
      <c r="S24" s="144" t="s">
        <v>787</v>
      </c>
      <c r="T24" s="144" t="s">
        <v>792</v>
      </c>
      <c r="U24" s="142" t="s">
        <v>2</v>
      </c>
      <c r="V24" s="144" t="s">
        <v>781</v>
      </c>
      <c r="W24" s="144" t="s">
        <v>126</v>
      </c>
      <c r="X24" s="61" t="s">
        <v>90</v>
      </c>
      <c r="Y24" s="144" t="s">
        <v>90</v>
      </c>
      <c r="Z24" s="144" t="s">
        <v>423</v>
      </c>
      <c r="AA24" s="144" t="s">
        <v>424</v>
      </c>
      <c r="AB24" s="144" t="s">
        <v>425</v>
      </c>
      <c r="AC24" s="144" t="s">
        <v>426</v>
      </c>
      <c r="AD24" s="144" t="s">
        <v>426</v>
      </c>
      <c r="AE24" s="144" t="s">
        <v>793</v>
      </c>
      <c r="AF24" s="144" t="s">
        <v>791</v>
      </c>
      <c r="AG24" s="129">
        <v>45237</v>
      </c>
      <c r="AH24" s="144" t="s">
        <v>785</v>
      </c>
      <c r="AI24" s="129">
        <v>45237</v>
      </c>
      <c r="AJ24" s="61" t="s">
        <v>754</v>
      </c>
      <c r="AK24" s="61" t="s">
        <v>790</v>
      </c>
      <c r="AL24" s="129">
        <v>45419</v>
      </c>
      <c r="AM24" s="61" t="s">
        <v>90</v>
      </c>
      <c r="AN24" s="144">
        <v>4.3</v>
      </c>
      <c r="AO24" s="129"/>
      <c r="AP24" s="129">
        <v>45237</v>
      </c>
      <c r="AQ24" s="61">
        <v>9</v>
      </c>
      <c r="AR24" s="144">
        <v>10000</v>
      </c>
      <c r="AS24" s="61" t="s">
        <v>789</v>
      </c>
      <c r="AT24" s="144" t="s">
        <v>788</v>
      </c>
      <c r="AU24" s="144" t="s">
        <v>90</v>
      </c>
      <c r="AV24" s="144" t="s">
        <v>90</v>
      </c>
      <c r="AW24" s="61"/>
      <c r="AX24" s="144" t="s">
        <v>436</v>
      </c>
      <c r="AY24" s="144" t="s">
        <v>427</v>
      </c>
      <c r="AZ24" s="61" t="s">
        <v>816</v>
      </c>
      <c r="BA24" s="144" t="s">
        <v>440</v>
      </c>
      <c r="BB24" s="144" t="s">
        <v>428</v>
      </c>
      <c r="BC24" s="144" t="s">
        <v>718</v>
      </c>
      <c r="BD24" s="144" t="s">
        <v>290</v>
      </c>
      <c r="BE24" s="61"/>
      <c r="BF24" s="61"/>
      <c r="BG24" s="61"/>
      <c r="BH24" s="61"/>
      <c r="BI24" s="144" t="s">
        <v>90</v>
      </c>
      <c r="BJ24" s="144" t="s">
        <v>786</v>
      </c>
      <c r="BK24" s="144" t="s">
        <v>719</v>
      </c>
      <c r="BL24" s="61"/>
      <c r="BM24" s="61">
        <v>100</v>
      </c>
      <c r="BN24" s="144" t="s">
        <v>430</v>
      </c>
      <c r="BO24" s="144" t="s">
        <v>90</v>
      </c>
      <c r="BP24" s="144" t="s">
        <v>458</v>
      </c>
      <c r="BQ24" s="144" t="s">
        <v>432</v>
      </c>
      <c r="BR24" s="61">
        <v>50</v>
      </c>
      <c r="BS24" s="144" t="s">
        <v>784</v>
      </c>
      <c r="BT24" s="129">
        <v>45601</v>
      </c>
      <c r="BU24" s="61">
        <v>4.3</v>
      </c>
      <c r="BV24" s="144" t="s">
        <v>783</v>
      </c>
      <c r="BW24" s="144">
        <v>9</v>
      </c>
      <c r="BX24" s="144" t="s">
        <v>428</v>
      </c>
      <c r="BY24" s="144" t="s">
        <v>428</v>
      </c>
      <c r="BZ24" s="144" t="s">
        <v>428</v>
      </c>
      <c r="CA24" s="144" t="s">
        <v>782</v>
      </c>
      <c r="CB24" s="144" t="s">
        <v>222</v>
      </c>
      <c r="CC24" s="129"/>
      <c r="CD24" s="144" t="s">
        <v>7</v>
      </c>
      <c r="CE24" s="144" t="s">
        <v>16</v>
      </c>
      <c r="CF24" s="144" t="s">
        <v>7</v>
      </c>
      <c r="CG24" s="144" t="s">
        <v>421</v>
      </c>
      <c r="CH24" s="144" t="s">
        <v>90</v>
      </c>
      <c r="CI24" s="129"/>
      <c r="CJ24" s="61"/>
      <c r="CK24" s="144" t="s">
        <v>81</v>
      </c>
      <c r="CL24" s="144" t="s">
        <v>81</v>
      </c>
      <c r="CM24" s="144" t="s">
        <v>651</v>
      </c>
      <c r="CN24" s="144" t="s">
        <v>757</v>
      </c>
      <c r="CO24" s="142"/>
      <c r="CW24" s="2"/>
      <c r="CX24" s="2"/>
      <c r="DA24" s="1"/>
      <c r="DB24" s="1"/>
      <c r="DC24" s="2"/>
      <c r="DD24" s="2"/>
    </row>
    <row r="25" spans="2:108" ht="15.75" x14ac:dyDescent="0.25">
      <c r="D25" s="112"/>
      <c r="E25" s="112"/>
      <c r="F25" s="112"/>
      <c r="H25" t="s">
        <v>269</v>
      </c>
      <c r="J25" s="61">
        <v>3</v>
      </c>
      <c r="K25" s="143" t="s">
        <v>642</v>
      </c>
      <c r="L25" s="144" t="s">
        <v>766</v>
      </c>
      <c r="M25" s="144" t="s">
        <v>765</v>
      </c>
      <c r="N25" s="128">
        <v>45229</v>
      </c>
      <c r="O25" s="144" t="s">
        <v>108</v>
      </c>
      <c r="P25" s="144" t="s">
        <v>90</v>
      </c>
      <c r="Q25" s="144" t="s">
        <v>90</v>
      </c>
      <c r="R25" s="144" t="s">
        <v>90</v>
      </c>
      <c r="S25" s="144" t="s">
        <v>825</v>
      </c>
      <c r="T25" s="144" t="s">
        <v>829</v>
      </c>
      <c r="U25" s="142" t="s">
        <v>1</v>
      </c>
      <c r="V25" s="144" t="s">
        <v>817</v>
      </c>
      <c r="W25" s="144" t="s">
        <v>90</v>
      </c>
      <c r="X25" s="61" t="s">
        <v>766</v>
      </c>
      <c r="Y25" s="144" t="s">
        <v>90</v>
      </c>
      <c r="Z25" s="144" t="s">
        <v>423</v>
      </c>
      <c r="AA25" s="144" t="s">
        <v>424</v>
      </c>
      <c r="AB25" s="144" t="s">
        <v>425</v>
      </c>
      <c r="AC25" s="144" t="s">
        <v>426</v>
      </c>
      <c r="AD25" s="144" t="s">
        <v>426</v>
      </c>
      <c r="AE25" s="144" t="s">
        <v>830</v>
      </c>
      <c r="AF25" s="144" t="s">
        <v>90</v>
      </c>
      <c r="AG25" s="129">
        <v>45233</v>
      </c>
      <c r="AH25" s="144" t="s">
        <v>90</v>
      </c>
      <c r="AI25" s="129">
        <v>45233</v>
      </c>
      <c r="AJ25" s="61" t="s">
        <v>90</v>
      </c>
      <c r="AK25" s="61" t="s">
        <v>828</v>
      </c>
      <c r="AL25" s="129">
        <v>45597</v>
      </c>
      <c r="AM25" s="61" t="s">
        <v>90</v>
      </c>
      <c r="AN25" s="144">
        <v>5.5</v>
      </c>
      <c r="AO25" s="129"/>
      <c r="AP25" s="129">
        <v>45233</v>
      </c>
      <c r="AQ25" s="61">
        <v>1.08</v>
      </c>
      <c r="AR25" s="144">
        <v>1000</v>
      </c>
      <c r="AS25" s="61" t="s">
        <v>827</v>
      </c>
      <c r="AT25" s="144" t="s">
        <v>90</v>
      </c>
      <c r="AU25" s="144" t="s">
        <v>90</v>
      </c>
      <c r="AV25" s="144" t="s">
        <v>90</v>
      </c>
      <c r="AW25" s="61"/>
      <c r="AX25" s="144" t="s">
        <v>826</v>
      </c>
      <c r="AY25" s="144" t="s">
        <v>427</v>
      </c>
      <c r="AZ25" s="61" t="s">
        <v>917</v>
      </c>
      <c r="BA25" s="144" t="s">
        <v>372</v>
      </c>
      <c r="BB25" s="144" t="s">
        <v>428</v>
      </c>
      <c r="BC25" s="144" t="s">
        <v>429</v>
      </c>
      <c r="BD25" s="144" t="s">
        <v>290</v>
      </c>
      <c r="BE25" s="61"/>
      <c r="BF25" s="61"/>
      <c r="BG25" s="61"/>
      <c r="BH25" s="61"/>
      <c r="BI25" s="144" t="s">
        <v>90</v>
      </c>
      <c r="BJ25" s="144" t="s">
        <v>824</v>
      </c>
      <c r="BK25" s="144" t="s">
        <v>823</v>
      </c>
      <c r="BL25" s="61"/>
      <c r="BM25" s="61">
        <v>100</v>
      </c>
      <c r="BN25" s="144" t="s">
        <v>430</v>
      </c>
      <c r="BO25" s="144" t="s">
        <v>90</v>
      </c>
      <c r="BP25" s="144" t="s">
        <v>822</v>
      </c>
      <c r="BQ25" s="144" t="s">
        <v>432</v>
      </c>
      <c r="BR25" s="61"/>
      <c r="BS25" s="144" t="s">
        <v>821</v>
      </c>
      <c r="BT25" s="129">
        <v>45597</v>
      </c>
      <c r="BU25" s="61">
        <v>5.5</v>
      </c>
      <c r="BV25" s="144" t="s">
        <v>783</v>
      </c>
      <c r="BW25" s="144">
        <v>1.08</v>
      </c>
      <c r="BX25" s="144" t="s">
        <v>428</v>
      </c>
      <c r="BY25" s="144" t="s">
        <v>820</v>
      </c>
      <c r="BZ25" s="144" t="s">
        <v>819</v>
      </c>
      <c r="CA25" s="144" t="s">
        <v>818</v>
      </c>
      <c r="CB25" s="144" t="s">
        <v>222</v>
      </c>
      <c r="CC25" s="129"/>
      <c r="CD25" s="144" t="s">
        <v>7</v>
      </c>
      <c r="CE25" s="144" t="s">
        <v>14</v>
      </c>
      <c r="CF25" s="144" t="s">
        <v>7</v>
      </c>
      <c r="CG25" s="144" t="s">
        <v>850</v>
      </c>
      <c r="CH25" s="144" t="s">
        <v>90</v>
      </c>
      <c r="CI25" s="129"/>
      <c r="CJ25" s="61"/>
      <c r="CK25" s="144" t="s">
        <v>81</v>
      </c>
      <c r="CL25" s="144" t="s">
        <v>918</v>
      </c>
      <c r="CM25" s="144" t="s">
        <v>651</v>
      </c>
      <c r="CN25" s="144" t="s">
        <v>767</v>
      </c>
      <c r="CO25" s="142"/>
      <c r="CW25" s="2"/>
      <c r="CX25" s="2"/>
      <c r="DA25" s="1"/>
      <c r="DB25" s="1"/>
      <c r="DC25" s="2"/>
      <c r="DD25" s="2"/>
    </row>
    <row r="26" spans="2:108" ht="15.75" x14ac:dyDescent="0.25">
      <c r="D26" s="112"/>
      <c r="E26" s="112"/>
      <c r="F26" s="112"/>
      <c r="J26" s="61">
        <v>2</v>
      </c>
      <c r="K26" s="143" t="s">
        <v>628</v>
      </c>
      <c r="L26" s="144" t="s">
        <v>630</v>
      </c>
      <c r="M26" s="144" t="s">
        <v>761</v>
      </c>
      <c r="N26" s="128">
        <v>45229</v>
      </c>
      <c r="O26" s="144" t="s">
        <v>83</v>
      </c>
      <c r="P26" s="144" t="s">
        <v>90</v>
      </c>
      <c r="Q26" s="144" t="s">
        <v>90</v>
      </c>
      <c r="R26" s="144" t="s">
        <v>90</v>
      </c>
      <c r="S26" s="144" t="s">
        <v>631</v>
      </c>
      <c r="T26" s="144" t="s">
        <v>90</v>
      </c>
      <c r="U26" s="142" t="s">
        <v>82</v>
      </c>
      <c r="V26" s="144" t="s">
        <v>811</v>
      </c>
      <c r="W26" s="144" t="s">
        <v>90</v>
      </c>
      <c r="X26" s="61" t="s">
        <v>90</v>
      </c>
      <c r="Y26" s="144" t="s">
        <v>90</v>
      </c>
      <c r="Z26" s="144" t="s">
        <v>423</v>
      </c>
      <c r="AA26" s="144" t="s">
        <v>424</v>
      </c>
      <c r="AB26" s="144" t="s">
        <v>425</v>
      </c>
      <c r="AC26" s="144" t="s">
        <v>426</v>
      </c>
      <c r="AD26" s="144" t="s">
        <v>426</v>
      </c>
      <c r="AE26" s="144" t="s">
        <v>631</v>
      </c>
      <c r="AF26" s="144" t="s">
        <v>90</v>
      </c>
      <c r="AG26" s="129">
        <v>45231</v>
      </c>
      <c r="AH26" s="144" t="s">
        <v>90</v>
      </c>
      <c r="AI26" s="129">
        <v>45231</v>
      </c>
      <c r="AJ26" s="61" t="s">
        <v>630</v>
      </c>
      <c r="AK26" s="61" t="s">
        <v>633</v>
      </c>
      <c r="AL26" s="129">
        <v>45294</v>
      </c>
      <c r="AM26" s="61" t="s">
        <v>90</v>
      </c>
      <c r="AN26" s="144">
        <v>5.0999999999999996</v>
      </c>
      <c r="AO26" s="129"/>
      <c r="AP26" s="129">
        <v>45231</v>
      </c>
      <c r="AQ26" s="61">
        <v>7.0000000000000001E-3</v>
      </c>
      <c r="AR26" s="144">
        <v>700000</v>
      </c>
      <c r="AS26" s="61" t="s">
        <v>632</v>
      </c>
      <c r="AT26" s="144" t="s">
        <v>90</v>
      </c>
      <c r="AU26" s="144" t="s">
        <v>90</v>
      </c>
      <c r="AV26" s="144" t="s">
        <v>90</v>
      </c>
      <c r="AW26" s="61"/>
      <c r="AX26" s="144" t="s">
        <v>436</v>
      </c>
      <c r="AY26" s="144" t="s">
        <v>427</v>
      </c>
      <c r="AZ26" s="61" t="s">
        <v>915</v>
      </c>
      <c r="BA26" s="144" t="s">
        <v>90</v>
      </c>
      <c r="BB26" s="144" t="s">
        <v>428</v>
      </c>
      <c r="BC26" s="144" t="s">
        <v>459</v>
      </c>
      <c r="BD26" s="144" t="s">
        <v>290</v>
      </c>
      <c r="BE26" s="61"/>
      <c r="BF26" s="61"/>
      <c r="BG26" s="61"/>
      <c r="BH26" s="61"/>
      <c r="BI26" s="144" t="s">
        <v>90</v>
      </c>
      <c r="BJ26" s="144" t="s">
        <v>90</v>
      </c>
      <c r="BK26" s="144" t="s">
        <v>439</v>
      </c>
      <c r="BL26" s="61"/>
      <c r="BM26" s="61">
        <v>100</v>
      </c>
      <c r="BN26" s="144" t="s">
        <v>430</v>
      </c>
      <c r="BO26" s="144" t="s">
        <v>90</v>
      </c>
      <c r="BP26" s="144" t="s">
        <v>458</v>
      </c>
      <c r="BQ26" s="144" t="s">
        <v>432</v>
      </c>
      <c r="BR26" s="61"/>
      <c r="BS26" s="144" t="s">
        <v>107</v>
      </c>
      <c r="BT26" s="129">
        <v>45294</v>
      </c>
      <c r="BU26" s="61">
        <v>5.0999999999999996</v>
      </c>
      <c r="BV26" s="144" t="s">
        <v>813</v>
      </c>
      <c r="BW26" s="144">
        <v>7.0000000000000001E-3</v>
      </c>
      <c r="BX26" s="144" t="s">
        <v>428</v>
      </c>
      <c r="BY26" s="144" t="s">
        <v>428</v>
      </c>
      <c r="BZ26" s="144" t="s">
        <v>428</v>
      </c>
      <c r="CA26" s="144" t="s">
        <v>812</v>
      </c>
      <c r="CB26" s="144" t="s">
        <v>222</v>
      </c>
      <c r="CC26" s="129"/>
      <c r="CD26" s="144" t="s">
        <v>7</v>
      </c>
      <c r="CE26" s="144" t="s">
        <v>12</v>
      </c>
      <c r="CF26" s="144" t="s">
        <v>7</v>
      </c>
      <c r="CG26" s="144" t="s">
        <v>421</v>
      </c>
      <c r="CH26" s="144" t="s">
        <v>90</v>
      </c>
      <c r="CI26" s="129"/>
      <c r="CJ26" s="61"/>
      <c r="CK26" s="144" t="s">
        <v>81</v>
      </c>
      <c r="CL26" s="144" t="s">
        <v>81</v>
      </c>
      <c r="CM26" s="144" t="s">
        <v>651</v>
      </c>
      <c r="CN26" s="144" t="s">
        <v>762</v>
      </c>
      <c r="CO26" s="142"/>
      <c r="CW26" s="2"/>
      <c r="CX26" s="2"/>
      <c r="DA26" s="1"/>
      <c r="DB26" s="1"/>
      <c r="DC26" s="2"/>
      <c r="DD26" s="2"/>
    </row>
    <row r="27" spans="2:108" ht="15.75" x14ac:dyDescent="0.25">
      <c r="D27" s="112"/>
      <c r="E27" s="112"/>
      <c r="F27" s="112"/>
      <c r="J27" s="61">
        <v>1</v>
      </c>
      <c r="K27" s="143" t="s">
        <v>628</v>
      </c>
      <c r="L27" s="144" t="s">
        <v>630</v>
      </c>
      <c r="M27" s="144" t="s">
        <v>763</v>
      </c>
      <c r="N27" s="128">
        <v>45229</v>
      </c>
      <c r="O27" s="144" t="s">
        <v>83</v>
      </c>
      <c r="P27" s="144" t="s">
        <v>90</v>
      </c>
      <c r="Q27" s="144" t="s">
        <v>90</v>
      </c>
      <c r="R27" s="144" t="s">
        <v>90</v>
      </c>
      <c r="S27" s="144" t="s">
        <v>631</v>
      </c>
      <c r="T27" s="144" t="s">
        <v>90</v>
      </c>
      <c r="U27" s="142" t="s">
        <v>82</v>
      </c>
      <c r="V27" s="144" t="s">
        <v>814</v>
      </c>
      <c r="W27" s="144" t="s">
        <v>90</v>
      </c>
      <c r="X27" s="61" t="s">
        <v>90</v>
      </c>
      <c r="Y27" s="144" t="s">
        <v>90</v>
      </c>
      <c r="Z27" s="144" t="s">
        <v>423</v>
      </c>
      <c r="AA27" s="144" t="s">
        <v>424</v>
      </c>
      <c r="AB27" s="144" t="s">
        <v>425</v>
      </c>
      <c r="AC27" s="144" t="s">
        <v>426</v>
      </c>
      <c r="AD27" s="144" t="s">
        <v>426</v>
      </c>
      <c r="AE27" s="144" t="s">
        <v>631</v>
      </c>
      <c r="AF27" s="144" t="s">
        <v>90</v>
      </c>
      <c r="AG27" s="129">
        <v>45231</v>
      </c>
      <c r="AH27" s="144" t="s">
        <v>90</v>
      </c>
      <c r="AI27" s="129">
        <v>45231</v>
      </c>
      <c r="AJ27" s="61" t="s">
        <v>630</v>
      </c>
      <c r="AK27" s="61" t="s">
        <v>633</v>
      </c>
      <c r="AL27" s="129">
        <v>45323</v>
      </c>
      <c r="AM27" s="61" t="s">
        <v>90</v>
      </c>
      <c r="AN27" s="144">
        <v>5.5</v>
      </c>
      <c r="AO27" s="129"/>
      <c r="AP27" s="129">
        <v>45231</v>
      </c>
      <c r="AQ27" s="61">
        <v>1.2E-2</v>
      </c>
      <c r="AR27" s="144">
        <v>1200000</v>
      </c>
      <c r="AS27" s="61" t="s">
        <v>632</v>
      </c>
      <c r="AT27" s="144" t="s">
        <v>90</v>
      </c>
      <c r="AU27" s="144" t="s">
        <v>90</v>
      </c>
      <c r="AV27" s="144" t="s">
        <v>90</v>
      </c>
      <c r="AW27" s="61"/>
      <c r="AX27" s="144" t="s">
        <v>436</v>
      </c>
      <c r="AY27" s="144" t="s">
        <v>427</v>
      </c>
      <c r="AZ27" s="61" t="s">
        <v>916</v>
      </c>
      <c r="BA27" s="144" t="s">
        <v>90</v>
      </c>
      <c r="BB27" s="144" t="s">
        <v>428</v>
      </c>
      <c r="BC27" s="144" t="s">
        <v>459</v>
      </c>
      <c r="BD27" s="144" t="s">
        <v>290</v>
      </c>
      <c r="BE27" s="61"/>
      <c r="BF27" s="61"/>
      <c r="BG27" s="61"/>
      <c r="BH27" s="61"/>
      <c r="BI27" s="144" t="s">
        <v>90</v>
      </c>
      <c r="BJ27" s="144" t="s">
        <v>90</v>
      </c>
      <c r="BK27" s="144" t="s">
        <v>439</v>
      </c>
      <c r="BL27" s="61"/>
      <c r="BM27" s="61">
        <v>100</v>
      </c>
      <c r="BN27" s="144" t="s">
        <v>430</v>
      </c>
      <c r="BO27" s="144" t="s">
        <v>90</v>
      </c>
      <c r="BP27" s="144" t="s">
        <v>458</v>
      </c>
      <c r="BQ27" s="144" t="s">
        <v>432</v>
      </c>
      <c r="BR27" s="61"/>
      <c r="BS27" s="144" t="s">
        <v>107</v>
      </c>
      <c r="BT27" s="129">
        <v>45323</v>
      </c>
      <c r="BU27" s="61">
        <v>5.5</v>
      </c>
      <c r="BV27" s="144" t="s">
        <v>643</v>
      </c>
      <c r="BW27" s="144">
        <v>1.2E-2</v>
      </c>
      <c r="BX27" s="144" t="s">
        <v>428</v>
      </c>
      <c r="BY27" s="144" t="s">
        <v>428</v>
      </c>
      <c r="BZ27" s="144" t="s">
        <v>428</v>
      </c>
      <c r="CA27" s="144" t="s">
        <v>815</v>
      </c>
      <c r="CB27" s="144" t="s">
        <v>222</v>
      </c>
      <c r="CC27" s="129"/>
      <c r="CD27" s="144" t="s">
        <v>7</v>
      </c>
      <c r="CE27" s="144" t="s">
        <v>12</v>
      </c>
      <c r="CF27" s="144" t="s">
        <v>7</v>
      </c>
      <c r="CG27" s="144" t="s">
        <v>421</v>
      </c>
      <c r="CH27" s="144" t="s">
        <v>90</v>
      </c>
      <c r="CI27" s="129"/>
      <c r="CJ27" s="61"/>
      <c r="CK27" s="144" t="s">
        <v>81</v>
      </c>
      <c r="CL27" s="144" t="s">
        <v>81</v>
      </c>
      <c r="CM27" s="144" t="s">
        <v>651</v>
      </c>
      <c r="CN27" s="144" t="s">
        <v>764</v>
      </c>
      <c r="CO27" s="142"/>
      <c r="CX27" s="2"/>
      <c r="DB27" s="1"/>
      <c r="DD27" s="2"/>
    </row>
    <row r="28" spans="2:108" ht="15.75" x14ac:dyDescent="0.25">
      <c r="D28" s="112"/>
      <c r="E28" s="112"/>
      <c r="F28" s="112"/>
      <c r="CX28" s="2"/>
      <c r="DB28" s="1"/>
      <c r="DD28" s="2"/>
    </row>
    <row r="29" spans="2:108" ht="15" x14ac:dyDescent="0.25">
      <c r="CX29" s="2"/>
      <c r="DB29" s="1"/>
      <c r="DD29" s="2"/>
    </row>
    <row r="30" spans="2:108" ht="15" x14ac:dyDescent="0.25"/>
    <row r="31" spans="2:108" ht="15" x14ac:dyDescent="0.25"/>
    <row r="32" spans="2:108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9.5" customHeight="1" x14ac:dyDescent="0.25"/>
    <row r="41" ht="19.5" customHeight="1" x14ac:dyDescent="0.25"/>
    <row r="42" ht="19.5" customHeight="1" x14ac:dyDescent="0.25"/>
    <row r="43" ht="19.5" customHeight="1" x14ac:dyDescent="0.25"/>
    <row r="44" ht="19.5" customHeight="1" x14ac:dyDescent="0.25"/>
  </sheetData>
  <phoneticPr fontId="14" type="noConversion"/>
  <conditionalFormatting sqref="G11">
    <cfRule type="iconSet" priority="23">
      <iconSet showValue="0">
        <cfvo type="percent" val="0"/>
        <cfvo type="num" val="-1"/>
        <cfvo type="num" val="0"/>
      </iconSet>
    </cfRule>
  </conditionalFormatting>
  <conditionalFormatting sqref="C5">
    <cfRule type="containsText" dxfId="145" priority="16" operator="containsText" text="KT">
      <formula>NOT(ISERROR(SEARCH("KT",C5)))</formula>
    </cfRule>
    <cfRule type="containsText" dxfId="144" priority="17" operator="containsText" text="JH">
      <formula>NOT(ISERROR(SEARCH("JH",C5)))</formula>
    </cfRule>
    <cfRule type="containsText" dxfId="143" priority="18" operator="containsText" text="CL">
      <formula>NOT(ISERROR(SEARCH("CL",C5)))</formula>
    </cfRule>
    <cfRule type="containsText" dxfId="142" priority="19" operator="containsText" text="CY">
      <formula>NOT(ISERROR(SEARCH("CY",C5)))</formula>
    </cfRule>
    <cfRule type="containsText" dxfId="141" priority="20" operator="containsText" text="ES">
      <formula>NOT(ISERROR(SEARCH("ES",C5)))</formula>
    </cfRule>
  </conditionalFormatting>
  <conditionalFormatting sqref="K16:K27">
    <cfRule type="containsText" dxfId="140" priority="1" operator="containsText" text="【">
      <formula>NOT(ISERROR(SEARCH("【",K16)))</formula>
    </cfRule>
  </conditionalFormatting>
  <dataValidations count="9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8:C9" xr:uid="{A80797E9-1E83-4191-8030-5056F54365C4}">
      <formula1>"ON,OFF"</formula1>
    </dataValidation>
    <dataValidation type="list" allowBlank="1" showInputMessage="1" showErrorMessage="1" promptTitle="澳门主体Filter" prompt="If this Filter is set as &quot;ON&quot; - credit entity located in Macau will be filtered out when loading DMI data" sqref="C6" xr:uid="{DABD8501-D4B1-4495-B925-F4098D9932D3}">
      <formula1>"ON,OFF"</formula1>
    </dataValidation>
    <dataValidation type="list" allowBlank="1" showInputMessage="1" showErrorMessage="1" promptTitle="香港主体Filter" prompt="If this Filter is set as &quot;ON&quot; - credit entity located in HK will be filtered out when loading DMI data" sqref="C7" xr:uid="{09D54662-5BA4-488A-B1D2-D58E08F4086C}">
      <formula1>"ON,OFF"</formula1>
    </dataValidation>
    <dataValidation type="list" allowBlank="1" showInputMessage="1" showErrorMessage="1" promptTitle="DMI only or DMI+BBG+台账?" prompt="If set to OFF - only DMI data will be loaded" sqref="C10:C12" xr:uid="{7354D1B4-C643-4336-B89D-A74F904D673A}">
      <formula1>"ON,OFF"</formula1>
    </dataValidation>
    <dataValidation type="list" allowBlank="1" showInputMessage="1" showErrorMessage="1" promptTitle="Has DMI Missed Any ISIN?" prompt="Please spark if you notice" sqref="C11" xr:uid="{2C203DC6-7F28-47BA-9162-EB9D2EFAC4A2}">
      <formula1>"N,YES"</formula1>
    </dataValidation>
    <dataValidation type="list" allowBlank="1" showInputMessage="1" showErrorMessage="1" promptTitle="Need to add tap deal?" prompt="Please spark when needed" sqref="C12" xr:uid="{D786BBAC-8B85-4826-8AFB-917C888E43CA}">
      <formula1>"N,YES"</formula1>
    </dataValidation>
    <dataValidation type="list" allowBlank="1" showInputMessage="1" showErrorMessage="1" sqref="K16:K27" xr:uid="{DB4DAF89-C876-4A80-8B87-F3FF22B16AC6}">
      <formula1>"【Y】,Y,--"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3</xdr:col>
                    <xdr:colOff>962025</xdr:colOff>
                    <xdr:row>4</xdr:row>
                    <xdr:rowOff>76200</xdr:rowOff>
                  </from>
                  <to>
                    <xdr:col>5</xdr:col>
                    <xdr:colOff>1028700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L73"/>
  <sheetViews>
    <sheetView topLeftCell="AU1" zoomScale="85" zoomScaleNormal="85" workbookViewId="0">
      <selection activeCell="BH6" sqref="BH6:BK7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109375" style="3" bestFit="1" customWidth="1"/>
    <col min="3" max="3" width="14" style="3" bestFit="1" customWidth="1"/>
    <col min="4" max="4" width="10.44140625" style="3" bestFit="1" customWidth="1"/>
    <col min="5" max="5" width="34.5546875" style="3" bestFit="1" customWidth="1"/>
    <col min="6" max="6" width="9.44140625" style="3" bestFit="1" customWidth="1"/>
    <col min="7" max="7" width="10" style="3" bestFit="1" customWidth="1" outlineLevel="1"/>
    <col min="8" max="8" width="9" style="3" bestFit="1" customWidth="1" outlineLevel="1"/>
    <col min="9" max="9" width="7.77734375" style="3" bestFit="1" customWidth="1" outlineLevel="1"/>
    <col min="10" max="11" width="11.109375" style="3" bestFit="1" customWidth="1" outlineLevel="1"/>
    <col min="12" max="12" width="20.109375" style="3" bestFit="1" customWidth="1" outlineLevel="1"/>
    <col min="13" max="15" width="3.6640625" style="3" customWidth="1"/>
    <col min="16" max="16" width="10.44140625" style="3" bestFit="1" customWidth="1"/>
    <col min="17" max="17" width="34.5546875" style="3" bestFit="1" customWidth="1"/>
    <col min="18" max="18" width="4.44140625" style="3" bestFit="1" customWidth="1"/>
    <col min="19" max="19" width="7.109375" style="3" bestFit="1" customWidth="1"/>
    <col min="20" max="20" width="6.21875" style="3" bestFit="1" customWidth="1" outlineLevel="1"/>
    <col min="21" max="21" width="7.77734375" style="3" bestFit="1" customWidth="1" outlineLevel="1"/>
    <col min="22" max="22" width="9.44140625" style="3" bestFit="1" customWidth="1" outlineLevel="1"/>
    <col min="23" max="23" width="4.44140625" style="3" bestFit="1" customWidth="1" outlineLevel="1"/>
    <col min="24" max="24" width="7.77734375" style="3" bestFit="1" customWidth="1" outlineLevel="1"/>
    <col min="25" max="25" width="4.77734375" style="3" bestFit="1" customWidth="1" outlineLevel="1"/>
    <col min="26" max="26" width="10.5546875" style="3" bestFit="1" customWidth="1" outlineLevel="1"/>
    <col min="27" max="27" width="6.44140625" style="3" bestFit="1" customWidth="1" outlineLevel="1"/>
    <col min="28" max="28" width="5.88671875" style="3" bestFit="1" customWidth="1" outlineLevel="1"/>
    <col min="29" max="29" width="7.77734375" style="3" bestFit="1" customWidth="1" outlineLevel="1"/>
    <col min="30" max="30" width="11.44140625" style="3" bestFit="1" customWidth="1" outlineLevel="1"/>
    <col min="31" max="31" width="6.109375" style="3" bestFit="1" customWidth="1" outlineLevel="1"/>
    <col min="32" max="33" width="7.109375" style="3" bestFit="1" customWidth="1" outlineLevel="1"/>
    <col min="34" max="34" width="14" style="3" bestFit="1" customWidth="1" outlineLevel="1"/>
    <col min="35" max="35" width="20.109375" style="3" bestFit="1" customWidth="1" outlineLevel="1"/>
    <col min="36" max="36" width="20" style="3" bestFit="1" customWidth="1" outlineLevel="1"/>
    <col min="37" max="37" width="17.44140625" style="3" bestFit="1" customWidth="1" outlineLevel="1"/>
    <col min="38" max="40" width="2" style="3" customWidth="1"/>
    <col min="41" max="41" width="24.6640625" style="3" bestFit="1" customWidth="1"/>
    <col min="42" max="42" width="19.44140625" style="3" bestFit="1" customWidth="1"/>
    <col min="43" max="43" width="13.33203125" style="3" bestFit="1" customWidth="1"/>
    <col min="44" max="44" width="9.33203125" style="3" bestFit="1" customWidth="1"/>
    <col min="45" max="45" width="7.6640625" style="3" bestFit="1" customWidth="1" outlineLevel="1"/>
    <col min="46" max="46" width="12" style="3" bestFit="1" customWidth="1" outlineLevel="1"/>
    <col min="47" max="47" width="9.88671875" style="3" bestFit="1" customWidth="1" outlineLevel="1"/>
    <col min="48" max="48" width="7.6640625" style="3" bestFit="1" customWidth="1" outlineLevel="1"/>
    <col min="49" max="49" width="13.6640625" style="3" bestFit="1" customWidth="1" outlineLevel="1"/>
    <col min="50" max="50" width="4.33203125" style="3" bestFit="1" customWidth="1" outlineLevel="1"/>
    <col min="51" max="51" width="9.5546875" style="3" bestFit="1" customWidth="1" outlineLevel="1"/>
    <col min="52" max="52" width="7.6640625" style="3" bestFit="1" customWidth="1" outlineLevel="1"/>
    <col min="53" max="53" width="7.21875" style="3" bestFit="1" customWidth="1" outlineLevel="1"/>
    <col min="54" max="54" width="7.6640625" style="3" bestFit="1" customWidth="1" outlineLevel="1"/>
    <col min="55" max="55" width="7.6640625" style="3" bestFit="1" customWidth="1"/>
    <col min="56" max="56" width="7.77734375" style="3" bestFit="1" customWidth="1"/>
    <col min="57" max="57" width="7.6640625" style="3" bestFit="1" customWidth="1"/>
    <col min="58" max="59" width="7.77734375" style="3" bestFit="1" customWidth="1"/>
    <col min="60" max="60" width="24.6640625" style="3" bestFit="1" customWidth="1"/>
    <col min="61" max="61" width="21.33203125" style="3" bestFit="1" customWidth="1"/>
    <col min="62" max="62" width="13.109375" style="19" bestFit="1" customWidth="1"/>
    <col min="63" max="63" width="7.21875" style="19" bestFit="1" customWidth="1"/>
    <col min="64" max="65" width="7.6640625" style="19" bestFit="1" customWidth="1"/>
    <col min="66" max="66" width="9.21875" style="19" bestFit="1" customWidth="1"/>
    <col min="67" max="68" width="9.44140625" style="19" bestFit="1" customWidth="1"/>
    <col min="69" max="70" width="11.109375" style="19" bestFit="1" customWidth="1"/>
    <col min="71" max="71" width="9.44140625" style="19" bestFit="1" customWidth="1"/>
    <col min="72" max="72" width="9" style="19" bestFit="1" customWidth="1"/>
    <col min="73" max="74" width="9.44140625" style="19" bestFit="1" customWidth="1"/>
    <col min="75" max="75" width="9.21875" style="19" bestFit="1" customWidth="1"/>
    <col min="76" max="76" width="8.77734375" style="19" bestFit="1" customWidth="1"/>
    <col min="77" max="77" width="9.21875" style="19" bestFit="1" customWidth="1"/>
    <col min="78" max="78" width="42.77734375" style="19" bestFit="1" customWidth="1"/>
    <col min="79" max="79" width="9.21875" style="19" bestFit="1" customWidth="1"/>
    <col min="80" max="80" width="9.44140625" style="19" bestFit="1" customWidth="1"/>
    <col min="81" max="81" width="8.77734375" style="19" bestFit="1" customWidth="1"/>
    <col min="82" max="82" width="9.21875" style="19" bestFit="1" customWidth="1"/>
    <col min="83" max="83" width="15.21875" style="19" bestFit="1" customWidth="1"/>
    <col min="84" max="84" width="5.88671875" style="19" bestFit="1" customWidth="1"/>
    <col min="85" max="85" width="10.77734375" style="19" bestFit="1" customWidth="1"/>
    <col min="86" max="86" width="10.88671875" style="19" bestFit="1" customWidth="1"/>
    <col min="87" max="87" width="11.44140625" style="19" bestFit="1" customWidth="1"/>
    <col min="88" max="88" width="13.5546875" style="19" bestFit="1" customWidth="1"/>
    <col min="89" max="89" width="42.77734375" style="19" bestFit="1" customWidth="1"/>
    <col min="90" max="90" width="9.21875" style="19" bestFit="1" customWidth="1"/>
    <col min="91" max="91" width="10.88671875" style="19" bestFit="1" customWidth="1"/>
    <col min="92" max="92" width="11.44140625" style="19" bestFit="1" customWidth="1"/>
    <col min="93" max="93" width="13.5546875" style="19" bestFit="1" customWidth="1"/>
    <col min="94" max="94" width="51.44140625" style="19" bestFit="1" customWidth="1"/>
    <col min="95" max="95" width="9.21875" style="19" bestFit="1" customWidth="1"/>
    <col min="96" max="96" width="51.44140625" style="19" bestFit="1" customWidth="1"/>
    <col min="97" max="97" width="9.21875" style="19" bestFit="1" customWidth="1"/>
    <col min="98" max="98" width="11.6640625" style="19" bestFit="1" customWidth="1"/>
    <col min="99" max="99" width="15.5546875" style="19" bestFit="1" customWidth="1"/>
    <col min="100" max="100" width="9.44140625" style="19" bestFit="1" customWidth="1"/>
    <col min="101" max="101" width="11.6640625" style="19" bestFit="1" customWidth="1"/>
    <col min="102" max="102" width="15.5546875" style="19" bestFit="1" customWidth="1"/>
    <col min="103" max="103" width="9.44140625" style="19" bestFit="1" customWidth="1"/>
    <col min="104" max="104" width="15.44140625" style="19" bestFit="1" customWidth="1"/>
    <col min="105" max="105" width="6.109375" style="19" bestFit="1" customWidth="1"/>
    <col min="106" max="106" width="15.21875" style="19" bestFit="1" customWidth="1"/>
    <col min="107" max="107" width="5.88671875" style="19" bestFit="1" customWidth="1"/>
    <col min="108" max="108" width="13.109375" style="19" bestFit="1" customWidth="1"/>
    <col min="109" max="109" width="5.88671875" style="19" bestFit="1" customWidth="1"/>
    <col min="110" max="110" width="9.6640625" style="19" bestFit="1" customWidth="1"/>
    <col min="111" max="111" width="14" style="19" bestFit="1" customWidth="1"/>
    <col min="112" max="112" width="14.109375" style="19" bestFit="1" customWidth="1"/>
    <col min="113" max="113" width="13.33203125" style="19" bestFit="1" customWidth="1"/>
    <col min="114" max="115" width="8.109375" style="19" customWidth="1"/>
    <col min="116" max="116" width="8.88671875" style="19" bestFit="1" customWidth="1"/>
    <col min="117" max="137" width="8.109375" style="3" customWidth="1"/>
    <col min="138" max="141" width="9" style="3" customWidth="1"/>
    <col min="142" max="142" width="2.88671875" style="3" customWidth="1"/>
    <col min="143" max="143" width="8.109375" style="3" customWidth="1"/>
    <col min="144" max="144" width="9" style="3" customWidth="1"/>
    <col min="145" max="145" width="6.109375" style="3" bestFit="1" customWidth="1"/>
    <col min="146" max="146" width="7.77734375" style="3" bestFit="1" customWidth="1"/>
    <col min="147" max="16384" width="8.88671875" style="3"/>
  </cols>
  <sheetData>
    <row r="1" spans="1:116" s="1" customFormat="1" ht="49.5" customHeight="1" x14ac:dyDescent="0.25">
      <c r="A1" s="28" t="s">
        <v>138</v>
      </c>
      <c r="C1" s="5"/>
      <c r="E1" s="110">
        <f>COUNTA(ForReview_Issuer[#Headers])</f>
        <v>11</v>
      </c>
      <c r="F1" s="94">
        <f>IF(E1&lt;=11,1,IF(E1&gt;13,-5,0))</f>
        <v>1</v>
      </c>
      <c r="Q1" s="6"/>
      <c r="R1" s="110">
        <f>COUNTA(ForReview_wCurated[#Headers])</f>
        <v>20</v>
      </c>
      <c r="S1" s="94">
        <f>IF(R1&lt;=20,1,IF(R1&gt;22,-5,0))</f>
        <v>1</v>
      </c>
      <c r="AQ1" s="110">
        <f>COUNTA(ForReview_wBOCOM[#Headers])</f>
        <v>14</v>
      </c>
      <c r="AR1" s="94">
        <f>IF(AQ1&lt;=14,1,IF(AQ1&gt;16,-5,0))</f>
        <v>1</v>
      </c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</row>
    <row r="2" spans="1:116" s="1" customFormat="1" ht="49.5" customHeight="1" x14ac:dyDescent="0.25">
      <c r="AE2" s="138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</row>
    <row r="3" spans="1:116" s="1" customFormat="1" ht="49.5" customHeight="1" x14ac:dyDescent="0.25">
      <c r="I3" s="95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</row>
    <row r="4" spans="1:116" ht="61.5" customHeight="1" x14ac:dyDescent="0.25">
      <c r="P4" s="4"/>
      <c r="Q4" s="6"/>
      <c r="R4" s="6"/>
      <c r="T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6" ht="15" x14ac:dyDescent="0.25">
      <c r="B5" t="s">
        <v>389</v>
      </c>
      <c r="C5" t="s">
        <v>47</v>
      </c>
      <c r="D5" t="s">
        <v>48</v>
      </c>
      <c r="E5" t="s">
        <v>92</v>
      </c>
      <c r="F5" t="s">
        <v>130</v>
      </c>
      <c r="G5" t="s">
        <v>165</v>
      </c>
      <c r="H5" t="s">
        <v>88</v>
      </c>
      <c r="I5" t="s">
        <v>40</v>
      </c>
      <c r="J5" t="s">
        <v>172</v>
      </c>
      <c r="K5" t="s">
        <v>173</v>
      </c>
      <c r="L5" t="s">
        <v>132</v>
      </c>
      <c r="P5" t="s">
        <v>48</v>
      </c>
      <c r="Q5" t="s">
        <v>92</v>
      </c>
      <c r="R5" t="s">
        <v>131</v>
      </c>
      <c r="S5" t="s">
        <v>86</v>
      </c>
      <c r="T5" t="s">
        <v>52</v>
      </c>
      <c r="U5" t="s">
        <v>154</v>
      </c>
      <c r="V5" t="s">
        <v>156</v>
      </c>
      <c r="W5" t="s">
        <v>143</v>
      </c>
      <c r="X5" t="s">
        <v>133</v>
      </c>
      <c r="Y5" t="s">
        <v>63</v>
      </c>
      <c r="Z5" t="s">
        <v>56</v>
      </c>
      <c r="AA5" t="s">
        <v>85</v>
      </c>
      <c r="AB5" t="s">
        <v>116</v>
      </c>
      <c r="AC5" t="s">
        <v>456</v>
      </c>
      <c r="AD5" t="s">
        <v>89</v>
      </c>
      <c r="AE5" t="s">
        <v>161</v>
      </c>
      <c r="AF5" t="s">
        <v>162</v>
      </c>
      <c r="AG5" t="s">
        <v>196</v>
      </c>
      <c r="AH5" t="s">
        <v>47</v>
      </c>
      <c r="AI5" t="s">
        <v>132</v>
      </c>
      <c r="AO5" t="s">
        <v>92</v>
      </c>
      <c r="AP5" s="60" t="s">
        <v>132</v>
      </c>
      <c r="AQ5" s="60" t="s">
        <v>47</v>
      </c>
      <c r="AR5" s="60" t="s">
        <v>48</v>
      </c>
      <c r="AS5" s="61" t="s">
        <v>190</v>
      </c>
      <c r="AT5" s="61" t="s">
        <v>174</v>
      </c>
      <c r="AU5" s="61" t="s">
        <v>160</v>
      </c>
      <c r="AV5" s="60" t="s">
        <v>159</v>
      </c>
      <c r="AW5" s="61" t="s">
        <v>169</v>
      </c>
      <c r="AX5" s="61" t="s">
        <v>158</v>
      </c>
      <c r="AY5" s="60" t="s">
        <v>139</v>
      </c>
      <c r="AZ5" s="61" t="s">
        <v>186</v>
      </c>
      <c r="BA5" s="61" t="s">
        <v>187</v>
      </c>
      <c r="BB5" s="61" t="s">
        <v>188</v>
      </c>
      <c r="BH5" t="s">
        <v>92</v>
      </c>
      <c r="BI5" t="s">
        <v>166</v>
      </c>
      <c r="BJ5" t="s">
        <v>191</v>
      </c>
      <c r="BK5" t="s">
        <v>210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</row>
    <row r="6" spans="1:116" ht="15" x14ac:dyDescent="0.25">
      <c r="B6" s="139"/>
      <c r="C6" s="141" t="s">
        <v>840</v>
      </c>
      <c r="D6" s="140">
        <v>45233</v>
      </c>
      <c r="E6" s="141" t="s">
        <v>841</v>
      </c>
      <c r="F6" s="141" t="s">
        <v>451</v>
      </c>
      <c r="G6" s="141" t="s">
        <v>451</v>
      </c>
      <c r="H6" s="141" t="s">
        <v>109</v>
      </c>
      <c r="I6" s="141" t="s">
        <v>318</v>
      </c>
      <c r="J6" s="141" t="s">
        <v>7</v>
      </c>
      <c r="K6" s="141" t="s">
        <v>7</v>
      </c>
      <c r="L6" s="141" t="s">
        <v>843</v>
      </c>
      <c r="P6" s="140">
        <v>45233</v>
      </c>
      <c r="Q6" s="141" t="s">
        <v>841</v>
      </c>
      <c r="R6" s="141" t="s">
        <v>629</v>
      </c>
      <c r="S6" s="141" t="s">
        <v>90</v>
      </c>
      <c r="T6" s="141" t="s">
        <v>401</v>
      </c>
      <c r="U6" s="139"/>
      <c r="V6" s="142" t="s">
        <v>112</v>
      </c>
      <c r="W6" s="141" t="s">
        <v>90</v>
      </c>
      <c r="X6" s="141" t="s">
        <v>90</v>
      </c>
      <c r="Y6" s="141" t="s">
        <v>104</v>
      </c>
      <c r="Z6" s="141">
        <v>9.69</v>
      </c>
      <c r="AA6" s="141" t="s">
        <v>142</v>
      </c>
      <c r="AB6" s="141" t="s">
        <v>401</v>
      </c>
      <c r="AC6" s="142" t="s">
        <v>7</v>
      </c>
      <c r="AD6" s="141" t="s">
        <v>243</v>
      </c>
      <c r="AE6" s="141">
        <v>1.3280000000000001</v>
      </c>
      <c r="AF6" s="141">
        <v>9.69</v>
      </c>
      <c r="AG6" s="141">
        <v>10.4</v>
      </c>
      <c r="AH6" s="141" t="s">
        <v>840</v>
      </c>
      <c r="AI6" s="141" t="s">
        <v>843</v>
      </c>
      <c r="AO6" t="s">
        <v>841</v>
      </c>
      <c r="AP6" s="61" t="s">
        <v>843</v>
      </c>
      <c r="AQ6" s="60" t="s">
        <v>840</v>
      </c>
      <c r="AR6" s="75">
        <v>45233</v>
      </c>
      <c r="AS6" s="61" t="s">
        <v>971</v>
      </c>
      <c r="AT6" s="61" t="s">
        <v>971</v>
      </c>
      <c r="AU6" s="61" t="s">
        <v>451</v>
      </c>
      <c r="AV6" s="61" t="s">
        <v>451</v>
      </c>
      <c r="AW6" s="61" t="s">
        <v>451</v>
      </c>
      <c r="AX6" s="61" t="s">
        <v>451</v>
      </c>
      <c r="AY6" s="61" t="s">
        <v>140</v>
      </c>
      <c r="AZ6" s="61" t="s">
        <v>90</v>
      </c>
      <c r="BA6" s="61" t="s">
        <v>90</v>
      </c>
      <c r="BB6" s="61" t="s">
        <v>7</v>
      </c>
      <c r="BH6" t="s">
        <v>841</v>
      </c>
      <c r="BI6" t="s">
        <v>979</v>
      </c>
      <c r="BJ6" t="s">
        <v>451</v>
      </c>
      <c r="BK6" t="s">
        <v>451</v>
      </c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</row>
    <row r="7" spans="1:116" ht="15" x14ac:dyDescent="0.25">
      <c r="B7" s="139"/>
      <c r="C7" s="141" t="s">
        <v>939</v>
      </c>
      <c r="D7" s="140">
        <v>45233</v>
      </c>
      <c r="E7" s="141" t="s">
        <v>946</v>
      </c>
      <c r="F7" s="141" t="s">
        <v>451</v>
      </c>
      <c r="G7" s="141" t="s">
        <v>451</v>
      </c>
      <c r="H7" s="141" t="s">
        <v>111</v>
      </c>
      <c r="I7" s="141" t="s">
        <v>309</v>
      </c>
      <c r="J7" s="141" t="s">
        <v>7</v>
      </c>
      <c r="K7" s="141" t="s">
        <v>7</v>
      </c>
      <c r="L7" s="141" t="s">
        <v>941</v>
      </c>
      <c r="P7" s="140">
        <v>45233</v>
      </c>
      <c r="Q7" s="141" t="s">
        <v>946</v>
      </c>
      <c r="R7" s="141" t="s">
        <v>90</v>
      </c>
      <c r="S7" s="141" t="s">
        <v>972</v>
      </c>
      <c r="T7" s="141" t="s">
        <v>445</v>
      </c>
      <c r="U7" s="139">
        <v>10</v>
      </c>
      <c r="V7" s="142" t="s">
        <v>112</v>
      </c>
      <c r="W7" s="141" t="s">
        <v>90</v>
      </c>
      <c r="X7" s="141" t="s">
        <v>90</v>
      </c>
      <c r="Y7" s="141" t="s">
        <v>104</v>
      </c>
      <c r="Z7" s="141">
        <v>3.65</v>
      </c>
      <c r="AA7" s="141" t="s">
        <v>434</v>
      </c>
      <c r="AB7" s="141" t="s">
        <v>445</v>
      </c>
      <c r="AC7" s="142" t="s">
        <v>7</v>
      </c>
      <c r="AD7" s="141" t="s">
        <v>231</v>
      </c>
      <c r="AE7" s="141">
        <v>0.5</v>
      </c>
      <c r="AF7" s="141">
        <v>3.65</v>
      </c>
      <c r="AG7" s="141">
        <v>3.9180000000000001</v>
      </c>
      <c r="AH7" s="141" t="s">
        <v>939</v>
      </c>
      <c r="AI7" s="141" t="s">
        <v>941</v>
      </c>
      <c r="AX7" s="19"/>
      <c r="AY7" s="19"/>
      <c r="AZ7" s="19"/>
      <c r="BA7" s="19"/>
      <c r="BB7" s="19"/>
      <c r="BH7" t="s">
        <v>946</v>
      </c>
      <c r="BI7" t="s">
        <v>980</v>
      </c>
      <c r="BJ7" t="s">
        <v>451</v>
      </c>
      <c r="BK7" t="s">
        <v>451</v>
      </c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</row>
    <row r="8" spans="1:116" ht="15" x14ac:dyDescent="0.25">
      <c r="B8" s="139"/>
      <c r="C8" s="141" t="s">
        <v>848</v>
      </c>
      <c r="D8" s="140">
        <v>45232</v>
      </c>
      <c r="E8" s="141" t="s">
        <v>849</v>
      </c>
      <c r="F8" s="141" t="s">
        <v>81</v>
      </c>
      <c r="G8" s="141" t="s">
        <v>81</v>
      </c>
      <c r="H8" s="141" t="s">
        <v>38</v>
      </c>
      <c r="I8" s="141" t="s">
        <v>90</v>
      </c>
      <c r="J8" s="141" t="s">
        <v>7</v>
      </c>
      <c r="K8" s="141" t="s">
        <v>7</v>
      </c>
      <c r="L8" s="141" t="s">
        <v>855</v>
      </c>
      <c r="P8" s="140">
        <v>45232</v>
      </c>
      <c r="Q8" s="141" t="s">
        <v>849</v>
      </c>
      <c r="R8" s="141" t="s">
        <v>90</v>
      </c>
      <c r="S8" s="141" t="s">
        <v>90</v>
      </c>
      <c r="T8" s="141" t="s">
        <v>90</v>
      </c>
      <c r="U8" s="139"/>
      <c r="V8" s="142" t="s">
        <v>112</v>
      </c>
      <c r="W8" s="141" t="s">
        <v>90</v>
      </c>
      <c r="X8" s="141" t="s">
        <v>90</v>
      </c>
      <c r="Y8" s="141" t="s">
        <v>83</v>
      </c>
      <c r="Z8" s="141">
        <v>0.82299999999999995</v>
      </c>
      <c r="AA8" s="141" t="s">
        <v>142</v>
      </c>
      <c r="AB8" s="141" t="s">
        <v>919</v>
      </c>
      <c r="AC8" s="142" t="s">
        <v>7</v>
      </c>
      <c r="AD8" s="141" t="s">
        <v>231</v>
      </c>
      <c r="AE8" s="141">
        <v>0.82299999999999995</v>
      </c>
      <c r="AF8" s="141">
        <v>6.0019999999999998</v>
      </c>
      <c r="AG8" s="141">
        <v>6.4450000000000003</v>
      </c>
      <c r="AH8" s="141" t="s">
        <v>848</v>
      </c>
      <c r="AI8" s="141" t="s">
        <v>855</v>
      </c>
      <c r="AX8" s="19"/>
      <c r="AY8" s="19"/>
      <c r="AZ8" s="19"/>
      <c r="BA8" s="19"/>
      <c r="BB8" s="19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</row>
    <row r="9" spans="1:116" ht="15" x14ac:dyDescent="0.25">
      <c r="B9" s="139"/>
      <c r="C9" s="141" t="s">
        <v>942</v>
      </c>
      <c r="D9" s="140">
        <v>45232</v>
      </c>
      <c r="E9" s="141" t="s">
        <v>844</v>
      </c>
      <c r="F9" s="141" t="s">
        <v>81</v>
      </c>
      <c r="G9" s="141" t="s">
        <v>81</v>
      </c>
      <c r="H9" s="141" t="s">
        <v>38</v>
      </c>
      <c r="I9" s="141" t="s">
        <v>90</v>
      </c>
      <c r="J9" s="141" t="s">
        <v>7</v>
      </c>
      <c r="K9" s="141" t="s">
        <v>7</v>
      </c>
      <c r="L9" s="141" t="s">
        <v>944</v>
      </c>
      <c r="P9" s="140">
        <v>45232</v>
      </c>
      <c r="Q9" s="141" t="s">
        <v>844</v>
      </c>
      <c r="R9" s="141" t="s">
        <v>90</v>
      </c>
      <c r="S9" s="141" t="s">
        <v>90</v>
      </c>
      <c r="T9" s="141" t="s">
        <v>90</v>
      </c>
      <c r="U9" s="139"/>
      <c r="V9" s="142" t="s">
        <v>112</v>
      </c>
      <c r="W9" s="141" t="s">
        <v>90</v>
      </c>
      <c r="X9" s="141" t="s">
        <v>90</v>
      </c>
      <c r="Y9" s="141" t="s">
        <v>83</v>
      </c>
      <c r="Z9" s="141">
        <v>0.98</v>
      </c>
      <c r="AA9" s="141" t="s">
        <v>735</v>
      </c>
      <c r="AB9" s="141" t="s">
        <v>973</v>
      </c>
      <c r="AC9" s="142" t="s">
        <v>7</v>
      </c>
      <c r="AD9" s="141" t="s">
        <v>243</v>
      </c>
      <c r="AE9" s="141">
        <v>0.98</v>
      </c>
      <c r="AF9" s="141">
        <v>7.1470000000000002</v>
      </c>
      <c r="AG9" s="141">
        <v>7.6740000000000004</v>
      </c>
      <c r="AH9" s="141" t="s">
        <v>942</v>
      </c>
      <c r="AI9" s="141" t="s">
        <v>944</v>
      </c>
      <c r="AQ9" s="19"/>
      <c r="AR9" s="19"/>
      <c r="AS9" s="19"/>
      <c r="AT9" s="19"/>
      <c r="AX9" s="19"/>
      <c r="AY9" s="19"/>
      <c r="AZ9" s="19"/>
      <c r="BA9" s="19"/>
      <c r="BB9" s="19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</row>
    <row r="10" spans="1:116" ht="15" x14ac:dyDescent="0.25">
      <c r="B10" s="139"/>
      <c r="C10" s="141" t="s">
        <v>856</v>
      </c>
      <c r="D10" s="140">
        <v>45232</v>
      </c>
      <c r="E10" s="141" t="s">
        <v>857</v>
      </c>
      <c r="F10" s="141" t="s">
        <v>81</v>
      </c>
      <c r="G10" s="141" t="s">
        <v>859</v>
      </c>
      <c r="H10" s="141" t="s">
        <v>38</v>
      </c>
      <c r="I10" s="141" t="s">
        <v>90</v>
      </c>
      <c r="J10" s="141" t="s">
        <v>7</v>
      </c>
      <c r="K10" s="141" t="s">
        <v>7</v>
      </c>
      <c r="L10" s="141" t="s">
        <v>864</v>
      </c>
      <c r="P10" s="140">
        <v>45232</v>
      </c>
      <c r="Q10" s="141" t="s">
        <v>857</v>
      </c>
      <c r="R10" s="141" t="s">
        <v>90</v>
      </c>
      <c r="S10" s="141" t="s">
        <v>974</v>
      </c>
      <c r="T10" s="141" t="s">
        <v>964</v>
      </c>
      <c r="U10" s="139"/>
      <c r="V10" s="142" t="s">
        <v>725</v>
      </c>
      <c r="W10" s="141" t="s">
        <v>90</v>
      </c>
      <c r="X10" s="141" t="s">
        <v>90</v>
      </c>
      <c r="Y10" s="141" t="s">
        <v>83</v>
      </c>
      <c r="Z10" s="141">
        <v>5</v>
      </c>
      <c r="AA10" s="141" t="s">
        <v>920</v>
      </c>
      <c r="AB10" s="141" t="s">
        <v>921</v>
      </c>
      <c r="AC10" s="142" t="s">
        <v>7</v>
      </c>
      <c r="AD10" s="141" t="s">
        <v>261</v>
      </c>
      <c r="AE10" s="141">
        <v>5</v>
      </c>
      <c r="AF10" s="141">
        <v>36.463999999999999</v>
      </c>
      <c r="AG10" s="141">
        <v>39.152999999999999</v>
      </c>
      <c r="AH10" s="141" t="s">
        <v>856</v>
      </c>
      <c r="AI10" s="141" t="s">
        <v>864</v>
      </c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</row>
    <row r="11" spans="1:116" ht="15" x14ac:dyDescent="0.25">
      <c r="B11" s="139"/>
      <c r="C11" s="141" t="s">
        <v>750</v>
      </c>
      <c r="D11" s="140">
        <v>45231</v>
      </c>
      <c r="E11" s="141" t="s">
        <v>751</v>
      </c>
      <c r="F11" s="141" t="s">
        <v>81</v>
      </c>
      <c r="G11" s="141" t="s">
        <v>81</v>
      </c>
      <c r="H11" s="141" t="s">
        <v>110</v>
      </c>
      <c r="I11" s="141" t="s">
        <v>289</v>
      </c>
      <c r="J11" s="141" t="s">
        <v>7</v>
      </c>
      <c r="K11" s="141" t="s">
        <v>7</v>
      </c>
      <c r="L11" s="141" t="s">
        <v>752</v>
      </c>
      <c r="P11" s="140">
        <v>45231</v>
      </c>
      <c r="Q11" s="141" t="s">
        <v>751</v>
      </c>
      <c r="R11" s="141" t="s">
        <v>90</v>
      </c>
      <c r="S11" s="141" t="s">
        <v>90</v>
      </c>
      <c r="T11" s="141" t="s">
        <v>720</v>
      </c>
      <c r="U11" s="139"/>
      <c r="V11" s="142" t="s">
        <v>112</v>
      </c>
      <c r="W11" s="141" t="s">
        <v>90</v>
      </c>
      <c r="X11" s="141" t="s">
        <v>90</v>
      </c>
      <c r="Y11" s="141" t="s">
        <v>242</v>
      </c>
      <c r="Z11" s="141">
        <v>39</v>
      </c>
      <c r="AA11" s="141" t="s">
        <v>142</v>
      </c>
      <c r="AB11" s="141" t="s">
        <v>720</v>
      </c>
      <c r="AC11" s="142" t="s">
        <v>7</v>
      </c>
      <c r="AD11" s="141" t="s">
        <v>231</v>
      </c>
      <c r="AE11" s="141">
        <v>0.25700000000000001</v>
      </c>
      <c r="AF11" s="141">
        <v>1.895</v>
      </c>
      <c r="AG11" s="141">
        <v>2.02</v>
      </c>
      <c r="AH11" s="141" t="s">
        <v>750</v>
      </c>
      <c r="AI11" s="141" t="s">
        <v>752</v>
      </c>
      <c r="AU11" s="19"/>
      <c r="AV11" s="19"/>
      <c r="AW11" s="19"/>
      <c r="AX11" s="19"/>
      <c r="AY11" s="19"/>
      <c r="AZ11" s="19"/>
      <c r="BA11" s="19"/>
      <c r="BB11" s="19"/>
      <c r="BC11" s="27"/>
      <c r="BF11" s="19"/>
      <c r="BG11" s="19"/>
      <c r="BJ11" s="3"/>
      <c r="BK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</row>
    <row r="12" spans="1:116" ht="15" x14ac:dyDescent="0.25">
      <c r="B12" s="139"/>
      <c r="C12" s="141" t="s">
        <v>758</v>
      </c>
      <c r="D12" s="140">
        <v>45230</v>
      </c>
      <c r="E12" s="141" t="s">
        <v>759</v>
      </c>
      <c r="F12" s="141" t="s">
        <v>81</v>
      </c>
      <c r="G12" s="141" t="s">
        <v>81</v>
      </c>
      <c r="H12" s="141" t="s">
        <v>109</v>
      </c>
      <c r="I12" s="141" t="s">
        <v>833</v>
      </c>
      <c r="J12" s="141" t="s">
        <v>7</v>
      </c>
      <c r="K12" s="141" t="s">
        <v>7</v>
      </c>
      <c r="L12" s="141" t="s">
        <v>760</v>
      </c>
      <c r="P12" s="140">
        <v>45230</v>
      </c>
      <c r="Q12" s="141" t="s">
        <v>759</v>
      </c>
      <c r="R12" s="141" t="s">
        <v>90</v>
      </c>
      <c r="S12" s="141" t="s">
        <v>834</v>
      </c>
      <c r="T12" s="141" t="s">
        <v>401</v>
      </c>
      <c r="U12" s="139">
        <v>0</v>
      </c>
      <c r="V12" s="142" t="s">
        <v>112</v>
      </c>
      <c r="W12" s="141" t="s">
        <v>90</v>
      </c>
      <c r="X12" s="141" t="s">
        <v>90</v>
      </c>
      <c r="Y12" s="141" t="s">
        <v>104</v>
      </c>
      <c r="Z12" s="141">
        <v>3.58</v>
      </c>
      <c r="AA12" s="141" t="s">
        <v>142</v>
      </c>
      <c r="AB12" s="141" t="s">
        <v>401</v>
      </c>
      <c r="AC12" s="142" t="s">
        <v>7</v>
      </c>
      <c r="AD12" s="141" t="s">
        <v>231</v>
      </c>
      <c r="AE12" s="141">
        <v>0.49099999999999999</v>
      </c>
      <c r="AF12" s="141">
        <v>3.58</v>
      </c>
      <c r="AG12" s="141">
        <v>3.8420000000000001</v>
      </c>
      <c r="AH12" s="141" t="s">
        <v>758</v>
      </c>
      <c r="AI12" s="141" t="s">
        <v>760</v>
      </c>
      <c r="AJ12" s="19"/>
      <c r="AP12" s="19"/>
      <c r="AQ12" s="19"/>
      <c r="AR12" s="19"/>
      <c r="AS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G12" s="19"/>
      <c r="BH12" s="19"/>
      <c r="BK12" s="3"/>
      <c r="BL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</row>
    <row r="13" spans="1:116" ht="15" x14ac:dyDescent="0.25">
      <c r="B13" s="139"/>
      <c r="C13" s="141" t="s">
        <v>753</v>
      </c>
      <c r="D13" s="140">
        <v>45230</v>
      </c>
      <c r="E13" s="141" t="s">
        <v>754</v>
      </c>
      <c r="F13" s="141" t="s">
        <v>81</v>
      </c>
      <c r="G13" s="141" t="s">
        <v>81</v>
      </c>
      <c r="H13" s="141" t="s">
        <v>38</v>
      </c>
      <c r="I13" s="141" t="s">
        <v>90</v>
      </c>
      <c r="J13" s="141" t="s">
        <v>141</v>
      </c>
      <c r="K13" s="141" t="s">
        <v>7</v>
      </c>
      <c r="L13" s="141" t="s">
        <v>755</v>
      </c>
      <c r="P13" s="140">
        <v>45230</v>
      </c>
      <c r="Q13" s="141" t="s">
        <v>754</v>
      </c>
      <c r="R13" s="141" t="s">
        <v>90</v>
      </c>
      <c r="S13" s="141" t="s">
        <v>836</v>
      </c>
      <c r="T13" s="141" t="s">
        <v>796</v>
      </c>
      <c r="U13" s="139">
        <v>10</v>
      </c>
      <c r="V13" s="142" t="s">
        <v>112</v>
      </c>
      <c r="W13" s="141" t="s">
        <v>90</v>
      </c>
      <c r="X13" s="141" t="s">
        <v>90</v>
      </c>
      <c r="Y13" s="141" t="s">
        <v>83</v>
      </c>
      <c r="Z13" s="141">
        <v>1.7</v>
      </c>
      <c r="AA13" s="141" t="s">
        <v>735</v>
      </c>
      <c r="AB13" s="141" t="s">
        <v>796</v>
      </c>
      <c r="AC13" s="142" t="s">
        <v>7</v>
      </c>
      <c r="AD13" s="141" t="s">
        <v>835</v>
      </c>
      <c r="AE13" s="141">
        <v>1.7</v>
      </c>
      <c r="AF13" s="141">
        <v>12.398</v>
      </c>
      <c r="AG13" s="141">
        <v>13.311999999999999</v>
      </c>
      <c r="AH13" s="141" t="s">
        <v>753</v>
      </c>
      <c r="AI13" s="141" t="s">
        <v>755</v>
      </c>
      <c r="AJ13" s="19"/>
      <c r="AM13" s="19"/>
      <c r="AS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3"/>
      <c r="BL13" s="3"/>
      <c r="BM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</row>
    <row r="14" spans="1:116" ht="15" x14ac:dyDescent="0.25">
      <c r="B14" s="139"/>
      <c r="C14" s="141" t="s">
        <v>756</v>
      </c>
      <c r="D14" s="140">
        <v>45230</v>
      </c>
      <c r="E14" s="141" t="s">
        <v>754</v>
      </c>
      <c r="F14" s="141" t="s">
        <v>81</v>
      </c>
      <c r="G14" s="141" t="s">
        <v>81</v>
      </c>
      <c r="H14" s="141" t="s">
        <v>38</v>
      </c>
      <c r="I14" s="141" t="s">
        <v>90</v>
      </c>
      <c r="J14" s="141" t="s">
        <v>7</v>
      </c>
      <c r="K14" s="141" t="s">
        <v>7</v>
      </c>
      <c r="L14" s="141" t="s">
        <v>757</v>
      </c>
      <c r="P14" s="140">
        <v>45230</v>
      </c>
      <c r="Q14" s="141" t="s">
        <v>754</v>
      </c>
      <c r="R14" s="141" t="s">
        <v>90</v>
      </c>
      <c r="S14" s="141" t="s">
        <v>834</v>
      </c>
      <c r="T14" s="141" t="s">
        <v>785</v>
      </c>
      <c r="U14" s="139">
        <v>50</v>
      </c>
      <c r="V14" s="142" t="s">
        <v>112</v>
      </c>
      <c r="W14" s="141" t="s">
        <v>90</v>
      </c>
      <c r="X14" s="141" t="s">
        <v>90</v>
      </c>
      <c r="Y14" s="141" t="s">
        <v>104</v>
      </c>
      <c r="Z14" s="141">
        <v>9</v>
      </c>
      <c r="AA14" s="141" t="s">
        <v>735</v>
      </c>
      <c r="AB14" s="141" t="s">
        <v>785</v>
      </c>
      <c r="AC14" s="142" t="s">
        <v>7</v>
      </c>
      <c r="AD14" s="141" t="s">
        <v>835</v>
      </c>
      <c r="AE14" s="141">
        <v>1.234</v>
      </c>
      <c r="AF14" s="141">
        <v>9</v>
      </c>
      <c r="AG14" s="141">
        <v>9.66</v>
      </c>
      <c r="AH14" s="141" t="s">
        <v>756</v>
      </c>
      <c r="AI14" s="141" t="s">
        <v>757</v>
      </c>
      <c r="AJ14" s="19"/>
      <c r="AN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I14" s="19"/>
      <c r="BJ14" s="3"/>
      <c r="BK14" s="3"/>
      <c r="BL14" s="3"/>
      <c r="BM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</row>
    <row r="15" spans="1:116" ht="15" x14ac:dyDescent="0.25">
      <c r="B15" s="139"/>
      <c r="C15" s="141" t="s">
        <v>765</v>
      </c>
      <c r="D15" s="140">
        <v>45229</v>
      </c>
      <c r="E15" s="141" t="s">
        <v>766</v>
      </c>
      <c r="F15" s="141" t="s">
        <v>81</v>
      </c>
      <c r="G15" s="141" t="s">
        <v>918</v>
      </c>
      <c r="H15" s="141" t="s">
        <v>39</v>
      </c>
      <c r="I15" s="141" t="s">
        <v>90</v>
      </c>
      <c r="J15" s="141" t="s">
        <v>7</v>
      </c>
      <c r="K15" s="141" t="s">
        <v>7</v>
      </c>
      <c r="L15" s="141" t="s">
        <v>767</v>
      </c>
      <c r="P15" s="140">
        <v>45229</v>
      </c>
      <c r="Q15" s="141" t="s">
        <v>766</v>
      </c>
      <c r="R15" s="141" t="s">
        <v>90</v>
      </c>
      <c r="S15" s="141" t="s">
        <v>90</v>
      </c>
      <c r="T15" s="141" t="s">
        <v>90</v>
      </c>
      <c r="U15" s="139"/>
      <c r="V15" s="142" t="s">
        <v>112</v>
      </c>
      <c r="W15" s="141" t="s">
        <v>90</v>
      </c>
      <c r="X15" s="141" t="s">
        <v>90</v>
      </c>
      <c r="Y15" s="141" t="s">
        <v>108</v>
      </c>
      <c r="Z15" s="141">
        <v>1.08</v>
      </c>
      <c r="AA15" s="141" t="s">
        <v>735</v>
      </c>
      <c r="AB15" s="141" t="s">
        <v>838</v>
      </c>
      <c r="AC15" s="142" t="s">
        <v>7</v>
      </c>
      <c r="AD15" s="141" t="s">
        <v>261</v>
      </c>
      <c r="AE15" s="141">
        <v>1.1419999999999999</v>
      </c>
      <c r="AF15" s="141">
        <v>8.3290000000000006</v>
      </c>
      <c r="AG15" s="141">
        <v>8.9420000000000002</v>
      </c>
      <c r="AH15" s="141" t="s">
        <v>765</v>
      </c>
      <c r="AI15" s="141" t="s">
        <v>767</v>
      </c>
      <c r="AJ15" s="19"/>
      <c r="AK15" s="19"/>
      <c r="AP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I15" s="19"/>
      <c r="BJ15" s="3"/>
      <c r="BK15" s="3"/>
      <c r="BL15" s="3"/>
      <c r="BM15" s="3"/>
      <c r="BN15" s="3"/>
      <c r="BO15" s="3"/>
      <c r="BP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</row>
    <row r="16" spans="1:116" ht="13.5" x14ac:dyDescent="0.25">
      <c r="K16" s="19"/>
      <c r="L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N16" s="19"/>
      <c r="AP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K16" s="3"/>
      <c r="BL16" s="3"/>
      <c r="BM16" s="3"/>
      <c r="BN16" s="3"/>
      <c r="BO16" s="3"/>
      <c r="BP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</row>
    <row r="17" spans="12:116" ht="13.5" x14ac:dyDescent="0.25">
      <c r="L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K17" s="3"/>
      <c r="BL17" s="3"/>
      <c r="BM17" s="3"/>
      <c r="BN17" s="3"/>
      <c r="BO17" s="3"/>
      <c r="BP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</row>
    <row r="18" spans="12:116" ht="13.5" x14ac:dyDescent="0.25">
      <c r="L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K18" s="3"/>
      <c r="BL18" s="3"/>
      <c r="BM18" s="3"/>
      <c r="BN18" s="3"/>
      <c r="BO18" s="3"/>
      <c r="BP18" s="3"/>
      <c r="BQ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</row>
    <row r="19" spans="12:116" ht="13.5" x14ac:dyDescent="0.25"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K19" s="3"/>
      <c r="BT19" s="3"/>
      <c r="BV19" s="3"/>
      <c r="BW19" s="3"/>
      <c r="BX19" s="3"/>
      <c r="BY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</row>
    <row r="20" spans="12:116" ht="13.5" x14ac:dyDescent="0.25"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CC20" s="3"/>
      <c r="CD20" s="3"/>
      <c r="CG20" s="3"/>
      <c r="CH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</row>
    <row r="21" spans="12:116" ht="13.5" x14ac:dyDescent="0.25"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CC21" s="3"/>
      <c r="CD21" s="3"/>
      <c r="CG21" s="3"/>
      <c r="CH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</row>
    <row r="22" spans="12:116" ht="13.5" x14ac:dyDescent="0.25"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CH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</row>
    <row r="23" spans="12:116" ht="13.5" x14ac:dyDescent="0.25"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CH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</row>
    <row r="24" spans="12:116" ht="13.5" x14ac:dyDescent="0.25"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CH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</row>
    <row r="25" spans="12:116" ht="13.5" x14ac:dyDescent="0.25"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CH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</row>
    <row r="26" spans="12:116" ht="13.5" x14ac:dyDescent="0.25"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CH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</row>
    <row r="27" spans="12:116" ht="13.5" x14ac:dyDescent="0.25"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CI27" s="3"/>
      <c r="CJ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</row>
    <row r="28" spans="12:116" ht="13.5" x14ac:dyDescent="0.25"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CI28" s="3"/>
      <c r="CJ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</row>
    <row r="29" spans="12:116" ht="13.5" x14ac:dyDescent="0.25"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CI29" s="3"/>
      <c r="CJ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</row>
    <row r="30" spans="12:116" ht="13.5" x14ac:dyDescent="0.25"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CI30" s="3"/>
      <c r="CJ30" s="3"/>
      <c r="CL30" s="3"/>
      <c r="CM30" s="3"/>
      <c r="CN30" s="3"/>
      <c r="CO30" s="3"/>
      <c r="CP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</row>
    <row r="31" spans="12:116" ht="13.5" x14ac:dyDescent="0.25"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CI31" s="3"/>
      <c r="CJ31" s="3"/>
      <c r="CL31" s="3"/>
      <c r="CM31" s="3"/>
      <c r="CN31" s="3"/>
      <c r="CO31" s="3"/>
      <c r="CP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</row>
    <row r="32" spans="12:116" ht="13.5" x14ac:dyDescent="0.25"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CI32" s="3"/>
      <c r="CJ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</row>
    <row r="33" spans="13:116" ht="13.5" x14ac:dyDescent="0.25"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CI33" s="3"/>
      <c r="CJ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</row>
    <row r="34" spans="13:116" ht="13.5" x14ac:dyDescent="0.25"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CJ34" s="3"/>
      <c r="CK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</row>
    <row r="35" spans="13:116" ht="13.5" x14ac:dyDescent="0.25"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CJ35" s="3"/>
      <c r="CK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</row>
    <row r="36" spans="13:116" ht="13.5" x14ac:dyDescent="0.25"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CJ36" s="3"/>
      <c r="CK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</row>
    <row r="37" spans="13:116" ht="13.5" x14ac:dyDescent="0.25"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CJ37" s="3"/>
      <c r="CK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</row>
    <row r="38" spans="13:116" ht="13.5" x14ac:dyDescent="0.25"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CJ38" s="3"/>
      <c r="CK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</row>
    <row r="39" spans="13:116" ht="13.5" x14ac:dyDescent="0.25"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CJ39" s="3"/>
      <c r="CK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</row>
    <row r="40" spans="13:116" ht="13.5" x14ac:dyDescent="0.25"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CJ40" s="3"/>
      <c r="CK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</row>
    <row r="41" spans="13:116" ht="13.5" x14ac:dyDescent="0.25"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CJ41" s="3"/>
      <c r="CK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</row>
    <row r="42" spans="13:116" ht="13.5" x14ac:dyDescent="0.25"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CJ42" s="3"/>
      <c r="CK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</row>
    <row r="43" spans="13:116" ht="13.5" x14ac:dyDescent="0.25"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CJ43" s="3"/>
      <c r="CK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</row>
    <row r="44" spans="13:116" ht="13.5" x14ac:dyDescent="0.25"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CJ44" s="3"/>
      <c r="CK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</row>
    <row r="45" spans="13:116" ht="13.5" x14ac:dyDescent="0.25"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CJ45" s="3"/>
      <c r="CK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</row>
    <row r="46" spans="13:116" ht="13.5" x14ac:dyDescent="0.25"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CJ46" s="3"/>
      <c r="CK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</row>
    <row r="47" spans="13:116" ht="13.5" x14ac:dyDescent="0.25"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CJ47" s="3"/>
      <c r="CK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</row>
    <row r="48" spans="13:116" ht="13.5" x14ac:dyDescent="0.25"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CJ48" s="3"/>
      <c r="CK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</row>
    <row r="49" spans="13:116" ht="13.5" x14ac:dyDescent="0.25"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CJ49" s="3"/>
      <c r="CK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</row>
    <row r="50" spans="13:116" ht="13.5" x14ac:dyDescent="0.25"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CJ50" s="3"/>
      <c r="CK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</row>
    <row r="51" spans="13:116" ht="15.75" customHeight="1" x14ac:dyDescent="0.25"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CJ51" s="3"/>
      <c r="CK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</row>
    <row r="52" spans="13:116" ht="15.75" customHeight="1" x14ac:dyDescent="0.25"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CJ52" s="3"/>
      <c r="CK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</row>
    <row r="53" spans="13:116" ht="15.75" customHeight="1" x14ac:dyDescent="0.25"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R53" s="19"/>
      <c r="AS53" s="19"/>
      <c r="AT53" s="19"/>
      <c r="AU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CJ53" s="3"/>
      <c r="CK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</row>
    <row r="54" spans="13:116" ht="15.75" customHeight="1" x14ac:dyDescent="0.25"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R54" s="19"/>
      <c r="AS54" s="19"/>
      <c r="AT54" s="19"/>
      <c r="AU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CJ54" s="3"/>
      <c r="CK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</row>
    <row r="55" spans="13:116" ht="15.75" customHeight="1" x14ac:dyDescent="0.25"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R55" s="19"/>
      <c r="AS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CJ55" s="3"/>
      <c r="CK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</row>
    <row r="56" spans="13:116" ht="15.75" customHeight="1" x14ac:dyDescent="0.25"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S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CJ56" s="3"/>
      <c r="CK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</row>
    <row r="57" spans="13:116" ht="15.75" customHeight="1" x14ac:dyDescent="0.25"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X57" s="19"/>
      <c r="BA57" s="19"/>
      <c r="BB57" s="19"/>
      <c r="BC57" s="19"/>
      <c r="BD57" s="19"/>
      <c r="BE57" s="19"/>
      <c r="BF57" s="19"/>
      <c r="BG57" s="19"/>
      <c r="BH57" s="19"/>
      <c r="BI57" s="19"/>
      <c r="CJ57" s="3"/>
      <c r="CK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</row>
    <row r="58" spans="13:116" ht="15.75" customHeight="1" x14ac:dyDescent="0.25"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X58" s="19"/>
      <c r="BA58" s="19"/>
      <c r="BB58" s="19"/>
      <c r="BC58" s="19"/>
      <c r="BD58" s="19"/>
      <c r="BE58" s="19"/>
      <c r="BF58" s="19"/>
      <c r="BG58" s="19"/>
      <c r="BH58" s="19"/>
      <c r="BI58" s="19"/>
      <c r="CJ58" s="3"/>
      <c r="CK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</row>
    <row r="59" spans="13:116" ht="13.5" x14ac:dyDescent="0.25"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X59" s="19"/>
      <c r="BA59" s="19"/>
      <c r="BB59" s="19"/>
      <c r="BC59" s="19"/>
      <c r="BD59" s="19"/>
      <c r="BE59" s="19"/>
      <c r="BF59" s="19"/>
      <c r="BG59" s="19"/>
      <c r="BH59" s="19"/>
      <c r="BI59" s="19"/>
      <c r="CJ59" s="3"/>
      <c r="CK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</row>
    <row r="60" spans="13:116" ht="13.5" x14ac:dyDescent="0.25"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L60" s="19"/>
      <c r="AM60" s="19"/>
      <c r="AN60" s="19"/>
      <c r="AO60" s="19"/>
      <c r="AX60" s="19"/>
      <c r="BA60" s="19"/>
      <c r="BE60" s="19"/>
      <c r="BF60" s="19"/>
      <c r="BH60" s="19"/>
      <c r="BI60" s="19"/>
      <c r="CJ60" s="3"/>
      <c r="CK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</row>
    <row r="61" spans="13:116" ht="13.5" x14ac:dyDescent="0.25"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L61" s="19"/>
      <c r="AM61" s="19"/>
      <c r="AN61" s="19"/>
      <c r="AX61" s="19"/>
      <c r="BE61" s="19"/>
      <c r="BF61" s="19"/>
      <c r="CJ61" s="3"/>
      <c r="CK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</row>
    <row r="62" spans="13:116" ht="13.5" x14ac:dyDescent="0.25"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L62" s="19"/>
      <c r="AM62" s="19"/>
      <c r="AN62" s="19"/>
      <c r="BE62" s="19"/>
      <c r="BF62" s="19"/>
      <c r="CJ62" s="3"/>
      <c r="CK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</row>
    <row r="63" spans="13:116" ht="13.5" x14ac:dyDescent="0.25"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L63" s="19"/>
      <c r="AM63" s="19"/>
      <c r="AN63" s="19"/>
      <c r="BE63" s="19"/>
      <c r="BF63" s="19"/>
      <c r="CJ63" s="3"/>
      <c r="CK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</row>
    <row r="64" spans="13:116" ht="13.5" x14ac:dyDescent="0.25">
      <c r="M64" s="19"/>
      <c r="N64" s="19"/>
      <c r="O64" s="19"/>
      <c r="AL64" s="19"/>
      <c r="AM64" s="19"/>
      <c r="AN64" s="19"/>
      <c r="CJ64" s="3"/>
      <c r="CK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</row>
    <row r="65" spans="13:116" ht="13.5" x14ac:dyDescent="0.25">
      <c r="M65" s="19"/>
      <c r="N65" s="19"/>
      <c r="O65" s="19"/>
      <c r="AL65" s="19"/>
      <c r="AM65" s="19"/>
      <c r="AN65" s="19"/>
      <c r="CJ65" s="3"/>
      <c r="CK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</row>
    <row r="66" spans="13:116" ht="13.5" x14ac:dyDescent="0.25">
      <c r="M66" s="19"/>
      <c r="N66" s="19"/>
      <c r="O66" s="19"/>
      <c r="AL66" s="19"/>
      <c r="AM66" s="19"/>
      <c r="AN66" s="19"/>
      <c r="CJ66" s="3"/>
      <c r="CK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</row>
    <row r="67" spans="13:116" ht="13.5" x14ac:dyDescent="0.25"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</row>
    <row r="68" spans="13:116" ht="13.5" x14ac:dyDescent="0.25"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</row>
    <row r="69" spans="13:116" ht="13.5" x14ac:dyDescent="0.25"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</row>
    <row r="70" spans="13:116" ht="13.5" x14ac:dyDescent="0.25"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</row>
    <row r="71" spans="13:116" ht="13.5" x14ac:dyDescent="0.25"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</row>
    <row r="72" spans="13:116" ht="13.5" x14ac:dyDescent="0.25"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</row>
    <row r="73" spans="13:116" ht="13.5" x14ac:dyDescent="0.25"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</row>
  </sheetData>
  <phoneticPr fontId="14" type="noConversion"/>
  <conditionalFormatting sqref="G3:L3">
    <cfRule type="expression" dxfId="139" priority="19">
      <formula>$G$3&lt;&gt;0</formula>
    </cfRule>
  </conditionalFormatting>
  <conditionalFormatting sqref="S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R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11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295275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RefreshDLDForReview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3</xdr:col>
                    <xdr:colOff>800100</xdr:colOff>
                    <xdr:row>3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B71E-ECA4-48AC-9BFF-6FF6EFEE5281}">
  <sheetPr codeName="Sheet16"/>
  <dimension ref="A1:DD18"/>
  <sheetViews>
    <sheetView workbookViewId="0">
      <selection activeCell="J12" sqref="J12"/>
    </sheetView>
  </sheetViews>
  <sheetFormatPr defaultRowHeight="15" x14ac:dyDescent="0.25"/>
  <cols>
    <col min="1" max="1" width="7.33203125" style="1" bestFit="1" customWidth="1"/>
    <col min="2" max="2" width="10.5546875" style="1" bestFit="1" customWidth="1"/>
    <col min="3" max="3" width="34.44140625" style="1" bestFit="1" customWidth="1"/>
    <col min="4" max="4" width="13.88671875" style="1" bestFit="1" customWidth="1"/>
    <col min="5" max="5" width="10.33203125" style="1" bestFit="1" customWidth="1"/>
    <col min="6" max="6" width="6.109375" style="1" bestFit="1" customWidth="1"/>
    <col min="7" max="7" width="12.33203125" style="1" bestFit="1" customWidth="1"/>
    <col min="8" max="8" width="17" style="1" bestFit="1" customWidth="1"/>
    <col min="9" max="9" width="10.21875" style="1" bestFit="1" customWidth="1"/>
    <col min="10" max="11" width="80.88671875" style="1" bestFit="1" customWidth="1"/>
    <col min="12" max="12" width="9.6640625" style="1" bestFit="1" customWidth="1"/>
    <col min="13" max="13" width="19.6640625" style="1" bestFit="1" customWidth="1"/>
    <col min="14" max="14" width="9.44140625" style="1" bestFit="1" customWidth="1"/>
    <col min="15" max="15" width="26.44140625" style="1" bestFit="1" customWidth="1"/>
    <col min="16" max="20" width="9.44140625" style="1" bestFit="1" customWidth="1"/>
    <col min="21" max="21" width="11.109375" style="1" bestFit="1" customWidth="1"/>
    <col min="22" max="22" width="80.88671875" style="1" bestFit="1" customWidth="1"/>
    <col min="23" max="23" width="56.109375" style="1" bestFit="1" customWidth="1"/>
    <col min="24" max="24" width="10.33203125" style="1" bestFit="1" customWidth="1"/>
    <col min="25" max="25" width="10.44140625" style="1" bestFit="1" customWidth="1"/>
    <col min="26" max="26" width="11.109375" style="1" bestFit="1" customWidth="1"/>
    <col min="27" max="27" width="28.109375" style="1" bestFit="1" customWidth="1"/>
    <col min="28" max="28" width="49.6640625" style="1" bestFit="1" customWidth="1"/>
    <col min="29" max="29" width="11.109375" style="1" bestFit="1" customWidth="1"/>
    <col min="30" max="30" width="9.44140625" style="1" bestFit="1" customWidth="1"/>
    <col min="31" max="31" width="12.77734375" style="1" bestFit="1" customWidth="1"/>
    <col min="32" max="32" width="11.109375" style="1" bestFit="1" customWidth="1"/>
    <col min="33" max="33" width="10.33203125" style="1" bestFit="1" customWidth="1"/>
    <col min="34" max="34" width="9.44140625" style="1" bestFit="1" customWidth="1"/>
    <col min="35" max="35" width="12.77734375" style="1" bestFit="1" customWidth="1"/>
    <col min="36" max="36" width="8.88671875" style="1" bestFit="1" customWidth="1"/>
    <col min="37" max="37" width="80.88671875" style="1" bestFit="1" customWidth="1"/>
    <col min="38" max="39" width="11.109375" style="1" bestFit="1" customWidth="1"/>
    <col min="40" max="40" width="12.77734375" style="1" bestFit="1" customWidth="1"/>
    <col min="41" max="41" width="9.44140625" style="1" bestFit="1" customWidth="1"/>
    <col min="42" max="42" width="14.44140625" style="1" bestFit="1" customWidth="1"/>
    <col min="43" max="43" width="9.77734375" style="1" bestFit="1" customWidth="1"/>
    <col min="44" max="45" width="12.77734375" style="1" bestFit="1" customWidth="1"/>
    <col min="46" max="50" width="9.44140625" style="1" bestFit="1" customWidth="1"/>
    <col min="51" max="51" width="10.5546875" style="1" bestFit="1" customWidth="1"/>
    <col min="52" max="54" width="6.109375" style="1" bestFit="1" customWidth="1"/>
    <col min="55" max="55" width="9.44140625" style="1" bestFit="1" customWidth="1"/>
    <col min="56" max="56" width="7.77734375" style="1" bestFit="1" customWidth="1"/>
    <col min="57" max="57" width="14.88671875" style="1" bestFit="1" customWidth="1"/>
    <col min="58" max="58" width="28.109375" style="1" bestFit="1" customWidth="1"/>
    <col min="59" max="59" width="9.5546875" style="1" bestFit="1" customWidth="1"/>
    <col min="60" max="60" width="9.44140625" style="1" bestFit="1" customWidth="1"/>
    <col min="61" max="61" width="12.77734375" style="1" bestFit="1" customWidth="1"/>
    <col min="62" max="62" width="40.44140625" style="1" bestFit="1" customWidth="1"/>
    <col min="63" max="63" width="10.33203125" style="1" bestFit="1" customWidth="1"/>
    <col min="64" max="64" width="10.44140625" style="1" bestFit="1" customWidth="1"/>
    <col min="65" max="66" width="12.21875" style="1" bestFit="1" customWidth="1"/>
    <col min="67" max="67" width="9.44140625" style="1" bestFit="1" customWidth="1"/>
    <col min="68" max="68" width="12.77734375" style="1" bestFit="1" customWidth="1"/>
    <col min="69" max="69" width="10.21875" style="1" bestFit="1" customWidth="1"/>
    <col min="70" max="70" width="25.6640625" style="1" bestFit="1" customWidth="1"/>
    <col min="71" max="71" width="12.21875" style="1" bestFit="1" customWidth="1"/>
    <col min="72" max="72" width="11.109375" style="1" bestFit="1" customWidth="1"/>
    <col min="73" max="73" width="9.5546875" style="1" bestFit="1" customWidth="1"/>
    <col min="74" max="74" width="6.109375" style="1" bestFit="1" customWidth="1"/>
    <col min="75" max="75" width="11.33203125" style="1" bestFit="1" customWidth="1"/>
    <col min="76" max="76" width="11.109375" style="1" bestFit="1" customWidth="1"/>
    <col min="77" max="77" width="14.44140625" style="1" bestFit="1" customWidth="1"/>
    <col min="78" max="78" width="18.44140625" style="1" bestFit="1" customWidth="1"/>
    <col min="79" max="80" width="9.44140625" style="1" bestFit="1" customWidth="1"/>
    <col min="81" max="81" width="9.88671875" style="1" bestFit="1" customWidth="1"/>
    <col min="82" max="82" width="11.21875" style="1" bestFit="1" customWidth="1"/>
    <col min="83" max="83" width="8.88671875" style="1" bestFit="1" customWidth="1"/>
    <col min="84" max="84" width="7.77734375" style="1" bestFit="1" customWidth="1"/>
    <col min="85" max="85" width="9.44140625" style="1" bestFit="1" customWidth="1"/>
    <col min="86" max="86" width="11.33203125" style="1" bestFit="1" customWidth="1"/>
    <col min="87" max="87" width="9.44140625" style="1" bestFit="1" customWidth="1"/>
    <col min="88" max="88" width="7.44140625" style="1" bestFit="1" customWidth="1"/>
    <col min="89" max="91" width="7" style="1" bestFit="1" customWidth="1"/>
    <col min="92" max="92" width="7.77734375" style="1" bestFit="1" customWidth="1"/>
    <col min="93" max="93" width="7" style="1" bestFit="1" customWidth="1"/>
    <col min="94" max="94" width="7.77734375" style="1" bestFit="1" customWidth="1"/>
    <col min="95" max="95" width="6.77734375" style="1" bestFit="1" customWidth="1"/>
    <col min="96" max="97" width="11.109375" style="1" bestFit="1" customWidth="1"/>
    <col min="98" max="99" width="9.44140625" style="1" bestFit="1" customWidth="1"/>
    <col min="100" max="100" width="7" style="1" bestFit="1" customWidth="1"/>
    <col min="101" max="103" width="6.109375" style="1" bestFit="1" customWidth="1"/>
    <col min="104" max="104" width="6.33203125" style="1" bestFit="1" customWidth="1"/>
    <col min="105" max="106" width="9.44140625" style="1" bestFit="1" customWidth="1"/>
    <col min="107" max="107" width="5.88671875" style="1" bestFit="1" customWidth="1"/>
    <col min="108" max="109" width="20" style="1" bestFit="1" customWidth="1"/>
    <col min="110" max="110" width="19.44140625" style="1" bestFit="1" customWidth="1"/>
    <col min="111" max="111" width="11.109375" style="1" bestFit="1" customWidth="1"/>
    <col min="112" max="112" width="14.44140625" style="1" bestFit="1" customWidth="1"/>
    <col min="113" max="113" width="10" style="1" bestFit="1" customWidth="1"/>
    <col min="114" max="114" width="10.33203125" style="1" bestFit="1" customWidth="1"/>
    <col min="115" max="115" width="9.44140625" style="1" bestFit="1" customWidth="1"/>
    <col min="116" max="116" width="12.6640625" style="1" bestFit="1" customWidth="1"/>
    <col min="117" max="117" width="15.5546875" style="1" bestFit="1" customWidth="1"/>
    <col min="118" max="118" width="9.44140625" style="1" bestFit="1" customWidth="1"/>
    <col min="119" max="119" width="7.6640625" style="1" bestFit="1" customWidth="1"/>
    <col min="120" max="120" width="6.88671875" style="1" bestFit="1" customWidth="1"/>
    <col min="121" max="121" width="5.88671875" style="1" bestFit="1" customWidth="1"/>
    <col min="122" max="124" width="6.109375" style="1" bestFit="1" customWidth="1"/>
    <col min="125" max="126" width="9.44140625" style="1" bestFit="1" customWidth="1"/>
    <col min="127" max="127" width="5.88671875" style="1" bestFit="1" customWidth="1"/>
    <col min="128" max="129" width="17.44140625" style="1" bestFit="1" customWidth="1"/>
    <col min="130" max="130" width="17.44140625" style="1" customWidth="1"/>
    <col min="131" max="131" width="17.44140625" style="1" bestFit="1" customWidth="1"/>
    <col min="132" max="16384" width="8.88671875" style="1"/>
  </cols>
  <sheetData>
    <row r="1" spans="1:108" ht="46.5" x14ac:dyDescent="0.25">
      <c r="A1" s="39" t="s">
        <v>444</v>
      </c>
    </row>
    <row r="6" spans="1:108" x14ac:dyDescent="0.25">
      <c r="A6" t="s">
        <v>84</v>
      </c>
      <c r="B6" t="s">
        <v>163</v>
      </c>
      <c r="C6" t="s">
        <v>92</v>
      </c>
      <c r="D6" t="s">
        <v>47</v>
      </c>
      <c r="E6" t="s">
        <v>48</v>
      </c>
      <c r="F6" t="s">
        <v>63</v>
      </c>
      <c r="G6" t="s">
        <v>442</v>
      </c>
      <c r="H6" t="s">
        <v>192</v>
      </c>
      <c r="I6" t="s">
        <v>193</v>
      </c>
      <c r="J6" t="s">
        <v>64</v>
      </c>
      <c r="K6" t="s">
        <v>73</v>
      </c>
      <c r="L6" t="s">
        <v>926</v>
      </c>
      <c r="M6" t="s">
        <v>218</v>
      </c>
      <c r="N6" t="s">
        <v>79</v>
      </c>
      <c r="O6" t="s">
        <v>80</v>
      </c>
      <c r="P6" t="s">
        <v>103</v>
      </c>
      <c r="Q6" t="s">
        <v>78</v>
      </c>
      <c r="R6" t="s">
        <v>77</v>
      </c>
      <c r="S6" t="s">
        <v>76</v>
      </c>
      <c r="T6" t="s">
        <v>75</v>
      </c>
      <c r="U6" t="s">
        <v>74</v>
      </c>
      <c r="V6" t="s">
        <v>208</v>
      </c>
      <c r="W6" t="s">
        <v>102</v>
      </c>
      <c r="X6" t="s">
        <v>72</v>
      </c>
      <c r="Y6" t="s">
        <v>209</v>
      </c>
      <c r="Z6" t="s">
        <v>71</v>
      </c>
      <c r="AA6" t="s">
        <v>70</v>
      </c>
      <c r="AB6" t="s">
        <v>69</v>
      </c>
      <c r="AC6" t="s">
        <v>68</v>
      </c>
      <c r="AD6" t="s">
        <v>67</v>
      </c>
      <c r="AE6" t="s">
        <v>101</v>
      </c>
      <c r="AF6" t="s">
        <v>66</v>
      </c>
      <c r="AG6" t="s">
        <v>65</v>
      </c>
      <c r="AH6" t="s">
        <v>100</v>
      </c>
      <c r="AI6" t="s">
        <v>99</v>
      </c>
      <c r="AJ6" t="s">
        <v>641</v>
      </c>
      <c r="AK6" t="s">
        <v>207</v>
      </c>
      <c r="AL6" t="s">
        <v>206</v>
      </c>
      <c r="AM6" t="s">
        <v>205</v>
      </c>
      <c r="AN6" t="s">
        <v>204</v>
      </c>
      <c r="AO6" t="s">
        <v>95</v>
      </c>
      <c r="AP6" t="s">
        <v>41</v>
      </c>
      <c r="AQ6" t="s">
        <v>203</v>
      </c>
      <c r="AR6" t="s">
        <v>50</v>
      </c>
      <c r="AS6" t="s">
        <v>164</v>
      </c>
      <c r="AT6" t="s">
        <v>43</v>
      </c>
      <c r="AU6" t="s">
        <v>185</v>
      </c>
      <c r="AV6" t="s">
        <v>62</v>
      </c>
      <c r="AW6" t="s">
        <v>61</v>
      </c>
      <c r="AX6" t="s">
        <v>60</v>
      </c>
      <c r="AY6" t="s">
        <v>127</v>
      </c>
      <c r="AZ6" t="s">
        <v>45</v>
      </c>
      <c r="BA6" t="s">
        <v>44</v>
      </c>
      <c r="BB6" t="s">
        <v>93</v>
      </c>
      <c r="BC6" t="s">
        <v>59</v>
      </c>
      <c r="BD6" t="s">
        <v>58</v>
      </c>
      <c r="BE6" t="s">
        <v>55</v>
      </c>
      <c r="BF6" t="s">
        <v>54</v>
      </c>
      <c r="BG6" t="s">
        <v>219</v>
      </c>
      <c r="BH6" t="s">
        <v>288</v>
      </c>
      <c r="BI6" t="s">
        <v>53</v>
      </c>
      <c r="BJ6" t="s">
        <v>98</v>
      </c>
      <c r="BK6" t="s">
        <v>51</v>
      </c>
      <c r="BL6" t="s">
        <v>368</v>
      </c>
      <c r="BM6" t="s">
        <v>57</v>
      </c>
      <c r="BN6" t="s">
        <v>56</v>
      </c>
      <c r="BO6" t="s">
        <v>49</v>
      </c>
      <c r="BP6" t="s">
        <v>97</v>
      </c>
      <c r="BQ6" t="s">
        <v>96</v>
      </c>
      <c r="BR6" t="s">
        <v>46</v>
      </c>
      <c r="BS6" t="s">
        <v>377</v>
      </c>
      <c r="BT6" t="s">
        <v>212</v>
      </c>
      <c r="BU6" t="s">
        <v>422</v>
      </c>
      <c r="BV6" t="s">
        <v>87</v>
      </c>
      <c r="BW6" t="s">
        <v>139</v>
      </c>
      <c r="BX6" t="s">
        <v>214</v>
      </c>
      <c r="BY6" t="s">
        <v>241</v>
      </c>
      <c r="BZ6" t="s">
        <v>137</v>
      </c>
      <c r="CA6" t="s">
        <v>115</v>
      </c>
      <c r="CB6" t="s">
        <v>130</v>
      </c>
      <c r="CC6" t="s">
        <v>165</v>
      </c>
      <c r="CD6" t="s">
        <v>893</v>
      </c>
      <c r="CE6" t="s">
        <v>88</v>
      </c>
      <c r="CF6" t="s">
        <v>40</v>
      </c>
      <c r="CG6" t="s">
        <v>133</v>
      </c>
      <c r="CH6" t="s">
        <v>89</v>
      </c>
      <c r="CI6" t="s">
        <v>194</v>
      </c>
      <c r="CJ6" t="s">
        <v>716</v>
      </c>
      <c r="CK6" t="s">
        <v>83</v>
      </c>
      <c r="CL6" t="s">
        <v>104</v>
      </c>
      <c r="CM6" t="s">
        <v>106</v>
      </c>
      <c r="CN6" t="s">
        <v>161</v>
      </c>
      <c r="CO6" t="s">
        <v>162</v>
      </c>
      <c r="CP6" t="s">
        <v>196</v>
      </c>
      <c r="CQ6" t="s">
        <v>267</v>
      </c>
      <c r="CR6" t="s">
        <v>173</v>
      </c>
      <c r="CS6" t="s">
        <v>172</v>
      </c>
      <c r="CT6" t="s">
        <v>156</v>
      </c>
      <c r="CU6" t="s">
        <v>154</v>
      </c>
      <c r="CV6" t="s">
        <v>86</v>
      </c>
      <c r="CW6" t="s">
        <v>52</v>
      </c>
      <c r="CX6" t="s">
        <v>143</v>
      </c>
      <c r="CY6" t="s">
        <v>116</v>
      </c>
      <c r="CZ6" t="s">
        <v>85</v>
      </c>
      <c r="DA6" t="s">
        <v>195</v>
      </c>
      <c r="DB6" t="s">
        <v>456</v>
      </c>
      <c r="DC6" t="s">
        <v>131</v>
      </c>
      <c r="DD6" t="s">
        <v>132</v>
      </c>
    </row>
    <row r="7" spans="1:108" x14ac:dyDescent="0.25">
      <c r="A7" s="139">
        <v>12</v>
      </c>
      <c r="B7" s="141" t="s">
        <v>276</v>
      </c>
      <c r="C7" s="141" t="s">
        <v>841</v>
      </c>
      <c r="D7" s="141" t="s">
        <v>840</v>
      </c>
      <c r="E7" s="140">
        <v>45233</v>
      </c>
      <c r="F7" s="141" t="s">
        <v>104</v>
      </c>
      <c r="G7" s="141" t="s">
        <v>276</v>
      </c>
      <c r="H7" s="141" t="s">
        <v>90</v>
      </c>
      <c r="I7" s="141" t="s">
        <v>401</v>
      </c>
      <c r="J7" s="141" t="s">
        <v>957</v>
      </c>
      <c r="K7" s="141" t="s">
        <v>961</v>
      </c>
      <c r="L7" t="s">
        <v>2</v>
      </c>
      <c r="M7" s="141" t="s">
        <v>954</v>
      </c>
      <c r="N7" s="141" t="s">
        <v>126</v>
      </c>
      <c r="O7" s="141" t="s">
        <v>90</v>
      </c>
      <c r="P7" s="141" t="s">
        <v>90</v>
      </c>
      <c r="Q7" s="141" t="s">
        <v>423</v>
      </c>
      <c r="R7" s="141" t="s">
        <v>424</v>
      </c>
      <c r="S7" s="141" t="s">
        <v>425</v>
      </c>
      <c r="T7" s="141" t="s">
        <v>426</v>
      </c>
      <c r="U7" s="141" t="s">
        <v>426</v>
      </c>
      <c r="V7" s="141" t="s">
        <v>962</v>
      </c>
      <c r="W7" s="141" t="s">
        <v>778</v>
      </c>
      <c r="X7" s="140">
        <v>45240</v>
      </c>
      <c r="Y7" s="141" t="s">
        <v>401</v>
      </c>
      <c r="Z7" s="140">
        <v>45240</v>
      </c>
      <c r="AA7" s="141" t="s">
        <v>90</v>
      </c>
      <c r="AB7" s="141" t="s">
        <v>841</v>
      </c>
      <c r="AC7" s="140">
        <v>45422</v>
      </c>
      <c r="AD7" s="141" t="s">
        <v>90</v>
      </c>
      <c r="AE7" s="139">
        <v>4.8</v>
      </c>
      <c r="AF7" s="140"/>
      <c r="AG7" s="140">
        <v>45240</v>
      </c>
      <c r="AH7" s="139">
        <v>9.69</v>
      </c>
      <c r="AI7" s="139">
        <v>10000</v>
      </c>
      <c r="AJ7" s="141" t="s">
        <v>960</v>
      </c>
      <c r="AK7" s="141" t="s">
        <v>959</v>
      </c>
      <c r="AL7" s="141" t="s">
        <v>90</v>
      </c>
      <c r="AM7" s="141" t="s">
        <v>90</v>
      </c>
      <c r="AN7" s="139"/>
      <c r="AO7" s="141" t="s">
        <v>436</v>
      </c>
      <c r="AP7" s="141" t="s">
        <v>427</v>
      </c>
      <c r="AQ7" s="139" t="s">
        <v>661</v>
      </c>
      <c r="AR7" s="141" t="s">
        <v>90</v>
      </c>
      <c r="AS7" s="141" t="s">
        <v>428</v>
      </c>
      <c r="AT7" s="141" t="s">
        <v>958</v>
      </c>
      <c r="AU7" s="141" t="s">
        <v>290</v>
      </c>
      <c r="AV7" s="139"/>
      <c r="AW7" s="139"/>
      <c r="AX7" s="139"/>
      <c r="AY7" s="139"/>
      <c r="AZ7" s="141" t="s">
        <v>90</v>
      </c>
      <c r="BA7" s="141" t="s">
        <v>956</v>
      </c>
      <c r="BB7" s="141" t="s">
        <v>895</v>
      </c>
      <c r="BC7" s="139"/>
      <c r="BD7" s="139">
        <v>100</v>
      </c>
      <c r="BE7" s="141" t="s">
        <v>430</v>
      </c>
      <c r="BF7" s="141" t="s">
        <v>894</v>
      </c>
      <c r="BG7" s="141" t="s">
        <v>802</v>
      </c>
      <c r="BH7" s="141" t="s">
        <v>432</v>
      </c>
      <c r="BI7" s="139"/>
      <c r="BJ7" s="141" t="s">
        <v>433</v>
      </c>
      <c r="BK7" s="140">
        <v>46336</v>
      </c>
      <c r="BL7" s="139">
        <v>4.8</v>
      </c>
      <c r="BM7" s="141" t="s">
        <v>434</v>
      </c>
      <c r="BN7" s="141">
        <v>9.69</v>
      </c>
      <c r="BO7" s="141" t="s">
        <v>428</v>
      </c>
      <c r="BP7" s="141" t="s">
        <v>428</v>
      </c>
      <c r="BQ7" s="141" t="s">
        <v>428</v>
      </c>
      <c r="BR7" s="141" t="s">
        <v>955</v>
      </c>
      <c r="BS7" s="141" t="s">
        <v>222</v>
      </c>
      <c r="BT7" s="140"/>
      <c r="BU7" s="141" t="s">
        <v>7</v>
      </c>
      <c r="BV7" s="141" t="s">
        <v>19</v>
      </c>
      <c r="BW7" s="141" t="s">
        <v>140</v>
      </c>
      <c r="BX7" s="141" t="s">
        <v>90</v>
      </c>
      <c r="BY7" s="141" t="s">
        <v>90</v>
      </c>
      <c r="BZ7" s="140"/>
      <c r="CA7" s="139"/>
      <c r="CB7" s="141" t="s">
        <v>451</v>
      </c>
      <c r="CC7" s="141" t="s">
        <v>451</v>
      </c>
      <c r="CD7"/>
      <c r="CE7" s="141" t="s">
        <v>109</v>
      </c>
      <c r="CF7" s="141" t="s">
        <v>318</v>
      </c>
      <c r="CG7" s="141" t="s">
        <v>90</v>
      </c>
      <c r="CH7" s="141" t="s">
        <v>243</v>
      </c>
      <c r="CI7" s="141" t="s">
        <v>90</v>
      </c>
      <c r="CJ7" s="142" t="s">
        <v>717</v>
      </c>
      <c r="CK7">
        <v>0.1371</v>
      </c>
      <c r="CL7">
        <v>1</v>
      </c>
      <c r="CM7">
        <v>1.0732999999999999</v>
      </c>
      <c r="CN7" s="141">
        <v>1.3280000000000001</v>
      </c>
      <c r="CO7" s="141">
        <v>9.69</v>
      </c>
      <c r="CP7" s="141">
        <v>10.4</v>
      </c>
      <c r="CQ7" s="141" t="s">
        <v>90</v>
      </c>
      <c r="CR7" s="141" t="s">
        <v>7</v>
      </c>
      <c r="CS7" s="141" t="s">
        <v>7</v>
      </c>
      <c r="CT7" s="141" t="s">
        <v>112</v>
      </c>
      <c r="CU7" s="139"/>
      <c r="CV7" s="141" t="s">
        <v>90</v>
      </c>
      <c r="CW7" s="141" t="s">
        <v>401</v>
      </c>
      <c r="CX7" s="141" t="s">
        <v>90</v>
      </c>
      <c r="CY7" s="141" t="s">
        <v>401</v>
      </c>
      <c r="CZ7" s="141" t="s">
        <v>142</v>
      </c>
      <c r="DA7" s="141" t="s">
        <v>90</v>
      </c>
      <c r="DB7" s="142" t="s">
        <v>7</v>
      </c>
      <c r="DC7" s="142" t="s">
        <v>629</v>
      </c>
      <c r="DD7" s="141" t="s">
        <v>843</v>
      </c>
    </row>
    <row r="8" spans="1:108" x14ac:dyDescent="0.25">
      <c r="A8" s="139">
        <v>11</v>
      </c>
      <c r="B8" s="141" t="s">
        <v>832</v>
      </c>
      <c r="C8" s="141" t="s">
        <v>946</v>
      </c>
      <c r="D8" s="141" t="s">
        <v>939</v>
      </c>
      <c r="E8" s="140">
        <v>45233</v>
      </c>
      <c r="F8" s="141" t="s">
        <v>104</v>
      </c>
      <c r="G8" s="141" t="s">
        <v>90</v>
      </c>
      <c r="H8" s="141" t="s">
        <v>948</v>
      </c>
      <c r="I8" s="141" t="s">
        <v>975</v>
      </c>
      <c r="J8" s="141" t="s">
        <v>90</v>
      </c>
      <c r="K8" s="141" t="s">
        <v>90</v>
      </c>
      <c r="L8" t="s">
        <v>1</v>
      </c>
      <c r="M8" s="141" t="s">
        <v>90</v>
      </c>
      <c r="N8" s="141" t="s">
        <v>90</v>
      </c>
      <c r="O8" s="141" t="s">
        <v>90</v>
      </c>
      <c r="P8" s="141" t="s">
        <v>90</v>
      </c>
      <c r="Q8" s="141" t="s">
        <v>90</v>
      </c>
      <c r="R8" s="141" t="s">
        <v>90</v>
      </c>
      <c r="S8" s="141" t="s">
        <v>90</v>
      </c>
      <c r="T8" s="141" t="s">
        <v>90</v>
      </c>
      <c r="U8" s="141" t="s">
        <v>90</v>
      </c>
      <c r="V8" s="141" t="s">
        <v>90</v>
      </c>
      <c r="W8" s="141" t="s">
        <v>90</v>
      </c>
      <c r="X8" s="140"/>
      <c r="Y8" s="141" t="s">
        <v>90</v>
      </c>
      <c r="Z8" s="140"/>
      <c r="AA8" s="141" t="s">
        <v>90</v>
      </c>
      <c r="AB8" s="141" t="s">
        <v>90</v>
      </c>
      <c r="AC8" s="140"/>
      <c r="AD8" s="141" t="s">
        <v>90</v>
      </c>
      <c r="AE8" s="139">
        <v>4</v>
      </c>
      <c r="AF8" s="140"/>
      <c r="AG8" s="140"/>
      <c r="AH8" s="139"/>
      <c r="AI8" s="139"/>
      <c r="AJ8" s="141" t="s">
        <v>90</v>
      </c>
      <c r="AK8" s="141" t="s">
        <v>90</v>
      </c>
      <c r="AL8" s="141" t="s">
        <v>90</v>
      </c>
      <c r="AM8" s="141" t="s">
        <v>90</v>
      </c>
      <c r="AN8" s="139"/>
      <c r="AO8" s="141" t="s">
        <v>90</v>
      </c>
      <c r="AP8" s="141" t="s">
        <v>427</v>
      </c>
      <c r="AQ8" s="139" t="s">
        <v>661</v>
      </c>
      <c r="AR8" s="141" t="s">
        <v>90</v>
      </c>
      <c r="AS8" s="141" t="s">
        <v>90</v>
      </c>
      <c r="AT8" s="141" t="s">
        <v>90</v>
      </c>
      <c r="AU8" s="141" t="s">
        <v>90</v>
      </c>
      <c r="AV8" s="139"/>
      <c r="AW8" s="139"/>
      <c r="AX8" s="139"/>
      <c r="AY8" s="139"/>
      <c r="AZ8" s="141" t="s">
        <v>90</v>
      </c>
      <c r="BA8" s="141" t="s">
        <v>953</v>
      </c>
      <c r="BB8" s="141" t="s">
        <v>952</v>
      </c>
      <c r="BC8" s="139"/>
      <c r="BD8" s="139">
        <v>100</v>
      </c>
      <c r="BE8" s="141" t="s">
        <v>90</v>
      </c>
      <c r="BF8" s="141" t="s">
        <v>951</v>
      </c>
      <c r="BG8" s="141" t="s">
        <v>950</v>
      </c>
      <c r="BH8" s="141" t="s">
        <v>90</v>
      </c>
      <c r="BI8" s="139">
        <v>10</v>
      </c>
      <c r="BJ8" s="141" t="s">
        <v>437</v>
      </c>
      <c r="BK8" s="140">
        <v>46336</v>
      </c>
      <c r="BL8" s="139">
        <v>4</v>
      </c>
      <c r="BM8" s="141" t="s">
        <v>434</v>
      </c>
      <c r="BN8" s="141">
        <v>3.65</v>
      </c>
      <c r="BO8" s="141" t="s">
        <v>428</v>
      </c>
      <c r="BP8" s="141" t="s">
        <v>90</v>
      </c>
      <c r="BQ8" s="141" t="s">
        <v>428</v>
      </c>
      <c r="BR8" s="141" t="s">
        <v>947</v>
      </c>
      <c r="BS8" s="141" t="s">
        <v>222</v>
      </c>
      <c r="BT8" s="140"/>
      <c r="BU8" s="141" t="s">
        <v>7</v>
      </c>
      <c r="BV8" s="141" t="s">
        <v>17</v>
      </c>
      <c r="BW8" s="141" t="s">
        <v>7</v>
      </c>
      <c r="BX8" s="141" t="s">
        <v>90</v>
      </c>
      <c r="BY8" s="141" t="s">
        <v>90</v>
      </c>
      <c r="BZ8" s="140"/>
      <c r="CA8" s="139"/>
      <c r="CB8" s="141" t="s">
        <v>451</v>
      </c>
      <c r="CC8" s="141" t="s">
        <v>451</v>
      </c>
      <c r="CD8"/>
      <c r="CE8" s="141" t="s">
        <v>111</v>
      </c>
      <c r="CF8" s="141" t="s">
        <v>309</v>
      </c>
      <c r="CG8" s="141" t="s">
        <v>90</v>
      </c>
      <c r="CH8" s="141" t="s">
        <v>231</v>
      </c>
      <c r="CI8" s="141" t="s">
        <v>90</v>
      </c>
      <c r="CJ8" s="142" t="s">
        <v>717</v>
      </c>
      <c r="CK8">
        <v>0.1371</v>
      </c>
      <c r="CL8">
        <v>1</v>
      </c>
      <c r="CM8">
        <v>1.0732999999999999</v>
      </c>
      <c r="CN8" s="141">
        <v>0.5</v>
      </c>
      <c r="CO8" s="141">
        <v>3.65</v>
      </c>
      <c r="CP8" s="141">
        <v>3.9180000000000001</v>
      </c>
      <c r="CQ8" s="141" t="s">
        <v>90</v>
      </c>
      <c r="CR8" s="141" t="s">
        <v>7</v>
      </c>
      <c r="CS8" s="141" t="s">
        <v>7</v>
      </c>
      <c r="CT8" s="141" t="s">
        <v>112</v>
      </c>
      <c r="CU8" s="139">
        <v>10</v>
      </c>
      <c r="CV8" s="141" t="s">
        <v>972</v>
      </c>
      <c r="CW8" s="141" t="s">
        <v>445</v>
      </c>
      <c r="CX8" s="141" t="s">
        <v>90</v>
      </c>
      <c r="CY8" s="141" t="s">
        <v>445</v>
      </c>
      <c r="CZ8" s="141" t="s">
        <v>434</v>
      </c>
      <c r="DA8" s="141" t="s">
        <v>90</v>
      </c>
      <c r="DB8" s="142" t="s">
        <v>7</v>
      </c>
      <c r="DC8" s="142" t="s">
        <v>90</v>
      </c>
      <c r="DD8" s="141" t="s">
        <v>941</v>
      </c>
    </row>
    <row r="9" spans="1:108" x14ac:dyDescent="0.25">
      <c r="A9" s="139">
        <v>10</v>
      </c>
      <c r="B9" s="141" t="s">
        <v>721</v>
      </c>
      <c r="C9" s="141" t="s">
        <v>849</v>
      </c>
      <c r="D9" s="141" t="s">
        <v>848</v>
      </c>
      <c r="E9" s="140">
        <v>45232</v>
      </c>
      <c r="F9" s="141" t="s">
        <v>83</v>
      </c>
      <c r="G9" s="141" t="s">
        <v>651</v>
      </c>
      <c r="H9" s="141" t="s">
        <v>90</v>
      </c>
      <c r="I9" s="141" t="s">
        <v>90</v>
      </c>
      <c r="J9" s="141" t="s">
        <v>911</v>
      </c>
      <c r="K9" s="141" t="s">
        <v>90</v>
      </c>
      <c r="L9" t="s">
        <v>1</v>
      </c>
      <c r="M9" s="141" t="s">
        <v>908</v>
      </c>
      <c r="N9" s="141" t="s">
        <v>126</v>
      </c>
      <c r="O9" s="141" t="s">
        <v>90</v>
      </c>
      <c r="P9" s="141" t="s">
        <v>90</v>
      </c>
      <c r="Q9" s="141" t="s">
        <v>423</v>
      </c>
      <c r="R9" s="141" t="s">
        <v>424</v>
      </c>
      <c r="S9" s="141" t="s">
        <v>425</v>
      </c>
      <c r="T9" s="141" t="s">
        <v>426</v>
      </c>
      <c r="U9" s="141" t="s">
        <v>426</v>
      </c>
      <c r="V9" s="141" t="s">
        <v>914</v>
      </c>
      <c r="W9" s="141" t="s">
        <v>90</v>
      </c>
      <c r="X9" s="140">
        <v>45237</v>
      </c>
      <c r="Y9" s="141" t="s">
        <v>90</v>
      </c>
      <c r="Z9" s="140">
        <v>45237</v>
      </c>
      <c r="AA9" s="141" t="s">
        <v>849</v>
      </c>
      <c r="AB9" s="141" t="s">
        <v>913</v>
      </c>
      <c r="AC9" s="140">
        <v>45419</v>
      </c>
      <c r="AD9" s="141" t="s">
        <v>90</v>
      </c>
      <c r="AE9" s="139">
        <v>8</v>
      </c>
      <c r="AF9" s="140"/>
      <c r="AG9" s="140">
        <v>45237</v>
      </c>
      <c r="AH9" s="139">
        <v>0.82279999999999998</v>
      </c>
      <c r="AI9" s="139">
        <v>1000</v>
      </c>
      <c r="AJ9" s="141" t="s">
        <v>912</v>
      </c>
      <c r="AK9" s="141" t="s">
        <v>90</v>
      </c>
      <c r="AL9" s="141" t="s">
        <v>90</v>
      </c>
      <c r="AM9" s="141" t="s">
        <v>90</v>
      </c>
      <c r="AN9" s="139"/>
      <c r="AO9" s="141" t="s">
        <v>436</v>
      </c>
      <c r="AP9" s="141" t="s">
        <v>427</v>
      </c>
      <c r="AQ9" s="139" t="s">
        <v>661</v>
      </c>
      <c r="AR9" s="141" t="s">
        <v>372</v>
      </c>
      <c r="AS9" s="141" t="s">
        <v>428</v>
      </c>
      <c r="AT9" s="141" t="s">
        <v>429</v>
      </c>
      <c r="AU9" s="141" t="s">
        <v>290</v>
      </c>
      <c r="AV9" s="139"/>
      <c r="AW9" s="139"/>
      <c r="AX9" s="139"/>
      <c r="AY9" s="139"/>
      <c r="AZ9" s="141" t="s">
        <v>90</v>
      </c>
      <c r="BA9" s="141" t="s">
        <v>910</v>
      </c>
      <c r="BB9" s="141" t="s">
        <v>634</v>
      </c>
      <c r="BC9" s="139"/>
      <c r="BD9" s="139">
        <v>100</v>
      </c>
      <c r="BE9" s="141" t="s">
        <v>430</v>
      </c>
      <c r="BF9" s="141" t="s">
        <v>90</v>
      </c>
      <c r="BG9" s="141" t="s">
        <v>458</v>
      </c>
      <c r="BH9" s="141" t="s">
        <v>432</v>
      </c>
      <c r="BI9" s="139"/>
      <c r="BJ9" s="141" t="s">
        <v>437</v>
      </c>
      <c r="BK9" s="140">
        <v>46333</v>
      </c>
      <c r="BL9" s="139">
        <v>8</v>
      </c>
      <c r="BM9" s="141" t="s">
        <v>434</v>
      </c>
      <c r="BN9" s="141">
        <v>0.82299999999999995</v>
      </c>
      <c r="BO9" s="141" t="s">
        <v>428</v>
      </c>
      <c r="BP9" s="141" t="s">
        <v>428</v>
      </c>
      <c r="BQ9" s="141" t="s">
        <v>428</v>
      </c>
      <c r="BR9" s="141" t="s">
        <v>909</v>
      </c>
      <c r="BS9" s="141" t="s">
        <v>222</v>
      </c>
      <c r="BT9" s="140"/>
      <c r="BU9" s="141" t="s">
        <v>7</v>
      </c>
      <c r="BV9" s="141" t="s">
        <v>10</v>
      </c>
      <c r="BW9" s="141" t="s">
        <v>7</v>
      </c>
      <c r="BX9" s="141" t="s">
        <v>850</v>
      </c>
      <c r="BY9" s="141" t="s">
        <v>90</v>
      </c>
      <c r="BZ9" s="140"/>
      <c r="CA9" s="139"/>
      <c r="CB9" s="141" t="s">
        <v>81</v>
      </c>
      <c r="CC9" s="141" t="s">
        <v>81</v>
      </c>
      <c r="CD9"/>
      <c r="CE9" s="141" t="s">
        <v>38</v>
      </c>
      <c r="CF9" s="141" t="s">
        <v>90</v>
      </c>
      <c r="CG9" s="141" t="s">
        <v>90</v>
      </c>
      <c r="CH9" s="141" t="s">
        <v>231</v>
      </c>
      <c r="CI9" s="141" t="s">
        <v>90</v>
      </c>
      <c r="CJ9" s="142" t="s">
        <v>717</v>
      </c>
      <c r="CK9">
        <v>1</v>
      </c>
      <c r="CL9">
        <v>7.2927999999999997</v>
      </c>
      <c r="CM9">
        <v>7.8305999999999996</v>
      </c>
      <c r="CN9" s="141">
        <v>0.82299999999999995</v>
      </c>
      <c r="CO9" s="141">
        <v>6.0019999999999998</v>
      </c>
      <c r="CP9" s="141">
        <v>6.4450000000000003</v>
      </c>
      <c r="CQ9" s="141" t="s">
        <v>90</v>
      </c>
      <c r="CR9" s="141" t="s">
        <v>7</v>
      </c>
      <c r="CS9" s="141" t="s">
        <v>7</v>
      </c>
      <c r="CT9" s="141" t="s">
        <v>112</v>
      </c>
      <c r="CU9" s="139"/>
      <c r="CV9" s="141" t="s">
        <v>90</v>
      </c>
      <c r="CW9" s="141" t="s">
        <v>90</v>
      </c>
      <c r="CX9" s="141" t="s">
        <v>90</v>
      </c>
      <c r="CY9" s="141" t="s">
        <v>919</v>
      </c>
      <c r="CZ9" s="141" t="s">
        <v>142</v>
      </c>
      <c r="DA9" s="141" t="s">
        <v>90</v>
      </c>
      <c r="DB9" s="142" t="s">
        <v>7</v>
      </c>
      <c r="DC9" s="142" t="s">
        <v>90</v>
      </c>
      <c r="DD9" s="141" t="s">
        <v>855</v>
      </c>
    </row>
    <row r="10" spans="1:108" x14ac:dyDescent="0.25">
      <c r="A10" s="139">
        <v>9</v>
      </c>
      <c r="B10" s="141" t="s">
        <v>721</v>
      </c>
      <c r="C10" s="141" t="s">
        <v>844</v>
      </c>
      <c r="D10" s="141" t="s">
        <v>942</v>
      </c>
      <c r="E10" s="140">
        <v>45232</v>
      </c>
      <c r="F10" s="141" t="s">
        <v>83</v>
      </c>
      <c r="G10" s="141" t="s">
        <v>651</v>
      </c>
      <c r="H10" s="141" t="s">
        <v>90</v>
      </c>
      <c r="I10" s="141" t="s">
        <v>90</v>
      </c>
      <c r="J10" s="141" t="s">
        <v>968</v>
      </c>
      <c r="K10" s="141" t="s">
        <v>90</v>
      </c>
      <c r="L10" t="s">
        <v>1</v>
      </c>
      <c r="M10" s="141" t="s">
        <v>965</v>
      </c>
      <c r="N10" s="141" t="s">
        <v>90</v>
      </c>
      <c r="O10" s="141" t="s">
        <v>90</v>
      </c>
      <c r="P10" s="141" t="s">
        <v>90</v>
      </c>
      <c r="Q10" s="141" t="s">
        <v>423</v>
      </c>
      <c r="R10" s="141" t="s">
        <v>424</v>
      </c>
      <c r="S10" s="141" t="s">
        <v>425</v>
      </c>
      <c r="T10" s="141" t="s">
        <v>426</v>
      </c>
      <c r="U10" s="141" t="s">
        <v>426</v>
      </c>
      <c r="V10" s="141" t="s">
        <v>970</v>
      </c>
      <c r="W10" s="141" t="s">
        <v>90</v>
      </c>
      <c r="X10" s="140">
        <v>45236</v>
      </c>
      <c r="Y10" s="141" t="s">
        <v>90</v>
      </c>
      <c r="Z10" s="140">
        <v>45236</v>
      </c>
      <c r="AA10" s="141" t="s">
        <v>844</v>
      </c>
      <c r="AB10" s="141" t="s">
        <v>845</v>
      </c>
      <c r="AC10" s="140">
        <v>45600</v>
      </c>
      <c r="AD10" s="141" t="s">
        <v>90</v>
      </c>
      <c r="AE10" s="139">
        <v>8.5</v>
      </c>
      <c r="AF10" s="140"/>
      <c r="AG10" s="140">
        <v>45236</v>
      </c>
      <c r="AH10" s="139">
        <v>0.98</v>
      </c>
      <c r="AI10" s="139">
        <v>1000</v>
      </c>
      <c r="AJ10" s="141" t="s">
        <v>969</v>
      </c>
      <c r="AK10" s="141" t="s">
        <v>90</v>
      </c>
      <c r="AL10" s="141" t="s">
        <v>90</v>
      </c>
      <c r="AM10" s="141" t="s">
        <v>90</v>
      </c>
      <c r="AN10" s="139"/>
      <c r="AO10" s="141" t="s">
        <v>436</v>
      </c>
      <c r="AP10" s="141" t="s">
        <v>427</v>
      </c>
      <c r="AQ10" s="139" t="s">
        <v>917</v>
      </c>
      <c r="AR10" s="141" t="s">
        <v>372</v>
      </c>
      <c r="AS10" s="141" t="s">
        <v>428</v>
      </c>
      <c r="AT10" s="141" t="s">
        <v>429</v>
      </c>
      <c r="AU10" s="141" t="s">
        <v>290</v>
      </c>
      <c r="AV10" s="139"/>
      <c r="AW10" s="139"/>
      <c r="AX10" s="139"/>
      <c r="AY10" s="139"/>
      <c r="AZ10" s="141" t="s">
        <v>90</v>
      </c>
      <c r="BA10" s="141" t="s">
        <v>907</v>
      </c>
      <c r="BB10" s="141" t="s">
        <v>634</v>
      </c>
      <c r="BC10" s="139"/>
      <c r="BD10" s="139"/>
      <c r="BE10" s="141" t="s">
        <v>430</v>
      </c>
      <c r="BF10" s="141" t="s">
        <v>90</v>
      </c>
      <c r="BG10" s="141" t="s">
        <v>458</v>
      </c>
      <c r="BH10" s="141" t="s">
        <v>432</v>
      </c>
      <c r="BI10" s="139"/>
      <c r="BJ10" s="141" t="s">
        <v>433</v>
      </c>
      <c r="BK10" s="140">
        <v>45600</v>
      </c>
      <c r="BL10" s="139">
        <v>8.5</v>
      </c>
      <c r="BM10" s="141" t="s">
        <v>783</v>
      </c>
      <c r="BN10" s="141">
        <v>0.98</v>
      </c>
      <c r="BO10" s="141" t="s">
        <v>428</v>
      </c>
      <c r="BP10" s="141" t="s">
        <v>967</v>
      </c>
      <c r="BQ10" s="141" t="s">
        <v>428</v>
      </c>
      <c r="BR10" s="141" t="s">
        <v>966</v>
      </c>
      <c r="BS10" s="141" t="s">
        <v>222</v>
      </c>
      <c r="BT10" s="140"/>
      <c r="BU10" s="141" t="s">
        <v>7</v>
      </c>
      <c r="BV10" s="141" t="s">
        <v>10</v>
      </c>
      <c r="BW10" s="141" t="s">
        <v>7</v>
      </c>
      <c r="BX10" s="141" t="s">
        <v>421</v>
      </c>
      <c r="BY10" s="141" t="s">
        <v>90</v>
      </c>
      <c r="BZ10" s="140"/>
      <c r="CA10" s="139"/>
      <c r="CB10" s="141" t="s">
        <v>81</v>
      </c>
      <c r="CC10" s="141" t="s">
        <v>81</v>
      </c>
      <c r="CD10"/>
      <c r="CE10" s="141" t="s">
        <v>38</v>
      </c>
      <c r="CF10" s="141" t="s">
        <v>90</v>
      </c>
      <c r="CG10" s="141" t="s">
        <v>90</v>
      </c>
      <c r="CH10" s="141" t="s">
        <v>243</v>
      </c>
      <c r="CI10" s="141" t="s">
        <v>90</v>
      </c>
      <c r="CJ10" s="142" t="s">
        <v>717</v>
      </c>
      <c r="CK10">
        <v>1</v>
      </c>
      <c r="CL10">
        <v>7.2927999999999997</v>
      </c>
      <c r="CM10">
        <v>7.8305999999999996</v>
      </c>
      <c r="CN10" s="141">
        <v>0.98</v>
      </c>
      <c r="CO10" s="141">
        <v>7.1470000000000002</v>
      </c>
      <c r="CP10" s="141">
        <v>7.6740000000000004</v>
      </c>
      <c r="CQ10" s="141" t="s">
        <v>90</v>
      </c>
      <c r="CR10" s="141" t="s">
        <v>7</v>
      </c>
      <c r="CS10" s="141" t="s">
        <v>7</v>
      </c>
      <c r="CT10" s="141" t="s">
        <v>112</v>
      </c>
      <c r="CU10" s="139"/>
      <c r="CV10" s="141" t="s">
        <v>90</v>
      </c>
      <c r="CW10" s="141" t="s">
        <v>90</v>
      </c>
      <c r="CX10" s="141" t="s">
        <v>90</v>
      </c>
      <c r="CY10" s="141" t="s">
        <v>973</v>
      </c>
      <c r="CZ10" s="141" t="s">
        <v>735</v>
      </c>
      <c r="DA10" s="141" t="s">
        <v>837</v>
      </c>
      <c r="DB10" s="142" t="s">
        <v>7</v>
      </c>
      <c r="DC10" s="142" t="s">
        <v>90</v>
      </c>
      <c r="DD10" s="141" t="s">
        <v>944</v>
      </c>
    </row>
    <row r="11" spans="1:108" x14ac:dyDescent="0.25">
      <c r="A11" s="139">
        <v>8</v>
      </c>
      <c r="B11" s="141" t="s">
        <v>832</v>
      </c>
      <c r="C11" s="141" t="s">
        <v>857</v>
      </c>
      <c r="D11" s="141" t="s">
        <v>856</v>
      </c>
      <c r="E11" s="140">
        <v>45232</v>
      </c>
      <c r="F11" s="141" t="s">
        <v>83</v>
      </c>
      <c r="G11" s="141" t="s">
        <v>651</v>
      </c>
      <c r="H11" s="141" t="s">
        <v>963</v>
      </c>
      <c r="I11" s="141" t="s">
        <v>964</v>
      </c>
      <c r="J11" s="141" t="s">
        <v>901</v>
      </c>
      <c r="K11" s="141" t="s">
        <v>904</v>
      </c>
      <c r="L11" t="s">
        <v>82</v>
      </c>
      <c r="M11" s="141" t="s">
        <v>896</v>
      </c>
      <c r="N11" s="141" t="s">
        <v>126</v>
      </c>
      <c r="O11" s="141" t="s">
        <v>90</v>
      </c>
      <c r="P11" s="141" t="s">
        <v>90</v>
      </c>
      <c r="Q11" s="141" t="s">
        <v>906</v>
      </c>
      <c r="R11" s="141" t="s">
        <v>424</v>
      </c>
      <c r="S11" s="141" t="s">
        <v>425</v>
      </c>
      <c r="T11" s="141" t="s">
        <v>426</v>
      </c>
      <c r="U11" s="141" t="s">
        <v>426</v>
      </c>
      <c r="V11" s="141" t="s">
        <v>905</v>
      </c>
      <c r="W11" s="141" t="s">
        <v>90</v>
      </c>
      <c r="X11" s="140">
        <v>45239</v>
      </c>
      <c r="Y11" s="141" t="s">
        <v>90</v>
      </c>
      <c r="Z11" s="140">
        <v>45239</v>
      </c>
      <c r="AA11" s="141" t="s">
        <v>857</v>
      </c>
      <c r="AB11" s="141" t="s">
        <v>860</v>
      </c>
      <c r="AC11" s="140">
        <v>45421</v>
      </c>
      <c r="AD11" s="141" t="s">
        <v>90</v>
      </c>
      <c r="AE11" s="139">
        <v>5.75</v>
      </c>
      <c r="AF11" s="140">
        <v>47035</v>
      </c>
      <c r="AG11" s="140">
        <v>45239</v>
      </c>
      <c r="AH11" s="139">
        <v>5</v>
      </c>
      <c r="AI11" s="139">
        <v>1000</v>
      </c>
      <c r="AJ11" s="141" t="s">
        <v>903</v>
      </c>
      <c r="AK11" s="141" t="s">
        <v>90</v>
      </c>
      <c r="AL11" s="141" t="s">
        <v>90</v>
      </c>
      <c r="AM11" s="141" t="s">
        <v>90</v>
      </c>
      <c r="AN11" s="139"/>
      <c r="AO11" s="141" t="s">
        <v>435</v>
      </c>
      <c r="AP11" s="141" t="s">
        <v>733</v>
      </c>
      <c r="AQ11" s="139" t="s">
        <v>902</v>
      </c>
      <c r="AR11" s="141" t="s">
        <v>90</v>
      </c>
      <c r="AS11" s="141" t="s">
        <v>428</v>
      </c>
      <c r="AT11" s="141" t="s">
        <v>459</v>
      </c>
      <c r="AU11" s="141" t="s">
        <v>290</v>
      </c>
      <c r="AV11" s="139"/>
      <c r="AW11" s="139"/>
      <c r="AX11" s="139"/>
      <c r="AY11" s="139"/>
      <c r="AZ11" s="141" t="s">
        <v>90</v>
      </c>
      <c r="BA11" s="141" t="s">
        <v>90</v>
      </c>
      <c r="BB11" s="141" t="s">
        <v>831</v>
      </c>
      <c r="BC11" s="139"/>
      <c r="BD11" s="139">
        <v>99.213999999999999</v>
      </c>
      <c r="BE11" s="141" t="s">
        <v>430</v>
      </c>
      <c r="BF11" s="141" t="s">
        <v>90</v>
      </c>
      <c r="BG11" s="141" t="s">
        <v>458</v>
      </c>
      <c r="BH11" s="141" t="s">
        <v>432</v>
      </c>
      <c r="BI11" s="139">
        <v>25</v>
      </c>
      <c r="BJ11" s="141" t="s">
        <v>821</v>
      </c>
      <c r="BK11" s="140">
        <v>47066</v>
      </c>
      <c r="BL11" s="139">
        <v>5.75</v>
      </c>
      <c r="BM11" s="141" t="s">
        <v>900</v>
      </c>
      <c r="BN11" s="141">
        <v>5</v>
      </c>
      <c r="BO11" s="141" t="s">
        <v>428</v>
      </c>
      <c r="BP11" s="141" t="s">
        <v>899</v>
      </c>
      <c r="BQ11" s="141" t="s">
        <v>898</v>
      </c>
      <c r="BR11" s="141" t="s">
        <v>897</v>
      </c>
      <c r="BS11" s="141" t="s">
        <v>222</v>
      </c>
      <c r="BT11" s="140"/>
      <c r="BU11" s="141" t="s">
        <v>7</v>
      </c>
      <c r="BV11" s="141" t="s">
        <v>28</v>
      </c>
      <c r="BW11" s="141" t="s">
        <v>7</v>
      </c>
      <c r="BX11" s="141" t="s">
        <v>858</v>
      </c>
      <c r="BY11" s="141" t="s">
        <v>90</v>
      </c>
      <c r="BZ11" s="140"/>
      <c r="CA11" s="139"/>
      <c r="CB11" s="141" t="s">
        <v>81</v>
      </c>
      <c r="CC11" s="141" t="s">
        <v>859</v>
      </c>
      <c r="CD11"/>
      <c r="CE11" s="141" t="s">
        <v>38</v>
      </c>
      <c r="CF11" s="141" t="s">
        <v>90</v>
      </c>
      <c r="CG11" s="141" t="s">
        <v>90</v>
      </c>
      <c r="CH11" s="141" t="s">
        <v>261</v>
      </c>
      <c r="CI11" s="141" t="s">
        <v>90</v>
      </c>
      <c r="CJ11" s="142" t="s">
        <v>717</v>
      </c>
      <c r="CK11">
        <v>1</v>
      </c>
      <c r="CL11">
        <v>7.2927999999999997</v>
      </c>
      <c r="CM11">
        <v>7.8305999999999996</v>
      </c>
      <c r="CN11" s="141">
        <v>5</v>
      </c>
      <c r="CO11" s="141">
        <v>36.463999999999999</v>
      </c>
      <c r="CP11" s="141">
        <v>39.152999999999999</v>
      </c>
      <c r="CQ11" s="141" t="s">
        <v>90</v>
      </c>
      <c r="CR11" s="141" t="s">
        <v>7</v>
      </c>
      <c r="CS11" s="141" t="s">
        <v>7</v>
      </c>
      <c r="CT11" s="141" t="s">
        <v>725</v>
      </c>
      <c r="CU11" s="139"/>
      <c r="CV11" s="141" t="s">
        <v>974</v>
      </c>
      <c r="CW11" s="141" t="s">
        <v>964</v>
      </c>
      <c r="CX11" s="141" t="s">
        <v>90</v>
      </c>
      <c r="CY11" s="141" t="s">
        <v>921</v>
      </c>
      <c r="CZ11" s="141" t="s">
        <v>920</v>
      </c>
      <c r="DA11" s="141" t="s">
        <v>90</v>
      </c>
      <c r="DB11" s="142" t="s">
        <v>7</v>
      </c>
      <c r="DC11" s="142" t="s">
        <v>90</v>
      </c>
      <c r="DD11" s="141" t="s">
        <v>864</v>
      </c>
    </row>
    <row r="12" spans="1:108" x14ac:dyDescent="0.25">
      <c r="A12" s="139">
        <v>7</v>
      </c>
      <c r="B12" s="141" t="s">
        <v>721</v>
      </c>
      <c r="C12" s="141" t="s">
        <v>751</v>
      </c>
      <c r="D12" s="141" t="s">
        <v>750</v>
      </c>
      <c r="E12" s="140">
        <v>45231</v>
      </c>
      <c r="F12" s="141" t="s">
        <v>242</v>
      </c>
      <c r="G12" s="141" t="s">
        <v>651</v>
      </c>
      <c r="H12" s="141" t="s">
        <v>90</v>
      </c>
      <c r="I12" s="141" t="s">
        <v>720</v>
      </c>
      <c r="J12" s="141" t="s">
        <v>773</v>
      </c>
      <c r="K12" s="141" t="s">
        <v>779</v>
      </c>
      <c r="L12" t="s">
        <v>2</v>
      </c>
      <c r="M12" s="141" t="s">
        <v>768</v>
      </c>
      <c r="N12" s="141" t="s">
        <v>126</v>
      </c>
      <c r="O12" s="141" t="s">
        <v>90</v>
      </c>
      <c r="P12" s="141" t="s">
        <v>90</v>
      </c>
      <c r="Q12" s="141" t="s">
        <v>423</v>
      </c>
      <c r="R12" s="141" t="s">
        <v>424</v>
      </c>
      <c r="S12" s="141" t="s">
        <v>425</v>
      </c>
      <c r="T12" s="141" t="s">
        <v>426</v>
      </c>
      <c r="U12" s="141" t="s">
        <v>426</v>
      </c>
      <c r="V12" s="141" t="s">
        <v>780</v>
      </c>
      <c r="W12" s="141" t="s">
        <v>778</v>
      </c>
      <c r="X12" s="140">
        <v>45238</v>
      </c>
      <c r="Y12" s="141" t="s">
        <v>720</v>
      </c>
      <c r="Z12" s="140">
        <v>45238</v>
      </c>
      <c r="AA12" s="141" t="s">
        <v>751</v>
      </c>
      <c r="AB12" s="141" t="s">
        <v>777</v>
      </c>
      <c r="AC12" s="140">
        <v>45420</v>
      </c>
      <c r="AD12" s="141" t="s">
        <v>90</v>
      </c>
      <c r="AE12" s="139">
        <v>2.2999999999999998</v>
      </c>
      <c r="AF12" s="140"/>
      <c r="AG12" s="140">
        <v>45238</v>
      </c>
      <c r="AH12" s="139">
        <v>39</v>
      </c>
      <c r="AI12" s="139">
        <v>10000000</v>
      </c>
      <c r="AJ12" s="141" t="s">
        <v>776</v>
      </c>
      <c r="AK12" s="141" t="s">
        <v>775</v>
      </c>
      <c r="AL12" s="141" t="s">
        <v>90</v>
      </c>
      <c r="AM12" s="141" t="s">
        <v>90</v>
      </c>
      <c r="AN12" s="139"/>
      <c r="AO12" s="141" t="s">
        <v>436</v>
      </c>
      <c r="AP12" s="141" t="s">
        <v>427</v>
      </c>
      <c r="AQ12" s="139" t="s">
        <v>661</v>
      </c>
      <c r="AR12" s="141" t="s">
        <v>438</v>
      </c>
      <c r="AS12" s="141" t="s">
        <v>428</v>
      </c>
      <c r="AT12" s="141" t="s">
        <v>774</v>
      </c>
      <c r="AU12" s="141" t="s">
        <v>290</v>
      </c>
      <c r="AV12" s="139"/>
      <c r="AW12" s="139"/>
      <c r="AX12" s="139"/>
      <c r="AY12" s="139"/>
      <c r="AZ12" s="141" t="s">
        <v>90</v>
      </c>
      <c r="BA12" s="141" t="s">
        <v>772</v>
      </c>
      <c r="BB12" s="141" t="s">
        <v>634</v>
      </c>
      <c r="BC12" s="139"/>
      <c r="BD12" s="139">
        <v>100</v>
      </c>
      <c r="BE12" s="141" t="s">
        <v>430</v>
      </c>
      <c r="BF12" s="141" t="s">
        <v>771</v>
      </c>
      <c r="BG12" s="141" t="s">
        <v>770</v>
      </c>
      <c r="BH12" s="141" t="s">
        <v>432</v>
      </c>
      <c r="BI12" s="139"/>
      <c r="BJ12" s="141" t="s">
        <v>437</v>
      </c>
      <c r="BK12" s="140">
        <v>46334</v>
      </c>
      <c r="BL12" s="139">
        <v>2.2999999999999998</v>
      </c>
      <c r="BM12" s="141" t="s">
        <v>434</v>
      </c>
      <c r="BN12" s="141">
        <v>39</v>
      </c>
      <c r="BO12" s="141" t="s">
        <v>428</v>
      </c>
      <c r="BP12" s="141" t="s">
        <v>428</v>
      </c>
      <c r="BQ12" s="141" t="s">
        <v>428</v>
      </c>
      <c r="BR12" s="141" t="s">
        <v>769</v>
      </c>
      <c r="BS12" s="141" t="s">
        <v>222</v>
      </c>
      <c r="BT12" s="140"/>
      <c r="BU12" s="141" t="s">
        <v>7</v>
      </c>
      <c r="BV12" s="141" t="s">
        <v>10</v>
      </c>
      <c r="BW12" s="141" t="s">
        <v>7</v>
      </c>
      <c r="BX12" s="141" t="s">
        <v>850</v>
      </c>
      <c r="BY12" s="141" t="s">
        <v>90</v>
      </c>
      <c r="BZ12" s="140"/>
      <c r="CA12" s="139"/>
      <c r="CB12" s="141" t="s">
        <v>81</v>
      </c>
      <c r="CC12" s="141" t="s">
        <v>81</v>
      </c>
      <c r="CD12"/>
      <c r="CE12" s="141" t="s">
        <v>110</v>
      </c>
      <c r="CF12" s="141" t="s">
        <v>289</v>
      </c>
      <c r="CG12" s="141" t="s">
        <v>90</v>
      </c>
      <c r="CH12" s="141" t="s">
        <v>231</v>
      </c>
      <c r="CI12" s="141" t="s">
        <v>90</v>
      </c>
      <c r="CJ12" s="142" t="s">
        <v>717</v>
      </c>
      <c r="CK12"/>
      <c r="CL12"/>
      <c r="CM12"/>
      <c r="CN12" s="141">
        <v>0.25700000000000001</v>
      </c>
      <c r="CO12" s="141">
        <v>1.895</v>
      </c>
      <c r="CP12" s="141">
        <v>2.02</v>
      </c>
      <c r="CQ12" s="141" t="s">
        <v>90</v>
      </c>
      <c r="CR12" s="141" t="s">
        <v>7</v>
      </c>
      <c r="CS12" s="141" t="s">
        <v>7</v>
      </c>
      <c r="CT12" s="141" t="s">
        <v>112</v>
      </c>
      <c r="CU12" s="139"/>
      <c r="CV12" s="141" t="s">
        <v>90</v>
      </c>
      <c r="CW12" s="141" t="s">
        <v>720</v>
      </c>
      <c r="CX12" s="141" t="s">
        <v>90</v>
      </c>
      <c r="CY12" s="141" t="s">
        <v>720</v>
      </c>
      <c r="CZ12" s="141" t="s">
        <v>142</v>
      </c>
      <c r="DA12" s="141" t="s">
        <v>90</v>
      </c>
      <c r="DB12" s="142" t="s">
        <v>7</v>
      </c>
      <c r="DC12" s="142" t="s">
        <v>90</v>
      </c>
      <c r="DD12" s="141" t="s">
        <v>752</v>
      </c>
    </row>
    <row r="13" spans="1:108" x14ac:dyDescent="0.25">
      <c r="A13" s="139">
        <v>6</v>
      </c>
      <c r="B13" s="141" t="s">
        <v>832</v>
      </c>
      <c r="C13" s="141" t="s">
        <v>759</v>
      </c>
      <c r="D13" s="141" t="s">
        <v>758</v>
      </c>
      <c r="E13" s="140">
        <v>45230</v>
      </c>
      <c r="F13" s="141" t="s">
        <v>104</v>
      </c>
      <c r="G13" s="141" t="s">
        <v>651</v>
      </c>
      <c r="H13" s="141" t="s">
        <v>925</v>
      </c>
      <c r="I13" s="141" t="s">
        <v>401</v>
      </c>
      <c r="J13" s="141" t="s">
        <v>806</v>
      </c>
      <c r="K13" s="141" t="s">
        <v>809</v>
      </c>
      <c r="L13" t="s">
        <v>2</v>
      </c>
      <c r="M13" s="141" t="s">
        <v>800</v>
      </c>
      <c r="N13" s="141" t="s">
        <v>126</v>
      </c>
      <c r="O13" s="141" t="s">
        <v>90</v>
      </c>
      <c r="P13" s="141" t="s">
        <v>90</v>
      </c>
      <c r="Q13" s="141" t="s">
        <v>423</v>
      </c>
      <c r="R13" s="141" t="s">
        <v>424</v>
      </c>
      <c r="S13" s="141" t="s">
        <v>425</v>
      </c>
      <c r="T13" s="141" t="s">
        <v>426</v>
      </c>
      <c r="U13" s="141" t="s">
        <v>426</v>
      </c>
      <c r="V13" s="141" t="s">
        <v>810</v>
      </c>
      <c r="W13" s="141" t="s">
        <v>778</v>
      </c>
      <c r="X13" s="140">
        <v>45233</v>
      </c>
      <c r="Y13" s="141" t="s">
        <v>401</v>
      </c>
      <c r="Z13" s="140">
        <v>45233</v>
      </c>
      <c r="AA13" s="141" t="s">
        <v>90</v>
      </c>
      <c r="AB13" s="141" t="s">
        <v>759</v>
      </c>
      <c r="AC13" s="140">
        <v>45415</v>
      </c>
      <c r="AD13" s="141" t="s">
        <v>90</v>
      </c>
      <c r="AE13" s="139">
        <v>4.8</v>
      </c>
      <c r="AF13" s="140"/>
      <c r="AG13" s="140">
        <v>45233</v>
      </c>
      <c r="AH13" s="139">
        <v>3.58</v>
      </c>
      <c r="AI13" s="139">
        <v>10000</v>
      </c>
      <c r="AJ13" s="141" t="s">
        <v>808</v>
      </c>
      <c r="AK13" s="141" t="s">
        <v>807</v>
      </c>
      <c r="AL13" s="141" t="s">
        <v>90</v>
      </c>
      <c r="AM13" s="141" t="s">
        <v>90</v>
      </c>
      <c r="AN13" s="139"/>
      <c r="AO13" s="141" t="s">
        <v>436</v>
      </c>
      <c r="AP13" s="141" t="s">
        <v>427</v>
      </c>
      <c r="AQ13" s="139" t="s">
        <v>665</v>
      </c>
      <c r="AR13" s="141" t="s">
        <v>438</v>
      </c>
      <c r="AS13" s="141" t="s">
        <v>428</v>
      </c>
      <c r="AT13" s="141" t="s">
        <v>734</v>
      </c>
      <c r="AU13" s="141" t="s">
        <v>290</v>
      </c>
      <c r="AV13" s="139"/>
      <c r="AW13" s="139"/>
      <c r="AX13" s="139"/>
      <c r="AY13" s="139"/>
      <c r="AZ13" s="141" t="s">
        <v>90</v>
      </c>
      <c r="BA13" s="141" t="s">
        <v>805</v>
      </c>
      <c r="BB13" s="141" t="s">
        <v>804</v>
      </c>
      <c r="BC13" s="139"/>
      <c r="BD13" s="139">
        <v>100</v>
      </c>
      <c r="BE13" s="141" t="s">
        <v>430</v>
      </c>
      <c r="BF13" s="141" t="s">
        <v>803</v>
      </c>
      <c r="BG13" s="141" t="s">
        <v>802</v>
      </c>
      <c r="BH13" s="141" t="s">
        <v>432</v>
      </c>
      <c r="BI13" s="139">
        <v>0</v>
      </c>
      <c r="BJ13" s="141" t="s">
        <v>437</v>
      </c>
      <c r="BK13" s="140">
        <v>46329</v>
      </c>
      <c r="BL13" s="139">
        <v>4.8</v>
      </c>
      <c r="BM13" s="141" t="s">
        <v>434</v>
      </c>
      <c r="BN13" s="141">
        <v>3.58</v>
      </c>
      <c r="BO13" s="141" t="s">
        <v>428</v>
      </c>
      <c r="BP13" s="141" t="s">
        <v>428</v>
      </c>
      <c r="BQ13" s="141" t="s">
        <v>428</v>
      </c>
      <c r="BR13" s="141" t="s">
        <v>801</v>
      </c>
      <c r="BS13" s="141" t="s">
        <v>222</v>
      </c>
      <c r="BT13" s="140"/>
      <c r="BU13" s="141" t="s">
        <v>7</v>
      </c>
      <c r="BV13" s="141" t="s">
        <v>15</v>
      </c>
      <c r="BW13" s="141" t="s">
        <v>7</v>
      </c>
      <c r="BX13" s="141" t="s">
        <v>230</v>
      </c>
      <c r="BY13" s="141" t="s">
        <v>90</v>
      </c>
      <c r="BZ13" s="140"/>
      <c r="CA13" s="139"/>
      <c r="CB13" s="141" t="s">
        <v>81</v>
      </c>
      <c r="CC13" s="141" t="s">
        <v>81</v>
      </c>
      <c r="CD13"/>
      <c r="CE13" s="141" t="s">
        <v>109</v>
      </c>
      <c r="CF13" s="141" t="s">
        <v>833</v>
      </c>
      <c r="CG13" s="141" t="s">
        <v>90</v>
      </c>
      <c r="CH13" s="141" t="s">
        <v>231</v>
      </c>
      <c r="CI13" s="141" t="s">
        <v>90</v>
      </c>
      <c r="CJ13" s="142" t="s">
        <v>717</v>
      </c>
      <c r="CK13">
        <v>0.1371</v>
      </c>
      <c r="CL13">
        <v>1</v>
      </c>
      <c r="CM13">
        <v>1.0732999999999999</v>
      </c>
      <c r="CN13" s="141">
        <v>0.49099999999999999</v>
      </c>
      <c r="CO13" s="141">
        <v>3.58</v>
      </c>
      <c r="CP13" s="141">
        <v>3.8420000000000001</v>
      </c>
      <c r="CQ13" s="141" t="s">
        <v>90</v>
      </c>
      <c r="CR13" s="141" t="s">
        <v>7</v>
      </c>
      <c r="CS13" s="141" t="s">
        <v>7</v>
      </c>
      <c r="CT13" s="141" t="s">
        <v>112</v>
      </c>
      <c r="CU13" s="139">
        <v>0</v>
      </c>
      <c r="CV13" s="141" t="s">
        <v>834</v>
      </c>
      <c r="CW13" s="141" t="s">
        <v>401</v>
      </c>
      <c r="CX13" s="141" t="s">
        <v>90</v>
      </c>
      <c r="CY13" s="141" t="s">
        <v>401</v>
      </c>
      <c r="CZ13" s="141" t="s">
        <v>142</v>
      </c>
      <c r="DA13" s="141" t="s">
        <v>90</v>
      </c>
      <c r="DB13" s="142" t="s">
        <v>7</v>
      </c>
      <c r="DC13" s="142" t="s">
        <v>90</v>
      </c>
      <c r="DD13" s="141" t="s">
        <v>760</v>
      </c>
    </row>
    <row r="14" spans="1:108" x14ac:dyDescent="0.25">
      <c r="A14" s="139">
        <v>5</v>
      </c>
      <c r="B14" s="141" t="s">
        <v>832</v>
      </c>
      <c r="C14" s="141" t="s">
        <v>754</v>
      </c>
      <c r="D14" s="141" t="s">
        <v>753</v>
      </c>
      <c r="E14" s="140">
        <v>45230</v>
      </c>
      <c r="F14" s="141" t="s">
        <v>83</v>
      </c>
      <c r="G14" s="141" t="s">
        <v>651</v>
      </c>
      <c r="H14" s="141" t="s">
        <v>924</v>
      </c>
      <c r="I14" s="141" t="s">
        <v>796</v>
      </c>
      <c r="J14" s="141" t="s">
        <v>797</v>
      </c>
      <c r="K14" s="141" t="s">
        <v>798</v>
      </c>
      <c r="L14" t="s">
        <v>2</v>
      </c>
      <c r="M14" s="141" t="s">
        <v>794</v>
      </c>
      <c r="N14" s="141" t="s">
        <v>126</v>
      </c>
      <c r="O14" s="141" t="s">
        <v>90</v>
      </c>
      <c r="P14" s="141" t="s">
        <v>90</v>
      </c>
      <c r="Q14" s="141" t="s">
        <v>423</v>
      </c>
      <c r="R14" s="141" t="s">
        <v>424</v>
      </c>
      <c r="S14" s="141" t="s">
        <v>425</v>
      </c>
      <c r="T14" s="141" t="s">
        <v>426</v>
      </c>
      <c r="U14" s="141" t="s">
        <v>426</v>
      </c>
      <c r="V14" s="141" t="s">
        <v>799</v>
      </c>
      <c r="W14" s="141" t="s">
        <v>791</v>
      </c>
      <c r="X14" s="140">
        <v>45237</v>
      </c>
      <c r="Y14" s="141" t="s">
        <v>796</v>
      </c>
      <c r="Z14" s="140">
        <v>45237</v>
      </c>
      <c r="AA14" s="141" t="s">
        <v>754</v>
      </c>
      <c r="AB14" s="141" t="s">
        <v>790</v>
      </c>
      <c r="AC14" s="140">
        <v>45419</v>
      </c>
      <c r="AD14" s="141" t="s">
        <v>90</v>
      </c>
      <c r="AE14" s="139">
        <v>6.9</v>
      </c>
      <c r="AF14" s="140"/>
      <c r="AG14" s="140">
        <v>45237</v>
      </c>
      <c r="AH14" s="139">
        <v>1.7</v>
      </c>
      <c r="AI14" s="139">
        <v>1000</v>
      </c>
      <c r="AJ14" s="141" t="s">
        <v>789</v>
      </c>
      <c r="AK14" s="141" t="s">
        <v>788</v>
      </c>
      <c r="AL14" s="141" t="s">
        <v>90</v>
      </c>
      <c r="AM14" s="141" t="s">
        <v>90</v>
      </c>
      <c r="AN14" s="139"/>
      <c r="AO14" s="141" t="s">
        <v>436</v>
      </c>
      <c r="AP14" s="141" t="s">
        <v>427</v>
      </c>
      <c r="AQ14" s="139" t="s">
        <v>816</v>
      </c>
      <c r="AR14" s="141" t="s">
        <v>440</v>
      </c>
      <c r="AS14" s="141" t="s">
        <v>428</v>
      </c>
      <c r="AT14" s="141" t="s">
        <v>718</v>
      </c>
      <c r="AU14" s="141" t="s">
        <v>290</v>
      </c>
      <c r="AV14" s="139"/>
      <c r="AW14" s="139"/>
      <c r="AX14" s="139"/>
      <c r="AY14" s="139"/>
      <c r="AZ14" s="141" t="s">
        <v>90</v>
      </c>
      <c r="BA14" s="141" t="s">
        <v>786</v>
      </c>
      <c r="BB14" s="141" t="s">
        <v>719</v>
      </c>
      <c r="BC14" s="139"/>
      <c r="BD14" s="139">
        <v>100</v>
      </c>
      <c r="BE14" s="141" t="s">
        <v>430</v>
      </c>
      <c r="BF14" s="141" t="s">
        <v>90</v>
      </c>
      <c r="BG14" s="141" t="s">
        <v>458</v>
      </c>
      <c r="BH14" s="141" t="s">
        <v>432</v>
      </c>
      <c r="BI14" s="139">
        <v>10</v>
      </c>
      <c r="BJ14" s="141" t="s">
        <v>784</v>
      </c>
      <c r="BK14" s="140">
        <v>45601</v>
      </c>
      <c r="BL14" s="139">
        <v>6.9</v>
      </c>
      <c r="BM14" s="141" t="s">
        <v>783</v>
      </c>
      <c r="BN14" s="141">
        <v>1.7</v>
      </c>
      <c r="BO14" s="141" t="s">
        <v>428</v>
      </c>
      <c r="BP14" s="141" t="s">
        <v>428</v>
      </c>
      <c r="BQ14" s="141" t="s">
        <v>428</v>
      </c>
      <c r="BR14" s="141" t="s">
        <v>795</v>
      </c>
      <c r="BS14" s="141" t="s">
        <v>222</v>
      </c>
      <c r="BT14" s="140"/>
      <c r="BU14" s="141" t="s">
        <v>7</v>
      </c>
      <c r="BV14" s="141" t="s">
        <v>16</v>
      </c>
      <c r="BW14" s="141" t="s">
        <v>7</v>
      </c>
      <c r="BX14" s="141" t="s">
        <v>421</v>
      </c>
      <c r="BY14" s="141" t="s">
        <v>90</v>
      </c>
      <c r="BZ14" s="140"/>
      <c r="CA14" s="139"/>
      <c r="CB14" s="141" t="s">
        <v>81</v>
      </c>
      <c r="CC14" s="141" t="s">
        <v>81</v>
      </c>
      <c r="CD14"/>
      <c r="CE14" s="141" t="s">
        <v>38</v>
      </c>
      <c r="CF14" s="141" t="s">
        <v>90</v>
      </c>
      <c r="CG14" s="141" t="s">
        <v>90</v>
      </c>
      <c r="CH14" s="141" t="s">
        <v>835</v>
      </c>
      <c r="CI14" s="141" t="s">
        <v>90</v>
      </c>
      <c r="CJ14" s="142" t="s">
        <v>717</v>
      </c>
      <c r="CK14">
        <v>1</v>
      </c>
      <c r="CL14">
        <v>7.2927999999999997</v>
      </c>
      <c r="CM14">
        <v>7.8305999999999996</v>
      </c>
      <c r="CN14" s="141">
        <v>1.7</v>
      </c>
      <c r="CO14" s="141">
        <v>12.398</v>
      </c>
      <c r="CP14" s="141">
        <v>13.311999999999999</v>
      </c>
      <c r="CQ14" s="141" t="s">
        <v>90</v>
      </c>
      <c r="CR14" s="141" t="s">
        <v>7</v>
      </c>
      <c r="CS14" s="141" t="s">
        <v>141</v>
      </c>
      <c r="CT14" s="141" t="s">
        <v>112</v>
      </c>
      <c r="CU14" s="139">
        <v>10</v>
      </c>
      <c r="CV14" s="141" t="s">
        <v>836</v>
      </c>
      <c r="CW14" s="141" t="s">
        <v>796</v>
      </c>
      <c r="CX14" s="141" t="s">
        <v>90</v>
      </c>
      <c r="CY14" s="141" t="s">
        <v>796</v>
      </c>
      <c r="CZ14" s="141" t="s">
        <v>735</v>
      </c>
      <c r="DA14" s="141" t="s">
        <v>837</v>
      </c>
      <c r="DB14" s="142" t="s">
        <v>7</v>
      </c>
      <c r="DC14" s="142" t="s">
        <v>90</v>
      </c>
      <c r="DD14" s="141" t="s">
        <v>755</v>
      </c>
    </row>
    <row r="15" spans="1:108" x14ac:dyDescent="0.25">
      <c r="A15" s="139">
        <v>4</v>
      </c>
      <c r="B15" s="141" t="s">
        <v>832</v>
      </c>
      <c r="C15" s="141" t="s">
        <v>754</v>
      </c>
      <c r="D15" s="141" t="s">
        <v>756</v>
      </c>
      <c r="E15" s="140">
        <v>45230</v>
      </c>
      <c r="F15" s="141" t="s">
        <v>104</v>
      </c>
      <c r="G15" s="141" t="s">
        <v>651</v>
      </c>
      <c r="H15" s="141" t="s">
        <v>923</v>
      </c>
      <c r="I15" s="141" t="s">
        <v>785</v>
      </c>
      <c r="J15" s="141" t="s">
        <v>787</v>
      </c>
      <c r="K15" s="141" t="s">
        <v>792</v>
      </c>
      <c r="L15" t="s">
        <v>2</v>
      </c>
      <c r="M15" s="141" t="s">
        <v>781</v>
      </c>
      <c r="N15" s="141" t="s">
        <v>126</v>
      </c>
      <c r="O15" s="141" t="s">
        <v>90</v>
      </c>
      <c r="P15" s="141" t="s">
        <v>90</v>
      </c>
      <c r="Q15" s="141" t="s">
        <v>423</v>
      </c>
      <c r="R15" s="141" t="s">
        <v>424</v>
      </c>
      <c r="S15" s="141" t="s">
        <v>425</v>
      </c>
      <c r="T15" s="141" t="s">
        <v>426</v>
      </c>
      <c r="U15" s="141" t="s">
        <v>426</v>
      </c>
      <c r="V15" s="141" t="s">
        <v>793</v>
      </c>
      <c r="W15" s="141" t="s">
        <v>791</v>
      </c>
      <c r="X15" s="140">
        <v>45237</v>
      </c>
      <c r="Y15" s="141" t="s">
        <v>785</v>
      </c>
      <c r="Z15" s="140">
        <v>45237</v>
      </c>
      <c r="AA15" s="141" t="s">
        <v>754</v>
      </c>
      <c r="AB15" s="141" t="s">
        <v>790</v>
      </c>
      <c r="AC15" s="140">
        <v>45419</v>
      </c>
      <c r="AD15" s="141" t="s">
        <v>90</v>
      </c>
      <c r="AE15" s="139">
        <v>4.3</v>
      </c>
      <c r="AF15" s="140"/>
      <c r="AG15" s="140">
        <v>45237</v>
      </c>
      <c r="AH15" s="139">
        <v>9</v>
      </c>
      <c r="AI15" s="139">
        <v>10000</v>
      </c>
      <c r="AJ15" s="141" t="s">
        <v>789</v>
      </c>
      <c r="AK15" s="141" t="s">
        <v>788</v>
      </c>
      <c r="AL15" s="141" t="s">
        <v>90</v>
      </c>
      <c r="AM15" s="141" t="s">
        <v>90</v>
      </c>
      <c r="AN15" s="139"/>
      <c r="AO15" s="141" t="s">
        <v>436</v>
      </c>
      <c r="AP15" s="141" t="s">
        <v>427</v>
      </c>
      <c r="AQ15" s="139" t="s">
        <v>816</v>
      </c>
      <c r="AR15" s="141" t="s">
        <v>440</v>
      </c>
      <c r="AS15" s="141" t="s">
        <v>428</v>
      </c>
      <c r="AT15" s="141" t="s">
        <v>718</v>
      </c>
      <c r="AU15" s="141" t="s">
        <v>290</v>
      </c>
      <c r="AV15" s="139"/>
      <c r="AW15" s="139"/>
      <c r="AX15" s="139"/>
      <c r="AY15" s="139"/>
      <c r="AZ15" s="141" t="s">
        <v>90</v>
      </c>
      <c r="BA15" s="141" t="s">
        <v>786</v>
      </c>
      <c r="BB15" s="141" t="s">
        <v>719</v>
      </c>
      <c r="BC15" s="139"/>
      <c r="BD15" s="139">
        <v>100</v>
      </c>
      <c r="BE15" s="141" t="s">
        <v>430</v>
      </c>
      <c r="BF15" s="141" t="s">
        <v>90</v>
      </c>
      <c r="BG15" s="141" t="s">
        <v>458</v>
      </c>
      <c r="BH15" s="141" t="s">
        <v>432</v>
      </c>
      <c r="BI15" s="139">
        <v>50</v>
      </c>
      <c r="BJ15" s="141" t="s">
        <v>784</v>
      </c>
      <c r="BK15" s="140">
        <v>45601</v>
      </c>
      <c r="BL15" s="139">
        <v>4.3</v>
      </c>
      <c r="BM15" s="141" t="s">
        <v>783</v>
      </c>
      <c r="BN15" s="141">
        <v>9</v>
      </c>
      <c r="BO15" s="141" t="s">
        <v>428</v>
      </c>
      <c r="BP15" s="141" t="s">
        <v>428</v>
      </c>
      <c r="BQ15" s="141" t="s">
        <v>428</v>
      </c>
      <c r="BR15" s="141" t="s">
        <v>782</v>
      </c>
      <c r="BS15" s="141" t="s">
        <v>222</v>
      </c>
      <c r="BT15" s="140"/>
      <c r="BU15" s="141" t="s">
        <v>7</v>
      </c>
      <c r="BV15" s="141" t="s">
        <v>16</v>
      </c>
      <c r="BW15" s="141" t="s">
        <v>7</v>
      </c>
      <c r="BX15" s="141" t="s">
        <v>421</v>
      </c>
      <c r="BY15" s="141" t="s">
        <v>90</v>
      </c>
      <c r="BZ15" s="140"/>
      <c r="CA15" s="139"/>
      <c r="CB15" s="141" t="s">
        <v>81</v>
      </c>
      <c r="CC15" s="141" t="s">
        <v>81</v>
      </c>
      <c r="CD15"/>
      <c r="CE15" s="141" t="s">
        <v>38</v>
      </c>
      <c r="CF15" s="141" t="s">
        <v>90</v>
      </c>
      <c r="CG15" s="141" t="s">
        <v>90</v>
      </c>
      <c r="CH15" s="141" t="s">
        <v>835</v>
      </c>
      <c r="CI15" s="141" t="s">
        <v>90</v>
      </c>
      <c r="CJ15" s="142" t="s">
        <v>717</v>
      </c>
      <c r="CK15">
        <v>0.1371</v>
      </c>
      <c r="CL15">
        <v>1</v>
      </c>
      <c r="CM15">
        <v>1.0732999999999999</v>
      </c>
      <c r="CN15" s="141">
        <v>1.234</v>
      </c>
      <c r="CO15" s="141">
        <v>9</v>
      </c>
      <c r="CP15" s="141">
        <v>9.66</v>
      </c>
      <c r="CQ15" s="141" t="s">
        <v>90</v>
      </c>
      <c r="CR15" s="141" t="s">
        <v>7</v>
      </c>
      <c r="CS15" s="141" t="s">
        <v>7</v>
      </c>
      <c r="CT15" s="141" t="s">
        <v>112</v>
      </c>
      <c r="CU15" s="139">
        <v>50</v>
      </c>
      <c r="CV15" s="141" t="s">
        <v>834</v>
      </c>
      <c r="CW15" s="141" t="s">
        <v>785</v>
      </c>
      <c r="CX15" s="141" t="s">
        <v>90</v>
      </c>
      <c r="CY15" s="141" t="s">
        <v>785</v>
      </c>
      <c r="CZ15" s="141" t="s">
        <v>735</v>
      </c>
      <c r="DA15" s="141" t="s">
        <v>837</v>
      </c>
      <c r="DB15" s="142" t="s">
        <v>7</v>
      </c>
      <c r="DC15" s="142" t="s">
        <v>90</v>
      </c>
      <c r="DD15" s="141" t="s">
        <v>757</v>
      </c>
    </row>
    <row r="16" spans="1:108" x14ac:dyDescent="0.25">
      <c r="A16" s="139">
        <v>3</v>
      </c>
      <c r="B16" s="141" t="s">
        <v>642</v>
      </c>
      <c r="C16" s="141" t="s">
        <v>766</v>
      </c>
      <c r="D16" s="141" t="s">
        <v>765</v>
      </c>
      <c r="E16" s="140">
        <v>45229</v>
      </c>
      <c r="F16" s="141" t="s">
        <v>108</v>
      </c>
      <c r="G16" s="141" t="s">
        <v>651</v>
      </c>
      <c r="H16" s="141" t="s">
        <v>90</v>
      </c>
      <c r="I16" s="141" t="s">
        <v>90</v>
      </c>
      <c r="J16" s="141" t="s">
        <v>825</v>
      </c>
      <c r="K16" s="141" t="s">
        <v>829</v>
      </c>
      <c r="L16" t="s">
        <v>1</v>
      </c>
      <c r="M16" s="141" t="s">
        <v>817</v>
      </c>
      <c r="N16" s="141" t="s">
        <v>90</v>
      </c>
      <c r="O16" s="141" t="s">
        <v>766</v>
      </c>
      <c r="P16" s="141" t="s">
        <v>90</v>
      </c>
      <c r="Q16" s="141" t="s">
        <v>423</v>
      </c>
      <c r="R16" s="141" t="s">
        <v>424</v>
      </c>
      <c r="S16" s="141" t="s">
        <v>425</v>
      </c>
      <c r="T16" s="141" t="s">
        <v>426</v>
      </c>
      <c r="U16" s="141" t="s">
        <v>426</v>
      </c>
      <c r="V16" s="141" t="s">
        <v>830</v>
      </c>
      <c r="W16" s="141" t="s">
        <v>90</v>
      </c>
      <c r="X16" s="140">
        <v>45233</v>
      </c>
      <c r="Y16" s="141" t="s">
        <v>90</v>
      </c>
      <c r="Z16" s="140">
        <v>45233</v>
      </c>
      <c r="AA16" s="141" t="s">
        <v>90</v>
      </c>
      <c r="AB16" s="141" t="s">
        <v>828</v>
      </c>
      <c r="AC16" s="140">
        <v>45597</v>
      </c>
      <c r="AD16" s="141" t="s">
        <v>90</v>
      </c>
      <c r="AE16" s="139">
        <v>5.5</v>
      </c>
      <c r="AF16" s="140"/>
      <c r="AG16" s="140">
        <v>45233</v>
      </c>
      <c r="AH16" s="139">
        <v>1.08</v>
      </c>
      <c r="AI16" s="139">
        <v>1000</v>
      </c>
      <c r="AJ16" s="141" t="s">
        <v>827</v>
      </c>
      <c r="AK16" s="141" t="s">
        <v>90</v>
      </c>
      <c r="AL16" s="141" t="s">
        <v>90</v>
      </c>
      <c r="AM16" s="141" t="s">
        <v>90</v>
      </c>
      <c r="AN16" s="139"/>
      <c r="AO16" s="141" t="s">
        <v>826</v>
      </c>
      <c r="AP16" s="141" t="s">
        <v>427</v>
      </c>
      <c r="AQ16" s="139" t="s">
        <v>917</v>
      </c>
      <c r="AR16" s="141" t="s">
        <v>372</v>
      </c>
      <c r="AS16" s="141" t="s">
        <v>428</v>
      </c>
      <c r="AT16" s="141" t="s">
        <v>429</v>
      </c>
      <c r="AU16" s="141" t="s">
        <v>290</v>
      </c>
      <c r="AV16" s="139"/>
      <c r="AW16" s="139"/>
      <c r="AX16" s="139"/>
      <c r="AY16" s="139"/>
      <c r="AZ16" s="141" t="s">
        <v>90</v>
      </c>
      <c r="BA16" s="141" t="s">
        <v>824</v>
      </c>
      <c r="BB16" s="141" t="s">
        <v>823</v>
      </c>
      <c r="BC16" s="139"/>
      <c r="BD16" s="139">
        <v>100</v>
      </c>
      <c r="BE16" s="141" t="s">
        <v>430</v>
      </c>
      <c r="BF16" s="141" t="s">
        <v>90</v>
      </c>
      <c r="BG16" s="141" t="s">
        <v>822</v>
      </c>
      <c r="BH16" s="141" t="s">
        <v>432</v>
      </c>
      <c r="BI16" s="139"/>
      <c r="BJ16" s="141" t="s">
        <v>821</v>
      </c>
      <c r="BK16" s="140">
        <v>45597</v>
      </c>
      <c r="BL16" s="139">
        <v>5.5</v>
      </c>
      <c r="BM16" s="141" t="s">
        <v>783</v>
      </c>
      <c r="BN16" s="141">
        <v>1.08</v>
      </c>
      <c r="BO16" s="141" t="s">
        <v>428</v>
      </c>
      <c r="BP16" s="141" t="s">
        <v>820</v>
      </c>
      <c r="BQ16" s="141" t="s">
        <v>819</v>
      </c>
      <c r="BR16" s="141" t="s">
        <v>818</v>
      </c>
      <c r="BS16" s="141" t="s">
        <v>222</v>
      </c>
      <c r="BT16" s="140"/>
      <c r="BU16" s="141" t="s">
        <v>7</v>
      </c>
      <c r="BV16" s="141" t="s">
        <v>14</v>
      </c>
      <c r="BW16" s="141" t="s">
        <v>7</v>
      </c>
      <c r="BX16" s="141" t="s">
        <v>850</v>
      </c>
      <c r="BY16" s="141" t="s">
        <v>90</v>
      </c>
      <c r="BZ16" s="140"/>
      <c r="CA16" s="139"/>
      <c r="CB16" s="141" t="s">
        <v>81</v>
      </c>
      <c r="CC16" s="141" t="s">
        <v>918</v>
      </c>
      <c r="CD16"/>
      <c r="CE16" s="141" t="s">
        <v>39</v>
      </c>
      <c r="CF16" s="141" t="s">
        <v>90</v>
      </c>
      <c r="CG16" s="141" t="s">
        <v>90</v>
      </c>
      <c r="CH16" s="141" t="s">
        <v>261</v>
      </c>
      <c r="CI16" s="141" t="s">
        <v>90</v>
      </c>
      <c r="CJ16" s="142" t="s">
        <v>717</v>
      </c>
      <c r="CK16">
        <v>1.0572999999999999</v>
      </c>
      <c r="CL16">
        <v>7.7123999999999997</v>
      </c>
      <c r="CM16">
        <v>8.2795000000000005</v>
      </c>
      <c r="CN16" s="141">
        <v>1.1419999999999999</v>
      </c>
      <c r="CO16" s="141">
        <v>8.3290000000000006</v>
      </c>
      <c r="CP16" s="141">
        <v>8.9420000000000002</v>
      </c>
      <c r="CQ16" s="141" t="s">
        <v>90</v>
      </c>
      <c r="CR16" s="141" t="s">
        <v>7</v>
      </c>
      <c r="CS16" s="141" t="s">
        <v>7</v>
      </c>
      <c r="CT16" s="141" t="s">
        <v>112</v>
      </c>
      <c r="CU16" s="139"/>
      <c r="CV16" s="141" t="s">
        <v>90</v>
      </c>
      <c r="CW16" s="141" t="s">
        <v>90</v>
      </c>
      <c r="CX16" s="141" t="s">
        <v>90</v>
      </c>
      <c r="CY16" s="141" t="s">
        <v>838</v>
      </c>
      <c r="CZ16" s="141" t="s">
        <v>735</v>
      </c>
      <c r="DA16" s="141" t="s">
        <v>837</v>
      </c>
      <c r="DB16" s="142" t="s">
        <v>7</v>
      </c>
      <c r="DC16" s="142" t="s">
        <v>90</v>
      </c>
      <c r="DD16" s="141" t="s">
        <v>767</v>
      </c>
    </row>
    <row r="17" spans="1:108" x14ac:dyDescent="0.25">
      <c r="A17" s="139">
        <v>2</v>
      </c>
      <c r="B17" s="141" t="s">
        <v>628</v>
      </c>
      <c r="C17" s="141" t="s">
        <v>630</v>
      </c>
      <c r="D17" s="141" t="s">
        <v>763</v>
      </c>
      <c r="E17" s="140">
        <v>45229</v>
      </c>
      <c r="F17" s="141" t="s">
        <v>83</v>
      </c>
      <c r="G17" s="141" t="s">
        <v>651</v>
      </c>
      <c r="H17" s="141" t="s">
        <v>90</v>
      </c>
      <c r="I17" s="141" t="s">
        <v>90</v>
      </c>
      <c r="J17" s="141" t="s">
        <v>631</v>
      </c>
      <c r="K17" s="141" t="s">
        <v>90</v>
      </c>
      <c r="L17" t="s">
        <v>82</v>
      </c>
      <c r="M17" s="141" t="s">
        <v>814</v>
      </c>
      <c r="N17" s="141" t="s">
        <v>90</v>
      </c>
      <c r="O17" s="141" t="s">
        <v>90</v>
      </c>
      <c r="P17" s="141" t="s">
        <v>90</v>
      </c>
      <c r="Q17" s="141" t="s">
        <v>423</v>
      </c>
      <c r="R17" s="141" t="s">
        <v>424</v>
      </c>
      <c r="S17" s="141" t="s">
        <v>425</v>
      </c>
      <c r="T17" s="141" t="s">
        <v>426</v>
      </c>
      <c r="U17" s="141" t="s">
        <v>426</v>
      </c>
      <c r="V17" s="141" t="s">
        <v>631</v>
      </c>
      <c r="W17" s="141" t="s">
        <v>90</v>
      </c>
      <c r="X17" s="140">
        <v>45231</v>
      </c>
      <c r="Y17" s="141" t="s">
        <v>90</v>
      </c>
      <c r="Z17" s="140">
        <v>45231</v>
      </c>
      <c r="AA17" s="141" t="s">
        <v>630</v>
      </c>
      <c r="AB17" s="141" t="s">
        <v>633</v>
      </c>
      <c r="AC17" s="140">
        <v>45323</v>
      </c>
      <c r="AD17" s="141" t="s">
        <v>90</v>
      </c>
      <c r="AE17" s="139">
        <v>5.5</v>
      </c>
      <c r="AF17" s="140"/>
      <c r="AG17" s="140">
        <v>45231</v>
      </c>
      <c r="AH17" s="139">
        <v>1.2E-2</v>
      </c>
      <c r="AI17" s="139">
        <v>1200000</v>
      </c>
      <c r="AJ17" s="141" t="s">
        <v>632</v>
      </c>
      <c r="AK17" s="141" t="s">
        <v>90</v>
      </c>
      <c r="AL17" s="141" t="s">
        <v>90</v>
      </c>
      <c r="AM17" s="141" t="s">
        <v>90</v>
      </c>
      <c r="AN17" s="139"/>
      <c r="AO17" s="141" t="s">
        <v>436</v>
      </c>
      <c r="AP17" s="141" t="s">
        <v>427</v>
      </c>
      <c r="AQ17" s="139" t="s">
        <v>916</v>
      </c>
      <c r="AR17" s="141" t="s">
        <v>90</v>
      </c>
      <c r="AS17" s="141" t="s">
        <v>428</v>
      </c>
      <c r="AT17" s="141" t="s">
        <v>459</v>
      </c>
      <c r="AU17" s="141" t="s">
        <v>290</v>
      </c>
      <c r="AV17" s="139"/>
      <c r="AW17" s="139"/>
      <c r="AX17" s="139"/>
      <c r="AY17" s="139"/>
      <c r="AZ17" s="141" t="s">
        <v>90</v>
      </c>
      <c r="BA17" s="141" t="s">
        <v>90</v>
      </c>
      <c r="BB17" s="141" t="s">
        <v>439</v>
      </c>
      <c r="BC17" s="139"/>
      <c r="BD17" s="139">
        <v>100</v>
      </c>
      <c r="BE17" s="141" t="s">
        <v>430</v>
      </c>
      <c r="BF17" s="141" t="s">
        <v>90</v>
      </c>
      <c r="BG17" s="141" t="s">
        <v>458</v>
      </c>
      <c r="BH17" s="141" t="s">
        <v>432</v>
      </c>
      <c r="BI17" s="139"/>
      <c r="BJ17" s="141" t="s">
        <v>107</v>
      </c>
      <c r="BK17" s="140">
        <v>45323</v>
      </c>
      <c r="BL17" s="139">
        <v>5.5</v>
      </c>
      <c r="BM17" s="141" t="s">
        <v>643</v>
      </c>
      <c r="BN17" s="141">
        <v>1.2E-2</v>
      </c>
      <c r="BO17" s="141" t="s">
        <v>428</v>
      </c>
      <c r="BP17" s="141" t="s">
        <v>428</v>
      </c>
      <c r="BQ17" s="141" t="s">
        <v>428</v>
      </c>
      <c r="BR17" s="141" t="s">
        <v>815</v>
      </c>
      <c r="BS17" s="141" t="s">
        <v>222</v>
      </c>
      <c r="BT17" s="140"/>
      <c r="BU17" s="141" t="s">
        <v>7</v>
      </c>
      <c r="BV17" s="141" t="s">
        <v>12</v>
      </c>
      <c r="BW17" s="141" t="s">
        <v>7</v>
      </c>
      <c r="BX17" s="141" t="s">
        <v>421</v>
      </c>
      <c r="BY17" s="141" t="s">
        <v>90</v>
      </c>
      <c r="BZ17" s="140"/>
      <c r="CA17" s="139"/>
      <c r="CB17" s="141" t="s">
        <v>81</v>
      </c>
      <c r="CC17" s="141" t="s">
        <v>81</v>
      </c>
      <c r="CD17"/>
      <c r="CE17" s="141" t="s">
        <v>38</v>
      </c>
      <c r="CF17" s="141" t="s">
        <v>90</v>
      </c>
      <c r="CG17" s="141" t="s">
        <v>90</v>
      </c>
      <c r="CH17" s="141" t="s">
        <v>107</v>
      </c>
      <c r="CI17" s="141" t="s">
        <v>90</v>
      </c>
      <c r="CJ17" s="142" t="s">
        <v>717</v>
      </c>
      <c r="CK17">
        <v>1</v>
      </c>
      <c r="CL17">
        <v>7.2927999999999997</v>
      </c>
      <c r="CM17">
        <v>7.8305999999999996</v>
      </c>
      <c r="CN17" s="141">
        <v>1.2E-2</v>
      </c>
      <c r="CO17" s="141">
        <v>8.7999999999999995E-2</v>
      </c>
      <c r="CP17" s="141">
        <v>9.4E-2</v>
      </c>
      <c r="CQ17" s="141" t="s">
        <v>90</v>
      </c>
      <c r="CR17" s="141" t="s">
        <v>7</v>
      </c>
      <c r="CS17" s="141" t="s">
        <v>7</v>
      </c>
      <c r="CT17" s="141" t="s">
        <v>112</v>
      </c>
      <c r="CU17" s="139"/>
      <c r="CV17" s="141" t="s">
        <v>90</v>
      </c>
      <c r="CW17" s="141" t="s">
        <v>90</v>
      </c>
      <c r="CX17" s="141" t="s">
        <v>90</v>
      </c>
      <c r="CY17" s="141" t="s">
        <v>838</v>
      </c>
      <c r="CZ17" s="141" t="s">
        <v>644</v>
      </c>
      <c r="DA17" s="141" t="s">
        <v>650</v>
      </c>
      <c r="DB17" s="142" t="s">
        <v>7</v>
      </c>
      <c r="DC17" s="142" t="s">
        <v>90</v>
      </c>
      <c r="DD17" s="141" t="s">
        <v>764</v>
      </c>
    </row>
    <row r="18" spans="1:108" x14ac:dyDescent="0.25">
      <c r="A18" s="139">
        <v>1</v>
      </c>
      <c r="B18" s="141" t="s">
        <v>628</v>
      </c>
      <c r="C18" s="141" t="s">
        <v>630</v>
      </c>
      <c r="D18" s="141" t="s">
        <v>761</v>
      </c>
      <c r="E18" s="140">
        <v>45229</v>
      </c>
      <c r="F18" s="141" t="s">
        <v>83</v>
      </c>
      <c r="G18" s="141" t="s">
        <v>651</v>
      </c>
      <c r="H18" s="141" t="s">
        <v>90</v>
      </c>
      <c r="I18" s="141" t="s">
        <v>90</v>
      </c>
      <c r="J18" s="141" t="s">
        <v>631</v>
      </c>
      <c r="K18" s="141" t="s">
        <v>90</v>
      </c>
      <c r="L18" t="s">
        <v>82</v>
      </c>
      <c r="M18" s="141" t="s">
        <v>811</v>
      </c>
      <c r="N18" s="141" t="s">
        <v>90</v>
      </c>
      <c r="O18" s="141" t="s">
        <v>90</v>
      </c>
      <c r="P18" s="141" t="s">
        <v>90</v>
      </c>
      <c r="Q18" s="141" t="s">
        <v>423</v>
      </c>
      <c r="R18" s="141" t="s">
        <v>424</v>
      </c>
      <c r="S18" s="141" t="s">
        <v>425</v>
      </c>
      <c r="T18" s="141" t="s">
        <v>426</v>
      </c>
      <c r="U18" s="141" t="s">
        <v>426</v>
      </c>
      <c r="V18" s="141" t="s">
        <v>631</v>
      </c>
      <c r="W18" s="141" t="s">
        <v>90</v>
      </c>
      <c r="X18" s="140">
        <v>45231</v>
      </c>
      <c r="Y18" s="141" t="s">
        <v>90</v>
      </c>
      <c r="Z18" s="140">
        <v>45231</v>
      </c>
      <c r="AA18" s="141" t="s">
        <v>630</v>
      </c>
      <c r="AB18" s="141" t="s">
        <v>633</v>
      </c>
      <c r="AC18" s="140">
        <v>45294</v>
      </c>
      <c r="AD18" s="141" t="s">
        <v>90</v>
      </c>
      <c r="AE18" s="139">
        <v>5.0999999999999996</v>
      </c>
      <c r="AF18" s="140"/>
      <c r="AG18" s="140">
        <v>45231</v>
      </c>
      <c r="AH18" s="139">
        <v>7.0000000000000001E-3</v>
      </c>
      <c r="AI18" s="139">
        <v>700000</v>
      </c>
      <c r="AJ18" s="141" t="s">
        <v>632</v>
      </c>
      <c r="AK18" s="141" t="s">
        <v>90</v>
      </c>
      <c r="AL18" s="141" t="s">
        <v>90</v>
      </c>
      <c r="AM18" s="141" t="s">
        <v>90</v>
      </c>
      <c r="AN18" s="139"/>
      <c r="AO18" s="141" t="s">
        <v>436</v>
      </c>
      <c r="AP18" s="141" t="s">
        <v>427</v>
      </c>
      <c r="AQ18" s="139" t="s">
        <v>915</v>
      </c>
      <c r="AR18" s="141" t="s">
        <v>90</v>
      </c>
      <c r="AS18" s="141" t="s">
        <v>428</v>
      </c>
      <c r="AT18" s="141" t="s">
        <v>459</v>
      </c>
      <c r="AU18" s="141" t="s">
        <v>290</v>
      </c>
      <c r="AV18" s="139"/>
      <c r="AW18" s="139"/>
      <c r="AX18" s="139"/>
      <c r="AY18" s="139"/>
      <c r="AZ18" s="141" t="s">
        <v>90</v>
      </c>
      <c r="BA18" s="141" t="s">
        <v>90</v>
      </c>
      <c r="BB18" s="141" t="s">
        <v>439</v>
      </c>
      <c r="BC18" s="139"/>
      <c r="BD18" s="139">
        <v>100</v>
      </c>
      <c r="BE18" s="141" t="s">
        <v>430</v>
      </c>
      <c r="BF18" s="141" t="s">
        <v>90</v>
      </c>
      <c r="BG18" s="141" t="s">
        <v>458</v>
      </c>
      <c r="BH18" s="141" t="s">
        <v>432</v>
      </c>
      <c r="BI18" s="139"/>
      <c r="BJ18" s="141" t="s">
        <v>107</v>
      </c>
      <c r="BK18" s="140">
        <v>45294</v>
      </c>
      <c r="BL18" s="139">
        <v>5.0999999999999996</v>
      </c>
      <c r="BM18" s="141" t="s">
        <v>813</v>
      </c>
      <c r="BN18" s="141">
        <v>7.0000000000000001E-3</v>
      </c>
      <c r="BO18" s="141" t="s">
        <v>428</v>
      </c>
      <c r="BP18" s="141" t="s">
        <v>428</v>
      </c>
      <c r="BQ18" s="141" t="s">
        <v>428</v>
      </c>
      <c r="BR18" s="141" t="s">
        <v>812</v>
      </c>
      <c r="BS18" s="141" t="s">
        <v>222</v>
      </c>
      <c r="BT18" s="140"/>
      <c r="BU18" s="141" t="s">
        <v>7</v>
      </c>
      <c r="BV18" s="141" t="s">
        <v>12</v>
      </c>
      <c r="BW18" s="141" t="s">
        <v>7</v>
      </c>
      <c r="BX18" s="141" t="s">
        <v>421</v>
      </c>
      <c r="BY18" s="141" t="s">
        <v>90</v>
      </c>
      <c r="BZ18" s="140"/>
      <c r="CA18" s="139"/>
      <c r="CB18" s="141" t="s">
        <v>81</v>
      </c>
      <c r="CC18" s="141" t="s">
        <v>81</v>
      </c>
      <c r="CD18"/>
      <c r="CE18" s="141" t="s">
        <v>38</v>
      </c>
      <c r="CF18" s="141" t="s">
        <v>90</v>
      </c>
      <c r="CG18" s="141" t="s">
        <v>90</v>
      </c>
      <c r="CH18" s="141" t="s">
        <v>107</v>
      </c>
      <c r="CI18" s="141" t="s">
        <v>90</v>
      </c>
      <c r="CJ18" s="142" t="s">
        <v>717</v>
      </c>
      <c r="CK18">
        <v>1</v>
      </c>
      <c r="CL18">
        <v>7.2927999999999997</v>
      </c>
      <c r="CM18">
        <v>7.8305999999999996</v>
      </c>
      <c r="CN18" s="141">
        <v>7.0000000000000001E-3</v>
      </c>
      <c r="CO18" s="141">
        <v>5.0999999999999997E-2</v>
      </c>
      <c r="CP18" s="141">
        <v>5.5E-2</v>
      </c>
      <c r="CQ18" s="141" t="s">
        <v>90</v>
      </c>
      <c r="CR18" s="141" t="s">
        <v>7</v>
      </c>
      <c r="CS18" s="141" t="s">
        <v>7</v>
      </c>
      <c r="CT18" s="141" t="s">
        <v>112</v>
      </c>
      <c r="CU18" s="139"/>
      <c r="CV18" s="141" t="s">
        <v>90</v>
      </c>
      <c r="CW18" s="141" t="s">
        <v>90</v>
      </c>
      <c r="CX18" s="141" t="s">
        <v>90</v>
      </c>
      <c r="CY18" s="141" t="s">
        <v>839</v>
      </c>
      <c r="CZ18" s="141" t="s">
        <v>736</v>
      </c>
      <c r="DA18" s="141" t="s">
        <v>737</v>
      </c>
      <c r="DB18" s="142" t="s">
        <v>7</v>
      </c>
      <c r="DC18" s="142" t="s">
        <v>90</v>
      </c>
      <c r="DD18" s="141" t="s">
        <v>762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topLeftCell="AU1" zoomScale="70" zoomScaleNormal="70" workbookViewId="0">
      <selection activeCell="BA22" sqref="BA22"/>
    </sheetView>
  </sheetViews>
  <sheetFormatPr defaultColWidth="8.88671875" defaultRowHeight="20.100000000000001" customHeight="1" x14ac:dyDescent="0.25"/>
  <cols>
    <col min="1" max="1" width="12.44140625" style="21" bestFit="1" customWidth="1"/>
    <col min="2" max="2" width="13.33203125" style="21" bestFit="1" customWidth="1"/>
    <col min="3" max="3" width="15.44140625" style="21" bestFit="1" customWidth="1"/>
    <col min="4" max="4" width="35.88671875" style="21" customWidth="1"/>
    <col min="5" max="5" width="9.6640625" style="21" bestFit="1" customWidth="1"/>
    <col min="6" max="6" width="18.109375" style="21" bestFit="1" customWidth="1"/>
    <col min="7" max="7" width="8.88671875" style="21" bestFit="1" customWidth="1"/>
    <col min="8" max="8" width="9" style="21" bestFit="1" customWidth="1"/>
    <col min="9" max="9" width="13.5546875" style="21" bestFit="1" customWidth="1"/>
    <col min="10" max="10" width="9.33203125" style="21" bestFit="1" customWidth="1"/>
    <col min="11" max="11" width="19.44140625" style="21" bestFit="1" customWidth="1"/>
    <col min="12" max="15" width="2.21875" style="21" customWidth="1"/>
    <col min="16" max="16" width="17.88671875" style="21" customWidth="1"/>
    <col min="17" max="17" width="36.6640625" style="21" bestFit="1" customWidth="1"/>
    <col min="18" max="18" width="9" style="21" bestFit="1" customWidth="1"/>
    <col min="19" max="19" width="15.6640625" style="21" bestFit="1" customWidth="1"/>
    <col min="20" max="20" width="13.33203125" style="21" bestFit="1" customWidth="1"/>
    <col min="21" max="21" width="11.77734375" style="1" customWidth="1"/>
    <col min="22" max="22" width="15.6640625" style="21" bestFit="1" customWidth="1"/>
    <col min="23" max="23" width="15.6640625" style="1" bestFit="1" customWidth="1"/>
    <col min="24" max="24" width="11.109375" style="1" customWidth="1"/>
    <col min="25" max="25" width="4.6640625" style="1" bestFit="1" customWidth="1"/>
    <col min="26" max="26" width="10.44140625" style="21" bestFit="1" customWidth="1"/>
    <col min="27" max="27" width="6.33203125" style="21" bestFit="1" customWidth="1"/>
    <col min="28" max="28" width="15.6640625" style="1" bestFit="1" customWidth="1"/>
    <col min="29" max="29" width="7.6640625" style="1" bestFit="1" customWidth="1"/>
    <col min="30" max="30" width="11.33203125" style="21" customWidth="1"/>
    <col min="31" max="33" width="6" style="21" bestFit="1" customWidth="1"/>
    <col min="34" max="34" width="13.88671875" style="1" bestFit="1" customWidth="1"/>
    <col min="35" max="35" width="20" style="1" bestFit="1" customWidth="1"/>
    <col min="36" max="38" width="7.88671875" style="41" customWidth="1"/>
    <col min="39" max="39" width="7.88671875" style="21" customWidth="1"/>
    <col min="40" max="40" width="33.109375" style="21" customWidth="1"/>
    <col min="41" max="41" width="19.33203125" style="21" bestFit="1" customWidth="1"/>
    <col min="42" max="42" width="13.21875" style="21" bestFit="1" customWidth="1"/>
    <col min="43" max="43" width="10.33203125" style="21" bestFit="1" customWidth="1"/>
    <col min="44" max="44" width="7.6640625" style="21" bestFit="1" customWidth="1"/>
    <col min="45" max="46" width="12" style="21" bestFit="1" customWidth="1"/>
    <col min="47" max="47" width="11.5546875" style="21" bestFit="1" customWidth="1"/>
    <col min="48" max="48" width="14.44140625" style="21" customWidth="1"/>
    <col min="49" max="49" width="11.5546875" style="21" bestFit="1" customWidth="1"/>
    <col min="50" max="50" width="10.77734375" style="21" bestFit="1" customWidth="1"/>
    <col min="51" max="52" width="9.33203125" style="21" bestFit="1" customWidth="1"/>
    <col min="53" max="53" width="9.88671875" style="21" customWidth="1"/>
    <col min="54" max="56" width="4.109375" style="41" customWidth="1"/>
    <col min="57" max="57" width="4.109375" style="21" customWidth="1"/>
    <col min="58" max="58" width="36.6640625" style="21" bestFit="1" customWidth="1"/>
    <col min="59" max="59" width="15.6640625" style="21" bestFit="1" customWidth="1"/>
    <col min="60" max="60" width="10.44140625" style="21" customWidth="1"/>
    <col min="61" max="61" width="11.5546875" style="21" customWidth="1"/>
    <col min="62" max="62" width="12.44140625" style="21" bestFit="1" customWidth="1"/>
    <col min="63" max="63" width="10.77734375" style="21" bestFit="1" customWidth="1"/>
    <col min="64" max="64" width="10.33203125" style="21" bestFit="1" customWidth="1"/>
    <col min="65" max="65" width="10.77734375" style="21" bestFit="1" customWidth="1"/>
    <col min="66" max="66" width="13.109375" style="21" bestFit="1" customWidth="1"/>
    <col min="67" max="67" width="12.6640625" style="21" bestFit="1" customWidth="1"/>
    <col min="68" max="68" width="35.77734375" style="21" customWidth="1"/>
    <col min="69" max="69" width="15.6640625" style="21" customWidth="1"/>
    <col min="70" max="70" width="15.21875" style="21" customWidth="1"/>
    <col min="71" max="71" width="15.6640625" style="21" customWidth="1"/>
    <col min="72" max="73" width="15.5546875" style="21" customWidth="1"/>
    <col min="74" max="16384" width="8.88671875" style="21"/>
  </cols>
  <sheetData>
    <row r="1" spans="1:61" s="41" customFormat="1" ht="49.5" x14ac:dyDescent="0.55000000000000004">
      <c r="A1" s="40" t="s">
        <v>390</v>
      </c>
      <c r="C1" s="49" t="s">
        <v>395</v>
      </c>
      <c r="F1" s="48" t="s">
        <v>389</v>
      </c>
      <c r="G1" s="48" t="s">
        <v>88</v>
      </c>
      <c r="H1" s="48" t="s">
        <v>40</v>
      </c>
      <c r="I1" s="48" t="s">
        <v>172</v>
      </c>
      <c r="J1" s="107" t="s">
        <v>396</v>
      </c>
      <c r="P1" s="40" t="s">
        <v>367</v>
      </c>
      <c r="Q1" s="49" t="s">
        <v>394</v>
      </c>
      <c r="R1" s="49"/>
      <c r="U1" s="48" t="s">
        <v>131</v>
      </c>
      <c r="V1" s="48" t="s">
        <v>86</v>
      </c>
      <c r="W1" s="48" t="s">
        <v>52</v>
      </c>
      <c r="Z1" s="48" t="s">
        <v>232</v>
      </c>
      <c r="AA1" s="48" t="s">
        <v>88</v>
      </c>
      <c r="AB1" s="48" t="s">
        <v>63</v>
      </c>
      <c r="AN1" s="40" t="s">
        <v>398</v>
      </c>
      <c r="AO1" s="49" t="s">
        <v>392</v>
      </c>
      <c r="AT1" s="48" t="s">
        <v>160</v>
      </c>
      <c r="AU1" s="48" t="s">
        <v>159</v>
      </c>
      <c r="AX1" s="48" t="s">
        <v>139</v>
      </c>
      <c r="AY1" s="48" t="s">
        <v>186</v>
      </c>
      <c r="AZ1" s="48" t="s">
        <v>187</v>
      </c>
      <c r="BA1" s="48" t="s">
        <v>188</v>
      </c>
      <c r="BF1" s="40" t="s">
        <v>391</v>
      </c>
      <c r="BG1" s="50" t="s">
        <v>393</v>
      </c>
      <c r="BH1" s="48" t="s">
        <v>191</v>
      </c>
      <c r="BI1" s="48" t="s">
        <v>210</v>
      </c>
    </row>
    <row r="2" spans="1:61" s="42" customFormat="1" ht="75" customHeight="1" x14ac:dyDescent="0.35">
      <c r="A2" s="108" t="s">
        <v>397</v>
      </c>
      <c r="D2" s="54"/>
      <c r="I2" s="54"/>
      <c r="J2" s="54"/>
      <c r="Q2" s="43"/>
      <c r="R2" s="54" t="s">
        <v>245</v>
      </c>
      <c r="S2" s="54" t="s">
        <v>245</v>
      </c>
      <c r="T2" s="54" t="s">
        <v>245</v>
      </c>
      <c r="U2" s="54" t="s">
        <v>245</v>
      </c>
      <c r="V2" s="54" t="s">
        <v>245</v>
      </c>
      <c r="W2" s="54" t="s">
        <v>245</v>
      </c>
      <c r="X2" s="54" t="s">
        <v>245</v>
      </c>
      <c r="Y2" s="55"/>
      <c r="Z2" s="54"/>
      <c r="AJ2" s="41"/>
      <c r="AK2" s="41"/>
      <c r="AL2" s="41"/>
      <c r="AU2" s="54"/>
      <c r="AV2" s="54"/>
      <c r="AW2" s="54"/>
      <c r="AX2" s="54"/>
      <c r="AY2" s="54"/>
      <c r="AZ2" s="54"/>
      <c r="BA2" s="54"/>
      <c r="BB2" s="41"/>
      <c r="BC2" s="41"/>
      <c r="BD2" s="41"/>
      <c r="BG2" s="54" t="s">
        <v>245</v>
      </c>
      <c r="BH2" s="54" t="s">
        <v>245</v>
      </c>
      <c r="BI2" s="54" t="s">
        <v>245</v>
      </c>
    </row>
    <row r="3" spans="1:61" s="45" customFormat="1" ht="33" customHeight="1" x14ac:dyDescent="0.25">
      <c r="A3" s="99" t="s">
        <v>389</v>
      </c>
      <c r="B3" s="44" t="s">
        <v>47</v>
      </c>
      <c r="C3" s="44" t="s">
        <v>48</v>
      </c>
      <c r="D3" s="44" t="s">
        <v>92</v>
      </c>
      <c r="E3" s="44" t="s">
        <v>130</v>
      </c>
      <c r="F3" s="44" t="s">
        <v>165</v>
      </c>
      <c r="G3" s="44" t="s">
        <v>88</v>
      </c>
      <c r="H3" s="44" t="s">
        <v>40</v>
      </c>
      <c r="I3" s="44" t="s">
        <v>172</v>
      </c>
      <c r="J3" s="44" t="s">
        <v>173</v>
      </c>
      <c r="K3" s="44" t="s">
        <v>132</v>
      </c>
      <c r="P3" s="44" t="s">
        <v>48</v>
      </c>
      <c r="Q3" s="44" t="s">
        <v>92</v>
      </c>
      <c r="R3" s="44" t="s">
        <v>131</v>
      </c>
      <c r="S3" s="44" t="s">
        <v>86</v>
      </c>
      <c r="T3" s="44" t="s">
        <v>52</v>
      </c>
      <c r="U3" s="44" t="s">
        <v>154</v>
      </c>
      <c r="V3" s="44" t="s">
        <v>156</v>
      </c>
      <c r="W3" s="44" t="s">
        <v>143</v>
      </c>
      <c r="X3" s="44" t="s">
        <v>133</v>
      </c>
      <c r="Y3" s="44" t="s">
        <v>63</v>
      </c>
      <c r="Z3" s="44" t="s">
        <v>56</v>
      </c>
      <c r="AA3" s="44" t="s">
        <v>85</v>
      </c>
      <c r="AB3" s="44" t="s">
        <v>116</v>
      </c>
      <c r="AC3" s="44" t="s">
        <v>456</v>
      </c>
      <c r="AD3" s="44" t="s">
        <v>89</v>
      </c>
      <c r="AE3" s="44" t="s">
        <v>161</v>
      </c>
      <c r="AF3" s="44" t="s">
        <v>162</v>
      </c>
      <c r="AG3" s="44" t="s">
        <v>196</v>
      </c>
      <c r="AH3" s="44" t="s">
        <v>47</v>
      </c>
      <c r="AI3" s="44" t="s">
        <v>132</v>
      </c>
      <c r="AJ3" s="41"/>
      <c r="AK3" s="41"/>
      <c r="AL3" s="41"/>
      <c r="AN3" s="44" t="s">
        <v>92</v>
      </c>
      <c r="AO3" s="44" t="s">
        <v>132</v>
      </c>
      <c r="AP3" s="44" t="s">
        <v>47</v>
      </c>
      <c r="AQ3" s="44" t="s">
        <v>48</v>
      </c>
      <c r="AR3" s="44" t="s">
        <v>190</v>
      </c>
      <c r="AS3" s="44" t="s">
        <v>174</v>
      </c>
      <c r="AT3" s="44" t="s">
        <v>160</v>
      </c>
      <c r="AU3" s="44" t="s">
        <v>159</v>
      </c>
      <c r="AV3" s="44" t="s">
        <v>169</v>
      </c>
      <c r="AW3" s="44" t="s">
        <v>158</v>
      </c>
      <c r="AX3" s="44" t="s">
        <v>139</v>
      </c>
      <c r="AY3" s="44" t="s">
        <v>186</v>
      </c>
      <c r="AZ3" s="44" t="s">
        <v>187</v>
      </c>
      <c r="BA3" s="44" t="s">
        <v>188</v>
      </c>
      <c r="BB3" s="41"/>
      <c r="BC3" s="41"/>
      <c r="BD3" s="41"/>
      <c r="BF3" s="44" t="s">
        <v>92</v>
      </c>
      <c r="BG3" s="44" t="s">
        <v>166</v>
      </c>
      <c r="BH3" s="44" t="s">
        <v>191</v>
      </c>
      <c r="BI3" s="44" t="s">
        <v>210</v>
      </c>
    </row>
    <row r="4" spans="1:61" ht="21" customHeight="1" x14ac:dyDescent="0.3">
      <c r="A4" s="37"/>
      <c r="B4" s="23" t="s">
        <v>840</v>
      </c>
      <c r="C4" s="98">
        <v>45233</v>
      </c>
      <c r="D4" s="97" t="s">
        <v>841</v>
      </c>
      <c r="E4" s="23" t="s">
        <v>81</v>
      </c>
      <c r="F4" s="109" t="s">
        <v>81</v>
      </c>
      <c r="G4" s="23" t="s">
        <v>109</v>
      </c>
      <c r="H4" s="23" t="s">
        <v>318</v>
      </c>
      <c r="I4" s="23" t="s">
        <v>7</v>
      </c>
      <c r="J4" s="23" t="s">
        <v>7</v>
      </c>
      <c r="K4" s="23" t="s">
        <v>843</v>
      </c>
      <c r="P4" s="104">
        <v>45233</v>
      </c>
      <c r="Q4" s="104" t="s">
        <v>841</v>
      </c>
      <c r="R4" s="46" t="s">
        <v>629</v>
      </c>
      <c r="S4" s="46" t="s">
        <v>90</v>
      </c>
      <c r="T4" s="46" t="s">
        <v>401</v>
      </c>
      <c r="U4" s="46"/>
      <c r="V4" s="46" t="s">
        <v>112</v>
      </c>
      <c r="W4" s="46"/>
      <c r="X4" s="105" t="s">
        <v>90</v>
      </c>
      <c r="Y4" s="46" t="s">
        <v>104</v>
      </c>
      <c r="Z4" s="47">
        <v>9.69</v>
      </c>
      <c r="AA4" s="46" t="s">
        <v>142</v>
      </c>
      <c r="AB4" s="46" t="s">
        <v>401</v>
      </c>
      <c r="AC4" s="46" t="s">
        <v>7</v>
      </c>
      <c r="AD4" s="46" t="s">
        <v>243</v>
      </c>
      <c r="AE4" s="46">
        <v>1.3280000000000001</v>
      </c>
      <c r="AF4" s="46">
        <v>9.69</v>
      </c>
      <c r="AG4" s="46">
        <v>10.4</v>
      </c>
      <c r="AH4" s="46" t="s">
        <v>840</v>
      </c>
      <c r="AI4" s="46" t="s">
        <v>843</v>
      </c>
      <c r="AN4" s="45" t="s">
        <v>841</v>
      </c>
      <c r="AO4" s="45" t="s">
        <v>843</v>
      </c>
      <c r="AP4" s="100" t="s">
        <v>840</v>
      </c>
      <c r="AQ4" s="100">
        <v>45233</v>
      </c>
      <c r="AR4" s="45" t="s">
        <v>971</v>
      </c>
      <c r="AS4" s="45" t="s">
        <v>976</v>
      </c>
      <c r="AT4" s="45" t="s">
        <v>171</v>
      </c>
      <c r="AU4" s="101" t="s">
        <v>167</v>
      </c>
      <c r="AV4" s="45" t="s">
        <v>976</v>
      </c>
      <c r="AW4" s="102"/>
      <c r="AX4" s="45" t="s">
        <v>140</v>
      </c>
      <c r="AY4" s="103"/>
      <c r="AZ4" s="101" t="s">
        <v>90</v>
      </c>
      <c r="BA4" s="101" t="s">
        <v>7</v>
      </c>
      <c r="BF4" s="45" t="s">
        <v>841</v>
      </c>
      <c r="BG4" s="45" t="s">
        <v>981</v>
      </c>
      <c r="BH4" s="45" t="s">
        <v>182</v>
      </c>
      <c r="BI4" s="45" t="s">
        <v>238</v>
      </c>
    </row>
    <row r="5" spans="1:61" ht="21" customHeight="1" x14ac:dyDescent="0.3">
      <c r="A5" s="37"/>
      <c r="B5" s="23" t="s">
        <v>939</v>
      </c>
      <c r="C5" s="98">
        <v>45233</v>
      </c>
      <c r="D5" s="97" t="s">
        <v>946</v>
      </c>
      <c r="E5" s="23" t="s">
        <v>81</v>
      </c>
      <c r="F5" s="109" t="s">
        <v>81</v>
      </c>
      <c r="G5" s="23" t="s">
        <v>111</v>
      </c>
      <c r="H5" s="23" t="s">
        <v>309</v>
      </c>
      <c r="I5" s="23" t="s">
        <v>140</v>
      </c>
      <c r="J5" s="23" t="s">
        <v>7</v>
      </c>
      <c r="K5" s="23" t="s">
        <v>941</v>
      </c>
      <c r="P5" s="104">
        <v>45233</v>
      </c>
      <c r="Q5" s="104" t="s">
        <v>946</v>
      </c>
      <c r="R5" s="46" t="s">
        <v>90</v>
      </c>
      <c r="S5" s="46" t="s">
        <v>972</v>
      </c>
      <c r="T5" s="46" t="s">
        <v>445</v>
      </c>
      <c r="U5" s="46">
        <v>10</v>
      </c>
      <c r="V5" s="46" t="s">
        <v>112</v>
      </c>
      <c r="W5" s="46" t="s">
        <v>90</v>
      </c>
      <c r="X5" s="105" t="s">
        <v>90</v>
      </c>
      <c r="Y5" s="46" t="s">
        <v>104</v>
      </c>
      <c r="Z5" s="47">
        <v>3.65</v>
      </c>
      <c r="AA5" s="46" t="s">
        <v>434</v>
      </c>
      <c r="AB5" s="46" t="s">
        <v>445</v>
      </c>
      <c r="AC5" s="46" t="s">
        <v>7</v>
      </c>
      <c r="AD5" s="46" t="s">
        <v>231</v>
      </c>
      <c r="AE5" s="46">
        <v>0.5</v>
      </c>
      <c r="AF5" s="46">
        <v>3.65</v>
      </c>
      <c r="AG5" s="46">
        <v>3.9180000000000001</v>
      </c>
      <c r="AH5" s="46" t="s">
        <v>939</v>
      </c>
      <c r="AI5" s="46" t="s">
        <v>941</v>
      </c>
      <c r="AN5" s="45"/>
      <c r="AO5" s="45"/>
      <c r="AP5" s="100"/>
      <c r="AQ5" s="100"/>
      <c r="AR5" s="45"/>
      <c r="AS5" s="45"/>
      <c r="AT5" s="45"/>
      <c r="AU5" s="101"/>
      <c r="AV5" s="102"/>
      <c r="AW5" s="102"/>
      <c r="AX5" s="45"/>
      <c r="AY5" s="103"/>
      <c r="AZ5" s="101"/>
      <c r="BA5" s="101"/>
      <c r="BF5" s="45" t="s">
        <v>946</v>
      </c>
      <c r="BG5" s="45" t="s">
        <v>980</v>
      </c>
      <c r="BH5" s="45" t="s">
        <v>182</v>
      </c>
      <c r="BI5" s="45" t="s">
        <v>238</v>
      </c>
    </row>
    <row r="6" spans="1:61" ht="21" customHeight="1" x14ac:dyDescent="0.3">
      <c r="A6" s="23"/>
      <c r="B6" s="23" t="s">
        <v>848</v>
      </c>
      <c r="C6" s="98">
        <v>45232</v>
      </c>
      <c r="D6" s="97" t="s">
        <v>849</v>
      </c>
      <c r="E6" s="23" t="s">
        <v>81</v>
      </c>
      <c r="F6" s="23" t="s">
        <v>81</v>
      </c>
      <c r="G6" s="23" t="s">
        <v>38</v>
      </c>
      <c r="H6" s="23" t="s">
        <v>90</v>
      </c>
      <c r="I6" s="23" t="s">
        <v>7</v>
      </c>
      <c r="J6" s="23" t="s">
        <v>7</v>
      </c>
      <c r="K6" s="23" t="s">
        <v>855</v>
      </c>
      <c r="P6" s="104">
        <v>45232</v>
      </c>
      <c r="Q6" s="104" t="s">
        <v>849</v>
      </c>
      <c r="R6" s="47" t="s">
        <v>90</v>
      </c>
      <c r="S6" s="47" t="s">
        <v>90</v>
      </c>
      <c r="T6" s="131">
        <v>0.08</v>
      </c>
      <c r="U6" s="46"/>
      <c r="V6" s="46" t="s">
        <v>112</v>
      </c>
      <c r="W6" s="46" t="s">
        <v>90</v>
      </c>
      <c r="X6" s="106" t="s">
        <v>90</v>
      </c>
      <c r="Y6" s="46" t="s">
        <v>83</v>
      </c>
      <c r="Z6" s="47">
        <v>0.82299999999999995</v>
      </c>
      <c r="AA6" s="46" t="s">
        <v>142</v>
      </c>
      <c r="AB6" s="46" t="s">
        <v>919</v>
      </c>
      <c r="AC6" s="46" t="s">
        <v>7</v>
      </c>
      <c r="AD6" s="46" t="s">
        <v>231</v>
      </c>
      <c r="AE6" s="46">
        <v>0.82299999999999995</v>
      </c>
      <c r="AF6" s="46">
        <v>6.0019999999999998</v>
      </c>
      <c r="AG6" s="46">
        <v>6.4450000000000003</v>
      </c>
      <c r="AH6" s="46" t="s">
        <v>848</v>
      </c>
      <c r="AI6" s="46" t="s">
        <v>855</v>
      </c>
      <c r="AN6" s="45"/>
      <c r="AO6" s="45"/>
      <c r="AP6" s="100"/>
      <c r="AQ6" s="100"/>
      <c r="AR6" s="45"/>
      <c r="AS6" s="45"/>
      <c r="AT6" s="45"/>
      <c r="AU6" s="101"/>
      <c r="AV6" s="102"/>
      <c r="AW6" s="102"/>
      <c r="AX6" s="45"/>
      <c r="AY6" s="100"/>
      <c r="AZ6" s="101"/>
      <c r="BA6" s="45"/>
      <c r="BF6" s="45"/>
      <c r="BG6" s="45"/>
      <c r="BH6" s="45"/>
      <c r="BI6" s="45"/>
    </row>
    <row r="7" spans="1:61" ht="21" customHeight="1" x14ac:dyDescent="0.3">
      <c r="A7" s="23"/>
      <c r="B7" s="23" t="s">
        <v>942</v>
      </c>
      <c r="C7" s="98">
        <v>45232</v>
      </c>
      <c r="D7" s="97" t="s">
        <v>844</v>
      </c>
      <c r="E7" s="109" t="s">
        <v>81</v>
      </c>
      <c r="F7" s="23" t="s">
        <v>81</v>
      </c>
      <c r="G7" s="23" t="s">
        <v>38</v>
      </c>
      <c r="H7" s="23" t="s">
        <v>90</v>
      </c>
      <c r="I7" s="23" t="s">
        <v>7</v>
      </c>
      <c r="J7" s="23" t="s">
        <v>7</v>
      </c>
      <c r="K7" s="23" t="s">
        <v>944</v>
      </c>
      <c r="P7" s="104">
        <v>45232</v>
      </c>
      <c r="Q7" s="104" t="s">
        <v>844</v>
      </c>
      <c r="R7" s="46" t="s">
        <v>648</v>
      </c>
      <c r="S7" s="47" t="s">
        <v>90</v>
      </c>
      <c r="T7" s="148">
        <v>8.5000000000000006E-2</v>
      </c>
      <c r="U7" s="46"/>
      <c r="V7" s="46" t="s">
        <v>112</v>
      </c>
      <c r="W7" s="46" t="s">
        <v>90</v>
      </c>
      <c r="X7" s="106" t="s">
        <v>90</v>
      </c>
      <c r="Y7" s="46" t="s">
        <v>83</v>
      </c>
      <c r="Z7" s="47">
        <v>0.98</v>
      </c>
      <c r="AA7" s="46" t="s">
        <v>735</v>
      </c>
      <c r="AB7" s="46" t="s">
        <v>973</v>
      </c>
      <c r="AC7" s="46" t="s">
        <v>7</v>
      </c>
      <c r="AD7" s="46" t="s">
        <v>243</v>
      </c>
      <c r="AE7" s="46">
        <v>0.98</v>
      </c>
      <c r="AF7" s="46">
        <v>7.1470000000000002</v>
      </c>
      <c r="AG7" s="46">
        <v>7.6740000000000004</v>
      </c>
      <c r="AH7" s="46" t="s">
        <v>942</v>
      </c>
      <c r="AI7" s="46" t="s">
        <v>944</v>
      </c>
      <c r="AN7" s="45"/>
      <c r="AO7" s="45"/>
      <c r="AP7" s="100"/>
      <c r="AQ7" s="100"/>
      <c r="AR7" s="45"/>
      <c r="AS7" s="45"/>
      <c r="AT7" s="45"/>
      <c r="AU7" s="101"/>
      <c r="AV7" s="102"/>
      <c r="AW7" s="101"/>
      <c r="AX7" s="45"/>
      <c r="AY7" s="100"/>
      <c r="AZ7" s="101"/>
      <c r="BA7" s="101"/>
      <c r="BF7" s="45"/>
      <c r="BG7" s="45"/>
      <c r="BH7" s="45"/>
      <c r="BI7" s="45"/>
    </row>
    <row r="8" spans="1:61" ht="21" customHeight="1" x14ac:dyDescent="0.25">
      <c r="A8" s="23"/>
      <c r="B8" s="23" t="s">
        <v>856</v>
      </c>
      <c r="C8" s="98">
        <v>45232</v>
      </c>
      <c r="D8" s="97" t="s">
        <v>857</v>
      </c>
      <c r="E8" s="109" t="s">
        <v>859</v>
      </c>
      <c r="F8" s="109" t="s">
        <v>859</v>
      </c>
      <c r="G8" s="23" t="s">
        <v>38</v>
      </c>
      <c r="H8" s="23" t="s">
        <v>90</v>
      </c>
      <c r="I8" s="23" t="s">
        <v>7</v>
      </c>
      <c r="J8" s="23" t="s">
        <v>7</v>
      </c>
      <c r="K8" s="23" t="s">
        <v>864</v>
      </c>
      <c r="P8" s="104">
        <v>45232</v>
      </c>
      <c r="Q8" s="104" t="s">
        <v>857</v>
      </c>
      <c r="R8" s="47" t="s">
        <v>90</v>
      </c>
      <c r="S8" s="47" t="s">
        <v>936</v>
      </c>
      <c r="T8" s="46" t="s">
        <v>937</v>
      </c>
      <c r="U8" s="46"/>
      <c r="V8" s="46" t="s">
        <v>725</v>
      </c>
      <c r="W8" s="46" t="s">
        <v>90</v>
      </c>
      <c r="X8" s="106" t="s">
        <v>90</v>
      </c>
      <c r="Y8" s="46" t="s">
        <v>83</v>
      </c>
      <c r="Z8" s="47">
        <v>5</v>
      </c>
      <c r="AA8" s="46" t="s">
        <v>920</v>
      </c>
      <c r="AB8" s="46" t="s">
        <v>921</v>
      </c>
      <c r="AC8" s="46" t="s">
        <v>7</v>
      </c>
      <c r="AD8" s="46" t="s">
        <v>261</v>
      </c>
      <c r="AE8" s="46">
        <v>5</v>
      </c>
      <c r="AF8" s="46">
        <v>36.463999999999999</v>
      </c>
      <c r="AG8" s="46">
        <v>39.152999999999999</v>
      </c>
      <c r="AH8" s="46" t="s">
        <v>856</v>
      </c>
      <c r="AI8" s="46" t="s">
        <v>864</v>
      </c>
      <c r="AN8" s="45"/>
      <c r="AO8" s="45"/>
      <c r="AP8" s="100"/>
      <c r="AQ8" s="100"/>
      <c r="AR8" s="45"/>
      <c r="AS8" s="45"/>
      <c r="AT8" s="45"/>
      <c r="AU8" s="101"/>
      <c r="AV8" s="101"/>
      <c r="AW8" s="101"/>
      <c r="AX8" s="45"/>
      <c r="AY8" s="103"/>
      <c r="AZ8" s="101"/>
      <c r="BA8" s="45"/>
      <c r="BF8" s="45"/>
      <c r="BG8" s="45"/>
      <c r="BH8" s="45"/>
      <c r="BI8" s="45"/>
    </row>
    <row r="9" spans="1:61" ht="21" customHeight="1" x14ac:dyDescent="0.25">
      <c r="A9" s="23"/>
      <c r="B9" s="23" t="s">
        <v>750</v>
      </c>
      <c r="C9" s="98">
        <v>45231</v>
      </c>
      <c r="D9" s="97" t="s">
        <v>751</v>
      </c>
      <c r="E9" s="23" t="s">
        <v>81</v>
      </c>
      <c r="F9" s="23" t="s">
        <v>81</v>
      </c>
      <c r="G9" s="23" t="s">
        <v>110</v>
      </c>
      <c r="H9" s="23" t="s">
        <v>289</v>
      </c>
      <c r="I9" s="23" t="s">
        <v>7</v>
      </c>
      <c r="J9" s="23" t="s">
        <v>7</v>
      </c>
      <c r="K9" s="23" t="s">
        <v>752</v>
      </c>
      <c r="P9" s="104">
        <v>45231</v>
      </c>
      <c r="Q9" s="104" t="s">
        <v>751</v>
      </c>
      <c r="R9" s="47" t="s">
        <v>90</v>
      </c>
      <c r="S9" s="47" t="s">
        <v>90</v>
      </c>
      <c r="T9" s="46" t="s">
        <v>720</v>
      </c>
      <c r="U9" s="46"/>
      <c r="V9" s="46" t="s">
        <v>112</v>
      </c>
      <c r="W9" s="46" t="s">
        <v>90</v>
      </c>
      <c r="X9" s="106" t="s">
        <v>90</v>
      </c>
      <c r="Y9" s="47" t="s">
        <v>242</v>
      </c>
      <c r="Z9" s="47">
        <v>39</v>
      </c>
      <c r="AA9" s="46" t="s">
        <v>142</v>
      </c>
      <c r="AB9" s="46" t="s">
        <v>720</v>
      </c>
      <c r="AC9" s="46" t="s">
        <v>7</v>
      </c>
      <c r="AD9" s="46" t="s">
        <v>231</v>
      </c>
      <c r="AE9" s="46">
        <v>0.25700000000000001</v>
      </c>
      <c r="AF9" s="46">
        <v>1.895</v>
      </c>
      <c r="AG9" s="46">
        <v>2.02</v>
      </c>
      <c r="AH9" s="46" t="s">
        <v>750</v>
      </c>
      <c r="AI9" s="46" t="s">
        <v>752</v>
      </c>
      <c r="AN9" s="45"/>
      <c r="AO9" s="45"/>
      <c r="AP9" s="100"/>
      <c r="AQ9" s="100"/>
      <c r="AR9" s="45"/>
      <c r="AS9" s="45"/>
      <c r="AT9" s="45"/>
      <c r="AU9" s="101"/>
      <c r="AV9" s="101"/>
      <c r="AW9" s="101"/>
      <c r="AX9" s="45"/>
      <c r="AY9" s="103"/>
      <c r="AZ9" s="101"/>
      <c r="BA9" s="45"/>
      <c r="BF9" s="45"/>
      <c r="BG9" s="45"/>
      <c r="BH9" s="45"/>
      <c r="BI9" s="45"/>
    </row>
    <row r="10" spans="1:61" ht="21" customHeight="1" x14ac:dyDescent="0.25">
      <c r="A10" s="23"/>
      <c r="B10" s="23" t="s">
        <v>758</v>
      </c>
      <c r="C10" s="98">
        <v>45230</v>
      </c>
      <c r="D10" s="97" t="s">
        <v>759</v>
      </c>
      <c r="E10" s="23" t="s">
        <v>81</v>
      </c>
      <c r="F10" s="109" t="s">
        <v>81</v>
      </c>
      <c r="G10" s="23" t="s">
        <v>109</v>
      </c>
      <c r="H10" s="23" t="s">
        <v>833</v>
      </c>
      <c r="I10" s="23" t="s">
        <v>7</v>
      </c>
      <c r="J10" s="23" t="s">
        <v>7</v>
      </c>
      <c r="K10" s="23" t="s">
        <v>760</v>
      </c>
      <c r="P10" s="104">
        <v>45230</v>
      </c>
      <c r="Q10" s="104" t="s">
        <v>759</v>
      </c>
      <c r="R10" s="47" t="s">
        <v>90</v>
      </c>
      <c r="S10" s="47" t="s">
        <v>834</v>
      </c>
      <c r="T10" s="46" t="s">
        <v>401</v>
      </c>
      <c r="U10" s="46">
        <v>0</v>
      </c>
      <c r="V10" s="46" t="s">
        <v>112</v>
      </c>
      <c r="W10" s="46" t="s">
        <v>90</v>
      </c>
      <c r="X10" s="106" t="s">
        <v>90</v>
      </c>
      <c r="Y10" s="46" t="s">
        <v>104</v>
      </c>
      <c r="Z10" s="47">
        <v>3.58</v>
      </c>
      <c r="AA10" s="46" t="s">
        <v>142</v>
      </c>
      <c r="AB10" s="46" t="s">
        <v>401</v>
      </c>
      <c r="AC10" s="46" t="s">
        <v>7</v>
      </c>
      <c r="AD10" s="46" t="s">
        <v>231</v>
      </c>
      <c r="AE10" s="46">
        <v>0.49099999999999999</v>
      </c>
      <c r="AF10" s="46">
        <v>3.58</v>
      </c>
      <c r="AG10" s="46">
        <v>3.8420000000000001</v>
      </c>
      <c r="AH10" s="46" t="s">
        <v>758</v>
      </c>
      <c r="AI10" s="46" t="s">
        <v>760</v>
      </c>
      <c r="AN10" s="45"/>
      <c r="AO10" s="45"/>
      <c r="AP10" s="100"/>
      <c r="AQ10" s="100"/>
      <c r="AR10" s="45"/>
      <c r="AS10" s="45"/>
      <c r="AT10" s="45"/>
      <c r="AU10" s="101"/>
      <c r="AV10" s="45"/>
      <c r="AW10" s="45"/>
      <c r="AX10" s="45"/>
      <c r="AY10" s="103"/>
      <c r="AZ10" s="45"/>
      <c r="BA10" s="45"/>
      <c r="BF10" s="45"/>
      <c r="BG10" s="45"/>
      <c r="BH10" s="45"/>
      <c r="BI10" s="45"/>
    </row>
    <row r="11" spans="1:61" ht="21" customHeight="1" x14ac:dyDescent="0.25">
      <c r="A11" s="23"/>
      <c r="B11" s="23" t="s">
        <v>753</v>
      </c>
      <c r="C11" s="98">
        <v>45230</v>
      </c>
      <c r="D11" s="97" t="s">
        <v>754</v>
      </c>
      <c r="E11" s="23" t="s">
        <v>81</v>
      </c>
      <c r="F11" s="109" t="s">
        <v>81</v>
      </c>
      <c r="G11" s="23" t="s">
        <v>38</v>
      </c>
      <c r="H11" s="23" t="s">
        <v>90</v>
      </c>
      <c r="I11" s="23" t="s">
        <v>141</v>
      </c>
      <c r="J11" s="23" t="s">
        <v>7</v>
      </c>
      <c r="K11" s="23" t="s">
        <v>755</v>
      </c>
      <c r="P11" s="104">
        <v>45230</v>
      </c>
      <c r="Q11" s="104" t="s">
        <v>754</v>
      </c>
      <c r="R11" s="47" t="s">
        <v>90</v>
      </c>
      <c r="S11" s="47" t="s">
        <v>836</v>
      </c>
      <c r="T11" s="46" t="s">
        <v>796</v>
      </c>
      <c r="U11" s="46">
        <v>10</v>
      </c>
      <c r="V11" s="46" t="s">
        <v>112</v>
      </c>
      <c r="W11" s="106" t="s">
        <v>90</v>
      </c>
      <c r="X11" s="106" t="s">
        <v>90</v>
      </c>
      <c r="Y11" s="46" t="s">
        <v>83</v>
      </c>
      <c r="Z11" s="47">
        <v>1.7</v>
      </c>
      <c r="AA11" s="46" t="s">
        <v>735</v>
      </c>
      <c r="AB11" s="46" t="s">
        <v>796</v>
      </c>
      <c r="AC11" s="46" t="s">
        <v>7</v>
      </c>
      <c r="AD11" s="46" t="s">
        <v>835</v>
      </c>
      <c r="AE11" s="46">
        <v>1.7</v>
      </c>
      <c r="AF11" s="46">
        <v>12.398</v>
      </c>
      <c r="AG11" s="46">
        <v>13.311999999999999</v>
      </c>
      <c r="AH11" s="46" t="s">
        <v>753</v>
      </c>
      <c r="AI11" s="46" t="s">
        <v>755</v>
      </c>
      <c r="AN11" s="45"/>
      <c r="AO11" s="45"/>
      <c r="AP11" s="100"/>
      <c r="AQ11" s="100"/>
      <c r="AR11" s="45"/>
      <c r="AS11" s="45"/>
      <c r="AT11" s="45"/>
      <c r="AU11" s="101"/>
      <c r="AV11" s="45"/>
      <c r="AW11" s="45"/>
      <c r="AX11" s="45"/>
      <c r="AY11" s="100"/>
      <c r="AZ11" s="45"/>
      <c r="BA11" s="45"/>
      <c r="BF11" s="45"/>
      <c r="BG11" s="45"/>
      <c r="BH11" s="45"/>
      <c r="BI11" s="45"/>
    </row>
    <row r="12" spans="1:61" ht="21" customHeight="1" x14ac:dyDescent="0.25">
      <c r="A12" s="23"/>
      <c r="B12" s="23" t="s">
        <v>756</v>
      </c>
      <c r="C12" s="98">
        <v>45230</v>
      </c>
      <c r="D12" s="97" t="s">
        <v>754</v>
      </c>
      <c r="E12" s="23" t="s">
        <v>81</v>
      </c>
      <c r="F12" s="23" t="s">
        <v>81</v>
      </c>
      <c r="G12" s="23" t="s">
        <v>38</v>
      </c>
      <c r="H12" s="23" t="s">
        <v>90</v>
      </c>
      <c r="I12" s="23" t="s">
        <v>7</v>
      </c>
      <c r="J12" s="23" t="s">
        <v>7</v>
      </c>
      <c r="K12" s="23" t="s">
        <v>757</v>
      </c>
      <c r="P12" s="104">
        <v>45230</v>
      </c>
      <c r="Q12" s="104" t="s">
        <v>754</v>
      </c>
      <c r="R12" s="46" t="s">
        <v>90</v>
      </c>
      <c r="S12" s="47" t="s">
        <v>834</v>
      </c>
      <c r="T12" s="106" t="s">
        <v>785</v>
      </c>
      <c r="U12" s="46">
        <v>50</v>
      </c>
      <c r="V12" s="46" t="s">
        <v>112</v>
      </c>
      <c r="W12" s="46" t="s">
        <v>90</v>
      </c>
      <c r="X12" s="106" t="s">
        <v>90</v>
      </c>
      <c r="Y12" s="46" t="s">
        <v>104</v>
      </c>
      <c r="Z12" s="47">
        <v>9</v>
      </c>
      <c r="AA12" s="46" t="s">
        <v>735</v>
      </c>
      <c r="AB12" s="46" t="s">
        <v>785</v>
      </c>
      <c r="AC12" s="46" t="s">
        <v>7</v>
      </c>
      <c r="AD12" s="46" t="s">
        <v>835</v>
      </c>
      <c r="AE12" s="46">
        <v>1.234</v>
      </c>
      <c r="AF12" s="46">
        <v>9</v>
      </c>
      <c r="AG12" s="46">
        <v>9.66</v>
      </c>
      <c r="AH12" s="46" t="s">
        <v>756</v>
      </c>
      <c r="AI12" s="46" t="s">
        <v>757</v>
      </c>
      <c r="AN12" s="45"/>
      <c r="AO12" s="45"/>
      <c r="AP12" s="100"/>
      <c r="AQ12" s="100"/>
      <c r="AR12" s="45"/>
      <c r="AS12" s="45"/>
      <c r="AT12" s="45"/>
      <c r="AU12" s="101"/>
      <c r="AV12" s="45"/>
      <c r="AW12" s="45"/>
      <c r="AX12" s="45"/>
      <c r="AY12" s="100"/>
      <c r="AZ12" s="45"/>
      <c r="BA12" s="45"/>
      <c r="BF12" s="45"/>
      <c r="BG12" s="45"/>
      <c r="BH12" s="45"/>
      <c r="BI12" s="45"/>
    </row>
    <row r="13" spans="1:61" ht="21" customHeight="1" x14ac:dyDescent="0.25">
      <c r="A13" s="23"/>
      <c r="B13" s="23" t="s">
        <v>765</v>
      </c>
      <c r="C13" s="98">
        <v>45229</v>
      </c>
      <c r="D13" s="97" t="s">
        <v>766</v>
      </c>
      <c r="E13" s="23" t="s">
        <v>81</v>
      </c>
      <c r="F13" s="23" t="s">
        <v>922</v>
      </c>
      <c r="G13" s="23" t="s">
        <v>39</v>
      </c>
      <c r="H13" s="23" t="s">
        <v>90</v>
      </c>
      <c r="I13" s="23" t="s">
        <v>7</v>
      </c>
      <c r="J13" s="23" t="s">
        <v>7</v>
      </c>
      <c r="K13" s="23" t="s">
        <v>767</v>
      </c>
      <c r="P13" s="104">
        <v>45229</v>
      </c>
      <c r="Q13" s="104" t="s">
        <v>766</v>
      </c>
      <c r="R13" s="46" t="s">
        <v>90</v>
      </c>
      <c r="S13" s="46" t="s">
        <v>90</v>
      </c>
      <c r="T13" s="106">
        <v>5.5E-2</v>
      </c>
      <c r="U13" s="46"/>
      <c r="V13" s="46" t="s">
        <v>112</v>
      </c>
      <c r="W13" s="46" t="s">
        <v>90</v>
      </c>
      <c r="X13" s="106" t="s">
        <v>90</v>
      </c>
      <c r="Y13" s="46" t="s">
        <v>108</v>
      </c>
      <c r="Z13" s="47">
        <v>1.08</v>
      </c>
      <c r="AA13" s="46" t="s">
        <v>735</v>
      </c>
      <c r="AB13" s="46" t="s">
        <v>838</v>
      </c>
      <c r="AC13" s="46" t="s">
        <v>7</v>
      </c>
      <c r="AD13" s="46" t="s">
        <v>261</v>
      </c>
      <c r="AE13" s="46">
        <v>1.1419999999999999</v>
      </c>
      <c r="AF13" s="46">
        <v>8.3290000000000006</v>
      </c>
      <c r="AG13" s="46">
        <v>8.9420000000000002</v>
      </c>
      <c r="AH13" s="46" t="s">
        <v>765</v>
      </c>
      <c r="AI13" s="46" t="s">
        <v>767</v>
      </c>
      <c r="AZ13" s="45"/>
      <c r="BA13" s="45"/>
    </row>
    <row r="14" spans="1:61" ht="21" customHeight="1" x14ac:dyDescent="0.25">
      <c r="A14" s="23"/>
      <c r="B14" s="23"/>
      <c r="C14" s="98"/>
      <c r="D14" s="97"/>
      <c r="E14" s="23"/>
      <c r="F14" s="23"/>
      <c r="G14" s="23"/>
      <c r="H14" s="23"/>
      <c r="I14" s="23"/>
      <c r="J14" s="23"/>
      <c r="K14" s="23"/>
      <c r="P14" s="104"/>
      <c r="Q14" s="104"/>
      <c r="R14" s="46"/>
      <c r="S14" s="46"/>
      <c r="T14" s="106"/>
      <c r="U14" s="46"/>
      <c r="V14" s="46"/>
      <c r="W14" s="46"/>
      <c r="X14" s="46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BA14" s="45"/>
    </row>
    <row r="15" spans="1:61" ht="21" customHeight="1" x14ac:dyDescent="0.25">
      <c r="A15" s="23"/>
      <c r="B15" s="23"/>
      <c r="C15" s="98"/>
      <c r="D15" s="97"/>
      <c r="E15" s="23"/>
      <c r="F15" s="23"/>
      <c r="G15" s="23"/>
      <c r="H15" s="23"/>
      <c r="I15" s="23"/>
      <c r="J15" s="23"/>
      <c r="K15" s="23"/>
      <c r="P15" s="104"/>
      <c r="Q15" s="104"/>
      <c r="R15" s="46"/>
      <c r="S15" s="46"/>
      <c r="T15" s="46"/>
      <c r="U15" s="46"/>
      <c r="V15" s="46"/>
      <c r="W15" s="46"/>
      <c r="X15" s="106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BA15" s="45"/>
    </row>
    <row r="16" spans="1:61" ht="21" customHeight="1" x14ac:dyDescent="0.25">
      <c r="A16" s="23"/>
      <c r="B16" s="23"/>
      <c r="C16" s="98"/>
      <c r="D16" s="97"/>
      <c r="E16" s="23"/>
      <c r="F16" s="23"/>
      <c r="G16" s="23"/>
      <c r="H16" s="23"/>
      <c r="I16" s="23"/>
      <c r="J16" s="23"/>
      <c r="K16" s="23"/>
      <c r="P16" s="104"/>
      <c r="Q16" s="104"/>
      <c r="R16" s="46"/>
      <c r="S16" s="46"/>
      <c r="T16" s="106"/>
      <c r="U16" s="46"/>
      <c r="V16" s="46"/>
      <c r="W16" s="46"/>
      <c r="X16" s="46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</row>
    <row r="17" spans="1:51" ht="21" customHeight="1" x14ac:dyDescent="0.25">
      <c r="A17" s="23"/>
      <c r="B17" s="23"/>
      <c r="C17" s="98"/>
      <c r="D17" s="97"/>
      <c r="E17" s="23"/>
      <c r="F17" s="23"/>
      <c r="G17" s="23"/>
      <c r="H17" s="23"/>
      <c r="I17" s="23"/>
      <c r="J17" s="23"/>
      <c r="K17" s="23"/>
      <c r="P17" s="104"/>
      <c r="Q17" s="104"/>
      <c r="R17" s="46"/>
      <c r="S17" s="46"/>
      <c r="T17" s="46"/>
      <c r="U17" s="46"/>
      <c r="V17" s="46"/>
      <c r="W17" s="46"/>
      <c r="X17" s="46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</row>
    <row r="18" spans="1:51" ht="21" customHeight="1" x14ac:dyDescent="0.25">
      <c r="A18" s="23"/>
      <c r="B18" s="23"/>
      <c r="C18" s="98"/>
      <c r="D18" s="97"/>
      <c r="E18" s="23"/>
      <c r="F18" s="23"/>
      <c r="G18" s="23"/>
      <c r="H18" s="23"/>
      <c r="I18" s="23"/>
      <c r="J18" s="23"/>
      <c r="K18" s="23"/>
      <c r="P18" s="104"/>
      <c r="Q18" s="104"/>
      <c r="R18" s="46"/>
      <c r="S18" s="46"/>
      <c r="T18" s="46"/>
      <c r="U18" s="46"/>
      <c r="V18" s="46"/>
      <c r="W18" s="46"/>
      <c r="X18" s="46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</row>
    <row r="19" spans="1:51" ht="21" customHeight="1" x14ac:dyDescent="0.25">
      <c r="A19" s="23"/>
      <c r="B19" s="23"/>
      <c r="C19" s="98"/>
      <c r="D19" s="97"/>
      <c r="E19" s="23"/>
      <c r="F19" s="23"/>
      <c r="G19" s="23"/>
      <c r="H19" s="23"/>
      <c r="I19" s="23"/>
      <c r="J19" s="23"/>
      <c r="K19" s="23"/>
      <c r="P19" s="104"/>
      <c r="Q19" s="104"/>
      <c r="R19" s="46"/>
      <c r="S19" s="46"/>
      <c r="T19" s="46"/>
      <c r="U19" s="46"/>
      <c r="V19" s="46"/>
      <c r="W19" s="46"/>
      <c r="X19" s="46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</row>
    <row r="20" spans="1:51" ht="21" customHeight="1" x14ac:dyDescent="0.25">
      <c r="A20" s="23"/>
      <c r="B20" s="23"/>
      <c r="C20" s="98"/>
      <c r="D20" s="97"/>
      <c r="E20" s="23"/>
      <c r="F20" s="23"/>
      <c r="G20" s="23"/>
      <c r="H20" s="23"/>
      <c r="I20" s="23"/>
      <c r="J20" s="23"/>
      <c r="K20" s="23"/>
      <c r="P20" s="104"/>
      <c r="Q20" s="104"/>
      <c r="R20" s="46"/>
      <c r="S20" s="46"/>
      <c r="T20" s="46"/>
      <c r="U20" s="46"/>
      <c r="V20" s="46"/>
      <c r="W20" s="46"/>
      <c r="X20" s="46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</row>
    <row r="21" spans="1:51" ht="21" customHeight="1" x14ac:dyDescent="0.25">
      <c r="A21" s="23"/>
      <c r="B21" s="23"/>
      <c r="C21" s="98"/>
      <c r="D21" s="97"/>
      <c r="E21" s="23"/>
      <c r="F21" s="23"/>
      <c r="G21" s="23"/>
      <c r="H21" s="23"/>
      <c r="I21" s="23"/>
      <c r="J21" s="23"/>
      <c r="K21" s="23"/>
      <c r="P21" s="104"/>
      <c r="Q21" s="104"/>
      <c r="R21" s="46"/>
      <c r="S21" s="46"/>
      <c r="T21" s="46"/>
      <c r="U21" s="46"/>
      <c r="V21" s="46"/>
      <c r="W21" s="46"/>
      <c r="X21" s="46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</row>
    <row r="22" spans="1:51" ht="21" customHeight="1" x14ac:dyDescent="0.25">
      <c r="A22" s="23"/>
      <c r="B22" s="23"/>
      <c r="C22" s="98"/>
      <c r="D22" s="97"/>
      <c r="E22" s="23"/>
      <c r="F22" s="23"/>
      <c r="G22" s="23"/>
      <c r="H22" s="23"/>
      <c r="I22" s="23"/>
      <c r="J22" s="23"/>
      <c r="K22" s="23"/>
      <c r="P22" s="104"/>
      <c r="Q22" s="104"/>
      <c r="R22" s="46"/>
      <c r="S22" s="46"/>
      <c r="T22" s="46"/>
      <c r="U22" s="46"/>
      <c r="V22" s="46"/>
      <c r="W22" s="46"/>
      <c r="X22" s="46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</row>
    <row r="23" spans="1:51" ht="21" customHeight="1" x14ac:dyDescent="0.25">
      <c r="A23" s="23"/>
      <c r="B23" s="23"/>
      <c r="C23" s="98"/>
      <c r="D23" s="97"/>
      <c r="E23" s="23"/>
      <c r="F23" s="23"/>
      <c r="G23" s="23"/>
      <c r="H23" s="23"/>
      <c r="I23" s="23"/>
      <c r="J23" s="23"/>
      <c r="K23" s="23"/>
      <c r="P23" s="104"/>
      <c r="Q23" s="104"/>
      <c r="R23" s="46"/>
      <c r="S23" s="46"/>
      <c r="T23" s="46"/>
      <c r="U23" s="46"/>
      <c r="V23" s="46"/>
      <c r="W23" s="46"/>
      <c r="X23" s="46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</row>
    <row r="24" spans="1:51" ht="21" customHeight="1" x14ac:dyDescent="0.25">
      <c r="A24" s="23"/>
      <c r="B24" s="23"/>
      <c r="C24" s="98"/>
      <c r="D24" s="97"/>
      <c r="E24" s="23"/>
      <c r="F24" s="23"/>
      <c r="G24" s="23"/>
      <c r="H24" s="23"/>
      <c r="I24" s="23"/>
      <c r="J24" s="23"/>
      <c r="K24" s="23"/>
      <c r="P24" s="104"/>
      <c r="Q24" s="104"/>
      <c r="R24" s="46"/>
      <c r="S24" s="46"/>
      <c r="T24" s="46"/>
      <c r="U24" s="46"/>
      <c r="V24" s="46"/>
      <c r="W24" s="46"/>
      <c r="X24" s="46"/>
      <c r="Y24" s="46"/>
      <c r="Z24" s="47"/>
      <c r="AA24" s="46"/>
      <c r="AB24" s="46"/>
      <c r="AC24" s="46"/>
      <c r="AD24" s="46"/>
      <c r="AE24" s="46"/>
      <c r="AF24" s="46"/>
      <c r="AG24" s="46"/>
      <c r="AH24" s="46"/>
      <c r="AI24" s="46"/>
    </row>
    <row r="25" spans="1:51" ht="21" customHeight="1" x14ac:dyDescent="0.25">
      <c r="A25" s="23"/>
      <c r="B25" s="23"/>
      <c r="C25" s="98"/>
      <c r="D25" s="97"/>
      <c r="E25" s="23"/>
      <c r="F25" s="23"/>
      <c r="G25" s="23"/>
      <c r="H25" s="23"/>
      <c r="I25" s="23"/>
      <c r="J25" s="23"/>
      <c r="K25" s="23"/>
      <c r="P25" s="104"/>
      <c r="Q25" s="104"/>
      <c r="R25" s="46"/>
      <c r="S25" s="46"/>
      <c r="T25" s="46"/>
      <c r="U25" s="46"/>
      <c r="V25" s="46"/>
      <c r="W25" s="46"/>
      <c r="X25" s="46"/>
      <c r="Y25" s="46"/>
      <c r="Z25" s="47"/>
      <c r="AA25" s="46"/>
      <c r="AB25" s="46"/>
      <c r="AC25" s="46"/>
      <c r="AD25" s="46"/>
      <c r="AE25" s="46"/>
      <c r="AF25" s="46"/>
      <c r="AG25" s="46"/>
      <c r="AH25" s="46"/>
      <c r="AI25" s="46"/>
    </row>
    <row r="26" spans="1:51" ht="21" customHeight="1" x14ac:dyDescent="0.25">
      <c r="A26" s="23"/>
      <c r="B26" s="23"/>
      <c r="C26" s="98"/>
      <c r="D26" s="97"/>
      <c r="E26" s="23"/>
      <c r="F26" s="23"/>
      <c r="G26" s="23"/>
      <c r="H26" s="23"/>
      <c r="I26" s="23"/>
      <c r="J26" s="23"/>
      <c r="K26" s="23"/>
      <c r="P26" s="104"/>
      <c r="Q26" s="104"/>
      <c r="R26" s="46"/>
      <c r="S26" s="46"/>
      <c r="T26" s="46"/>
      <c r="U26" s="46"/>
      <c r="V26" s="46"/>
      <c r="W26" s="46"/>
      <c r="X26" s="46"/>
      <c r="Y26" s="46"/>
      <c r="Z26" s="47"/>
      <c r="AA26" s="46"/>
      <c r="AB26" s="46"/>
      <c r="AC26" s="46"/>
      <c r="AD26" s="46"/>
      <c r="AE26" s="46"/>
      <c r="AF26" s="46"/>
      <c r="AG26" s="46"/>
      <c r="AH26" s="46"/>
      <c r="AI26" s="46"/>
    </row>
    <row r="27" spans="1:51" ht="20.100000000000001" customHeight="1" x14ac:dyDescent="0.25">
      <c r="P27" s="45"/>
      <c r="Q27" s="45"/>
      <c r="R27" s="45"/>
      <c r="S27" s="45"/>
      <c r="T27" s="45"/>
      <c r="V27" s="45"/>
      <c r="Z27" s="45"/>
      <c r="AA27" s="45"/>
      <c r="AD27" s="45"/>
      <c r="AE27" s="45"/>
      <c r="AF27" s="45"/>
      <c r="AG27" s="45"/>
    </row>
    <row r="28" spans="1:51" ht="20.100000000000001" customHeight="1" x14ac:dyDescent="0.25">
      <c r="P28" s="45"/>
      <c r="Q28" s="45"/>
      <c r="R28" s="45"/>
      <c r="S28" s="45"/>
      <c r="T28" s="45"/>
      <c r="V28" s="45"/>
      <c r="Z28" s="45"/>
      <c r="AA28" s="45"/>
      <c r="AD28" s="45"/>
      <c r="AE28" s="45"/>
      <c r="AF28" s="45"/>
      <c r="AG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</row>
    <row r="29" spans="1:51" ht="20.100000000000001" customHeight="1" x14ac:dyDescent="0.25">
      <c r="P29" s="45"/>
      <c r="Q29" s="45"/>
      <c r="R29" s="45"/>
      <c r="S29" s="45"/>
      <c r="T29" s="45"/>
      <c r="V29" s="45"/>
      <c r="Z29" s="45"/>
      <c r="AA29" s="45"/>
      <c r="AD29" s="45"/>
      <c r="AE29" s="45"/>
      <c r="AF29" s="45"/>
      <c r="AG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</row>
    <row r="30" spans="1:51" ht="20.100000000000001" customHeight="1" x14ac:dyDescent="0.25">
      <c r="P30" s="45"/>
      <c r="Q30" s="45"/>
      <c r="R30" s="45"/>
      <c r="S30" s="45"/>
      <c r="T30" s="45"/>
      <c r="V30" s="45"/>
      <c r="Z30" s="45"/>
      <c r="AA30" s="45"/>
      <c r="AD30" s="45"/>
      <c r="AE30" s="45"/>
      <c r="AF30" s="45"/>
      <c r="AG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</row>
    <row r="31" spans="1:51" ht="20.100000000000001" customHeight="1" x14ac:dyDescent="0.25">
      <c r="P31" s="45"/>
      <c r="Q31" s="45"/>
      <c r="R31" s="45"/>
      <c r="S31" s="45"/>
      <c r="T31" s="45"/>
      <c r="V31" s="45"/>
      <c r="Z31" s="45"/>
      <c r="AA31" s="45"/>
      <c r="AD31" s="45"/>
      <c r="AE31" s="45"/>
      <c r="AF31" s="45"/>
      <c r="AG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</row>
    <row r="32" spans="1:51" ht="20.100000000000001" customHeight="1" x14ac:dyDescent="0.25">
      <c r="P32" s="45"/>
      <c r="Q32" s="45"/>
      <c r="R32" s="45"/>
      <c r="S32" s="45"/>
      <c r="T32" s="45"/>
      <c r="V32" s="45"/>
      <c r="Z32" s="45"/>
      <c r="AA32" s="45"/>
      <c r="AD32" s="45"/>
      <c r="AE32" s="45"/>
      <c r="AF32" s="45"/>
      <c r="AG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</row>
    <row r="33" spans="16:51" ht="20.100000000000001" customHeight="1" x14ac:dyDescent="0.25">
      <c r="P33" s="45"/>
      <c r="Q33" s="45"/>
      <c r="R33" s="45"/>
      <c r="S33" s="45"/>
      <c r="T33" s="45"/>
      <c r="V33" s="45"/>
      <c r="Z33" s="45"/>
      <c r="AA33" s="45"/>
      <c r="AD33" s="45"/>
      <c r="AE33" s="45"/>
      <c r="AF33" s="45"/>
      <c r="AG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</row>
    <row r="34" spans="16:51" ht="20.100000000000001" customHeight="1" x14ac:dyDescent="0.25">
      <c r="P34" s="45"/>
      <c r="Q34" s="45"/>
      <c r="R34" s="45"/>
      <c r="S34" s="45"/>
      <c r="T34" s="45"/>
      <c r="V34" s="45"/>
      <c r="Z34" s="45"/>
      <c r="AA34" s="45"/>
      <c r="AD34" s="45"/>
      <c r="AE34" s="45"/>
      <c r="AF34" s="45"/>
      <c r="AG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</row>
    <row r="35" spans="16:51" ht="20.100000000000001" customHeight="1" x14ac:dyDescent="0.25">
      <c r="P35" s="46"/>
      <c r="R35" s="31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</row>
    <row r="36" spans="16:51" ht="20.100000000000001" customHeight="1" x14ac:dyDescent="0.25">
      <c r="P36" s="46"/>
      <c r="R36" s="31"/>
    </row>
    <row r="37" spans="16:51" ht="20.100000000000001" customHeight="1" x14ac:dyDescent="0.25">
      <c r="R37" s="31"/>
    </row>
    <row r="38" spans="16:51" ht="20.100000000000001" customHeight="1" x14ac:dyDescent="0.25">
      <c r="R38" s="31"/>
    </row>
    <row r="39" spans="16:51" ht="20.100000000000001" customHeight="1" x14ac:dyDescent="0.25">
      <c r="R39" s="31"/>
    </row>
    <row r="40" spans="16:51" ht="20.100000000000001" customHeight="1" x14ac:dyDescent="0.25">
      <c r="R40" s="31"/>
    </row>
    <row r="41" spans="16:51" ht="20.100000000000001" customHeight="1" x14ac:dyDescent="0.25">
      <c r="R41" s="31"/>
    </row>
    <row r="42" spans="16:51" ht="20.100000000000001" customHeight="1" x14ac:dyDescent="0.25">
      <c r="R42" s="31"/>
    </row>
    <row r="43" spans="16:51" ht="20.100000000000001" customHeight="1" x14ac:dyDescent="0.25">
      <c r="R43" s="31"/>
    </row>
    <row r="44" spans="16:51" ht="20.100000000000001" customHeight="1" x14ac:dyDescent="0.25">
      <c r="R44" s="31"/>
    </row>
    <row r="45" spans="16:51" ht="20.100000000000001" customHeight="1" x14ac:dyDescent="0.25">
      <c r="R45" s="31"/>
    </row>
    <row r="46" spans="16:51" ht="20.100000000000001" customHeight="1" x14ac:dyDescent="0.25">
      <c r="R46" s="31"/>
    </row>
    <row r="47" spans="16:51" ht="20.100000000000001" customHeight="1" x14ac:dyDescent="0.25">
      <c r="R47" s="31"/>
    </row>
    <row r="48" spans="16:51" ht="20.100000000000001" customHeight="1" x14ac:dyDescent="0.25">
      <c r="R48" s="31"/>
    </row>
    <row r="49" spans="18:18" ht="20.100000000000001" customHeight="1" x14ac:dyDescent="0.25">
      <c r="R49" s="31"/>
    </row>
    <row r="50" spans="18:18" ht="20.100000000000001" customHeight="1" x14ac:dyDescent="0.25">
      <c r="R50" s="31"/>
    </row>
    <row r="51" spans="18:18" ht="20.100000000000001" customHeight="1" x14ac:dyDescent="0.25">
      <c r="R51" s="31"/>
    </row>
    <row r="52" spans="18:18" ht="20.100000000000001" customHeight="1" x14ac:dyDescent="0.25">
      <c r="R52" s="31"/>
    </row>
  </sheetData>
  <phoneticPr fontId="14" type="noConversion"/>
  <conditionalFormatting sqref="AN4:AR12 AT5:BA12 BF4:BI12 P4:U26 W4:AI26 A4:K26 AT4:AU4 AW4:BA4">
    <cfRule type="containsText" dxfId="138" priority="3" operator="containsText" text="【">
      <formula>NOT(ISERROR(SEARCH("【",A4)))</formula>
    </cfRule>
  </conditionalFormatting>
  <conditionalFormatting sqref="A4:A26">
    <cfRule type="containsText" dxfId="137" priority="11" operator="containsText" text="【">
      <formula>NOT(ISERROR(SEARCH("【",A4)))</formula>
    </cfRule>
  </conditionalFormatting>
  <conditionalFormatting sqref="R4:X26 AT5:BA12 BG4:BI12 D4:J26 AT4:AU4 AW4:BA4">
    <cfRule type="notContainsBlanks" dxfId="136" priority="1">
      <formula>LEN(TRIM(D4))&gt;0</formula>
    </cfRule>
  </conditionalFormatting>
  <dataValidations count="21">
    <dataValidation type="list" allowBlank="1" showInputMessage="1" showErrorMessage="1" sqref="BH1 BH4:BH12" xr:uid="{00000000-0002-0000-0300-000002000000}">
      <formula1>dd_中资属性</formula1>
    </dataValidation>
    <dataValidation type="list" allowBlank="1" showInputMessage="1" showErrorMessage="1" sqref="BI1 BI5:BI12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4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Z1 X4:X26" xr:uid="{9603EDB2-06F0-4BAF-8AE1-2933FEC0AE55}">
      <formula1>$Z$1</formula1>
    </dataValidation>
    <dataValidation type="list" allowBlank="1" showInputMessage="1" showErrorMessage="1" sqref="AT1 AT4:AT12" xr:uid="{9AD15052-9D16-43CA-833E-3464C184A18B}">
      <formula1>dd_coverage</formula1>
    </dataValidation>
    <dataValidation type="list" allowBlank="1" showInputMessage="1" showErrorMessage="1" sqref="AU1 AU4:AU12" xr:uid="{4C13DF36-2ABE-480F-A19C-E364241326EC}">
      <formula1>dd_sfcrole</formula1>
    </dataValidation>
    <dataValidation type="list" allowBlank="1" showInputMessage="1" sqref="AB1 Y4:Y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howErrorMessage="1" errorTitle="Clear Cell Value" error="If there is no need to hide or delete anymore" sqref="F1" xr:uid="{00E399D1-FBBE-4EBF-898B-16755D1B6777}">
      <formula1>"【删除】,【隐藏】"</formula1>
    </dataValidation>
    <dataValidation type="list" allowBlank="1" showInputMessage="1" showErrorMessage="1" errorTitle="Clear Cell Value" error="If there is no need to hide or delete anymore" sqref="A4:A26" xr:uid="{FE0E1AAA-A865-4409-B61F-A1E3FDFD5B3F}">
      <formula1>"【FIMTN],【删除】,【隐藏】"</formula1>
    </dataValidation>
    <dataValidation type="list" allowBlank="1" showInputMessage="1" sqref="U1 R4:R26" xr:uid="{21EC5F12-FDC6-43B2-8083-54B38EEC18AF}">
      <formula1>INDIRECT($R$3)</formula1>
    </dataValidation>
    <dataValidation type="list" allowBlank="1" showInputMessage="1" showErrorMessage="1" sqref="J4:J26" xr:uid="{EE31587E-4715-42A2-96C5-85BEBA16C82F}">
      <formula1>INDIRECT($I$3)</formula1>
    </dataValidation>
    <dataValidation type="list" errorStyle="warning" allowBlank="1" showInputMessage="1" showErrorMessage="1" sqref="V4:V26" xr:uid="{3C8DEB83-0458-42B6-BB03-C73AF803649D}">
      <formula1>INDIRECT($V$3)</formula1>
    </dataValidation>
    <dataValidation type="list" errorStyle="warning" allowBlank="1" showInputMessage="1" showErrorMessage="1" promptTitle="交行Entity Role Format" prompt="如为非承销角色，请添加*_x000a__x000a_例如：_x000a_港分Global Advisor*_x000a_参与投资未承销*" sqref="I1 I4:I26" xr:uid="{520CD97E-2D67-43A6-88FF-E59A58447E16}">
      <formula1>INDIRECT($I$3)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Refresh_All">
                <anchor moveWithCells="1">
                  <from>
                    <xdr:col>62</xdr:col>
                    <xdr:colOff>333375</xdr:colOff>
                    <xdr:row>5</xdr:row>
                    <xdr:rowOff>171450</xdr:rowOff>
                  </from>
                  <to>
                    <xdr:col>65</xdr:col>
                    <xdr:colOff>561975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>
    <tabColor rgb="FF234473"/>
  </sheetPr>
  <dimension ref="B1:DE18"/>
  <sheetViews>
    <sheetView tabSelected="1" zoomScale="85" zoomScaleNormal="85" workbookViewId="0">
      <selection activeCell="J15" sqref="J15"/>
    </sheetView>
  </sheetViews>
  <sheetFormatPr defaultRowHeight="15" x14ac:dyDescent="0.25"/>
  <cols>
    <col min="1" max="1" width="11.109375" style="1" bestFit="1" customWidth="1"/>
    <col min="2" max="2" width="7.33203125" style="1" bestFit="1" customWidth="1"/>
    <col min="3" max="3" width="11.109375" style="1" bestFit="1" customWidth="1"/>
    <col min="4" max="4" width="34.44140625" style="1" bestFit="1" customWidth="1"/>
    <col min="5" max="5" width="13.88671875" style="1" bestFit="1" customWidth="1"/>
    <col min="6" max="6" width="10.33203125" style="1" bestFit="1" customWidth="1"/>
    <col min="7" max="8" width="9.44140625" style="1" bestFit="1" customWidth="1"/>
    <col min="9" max="9" width="12.77734375" style="1" bestFit="1" customWidth="1"/>
    <col min="10" max="10" width="6.109375" style="1" bestFit="1" customWidth="1"/>
    <col min="11" max="11" width="12.21875" style="1" bestFit="1" customWidth="1"/>
    <col min="12" max="12" width="6.33203125" style="1" bestFit="1" customWidth="1"/>
    <col min="13" max="13" width="6.109375" style="1" bestFit="1" customWidth="1"/>
    <col min="14" max="14" width="8" style="1" bestFit="1" customWidth="1"/>
    <col min="15" max="15" width="7.109375" style="1" bestFit="1" customWidth="1"/>
    <col min="16" max="16" width="6.109375" style="1" bestFit="1" customWidth="1"/>
    <col min="17" max="18" width="9.44140625" style="1" bestFit="1" customWidth="1"/>
    <col min="19" max="19" width="7.77734375" style="1" bestFit="1" customWidth="1"/>
    <col min="20" max="20" width="8.88671875" style="1" bestFit="1" customWidth="1"/>
    <col min="21" max="21" width="11.33203125" style="1" bestFit="1" customWidth="1"/>
    <col min="22" max="23" width="11.109375" style="1" bestFit="1" customWidth="1"/>
    <col min="24" max="25" width="9.44140625" style="1" bestFit="1" customWidth="1"/>
    <col min="26" max="26" width="10.33203125" style="1" bestFit="1" customWidth="1"/>
    <col min="27" max="27" width="11.109375" style="1" bestFit="1" customWidth="1"/>
    <col min="28" max="28" width="10.33203125" style="1" bestFit="1" customWidth="1"/>
    <col min="29" max="29" width="7.77734375" style="1" bestFit="1" customWidth="1"/>
    <col min="30" max="30" width="7" style="1" bestFit="1" customWidth="1"/>
    <col min="31" max="31" width="7.77734375" style="1" bestFit="1" customWidth="1"/>
    <col min="32" max="32" width="8.88671875" style="1" bestFit="1" customWidth="1"/>
    <col min="33" max="33" width="11.109375" style="1" bestFit="1" customWidth="1"/>
    <col min="34" max="34" width="14.44140625" style="1" bestFit="1" customWidth="1"/>
    <col min="35" max="35" width="9.44140625" style="1" bestFit="1" customWidth="1"/>
    <col min="36" max="36" width="49.6640625" style="1" bestFit="1" customWidth="1"/>
    <col min="37" max="37" width="28.109375" style="1" bestFit="1" customWidth="1"/>
    <col min="38" max="38" width="26.44140625" style="1" bestFit="1" customWidth="1"/>
    <col min="39" max="39" width="7.77734375" style="1" bestFit="1" customWidth="1"/>
    <col min="40" max="40" width="6" style="1" bestFit="1" customWidth="1"/>
    <col min="41" max="41" width="9.44140625" style="1" bestFit="1" customWidth="1"/>
    <col min="42" max="42" width="6.109375" style="1" bestFit="1" customWidth="1"/>
    <col min="43" max="43" width="9.44140625" style="1" bestFit="1" customWidth="1"/>
    <col min="44" max="44" width="10.21875" style="1" bestFit="1" customWidth="1"/>
    <col min="45" max="45" width="12.6640625" style="1" bestFit="1" customWidth="1"/>
    <col min="46" max="46" width="6.88671875" style="1" bestFit="1" customWidth="1"/>
    <col min="47" max="47" width="80.88671875" style="1" bestFit="1" customWidth="1"/>
    <col min="48" max="48" width="9.44140625" style="1" bestFit="1" customWidth="1"/>
    <col min="49" max="49" width="12.21875" style="1" bestFit="1" customWidth="1"/>
    <col min="50" max="50" width="9.5546875" style="1" bestFit="1" customWidth="1"/>
    <col min="51" max="51" width="11.77734375" style="1" bestFit="1" customWidth="1"/>
    <col min="52" max="52" width="20" style="1" bestFit="1" customWidth="1"/>
    <col min="53" max="53" width="10.77734375" style="1" bestFit="1" customWidth="1"/>
    <col min="54" max="54" width="16.88671875" style="1" bestFit="1" customWidth="1"/>
    <col min="55" max="55" width="5.88671875" style="1" bestFit="1" customWidth="1"/>
    <col min="56" max="56" width="13.109375" style="1" bestFit="1" customWidth="1"/>
    <col min="57" max="57" width="15.44140625" style="1" bestFit="1" customWidth="1"/>
    <col min="58" max="58" width="6.109375" style="1" bestFit="1" customWidth="1"/>
    <col min="59" max="59" width="11.33203125" style="1" bestFit="1" customWidth="1"/>
    <col min="60" max="60" width="9.44140625" style="1" bestFit="1" customWidth="1"/>
    <col min="61" max="61" width="9" style="1" bestFit="1" customWidth="1"/>
    <col min="62" max="63" width="9.44140625" style="1" bestFit="1" customWidth="1"/>
    <col min="64" max="64" width="11.6640625" style="1" bestFit="1" customWidth="1"/>
    <col min="65" max="65" width="11.77734375" style="1" bestFit="1" customWidth="1"/>
    <col min="66" max="67" width="14.33203125" style="1" bestFit="1" customWidth="1"/>
    <col min="68" max="68" width="14.44140625" style="1" bestFit="1" customWidth="1"/>
    <col min="69" max="69" width="9.44140625" style="1" bestFit="1" customWidth="1"/>
    <col min="70" max="71" width="11.109375" style="1" bestFit="1" customWidth="1"/>
    <col min="72" max="72" width="9.44140625" style="1" bestFit="1" customWidth="1"/>
    <col min="73" max="73" width="11.5546875" style="1" bestFit="1" customWidth="1"/>
    <col min="74" max="74" width="14" style="1" bestFit="1" customWidth="1"/>
    <col min="75" max="75" width="10.5546875" style="1" bestFit="1" customWidth="1"/>
    <col min="76" max="76" width="7.88671875" style="1" bestFit="1" customWidth="1"/>
    <col min="77" max="77" width="8.77734375" style="1" bestFit="1" customWidth="1"/>
    <col min="78" max="78" width="12.77734375" style="1" bestFit="1" customWidth="1"/>
    <col min="79" max="79" width="7.6640625" style="1" bestFit="1" customWidth="1"/>
    <col min="80" max="80" width="9.44140625" style="1" bestFit="1" customWidth="1"/>
    <col min="81" max="83" width="6.109375" style="1" bestFit="1" customWidth="1"/>
    <col min="84" max="84" width="11.109375" style="1" bestFit="1" customWidth="1"/>
    <col min="85" max="85" width="13.5546875" style="1" bestFit="1" customWidth="1"/>
    <col min="86" max="86" width="9.6640625" style="1" bestFit="1" customWidth="1"/>
    <col min="87" max="88" width="9.33203125" style="1" bestFit="1" customWidth="1"/>
    <col min="89" max="89" width="11.109375" style="1" bestFit="1" customWidth="1"/>
    <col min="90" max="90" width="13.5546875" style="1" bestFit="1" customWidth="1"/>
    <col min="91" max="92" width="9.33203125" style="1" bestFit="1" customWidth="1"/>
    <col min="93" max="95" width="6.109375" style="1" bestFit="1" customWidth="1"/>
    <col min="96" max="96" width="11.109375" style="1" bestFit="1" customWidth="1"/>
    <col min="97" max="97" width="13.5546875" style="1" bestFit="1" customWidth="1"/>
    <col min="98" max="98" width="6.109375" style="1" bestFit="1" customWidth="1"/>
    <col min="99" max="99" width="9.33203125" style="1" bestFit="1" customWidth="1"/>
    <col min="100" max="100" width="9.21875" style="1" bestFit="1" customWidth="1"/>
    <col min="101" max="101" width="10.33203125" style="1" bestFit="1" customWidth="1"/>
    <col min="102" max="102" width="9.33203125" style="1" bestFit="1" customWidth="1"/>
    <col min="103" max="104" width="6" style="1" bestFit="1" customWidth="1"/>
    <col min="105" max="105" width="9.21875" style="1" bestFit="1" customWidth="1"/>
    <col min="106" max="106" width="7.5546875" style="1" bestFit="1" customWidth="1"/>
    <col min="107" max="107" width="14.88671875" style="1" bestFit="1" customWidth="1"/>
    <col min="108" max="108" width="31.5546875" style="1" bestFit="1" customWidth="1"/>
    <col min="109" max="110" width="9.21875" style="1" bestFit="1" customWidth="1"/>
    <col min="111" max="111" width="12.5546875" style="1" bestFit="1" customWidth="1"/>
    <col min="112" max="112" width="37.33203125" style="1" bestFit="1" customWidth="1"/>
    <col min="113" max="113" width="10.33203125" style="1" bestFit="1" customWidth="1"/>
    <col min="114" max="114" width="10.21875" style="1" bestFit="1" customWidth="1"/>
    <col min="115" max="115" width="12" style="1" bestFit="1" customWidth="1"/>
    <col min="116" max="116" width="9.21875" style="1" bestFit="1" customWidth="1"/>
    <col min="117" max="117" width="12.5546875" style="1" bestFit="1" customWidth="1"/>
    <col min="118" max="118" width="10" style="1" bestFit="1" customWidth="1"/>
    <col min="119" max="119" width="21.5546875" style="1" bestFit="1" customWidth="1"/>
    <col min="120" max="120" width="12" style="1" bestFit="1" customWidth="1"/>
    <col min="121" max="121" width="10.88671875" style="1" bestFit="1" customWidth="1"/>
    <col min="122" max="122" width="9.33203125" style="1" bestFit="1" customWidth="1"/>
    <col min="123" max="123" width="5.88671875" style="1" bestFit="1" customWidth="1"/>
    <col min="124" max="124" width="10.88671875" style="1" bestFit="1" customWidth="1"/>
    <col min="125" max="125" width="14.21875" style="1" bestFit="1" customWidth="1"/>
    <col min="126" max="126" width="80.88671875" style="1" bestFit="1" customWidth="1"/>
    <col min="127" max="127" width="9.21875" style="1" bestFit="1" customWidth="1"/>
    <col min="128" max="128" width="11" style="1" bestFit="1" customWidth="1"/>
    <col min="129" max="129" width="80.88671875" style="1" bestFit="1" customWidth="1"/>
    <col min="130" max="131" width="9.21875" style="1" bestFit="1" customWidth="1"/>
    <col min="132" max="132" width="7.6640625" style="1" bestFit="1" customWidth="1"/>
    <col min="133" max="134" width="6.77734375" style="1" bestFit="1" customWidth="1"/>
    <col min="135" max="135" width="5.88671875" style="1" bestFit="1" customWidth="1"/>
    <col min="136" max="136" width="7.6640625" style="1" bestFit="1" customWidth="1"/>
    <col min="137" max="138" width="6.77734375" style="1" bestFit="1" customWidth="1"/>
    <col min="139" max="139" width="6.109375" style="1" bestFit="1" customWidth="1"/>
    <col min="140" max="140" width="14.88671875" style="1" bestFit="1" customWidth="1"/>
    <col min="141" max="141" width="9.44140625" style="1" bestFit="1" customWidth="1"/>
    <col min="142" max="142" width="8.109375" style="1" bestFit="1" customWidth="1"/>
    <col min="143" max="143" width="7.33203125" style="1" bestFit="1" customWidth="1"/>
    <col min="144" max="144" width="9.44140625" style="1" bestFit="1" customWidth="1"/>
    <col min="145" max="145" width="14" style="1" bestFit="1" customWidth="1"/>
    <col min="146" max="146" width="13.109375" style="1" bestFit="1" customWidth="1"/>
    <col min="147" max="147" width="16.5546875" style="1" bestFit="1" customWidth="1"/>
    <col min="148" max="148" width="11.109375" style="1" bestFit="1" customWidth="1"/>
    <col min="149" max="149" width="14.44140625" style="1" bestFit="1" customWidth="1"/>
    <col min="150" max="150" width="10" style="1" bestFit="1" customWidth="1"/>
    <col min="151" max="151" width="10.33203125" style="1" bestFit="1" customWidth="1"/>
    <col min="152" max="152" width="9.44140625" style="1" bestFit="1" customWidth="1"/>
    <col min="153" max="153" width="12.6640625" style="1" bestFit="1" customWidth="1"/>
    <col min="154" max="154" width="15.5546875" style="1" bestFit="1" customWidth="1"/>
    <col min="155" max="155" width="9.44140625" style="1" bestFit="1" customWidth="1"/>
    <col min="156" max="156" width="7.6640625" style="1" bestFit="1" customWidth="1"/>
    <col min="157" max="157" width="8.109375" style="1" bestFit="1" customWidth="1"/>
    <col min="158" max="159" width="6.77734375" style="1" bestFit="1" customWidth="1"/>
    <col min="160" max="160" width="6.109375" style="1" bestFit="1" customWidth="1"/>
    <col min="161" max="161" width="14.88671875" style="1" bestFit="1" customWidth="1"/>
    <col min="162" max="162" width="9.44140625" style="1" bestFit="1" customWidth="1"/>
    <col min="163" max="163" width="8.109375" style="1" customWidth="1"/>
    <col min="164" max="164" width="9.44140625" style="1" bestFit="1" customWidth="1"/>
    <col min="165" max="165" width="12.77734375" style="1" bestFit="1" customWidth="1"/>
    <col min="166" max="168" width="9.44140625" style="1" bestFit="1" customWidth="1"/>
    <col min="169" max="169" width="8.33203125" style="1" bestFit="1" customWidth="1"/>
    <col min="170" max="170" width="12.77734375" style="1" bestFit="1" customWidth="1"/>
    <col min="171" max="171" width="9.33203125" style="1" bestFit="1" customWidth="1"/>
    <col min="172" max="173" width="9.44140625" style="1" bestFit="1" customWidth="1"/>
    <col min="174" max="174" width="15.33203125" style="1" bestFit="1" customWidth="1"/>
    <col min="175" max="175" width="6.109375" style="1" bestFit="1" customWidth="1"/>
    <col min="176" max="176" width="9.44140625" style="1" bestFit="1" customWidth="1"/>
    <col min="177" max="177" width="12.6640625" style="1" bestFit="1" customWidth="1"/>
    <col min="178" max="178" width="9.21875" style="1" bestFit="1" customWidth="1"/>
    <col min="179" max="180" width="10.6640625" style="1" bestFit="1" customWidth="1"/>
    <col min="181" max="181" width="6.109375" style="1" bestFit="1" customWidth="1"/>
    <col min="182" max="182" width="15.88671875" style="1" bestFit="1" customWidth="1"/>
    <col min="183" max="183" width="15.6640625" style="1" bestFit="1" customWidth="1"/>
    <col min="184" max="184" width="26.6640625" style="1" bestFit="1" customWidth="1"/>
    <col min="185" max="185" width="12.21875" style="1" bestFit="1" customWidth="1"/>
    <col min="186" max="186" width="17.44140625" style="1" bestFit="1" customWidth="1"/>
    <col min="187" max="187" width="12.21875" style="1" bestFit="1" customWidth="1"/>
    <col min="188" max="188" width="17.44140625" style="1" bestFit="1" customWidth="1"/>
    <col min="189" max="189" width="6.109375" style="1" bestFit="1" customWidth="1"/>
    <col min="190" max="190" width="9.44140625" style="1" bestFit="1" customWidth="1"/>
    <col min="191" max="191" width="12.6640625" style="1" bestFit="1" customWidth="1"/>
    <col min="192" max="192" width="9.21875" style="1" bestFit="1" customWidth="1"/>
    <col min="193" max="193" width="9.33203125" style="1" bestFit="1" customWidth="1"/>
    <col min="194" max="194" width="9.44140625" style="1" bestFit="1" customWidth="1"/>
    <col min="195" max="195" width="6.109375" style="1" bestFit="1" customWidth="1"/>
    <col min="196" max="196" width="15.88671875" style="1" bestFit="1" customWidth="1"/>
    <col min="197" max="197" width="15.6640625" style="1" bestFit="1" customWidth="1"/>
    <col min="198" max="198" width="26" style="1" bestFit="1" customWidth="1"/>
    <col min="199" max="199" width="13.77734375" style="1" bestFit="1" customWidth="1"/>
    <col min="200" max="200" width="10.77734375" style="1" bestFit="1" customWidth="1"/>
    <col min="201" max="201" width="17.44140625" style="1" bestFit="1" customWidth="1"/>
    <col min="202" max="16384" width="8.88671875" style="1"/>
  </cols>
  <sheetData>
    <row r="1" spans="2:109" ht="88.5" customHeight="1" x14ac:dyDescent="0.25"/>
    <row r="6" spans="2:109" x14ac:dyDescent="0.25">
      <c r="B6" t="s">
        <v>84</v>
      </c>
      <c r="C6" t="s">
        <v>389</v>
      </c>
      <c r="D6" t="s">
        <v>92</v>
      </c>
      <c r="E6" t="s">
        <v>47</v>
      </c>
      <c r="F6" t="s">
        <v>48</v>
      </c>
      <c r="G6" t="s">
        <v>130</v>
      </c>
      <c r="H6" t="s">
        <v>165</v>
      </c>
      <c r="I6" t="s">
        <v>50</v>
      </c>
      <c r="J6" t="s">
        <v>63</v>
      </c>
      <c r="K6" t="s">
        <v>56</v>
      </c>
      <c r="L6" t="s">
        <v>85</v>
      </c>
      <c r="M6" t="s">
        <v>116</v>
      </c>
      <c r="N6" t="s">
        <v>86</v>
      </c>
      <c r="O6" t="s">
        <v>52</v>
      </c>
      <c r="P6" t="s">
        <v>143</v>
      </c>
      <c r="Q6" t="s">
        <v>154</v>
      </c>
      <c r="R6" t="s">
        <v>156</v>
      </c>
      <c r="S6" t="s">
        <v>58</v>
      </c>
      <c r="T6" t="s">
        <v>88</v>
      </c>
      <c r="U6" t="s">
        <v>89</v>
      </c>
      <c r="V6" t="s">
        <v>172</v>
      </c>
      <c r="W6" t="s">
        <v>173</v>
      </c>
      <c r="X6" t="s">
        <v>133</v>
      </c>
      <c r="Y6" t="s">
        <v>79</v>
      </c>
      <c r="Z6" t="s">
        <v>65</v>
      </c>
      <c r="AA6" t="s">
        <v>68</v>
      </c>
      <c r="AB6" t="s">
        <v>51</v>
      </c>
      <c r="AC6" t="s">
        <v>161</v>
      </c>
      <c r="AD6" t="s">
        <v>162</v>
      </c>
      <c r="AE6" t="s">
        <v>196</v>
      </c>
      <c r="AF6" t="s">
        <v>641</v>
      </c>
      <c r="AG6" t="s">
        <v>214</v>
      </c>
      <c r="AH6" t="s">
        <v>241</v>
      </c>
      <c r="AI6" t="s">
        <v>194</v>
      </c>
      <c r="AJ6" t="s">
        <v>69</v>
      </c>
      <c r="AK6" t="s">
        <v>70</v>
      </c>
      <c r="AL6" t="s">
        <v>80</v>
      </c>
      <c r="AM6" t="s">
        <v>40</v>
      </c>
      <c r="AN6" t="s">
        <v>131</v>
      </c>
      <c r="AO6" t="s">
        <v>456</v>
      </c>
      <c r="AP6" t="s">
        <v>199</v>
      </c>
      <c r="AQ6" t="s">
        <v>195</v>
      </c>
      <c r="AR6" t="s">
        <v>200</v>
      </c>
      <c r="AS6" t="s">
        <v>201</v>
      </c>
      <c r="AT6" t="s">
        <v>267</v>
      </c>
      <c r="AU6" t="s">
        <v>207</v>
      </c>
      <c r="AV6" t="s">
        <v>185</v>
      </c>
      <c r="AW6" t="s">
        <v>377</v>
      </c>
      <c r="AX6" t="s">
        <v>157</v>
      </c>
      <c r="AY6" t="s">
        <v>202</v>
      </c>
      <c r="AZ6" t="s">
        <v>132</v>
      </c>
      <c r="BA6" t="s">
        <v>639</v>
      </c>
      <c r="BB6" t="s">
        <v>740</v>
      </c>
      <c r="BC6" t="s">
        <v>741</v>
      </c>
      <c r="BD6" t="s">
        <v>742</v>
      </c>
      <c r="BE6" t="s">
        <v>169</v>
      </c>
      <c r="BF6" t="s">
        <v>158</v>
      </c>
      <c r="BG6" t="s">
        <v>139</v>
      </c>
      <c r="BH6" t="s">
        <v>159</v>
      </c>
      <c r="BI6" t="s">
        <v>187</v>
      </c>
      <c r="BJ6" t="s">
        <v>186</v>
      </c>
      <c r="BK6" t="s">
        <v>188</v>
      </c>
      <c r="BL6" t="s">
        <v>160</v>
      </c>
      <c r="BM6" t="s">
        <v>743</v>
      </c>
      <c r="BN6" t="s">
        <v>744</v>
      </c>
      <c r="BO6" t="s">
        <v>745</v>
      </c>
      <c r="BP6" t="s">
        <v>746</v>
      </c>
      <c r="BQ6" t="s">
        <v>747</v>
      </c>
      <c r="BR6" t="s">
        <v>748</v>
      </c>
      <c r="BS6" t="s">
        <v>749</v>
      </c>
      <c r="BT6" t="s">
        <v>190</v>
      </c>
      <c r="BU6" t="s">
        <v>400</v>
      </c>
      <c r="BV6" t="s">
        <v>674</v>
      </c>
      <c r="BW6" t="s">
        <v>251</v>
      </c>
      <c r="BX6" t="s">
        <v>637</v>
      </c>
      <c r="BY6" t="s">
        <v>640</v>
      </c>
      <c r="BZ6" t="s">
        <v>114</v>
      </c>
      <c r="CA6" t="s">
        <v>210</v>
      </c>
      <c r="CB6" t="s">
        <v>191</v>
      </c>
      <c r="CC6" t="s">
        <v>87</v>
      </c>
      <c r="CD6" t="s">
        <v>44</v>
      </c>
      <c r="CE6" t="s">
        <v>45</v>
      </c>
      <c r="CF6" t="s">
        <v>212</v>
      </c>
      <c r="CG6" t="s">
        <v>179</v>
      </c>
      <c r="CH6" t="s">
        <v>926</v>
      </c>
      <c r="CI6" t="s">
        <v>638</v>
      </c>
    </row>
    <row r="7" spans="2:109" x14ac:dyDescent="0.25">
      <c r="B7">
        <v>12</v>
      </c>
      <c r="C7" s="142" t="s">
        <v>90</v>
      </c>
      <c r="D7" s="142" t="s">
        <v>841</v>
      </c>
      <c r="E7" s="142" t="s">
        <v>840</v>
      </c>
      <c r="F7" s="38">
        <v>45233</v>
      </c>
      <c r="G7" s="142" t="s">
        <v>81</v>
      </c>
      <c r="H7" s="142" t="s">
        <v>81</v>
      </c>
      <c r="I7" s="142" t="s">
        <v>7</v>
      </c>
      <c r="J7" s="142" t="s">
        <v>104</v>
      </c>
      <c r="K7" s="142">
        <v>9.69</v>
      </c>
      <c r="L7" s="142" t="s">
        <v>142</v>
      </c>
      <c r="M7" s="142" t="s">
        <v>401</v>
      </c>
      <c r="N7" s="142" t="s">
        <v>7</v>
      </c>
      <c r="O7" s="142" t="s">
        <v>401</v>
      </c>
      <c r="P7" s="142" t="s">
        <v>7</v>
      </c>
      <c r="Q7" t="s">
        <v>7</v>
      </c>
      <c r="R7" s="142" t="s">
        <v>112</v>
      </c>
      <c r="S7">
        <v>100</v>
      </c>
      <c r="T7" s="142" t="s">
        <v>109</v>
      </c>
      <c r="U7" s="142" t="s">
        <v>243</v>
      </c>
      <c r="V7" s="142" t="s">
        <v>7</v>
      </c>
      <c r="W7" s="142" t="s">
        <v>7</v>
      </c>
      <c r="X7" s="142" t="s">
        <v>90</v>
      </c>
      <c r="Y7" s="142" t="s">
        <v>126</v>
      </c>
      <c r="Z7" s="38">
        <v>45240</v>
      </c>
      <c r="AA7" s="38">
        <v>45422</v>
      </c>
      <c r="AB7" s="38">
        <v>46336</v>
      </c>
      <c r="AC7" s="142">
        <v>1.3280000000000001</v>
      </c>
      <c r="AD7" s="142">
        <v>9.69</v>
      </c>
      <c r="AE7" s="142">
        <v>10.4</v>
      </c>
      <c r="AF7" t="s">
        <v>960</v>
      </c>
      <c r="AG7" s="142" t="s">
        <v>90</v>
      </c>
      <c r="AH7" s="142" t="s">
        <v>7</v>
      </c>
      <c r="AI7" s="142" t="s">
        <v>90</v>
      </c>
      <c r="AJ7" t="s">
        <v>841</v>
      </c>
      <c r="AK7" t="s">
        <v>7</v>
      </c>
      <c r="AL7" t="s">
        <v>90</v>
      </c>
      <c r="AM7" t="s">
        <v>318</v>
      </c>
      <c r="AN7" s="142" t="s">
        <v>629</v>
      </c>
      <c r="AO7" s="142" t="s">
        <v>7</v>
      </c>
      <c r="AP7" s="142" t="s">
        <v>90</v>
      </c>
      <c r="AQ7" s="142" t="s">
        <v>90</v>
      </c>
      <c r="AR7" s="142" t="s">
        <v>7</v>
      </c>
      <c r="AS7" s="142" t="s">
        <v>90</v>
      </c>
      <c r="AT7" s="142" t="s">
        <v>90</v>
      </c>
      <c r="AU7" s="142" t="s">
        <v>959</v>
      </c>
      <c r="AV7" s="142" t="s">
        <v>290</v>
      </c>
      <c r="AW7" s="142" t="s">
        <v>222</v>
      </c>
      <c r="AX7" s="142" t="s">
        <v>90</v>
      </c>
      <c r="AY7" s="136"/>
      <c r="AZ7" s="142" t="s">
        <v>843</v>
      </c>
      <c r="BA7" s="142" t="s">
        <v>628</v>
      </c>
      <c r="BB7" s="38"/>
      <c r="BC7" s="142" t="s">
        <v>90</v>
      </c>
      <c r="BD7"/>
      <c r="BE7" t="s">
        <v>976</v>
      </c>
      <c r="BF7" t="s">
        <v>90</v>
      </c>
      <c r="BG7" s="142" t="s">
        <v>140</v>
      </c>
      <c r="BH7" s="142" t="s">
        <v>167</v>
      </c>
      <c r="BI7" s="142" t="s">
        <v>7</v>
      </c>
      <c r="BJ7" s="142" t="s">
        <v>7</v>
      </c>
      <c r="BK7" s="142" t="s">
        <v>7</v>
      </c>
      <c r="BL7" s="142" t="s">
        <v>171</v>
      </c>
      <c r="BM7" s="142" t="s">
        <v>90</v>
      </c>
      <c r="BN7" s="142"/>
      <c r="BO7" s="142"/>
      <c r="BP7" s="142" t="s">
        <v>90</v>
      </c>
      <c r="BQ7" s="142" t="s">
        <v>90</v>
      </c>
      <c r="BR7" s="137"/>
      <c r="BS7"/>
      <c r="BT7" s="142" t="s">
        <v>971</v>
      </c>
      <c r="BU7" t="s">
        <v>90</v>
      </c>
      <c r="BV7" s="142" t="s">
        <v>90</v>
      </c>
      <c r="BW7" s="142"/>
      <c r="BX7" s="142" t="s">
        <v>628</v>
      </c>
      <c r="BY7"/>
      <c r="BZ7" s="142" t="s">
        <v>981</v>
      </c>
      <c r="CA7" s="142" t="s">
        <v>238</v>
      </c>
      <c r="CB7" s="142" t="s">
        <v>182</v>
      </c>
      <c r="CC7" s="142" t="s">
        <v>19</v>
      </c>
      <c r="CD7" s="142" t="s">
        <v>956</v>
      </c>
      <c r="CE7" s="142" t="s">
        <v>7</v>
      </c>
      <c r="CF7" s="38"/>
      <c r="CG7" s="38">
        <v>45233</v>
      </c>
      <c r="CH7" t="s">
        <v>2</v>
      </c>
      <c r="CI7" s="142" t="s">
        <v>628</v>
      </c>
      <c r="CW7" s="17"/>
      <c r="DE7" s="17"/>
    </row>
    <row r="8" spans="2:109" x14ac:dyDescent="0.25">
      <c r="B8">
        <v>11</v>
      </c>
      <c r="C8" s="142" t="s">
        <v>90</v>
      </c>
      <c r="D8" s="142" t="s">
        <v>946</v>
      </c>
      <c r="E8" s="142" t="s">
        <v>939</v>
      </c>
      <c r="F8" s="38">
        <v>45233</v>
      </c>
      <c r="G8" s="142" t="s">
        <v>81</v>
      </c>
      <c r="H8" s="142" t="s">
        <v>81</v>
      </c>
      <c r="I8" s="142" t="s">
        <v>7</v>
      </c>
      <c r="J8" s="142" t="s">
        <v>104</v>
      </c>
      <c r="K8" s="142">
        <v>3.65</v>
      </c>
      <c r="L8" s="142" t="s">
        <v>434</v>
      </c>
      <c r="M8" s="142" t="s">
        <v>445</v>
      </c>
      <c r="N8" s="142" t="s">
        <v>972</v>
      </c>
      <c r="O8" s="142" t="s">
        <v>445</v>
      </c>
      <c r="P8" s="142" t="s">
        <v>7</v>
      </c>
      <c r="Q8">
        <v>10</v>
      </c>
      <c r="R8" s="142" t="s">
        <v>112</v>
      </c>
      <c r="S8">
        <v>100</v>
      </c>
      <c r="T8" s="142" t="s">
        <v>111</v>
      </c>
      <c r="U8" s="142" t="s">
        <v>231</v>
      </c>
      <c r="V8" s="142" t="s">
        <v>140</v>
      </c>
      <c r="W8" s="142" t="s">
        <v>7</v>
      </c>
      <c r="X8" s="142" t="s">
        <v>90</v>
      </c>
      <c r="Y8" s="142" t="s">
        <v>90</v>
      </c>
      <c r="Z8" s="38"/>
      <c r="AA8" s="38"/>
      <c r="AB8" s="38">
        <v>46336</v>
      </c>
      <c r="AC8" s="142">
        <v>0.5</v>
      </c>
      <c r="AD8" s="142">
        <v>3.65</v>
      </c>
      <c r="AE8" s="142">
        <v>3.9180000000000001</v>
      </c>
      <c r="AF8" t="s">
        <v>90</v>
      </c>
      <c r="AG8" s="142" t="s">
        <v>90</v>
      </c>
      <c r="AH8" s="142" t="s">
        <v>7</v>
      </c>
      <c r="AI8" s="142" t="s">
        <v>90</v>
      </c>
      <c r="AJ8" t="s">
        <v>90</v>
      </c>
      <c r="AK8" t="s">
        <v>7</v>
      </c>
      <c r="AL8" t="s">
        <v>90</v>
      </c>
      <c r="AM8" t="s">
        <v>309</v>
      </c>
      <c r="AN8" s="142" t="s">
        <v>90</v>
      </c>
      <c r="AO8" s="142" t="s">
        <v>7</v>
      </c>
      <c r="AP8" s="142" t="s">
        <v>90</v>
      </c>
      <c r="AQ8" s="142" t="s">
        <v>90</v>
      </c>
      <c r="AR8" s="142" t="s">
        <v>7</v>
      </c>
      <c r="AS8" s="142" t="s">
        <v>90</v>
      </c>
      <c r="AT8" s="142" t="s">
        <v>90</v>
      </c>
      <c r="AU8" s="142" t="s">
        <v>90</v>
      </c>
      <c r="AV8" s="142" t="s">
        <v>90</v>
      </c>
      <c r="AW8" s="142" t="s">
        <v>222</v>
      </c>
      <c r="AX8" s="142" t="s">
        <v>90</v>
      </c>
      <c r="AY8" s="136"/>
      <c r="AZ8" s="142" t="s">
        <v>941</v>
      </c>
      <c r="BA8" s="142" t="s">
        <v>628</v>
      </c>
      <c r="BB8" s="38"/>
      <c r="BC8" s="142" t="s">
        <v>90</v>
      </c>
      <c r="BD8"/>
      <c r="BE8" t="s">
        <v>90</v>
      </c>
      <c r="BF8" t="s">
        <v>90</v>
      </c>
      <c r="BG8" s="142" t="s">
        <v>7</v>
      </c>
      <c r="BH8" s="142" t="s">
        <v>90</v>
      </c>
      <c r="BI8" s="142" t="s">
        <v>7</v>
      </c>
      <c r="BJ8" s="142" t="s">
        <v>7</v>
      </c>
      <c r="BK8" s="142" t="s">
        <v>7</v>
      </c>
      <c r="BL8" s="142" t="s">
        <v>90</v>
      </c>
      <c r="BM8" s="142" t="s">
        <v>90</v>
      </c>
      <c r="BN8" s="142"/>
      <c r="BO8" s="142"/>
      <c r="BP8" s="142" t="s">
        <v>90</v>
      </c>
      <c r="BQ8" s="142" t="s">
        <v>90</v>
      </c>
      <c r="BR8" s="137"/>
      <c r="BS8"/>
      <c r="BT8" s="142" t="s">
        <v>90</v>
      </c>
      <c r="BU8" t="s">
        <v>90</v>
      </c>
      <c r="BV8" s="142" t="s">
        <v>90</v>
      </c>
      <c r="BW8" s="142"/>
      <c r="BX8" s="142" t="s">
        <v>90</v>
      </c>
      <c r="BY8"/>
      <c r="BZ8" s="142" t="s">
        <v>980</v>
      </c>
      <c r="CA8" s="142" t="s">
        <v>238</v>
      </c>
      <c r="CB8" s="142" t="s">
        <v>182</v>
      </c>
      <c r="CC8" s="142" t="s">
        <v>17</v>
      </c>
      <c r="CD8" s="142" t="s">
        <v>953</v>
      </c>
      <c r="CE8" s="142" t="s">
        <v>7</v>
      </c>
      <c r="CF8" s="38"/>
      <c r="CG8" s="38">
        <v>45233</v>
      </c>
      <c r="CH8" t="s">
        <v>1</v>
      </c>
      <c r="CI8" s="142" t="s">
        <v>628</v>
      </c>
      <c r="CW8" s="17"/>
      <c r="DE8" s="17"/>
    </row>
    <row r="9" spans="2:109" x14ac:dyDescent="0.25">
      <c r="B9">
        <v>10</v>
      </c>
      <c r="C9" s="142" t="s">
        <v>90</v>
      </c>
      <c r="D9" s="142" t="s">
        <v>849</v>
      </c>
      <c r="E9" s="142" t="s">
        <v>848</v>
      </c>
      <c r="F9" s="38">
        <v>45232</v>
      </c>
      <c r="G9" s="142" t="s">
        <v>81</v>
      </c>
      <c r="H9" s="142" t="s">
        <v>81</v>
      </c>
      <c r="I9" s="142" t="s">
        <v>372</v>
      </c>
      <c r="J9" s="142" t="s">
        <v>83</v>
      </c>
      <c r="K9" s="142">
        <v>0.82299999999999995</v>
      </c>
      <c r="L9" s="142" t="s">
        <v>142</v>
      </c>
      <c r="M9" s="142" t="s">
        <v>919</v>
      </c>
      <c r="N9" s="142" t="s">
        <v>7</v>
      </c>
      <c r="O9" s="142" t="s">
        <v>919</v>
      </c>
      <c r="P9" s="142" t="s">
        <v>7</v>
      </c>
      <c r="Q9" t="s">
        <v>7</v>
      </c>
      <c r="R9" s="142" t="s">
        <v>112</v>
      </c>
      <c r="S9">
        <v>100</v>
      </c>
      <c r="T9" s="142" t="s">
        <v>38</v>
      </c>
      <c r="U9" s="142" t="s">
        <v>231</v>
      </c>
      <c r="V9" s="142" t="s">
        <v>7</v>
      </c>
      <c r="W9" s="142" t="s">
        <v>7</v>
      </c>
      <c r="X9" s="142" t="s">
        <v>90</v>
      </c>
      <c r="Y9" s="142" t="s">
        <v>126</v>
      </c>
      <c r="Z9" s="38">
        <v>45237</v>
      </c>
      <c r="AA9" s="38">
        <v>45419</v>
      </c>
      <c r="AB9" s="38">
        <v>46333</v>
      </c>
      <c r="AC9" s="142">
        <v>0.82299999999999995</v>
      </c>
      <c r="AD9" s="142">
        <v>6.0019999999999998</v>
      </c>
      <c r="AE9" s="142">
        <v>6.4450000000000003</v>
      </c>
      <c r="AF9" t="s">
        <v>912</v>
      </c>
      <c r="AG9" s="142" t="s">
        <v>850</v>
      </c>
      <c r="AH9" s="142" t="s">
        <v>7</v>
      </c>
      <c r="AI9" s="142" t="s">
        <v>90</v>
      </c>
      <c r="AJ9" t="s">
        <v>913</v>
      </c>
      <c r="AK9" t="s">
        <v>849</v>
      </c>
      <c r="AL9" t="s">
        <v>90</v>
      </c>
      <c r="AM9" t="s">
        <v>7</v>
      </c>
      <c r="AN9" s="142" t="s">
        <v>90</v>
      </c>
      <c r="AO9" s="142" t="s">
        <v>7</v>
      </c>
      <c r="AP9" s="142" t="s">
        <v>90</v>
      </c>
      <c r="AQ9" s="142" t="s">
        <v>90</v>
      </c>
      <c r="AR9" s="142" t="s">
        <v>7</v>
      </c>
      <c r="AS9" s="142" t="s">
        <v>90</v>
      </c>
      <c r="AT9" s="142" t="s">
        <v>90</v>
      </c>
      <c r="AU9" s="142" t="s">
        <v>90</v>
      </c>
      <c r="AV9" s="142" t="s">
        <v>290</v>
      </c>
      <c r="AW9" s="142" t="s">
        <v>222</v>
      </c>
      <c r="AX9" s="142" t="s">
        <v>90</v>
      </c>
      <c r="AY9" s="136"/>
      <c r="AZ9" s="142" t="s">
        <v>855</v>
      </c>
      <c r="BA9" s="142" t="s">
        <v>628</v>
      </c>
      <c r="BB9" s="38"/>
      <c r="BC9" s="142" t="s">
        <v>90</v>
      </c>
      <c r="BD9"/>
      <c r="BE9" t="s">
        <v>90</v>
      </c>
      <c r="BF9" t="s">
        <v>90</v>
      </c>
      <c r="BG9" s="142" t="s">
        <v>7</v>
      </c>
      <c r="BH9" s="142" t="s">
        <v>90</v>
      </c>
      <c r="BI9" s="142" t="s">
        <v>7</v>
      </c>
      <c r="BJ9" s="142" t="s">
        <v>7</v>
      </c>
      <c r="BK9" s="142" t="s">
        <v>7</v>
      </c>
      <c r="BL9" s="142" t="s">
        <v>90</v>
      </c>
      <c r="BM9" s="142" t="s">
        <v>90</v>
      </c>
      <c r="BN9" s="142"/>
      <c r="BO9" s="142"/>
      <c r="BP9" s="142" t="s">
        <v>90</v>
      </c>
      <c r="BQ9" s="142" t="s">
        <v>90</v>
      </c>
      <c r="BR9" s="137"/>
      <c r="BS9"/>
      <c r="BT9" s="142" t="s">
        <v>90</v>
      </c>
      <c r="BU9" t="s">
        <v>90</v>
      </c>
      <c r="BV9" s="142" t="s">
        <v>90</v>
      </c>
      <c r="BW9" s="142"/>
      <c r="BX9" s="142" t="s">
        <v>90</v>
      </c>
      <c r="BY9"/>
      <c r="BZ9" s="142" t="s">
        <v>90</v>
      </c>
      <c r="CA9" s="142" t="s">
        <v>90</v>
      </c>
      <c r="CB9" s="142" t="s">
        <v>90</v>
      </c>
      <c r="CC9" s="142" t="s">
        <v>90</v>
      </c>
      <c r="CD9" s="142" t="s">
        <v>7</v>
      </c>
      <c r="CE9" s="142" t="s">
        <v>7</v>
      </c>
      <c r="CF9" s="38"/>
      <c r="CG9" s="38"/>
      <c r="CH9"/>
      <c r="CI9" s="142" t="s">
        <v>90</v>
      </c>
      <c r="CW9" s="17"/>
      <c r="DE9" s="17"/>
    </row>
    <row r="10" spans="2:109" x14ac:dyDescent="0.25">
      <c r="B10">
        <v>9</v>
      </c>
      <c r="C10" s="142" t="s">
        <v>90</v>
      </c>
      <c r="D10" s="142" t="s">
        <v>844</v>
      </c>
      <c r="E10" s="142" t="s">
        <v>942</v>
      </c>
      <c r="F10" s="38">
        <v>45232</v>
      </c>
      <c r="G10" s="142" t="s">
        <v>81</v>
      </c>
      <c r="H10" s="142" t="s">
        <v>81</v>
      </c>
      <c r="I10" s="142" t="s">
        <v>372</v>
      </c>
      <c r="J10" s="142" t="s">
        <v>83</v>
      </c>
      <c r="K10" s="142">
        <v>0.98</v>
      </c>
      <c r="L10" s="142" t="s">
        <v>735</v>
      </c>
      <c r="M10" s="142" t="s">
        <v>973</v>
      </c>
      <c r="N10" s="142" t="s">
        <v>7</v>
      </c>
      <c r="O10" s="142" t="s">
        <v>973</v>
      </c>
      <c r="P10" s="142" t="s">
        <v>7</v>
      </c>
      <c r="Q10" t="s">
        <v>7</v>
      </c>
      <c r="R10" s="142" t="s">
        <v>112</v>
      </c>
      <c r="S10"/>
      <c r="T10" s="142" t="s">
        <v>38</v>
      </c>
      <c r="U10" s="142" t="s">
        <v>243</v>
      </c>
      <c r="V10" s="142" t="s">
        <v>7</v>
      </c>
      <c r="W10" s="142" t="s">
        <v>7</v>
      </c>
      <c r="X10" s="142" t="s">
        <v>90</v>
      </c>
      <c r="Y10" s="142" t="s">
        <v>90</v>
      </c>
      <c r="Z10" s="38">
        <v>45236</v>
      </c>
      <c r="AA10" s="38">
        <v>45600</v>
      </c>
      <c r="AB10" s="38">
        <v>45600</v>
      </c>
      <c r="AC10" s="142">
        <v>0.98</v>
      </c>
      <c r="AD10" s="142">
        <v>7.1470000000000002</v>
      </c>
      <c r="AE10" s="142">
        <v>7.6740000000000004</v>
      </c>
      <c r="AF10" t="s">
        <v>969</v>
      </c>
      <c r="AG10" s="142" t="s">
        <v>421</v>
      </c>
      <c r="AH10" s="142" t="s">
        <v>7</v>
      </c>
      <c r="AI10" s="142" t="s">
        <v>90</v>
      </c>
      <c r="AJ10" t="s">
        <v>845</v>
      </c>
      <c r="AK10" t="s">
        <v>844</v>
      </c>
      <c r="AL10" t="s">
        <v>90</v>
      </c>
      <c r="AM10" t="s">
        <v>7</v>
      </c>
      <c r="AN10" s="142" t="s">
        <v>648</v>
      </c>
      <c r="AO10" s="142" t="s">
        <v>7</v>
      </c>
      <c r="AP10" s="142" t="s">
        <v>90</v>
      </c>
      <c r="AQ10" s="142" t="s">
        <v>837</v>
      </c>
      <c r="AR10" s="142" t="s">
        <v>7</v>
      </c>
      <c r="AS10" s="142" t="s">
        <v>90</v>
      </c>
      <c r="AT10" s="142" t="s">
        <v>90</v>
      </c>
      <c r="AU10" s="142" t="s">
        <v>90</v>
      </c>
      <c r="AV10" s="142" t="s">
        <v>290</v>
      </c>
      <c r="AW10" s="142" t="s">
        <v>222</v>
      </c>
      <c r="AX10" s="142" t="s">
        <v>90</v>
      </c>
      <c r="AY10" s="136"/>
      <c r="AZ10" s="142" t="s">
        <v>944</v>
      </c>
      <c r="BA10" s="142" t="s">
        <v>628</v>
      </c>
      <c r="BB10" s="38"/>
      <c r="BC10" s="142" t="s">
        <v>90</v>
      </c>
      <c r="BD10"/>
      <c r="BE10" t="s">
        <v>90</v>
      </c>
      <c r="BF10" t="s">
        <v>90</v>
      </c>
      <c r="BG10" s="142" t="s">
        <v>7</v>
      </c>
      <c r="BH10" s="142" t="s">
        <v>90</v>
      </c>
      <c r="BI10" s="142" t="s">
        <v>7</v>
      </c>
      <c r="BJ10" s="142" t="s">
        <v>7</v>
      </c>
      <c r="BK10" s="142" t="s">
        <v>7</v>
      </c>
      <c r="BL10" s="142" t="s">
        <v>90</v>
      </c>
      <c r="BM10" s="142" t="s">
        <v>90</v>
      </c>
      <c r="BN10" s="142"/>
      <c r="BO10" s="142"/>
      <c r="BP10" s="142" t="s">
        <v>90</v>
      </c>
      <c r="BQ10" s="142" t="s">
        <v>90</v>
      </c>
      <c r="BR10" s="137"/>
      <c r="BS10"/>
      <c r="BT10" s="142" t="s">
        <v>90</v>
      </c>
      <c r="BU10" t="s">
        <v>90</v>
      </c>
      <c r="BV10" s="142" t="s">
        <v>90</v>
      </c>
      <c r="BW10" s="142"/>
      <c r="BX10" s="142" t="s">
        <v>90</v>
      </c>
      <c r="BY10"/>
      <c r="BZ10" s="142" t="s">
        <v>90</v>
      </c>
      <c r="CA10" s="142" t="s">
        <v>90</v>
      </c>
      <c r="CB10" s="142" t="s">
        <v>90</v>
      </c>
      <c r="CC10" s="142" t="s">
        <v>90</v>
      </c>
      <c r="CD10" s="142" t="s">
        <v>7</v>
      </c>
      <c r="CE10" s="142" t="s">
        <v>7</v>
      </c>
      <c r="CF10" s="38"/>
      <c r="CG10" s="38"/>
      <c r="CH10"/>
      <c r="CI10" s="142" t="s">
        <v>90</v>
      </c>
      <c r="CW10" s="17"/>
      <c r="DE10" s="17"/>
    </row>
    <row r="11" spans="2:109" x14ac:dyDescent="0.25">
      <c r="B11">
        <v>8</v>
      </c>
      <c r="C11" s="142" t="s">
        <v>90</v>
      </c>
      <c r="D11" s="142" t="s">
        <v>857</v>
      </c>
      <c r="E11" s="142" t="s">
        <v>856</v>
      </c>
      <c r="F11" s="38">
        <v>45232</v>
      </c>
      <c r="G11" s="142" t="s">
        <v>859</v>
      </c>
      <c r="H11" s="142" t="s">
        <v>859</v>
      </c>
      <c r="I11" s="142" t="s">
        <v>7</v>
      </c>
      <c r="J11" s="142" t="s">
        <v>83</v>
      </c>
      <c r="K11" s="142">
        <v>5</v>
      </c>
      <c r="L11" s="142" t="s">
        <v>920</v>
      </c>
      <c r="M11" s="142" t="s">
        <v>921</v>
      </c>
      <c r="N11" s="142" t="s">
        <v>936</v>
      </c>
      <c r="O11" s="142" t="s">
        <v>937</v>
      </c>
      <c r="P11" s="142" t="s">
        <v>7</v>
      </c>
      <c r="Q11" t="s">
        <v>7</v>
      </c>
      <c r="R11" s="142" t="s">
        <v>938</v>
      </c>
      <c r="S11">
        <v>99.213999999999999</v>
      </c>
      <c r="T11" s="142" t="s">
        <v>38</v>
      </c>
      <c r="U11" s="142" t="s">
        <v>261</v>
      </c>
      <c r="V11" s="142" t="s">
        <v>7</v>
      </c>
      <c r="W11" s="142" t="s">
        <v>7</v>
      </c>
      <c r="X11" s="142" t="s">
        <v>90</v>
      </c>
      <c r="Y11" s="142" t="s">
        <v>126</v>
      </c>
      <c r="Z11" s="38">
        <v>45239</v>
      </c>
      <c r="AA11" s="38">
        <v>45421</v>
      </c>
      <c r="AB11" s="38">
        <v>47066</v>
      </c>
      <c r="AC11" s="142">
        <v>5</v>
      </c>
      <c r="AD11" s="142">
        <v>36.463999999999999</v>
      </c>
      <c r="AE11" s="142">
        <v>39.152999999999999</v>
      </c>
      <c r="AF11" t="s">
        <v>903</v>
      </c>
      <c r="AG11" s="142" t="s">
        <v>858</v>
      </c>
      <c r="AH11" s="142" t="s">
        <v>7</v>
      </c>
      <c r="AI11" s="142" t="s">
        <v>90</v>
      </c>
      <c r="AJ11" t="s">
        <v>860</v>
      </c>
      <c r="AK11" t="s">
        <v>857</v>
      </c>
      <c r="AL11" t="s">
        <v>90</v>
      </c>
      <c r="AM11" t="s">
        <v>7</v>
      </c>
      <c r="AN11" s="142" t="s">
        <v>90</v>
      </c>
      <c r="AO11" s="142" t="s">
        <v>7</v>
      </c>
      <c r="AP11" s="142" t="s">
        <v>90</v>
      </c>
      <c r="AQ11" s="142" t="s">
        <v>90</v>
      </c>
      <c r="AR11" s="142" t="s">
        <v>7</v>
      </c>
      <c r="AS11" s="142" t="s">
        <v>90</v>
      </c>
      <c r="AT11" s="142" t="s">
        <v>90</v>
      </c>
      <c r="AU11" s="142" t="s">
        <v>90</v>
      </c>
      <c r="AV11" s="142" t="s">
        <v>290</v>
      </c>
      <c r="AW11" s="142" t="s">
        <v>222</v>
      </c>
      <c r="AX11" s="142" t="s">
        <v>90</v>
      </c>
      <c r="AY11" s="136"/>
      <c r="AZ11" s="142" t="s">
        <v>864</v>
      </c>
      <c r="BA11" s="142" t="s">
        <v>628</v>
      </c>
      <c r="BB11" s="38"/>
      <c r="BC11" s="142" t="s">
        <v>90</v>
      </c>
      <c r="BD11"/>
      <c r="BE11" t="s">
        <v>90</v>
      </c>
      <c r="BF11" t="s">
        <v>90</v>
      </c>
      <c r="BG11" s="142" t="s">
        <v>7</v>
      </c>
      <c r="BH11" s="142" t="s">
        <v>90</v>
      </c>
      <c r="BI11" s="142" t="s">
        <v>7</v>
      </c>
      <c r="BJ11" s="142" t="s">
        <v>7</v>
      </c>
      <c r="BK11" s="142" t="s">
        <v>7</v>
      </c>
      <c r="BL11" s="142" t="s">
        <v>90</v>
      </c>
      <c r="BM11" s="142" t="s">
        <v>90</v>
      </c>
      <c r="BN11" s="142"/>
      <c r="BO11" s="142"/>
      <c r="BP11" s="142" t="s">
        <v>90</v>
      </c>
      <c r="BQ11" s="142" t="s">
        <v>90</v>
      </c>
      <c r="BR11" s="137"/>
      <c r="BS11"/>
      <c r="BT11" s="142" t="s">
        <v>90</v>
      </c>
      <c r="BU11" t="s">
        <v>90</v>
      </c>
      <c r="BV11" s="142" t="s">
        <v>90</v>
      </c>
      <c r="BW11" s="142"/>
      <c r="BX11" s="142" t="s">
        <v>90</v>
      </c>
      <c r="BY11"/>
      <c r="BZ11" s="142" t="s">
        <v>90</v>
      </c>
      <c r="CA11" s="142" t="s">
        <v>90</v>
      </c>
      <c r="CB11" s="142" t="s">
        <v>90</v>
      </c>
      <c r="CC11" s="142" t="s">
        <v>90</v>
      </c>
      <c r="CD11" s="142" t="s">
        <v>7</v>
      </c>
      <c r="CE11" s="142" t="s">
        <v>7</v>
      </c>
      <c r="CF11" s="38"/>
      <c r="CG11" s="38"/>
      <c r="CH11"/>
      <c r="CI11" s="142" t="s">
        <v>90</v>
      </c>
      <c r="CW11" s="17"/>
      <c r="DE11" s="17"/>
    </row>
    <row r="12" spans="2:109" x14ac:dyDescent="0.25">
      <c r="B12">
        <v>7</v>
      </c>
      <c r="C12" s="142" t="s">
        <v>90</v>
      </c>
      <c r="D12" s="142" t="s">
        <v>751</v>
      </c>
      <c r="E12" s="142" t="s">
        <v>750</v>
      </c>
      <c r="F12" s="38">
        <v>45231</v>
      </c>
      <c r="G12" s="142" t="s">
        <v>81</v>
      </c>
      <c r="H12" s="142" t="s">
        <v>81</v>
      </c>
      <c r="I12" s="142" t="s">
        <v>438</v>
      </c>
      <c r="J12" s="142" t="s">
        <v>242</v>
      </c>
      <c r="K12" s="142">
        <v>39</v>
      </c>
      <c r="L12" s="142" t="s">
        <v>142</v>
      </c>
      <c r="M12" s="142" t="s">
        <v>720</v>
      </c>
      <c r="N12" s="142" t="s">
        <v>7</v>
      </c>
      <c r="O12" s="142" t="s">
        <v>720</v>
      </c>
      <c r="P12" s="142" t="s">
        <v>7</v>
      </c>
      <c r="Q12" t="s">
        <v>7</v>
      </c>
      <c r="R12" s="142" t="s">
        <v>112</v>
      </c>
      <c r="S12">
        <v>100</v>
      </c>
      <c r="T12" s="142" t="s">
        <v>110</v>
      </c>
      <c r="U12" s="142" t="s">
        <v>231</v>
      </c>
      <c r="V12" s="142" t="s">
        <v>7</v>
      </c>
      <c r="W12" s="142" t="s">
        <v>7</v>
      </c>
      <c r="X12" s="142" t="s">
        <v>90</v>
      </c>
      <c r="Y12" s="142" t="s">
        <v>126</v>
      </c>
      <c r="Z12" s="38">
        <v>45238</v>
      </c>
      <c r="AA12" s="38">
        <v>45420</v>
      </c>
      <c r="AB12" s="38">
        <v>46334</v>
      </c>
      <c r="AC12" s="142">
        <v>0.25700000000000001</v>
      </c>
      <c r="AD12" s="142">
        <v>1.895</v>
      </c>
      <c r="AE12" s="142">
        <v>2.02</v>
      </c>
      <c r="AF12" t="s">
        <v>776</v>
      </c>
      <c r="AG12" s="142" t="s">
        <v>850</v>
      </c>
      <c r="AH12" s="142" t="s">
        <v>7</v>
      </c>
      <c r="AI12" s="142" t="s">
        <v>90</v>
      </c>
      <c r="AJ12" t="s">
        <v>777</v>
      </c>
      <c r="AK12" t="s">
        <v>751</v>
      </c>
      <c r="AL12" t="s">
        <v>90</v>
      </c>
      <c r="AM12" t="s">
        <v>289</v>
      </c>
      <c r="AN12" s="142" t="s">
        <v>90</v>
      </c>
      <c r="AO12" s="142" t="s">
        <v>7</v>
      </c>
      <c r="AP12" s="142" t="s">
        <v>90</v>
      </c>
      <c r="AQ12" s="142" t="s">
        <v>90</v>
      </c>
      <c r="AR12" s="142" t="s">
        <v>7</v>
      </c>
      <c r="AS12" s="142" t="s">
        <v>90</v>
      </c>
      <c r="AT12" s="142" t="s">
        <v>90</v>
      </c>
      <c r="AU12" s="142" t="s">
        <v>775</v>
      </c>
      <c r="AV12" s="142" t="s">
        <v>290</v>
      </c>
      <c r="AW12" s="142" t="s">
        <v>222</v>
      </c>
      <c r="AX12" s="142" t="s">
        <v>90</v>
      </c>
      <c r="AY12" s="136"/>
      <c r="AZ12" s="142" t="s">
        <v>752</v>
      </c>
      <c r="BA12" s="142" t="s">
        <v>628</v>
      </c>
      <c r="BB12" s="38"/>
      <c r="BC12" s="142" t="s">
        <v>90</v>
      </c>
      <c r="BD12"/>
      <c r="BE12" t="s">
        <v>90</v>
      </c>
      <c r="BF12" t="s">
        <v>90</v>
      </c>
      <c r="BG12" s="142" t="s">
        <v>7</v>
      </c>
      <c r="BH12" s="142" t="s">
        <v>90</v>
      </c>
      <c r="BI12" s="142" t="s">
        <v>7</v>
      </c>
      <c r="BJ12" s="142" t="s">
        <v>7</v>
      </c>
      <c r="BK12" s="142" t="s">
        <v>7</v>
      </c>
      <c r="BL12" s="142" t="s">
        <v>90</v>
      </c>
      <c r="BM12" s="142" t="s">
        <v>90</v>
      </c>
      <c r="BN12" s="142"/>
      <c r="BO12" s="142"/>
      <c r="BP12" s="142" t="s">
        <v>90</v>
      </c>
      <c r="BQ12" s="142" t="s">
        <v>90</v>
      </c>
      <c r="BR12" s="137"/>
      <c r="BS12"/>
      <c r="BT12" s="142" t="s">
        <v>90</v>
      </c>
      <c r="BU12" t="s">
        <v>90</v>
      </c>
      <c r="BV12" s="142" t="s">
        <v>90</v>
      </c>
      <c r="BW12" s="142"/>
      <c r="BX12" s="142" t="s">
        <v>90</v>
      </c>
      <c r="BY12"/>
      <c r="BZ12" s="142" t="s">
        <v>90</v>
      </c>
      <c r="CA12" s="142" t="s">
        <v>90</v>
      </c>
      <c r="CB12" s="142" t="s">
        <v>90</v>
      </c>
      <c r="CC12" s="142" t="s">
        <v>90</v>
      </c>
      <c r="CD12" s="142" t="s">
        <v>7</v>
      </c>
      <c r="CE12" s="142" t="s">
        <v>7</v>
      </c>
      <c r="CF12" s="38"/>
      <c r="CG12" s="38"/>
      <c r="CH12"/>
      <c r="CI12" s="142" t="s">
        <v>90</v>
      </c>
      <c r="CW12" s="17"/>
      <c r="DE12" s="17"/>
    </row>
    <row r="13" spans="2:109" x14ac:dyDescent="0.25">
      <c r="B13">
        <v>6</v>
      </c>
      <c r="C13" s="142" t="s">
        <v>90</v>
      </c>
      <c r="D13" s="142" t="s">
        <v>759</v>
      </c>
      <c r="E13" s="142" t="s">
        <v>758</v>
      </c>
      <c r="F13" s="38">
        <v>45230</v>
      </c>
      <c r="G13" s="142" t="s">
        <v>81</v>
      </c>
      <c r="H13" s="142" t="s">
        <v>81</v>
      </c>
      <c r="I13" s="142" t="s">
        <v>438</v>
      </c>
      <c r="J13" s="142" t="s">
        <v>104</v>
      </c>
      <c r="K13" s="142">
        <v>3.58</v>
      </c>
      <c r="L13" s="142" t="s">
        <v>142</v>
      </c>
      <c r="M13" s="142" t="s">
        <v>401</v>
      </c>
      <c r="N13" s="142" t="s">
        <v>834</v>
      </c>
      <c r="O13" s="142" t="s">
        <v>401</v>
      </c>
      <c r="P13" s="142" t="s">
        <v>7</v>
      </c>
      <c r="Q13">
        <v>0</v>
      </c>
      <c r="R13" s="142" t="s">
        <v>112</v>
      </c>
      <c r="S13">
        <v>100</v>
      </c>
      <c r="T13" s="142" t="s">
        <v>109</v>
      </c>
      <c r="U13" s="142" t="s">
        <v>231</v>
      </c>
      <c r="V13" s="142" t="s">
        <v>7</v>
      </c>
      <c r="W13" s="142" t="s">
        <v>7</v>
      </c>
      <c r="X13" s="142" t="s">
        <v>90</v>
      </c>
      <c r="Y13" s="142" t="s">
        <v>126</v>
      </c>
      <c r="Z13" s="38">
        <v>45233</v>
      </c>
      <c r="AA13" s="38">
        <v>45415</v>
      </c>
      <c r="AB13" s="38">
        <v>46329</v>
      </c>
      <c r="AC13" s="142">
        <v>0.49099999999999999</v>
      </c>
      <c r="AD13" s="142">
        <v>3.58</v>
      </c>
      <c r="AE13" s="142">
        <v>3.8420000000000001</v>
      </c>
      <c r="AF13" t="s">
        <v>808</v>
      </c>
      <c r="AG13" s="142" t="s">
        <v>230</v>
      </c>
      <c r="AH13" s="142" t="s">
        <v>7</v>
      </c>
      <c r="AI13" s="142" t="s">
        <v>90</v>
      </c>
      <c r="AJ13" t="s">
        <v>759</v>
      </c>
      <c r="AK13" t="s">
        <v>7</v>
      </c>
      <c r="AL13" t="s">
        <v>90</v>
      </c>
      <c r="AM13" t="s">
        <v>833</v>
      </c>
      <c r="AN13" s="142" t="s">
        <v>90</v>
      </c>
      <c r="AO13" s="142" t="s">
        <v>7</v>
      </c>
      <c r="AP13" s="142" t="s">
        <v>90</v>
      </c>
      <c r="AQ13" s="142" t="s">
        <v>90</v>
      </c>
      <c r="AR13" s="142" t="s">
        <v>7</v>
      </c>
      <c r="AS13" s="142" t="s">
        <v>90</v>
      </c>
      <c r="AT13" s="142" t="s">
        <v>90</v>
      </c>
      <c r="AU13" s="142" t="s">
        <v>807</v>
      </c>
      <c r="AV13" s="142" t="s">
        <v>290</v>
      </c>
      <c r="AW13" s="142" t="s">
        <v>222</v>
      </c>
      <c r="AX13" s="142" t="s">
        <v>90</v>
      </c>
      <c r="AY13" s="136"/>
      <c r="AZ13" s="142" t="s">
        <v>760</v>
      </c>
      <c r="BA13" s="142" t="s">
        <v>628</v>
      </c>
      <c r="BB13" s="38"/>
      <c r="BC13" s="142" t="s">
        <v>90</v>
      </c>
      <c r="BD13"/>
      <c r="BE13" t="s">
        <v>90</v>
      </c>
      <c r="BF13" t="s">
        <v>90</v>
      </c>
      <c r="BG13" s="142" t="s">
        <v>7</v>
      </c>
      <c r="BH13" s="142" t="s">
        <v>90</v>
      </c>
      <c r="BI13" s="142" t="s">
        <v>7</v>
      </c>
      <c r="BJ13" s="142" t="s">
        <v>7</v>
      </c>
      <c r="BK13" s="142" t="s">
        <v>7</v>
      </c>
      <c r="BL13" s="142" t="s">
        <v>90</v>
      </c>
      <c r="BM13" s="142" t="s">
        <v>90</v>
      </c>
      <c r="BN13" s="142"/>
      <c r="BO13" s="142"/>
      <c r="BP13" s="142" t="s">
        <v>90</v>
      </c>
      <c r="BQ13" s="142" t="s">
        <v>90</v>
      </c>
      <c r="BR13" s="137"/>
      <c r="BS13"/>
      <c r="BT13" s="142" t="s">
        <v>90</v>
      </c>
      <c r="BU13" t="s">
        <v>90</v>
      </c>
      <c r="BV13" s="142" t="s">
        <v>90</v>
      </c>
      <c r="BW13" s="142"/>
      <c r="BX13" s="142" t="s">
        <v>90</v>
      </c>
      <c r="BY13"/>
      <c r="BZ13" s="142" t="s">
        <v>90</v>
      </c>
      <c r="CA13" s="142" t="s">
        <v>90</v>
      </c>
      <c r="CB13" s="142" t="s">
        <v>90</v>
      </c>
      <c r="CC13" s="142" t="s">
        <v>90</v>
      </c>
      <c r="CD13" s="142" t="s">
        <v>7</v>
      </c>
      <c r="CE13" s="142" t="s">
        <v>7</v>
      </c>
      <c r="CF13" s="38"/>
      <c r="CG13" s="38"/>
      <c r="CH13"/>
      <c r="CI13" s="142" t="s">
        <v>90</v>
      </c>
      <c r="CW13" s="17"/>
      <c r="DE13" s="17"/>
    </row>
    <row r="14" spans="2:109" x14ac:dyDescent="0.25">
      <c r="B14">
        <v>5</v>
      </c>
      <c r="C14" s="142" t="s">
        <v>90</v>
      </c>
      <c r="D14" s="142" t="s">
        <v>754</v>
      </c>
      <c r="E14" s="142" t="s">
        <v>753</v>
      </c>
      <c r="F14" s="38">
        <v>45230</v>
      </c>
      <c r="G14" s="142" t="s">
        <v>81</v>
      </c>
      <c r="H14" s="142" t="s">
        <v>81</v>
      </c>
      <c r="I14" s="142" t="s">
        <v>440</v>
      </c>
      <c r="J14" s="142" t="s">
        <v>83</v>
      </c>
      <c r="K14" s="142">
        <v>1.7</v>
      </c>
      <c r="L14" s="142" t="s">
        <v>735</v>
      </c>
      <c r="M14" s="142" t="s">
        <v>796</v>
      </c>
      <c r="N14" s="142" t="s">
        <v>836</v>
      </c>
      <c r="O14" s="142" t="s">
        <v>796</v>
      </c>
      <c r="P14" s="142" t="s">
        <v>7</v>
      </c>
      <c r="Q14">
        <v>10</v>
      </c>
      <c r="R14" s="142" t="s">
        <v>112</v>
      </c>
      <c r="S14">
        <v>100</v>
      </c>
      <c r="T14" s="142" t="s">
        <v>38</v>
      </c>
      <c r="U14" s="142" t="s">
        <v>835</v>
      </c>
      <c r="V14" s="142" t="s">
        <v>141</v>
      </c>
      <c r="W14" s="142" t="s">
        <v>7</v>
      </c>
      <c r="X14" s="142" t="s">
        <v>90</v>
      </c>
      <c r="Y14" s="142" t="s">
        <v>126</v>
      </c>
      <c r="Z14" s="38">
        <v>45237</v>
      </c>
      <c r="AA14" s="38">
        <v>45419</v>
      </c>
      <c r="AB14" s="38">
        <v>45601</v>
      </c>
      <c r="AC14" s="142">
        <v>1.7</v>
      </c>
      <c r="AD14" s="142">
        <v>12.398</v>
      </c>
      <c r="AE14" s="142">
        <v>13.311999999999999</v>
      </c>
      <c r="AF14" t="s">
        <v>789</v>
      </c>
      <c r="AG14" s="142" t="s">
        <v>421</v>
      </c>
      <c r="AH14" s="142" t="s">
        <v>7</v>
      </c>
      <c r="AI14" s="142" t="s">
        <v>90</v>
      </c>
      <c r="AJ14" t="s">
        <v>790</v>
      </c>
      <c r="AK14" t="s">
        <v>754</v>
      </c>
      <c r="AL14" t="s">
        <v>90</v>
      </c>
      <c r="AM14" t="s">
        <v>7</v>
      </c>
      <c r="AN14" s="142" t="s">
        <v>90</v>
      </c>
      <c r="AO14" s="142" t="s">
        <v>7</v>
      </c>
      <c r="AP14" s="142" t="s">
        <v>90</v>
      </c>
      <c r="AQ14" s="142" t="s">
        <v>837</v>
      </c>
      <c r="AR14" s="142" t="s">
        <v>7</v>
      </c>
      <c r="AS14" s="142" t="s">
        <v>90</v>
      </c>
      <c r="AT14" s="142" t="s">
        <v>90</v>
      </c>
      <c r="AU14" s="142" t="s">
        <v>788</v>
      </c>
      <c r="AV14" s="142" t="s">
        <v>290</v>
      </c>
      <c r="AW14" s="142" t="s">
        <v>222</v>
      </c>
      <c r="AX14" s="142" t="s">
        <v>90</v>
      </c>
      <c r="AY14" s="136"/>
      <c r="AZ14" s="142" t="s">
        <v>755</v>
      </c>
      <c r="BA14" s="142" t="s">
        <v>628</v>
      </c>
      <c r="BB14" s="38"/>
      <c r="BC14" s="142" t="s">
        <v>90</v>
      </c>
      <c r="BD14"/>
      <c r="BE14" t="s">
        <v>90</v>
      </c>
      <c r="BF14" t="s">
        <v>90</v>
      </c>
      <c r="BG14" s="142" t="s">
        <v>7</v>
      </c>
      <c r="BH14" s="142" t="s">
        <v>90</v>
      </c>
      <c r="BI14" s="142" t="s">
        <v>7</v>
      </c>
      <c r="BJ14" s="142" t="s">
        <v>7</v>
      </c>
      <c r="BK14" s="142" t="s">
        <v>7</v>
      </c>
      <c r="BL14" s="142" t="s">
        <v>90</v>
      </c>
      <c r="BM14" s="142" t="s">
        <v>90</v>
      </c>
      <c r="BN14" s="142"/>
      <c r="BO14" s="142"/>
      <c r="BP14" s="142" t="s">
        <v>90</v>
      </c>
      <c r="BQ14" s="142" t="s">
        <v>90</v>
      </c>
      <c r="BR14" s="137"/>
      <c r="BS14"/>
      <c r="BT14" s="142" t="s">
        <v>90</v>
      </c>
      <c r="BU14" t="s">
        <v>90</v>
      </c>
      <c r="BV14" s="142" t="s">
        <v>90</v>
      </c>
      <c r="BW14" s="142"/>
      <c r="BX14" s="142" t="s">
        <v>90</v>
      </c>
      <c r="BY14"/>
      <c r="BZ14" s="142" t="s">
        <v>90</v>
      </c>
      <c r="CA14" s="142" t="s">
        <v>90</v>
      </c>
      <c r="CB14" s="142" t="s">
        <v>90</v>
      </c>
      <c r="CC14" s="142" t="s">
        <v>90</v>
      </c>
      <c r="CD14" s="142" t="s">
        <v>7</v>
      </c>
      <c r="CE14" s="142" t="s">
        <v>7</v>
      </c>
      <c r="CF14" s="38"/>
      <c r="CG14" s="38"/>
      <c r="CH14"/>
      <c r="CI14" s="142" t="s">
        <v>90</v>
      </c>
      <c r="CW14" s="17"/>
      <c r="DE14" s="17"/>
    </row>
    <row r="15" spans="2:109" x14ac:dyDescent="0.25">
      <c r="B15">
        <v>4</v>
      </c>
      <c r="C15" s="142" t="s">
        <v>90</v>
      </c>
      <c r="D15" s="142" t="s">
        <v>754</v>
      </c>
      <c r="E15" s="142" t="s">
        <v>756</v>
      </c>
      <c r="F15" s="38">
        <v>45230</v>
      </c>
      <c r="G15" s="142" t="s">
        <v>81</v>
      </c>
      <c r="H15" s="142" t="s">
        <v>81</v>
      </c>
      <c r="I15" s="142" t="s">
        <v>440</v>
      </c>
      <c r="J15" s="142" t="s">
        <v>104</v>
      </c>
      <c r="K15" s="142">
        <v>9</v>
      </c>
      <c r="L15" s="142" t="s">
        <v>735</v>
      </c>
      <c r="M15" s="142" t="s">
        <v>785</v>
      </c>
      <c r="N15" s="142" t="s">
        <v>834</v>
      </c>
      <c r="O15" s="142" t="s">
        <v>785</v>
      </c>
      <c r="P15" s="142" t="s">
        <v>7</v>
      </c>
      <c r="Q15">
        <v>50</v>
      </c>
      <c r="R15" s="142" t="s">
        <v>112</v>
      </c>
      <c r="S15">
        <v>100</v>
      </c>
      <c r="T15" s="142" t="s">
        <v>38</v>
      </c>
      <c r="U15" s="142" t="s">
        <v>835</v>
      </c>
      <c r="V15" s="142" t="s">
        <v>7</v>
      </c>
      <c r="W15" s="142" t="s">
        <v>7</v>
      </c>
      <c r="X15" s="142" t="s">
        <v>90</v>
      </c>
      <c r="Y15" s="142" t="s">
        <v>126</v>
      </c>
      <c r="Z15" s="38">
        <v>45237</v>
      </c>
      <c r="AA15" s="38">
        <v>45419</v>
      </c>
      <c r="AB15" s="38">
        <v>45601</v>
      </c>
      <c r="AC15" s="142">
        <v>1.234</v>
      </c>
      <c r="AD15" s="142">
        <v>9</v>
      </c>
      <c r="AE15" s="142">
        <v>9.66</v>
      </c>
      <c r="AF15" t="s">
        <v>789</v>
      </c>
      <c r="AG15" s="142" t="s">
        <v>421</v>
      </c>
      <c r="AH15" s="142" t="s">
        <v>7</v>
      </c>
      <c r="AI15" s="142" t="s">
        <v>90</v>
      </c>
      <c r="AJ15" t="s">
        <v>790</v>
      </c>
      <c r="AK15" t="s">
        <v>754</v>
      </c>
      <c r="AL15" t="s">
        <v>90</v>
      </c>
      <c r="AM15" t="s">
        <v>7</v>
      </c>
      <c r="AN15" s="142" t="s">
        <v>90</v>
      </c>
      <c r="AO15" s="142" t="s">
        <v>7</v>
      </c>
      <c r="AP15" s="142" t="s">
        <v>90</v>
      </c>
      <c r="AQ15" s="142" t="s">
        <v>837</v>
      </c>
      <c r="AR15" s="142" t="s">
        <v>7</v>
      </c>
      <c r="AS15" s="142" t="s">
        <v>90</v>
      </c>
      <c r="AT15" s="142" t="s">
        <v>90</v>
      </c>
      <c r="AU15" s="142" t="s">
        <v>788</v>
      </c>
      <c r="AV15" s="142" t="s">
        <v>290</v>
      </c>
      <c r="AW15" s="142" t="s">
        <v>222</v>
      </c>
      <c r="AX15" s="142" t="s">
        <v>90</v>
      </c>
      <c r="AY15" s="136"/>
      <c r="AZ15" s="142" t="s">
        <v>757</v>
      </c>
      <c r="BA15" s="142" t="s">
        <v>628</v>
      </c>
      <c r="BB15" s="38"/>
      <c r="BC15" s="142" t="s">
        <v>90</v>
      </c>
      <c r="BD15"/>
      <c r="BE15" t="s">
        <v>90</v>
      </c>
      <c r="BF15" t="s">
        <v>90</v>
      </c>
      <c r="BG15" s="142" t="s">
        <v>7</v>
      </c>
      <c r="BH15" s="142" t="s">
        <v>90</v>
      </c>
      <c r="BI15" s="142" t="s">
        <v>7</v>
      </c>
      <c r="BJ15" s="142" t="s">
        <v>7</v>
      </c>
      <c r="BK15" s="142" t="s">
        <v>7</v>
      </c>
      <c r="BL15" s="142" t="s">
        <v>90</v>
      </c>
      <c r="BM15" s="142" t="s">
        <v>90</v>
      </c>
      <c r="BN15" s="142"/>
      <c r="BO15" s="142"/>
      <c r="BP15" s="142" t="s">
        <v>90</v>
      </c>
      <c r="BQ15" s="142" t="s">
        <v>90</v>
      </c>
      <c r="BR15" s="137"/>
      <c r="BS15"/>
      <c r="BT15" s="142" t="s">
        <v>90</v>
      </c>
      <c r="BU15" t="s">
        <v>90</v>
      </c>
      <c r="BV15" s="142" t="s">
        <v>90</v>
      </c>
      <c r="BW15" s="142"/>
      <c r="BX15" s="142" t="s">
        <v>90</v>
      </c>
      <c r="BY15"/>
      <c r="BZ15" s="142" t="s">
        <v>90</v>
      </c>
      <c r="CA15" s="142" t="s">
        <v>90</v>
      </c>
      <c r="CB15" s="142" t="s">
        <v>90</v>
      </c>
      <c r="CC15" s="142" t="s">
        <v>90</v>
      </c>
      <c r="CD15" s="142" t="s">
        <v>7</v>
      </c>
      <c r="CE15" s="142" t="s">
        <v>7</v>
      </c>
      <c r="CF15" s="38"/>
      <c r="CG15" s="38"/>
      <c r="CH15"/>
      <c r="CI15" s="142" t="s">
        <v>90</v>
      </c>
    </row>
    <row r="16" spans="2:109" x14ac:dyDescent="0.25">
      <c r="B16">
        <v>3</v>
      </c>
      <c r="C16" s="142" t="s">
        <v>90</v>
      </c>
      <c r="D16" s="142" t="s">
        <v>766</v>
      </c>
      <c r="E16" s="142" t="s">
        <v>765</v>
      </c>
      <c r="F16" s="38">
        <v>45229</v>
      </c>
      <c r="G16" s="142" t="s">
        <v>81</v>
      </c>
      <c r="H16" s="142" t="s">
        <v>922</v>
      </c>
      <c r="I16" s="142" t="s">
        <v>372</v>
      </c>
      <c r="J16" s="142" t="s">
        <v>108</v>
      </c>
      <c r="K16" s="142">
        <v>1.08</v>
      </c>
      <c r="L16" s="142" t="s">
        <v>735</v>
      </c>
      <c r="M16" s="142" t="s">
        <v>838</v>
      </c>
      <c r="N16" s="142" t="s">
        <v>7</v>
      </c>
      <c r="O16" s="142" t="s">
        <v>838</v>
      </c>
      <c r="P16" s="142" t="s">
        <v>7</v>
      </c>
      <c r="Q16" t="s">
        <v>7</v>
      </c>
      <c r="R16" s="142" t="s">
        <v>112</v>
      </c>
      <c r="S16">
        <v>100</v>
      </c>
      <c r="T16" s="142" t="s">
        <v>39</v>
      </c>
      <c r="U16" s="142" t="s">
        <v>261</v>
      </c>
      <c r="V16" s="142" t="s">
        <v>7</v>
      </c>
      <c r="W16" s="142" t="s">
        <v>7</v>
      </c>
      <c r="X16" s="142" t="s">
        <v>90</v>
      </c>
      <c r="Y16" s="142" t="s">
        <v>90</v>
      </c>
      <c r="Z16" s="38">
        <v>45233</v>
      </c>
      <c r="AA16" s="38">
        <v>45597</v>
      </c>
      <c r="AB16" s="38">
        <v>45597</v>
      </c>
      <c r="AC16" s="142">
        <v>1.1419999999999999</v>
      </c>
      <c r="AD16" s="142">
        <v>8.3290000000000006</v>
      </c>
      <c r="AE16" s="142">
        <v>8.9420000000000002</v>
      </c>
      <c r="AF16" t="s">
        <v>827</v>
      </c>
      <c r="AG16" s="142" t="s">
        <v>850</v>
      </c>
      <c r="AH16" s="142" t="s">
        <v>7</v>
      </c>
      <c r="AI16" s="142" t="s">
        <v>90</v>
      </c>
      <c r="AJ16" t="s">
        <v>828</v>
      </c>
      <c r="AK16" t="s">
        <v>7</v>
      </c>
      <c r="AL16" t="s">
        <v>766</v>
      </c>
      <c r="AM16" t="s">
        <v>7</v>
      </c>
      <c r="AN16" s="142" t="s">
        <v>90</v>
      </c>
      <c r="AO16" s="142" t="s">
        <v>7</v>
      </c>
      <c r="AP16" s="142" t="s">
        <v>90</v>
      </c>
      <c r="AQ16" s="142" t="s">
        <v>837</v>
      </c>
      <c r="AR16" s="142" t="s">
        <v>7</v>
      </c>
      <c r="AS16" s="142" t="s">
        <v>90</v>
      </c>
      <c r="AT16" s="142" t="s">
        <v>90</v>
      </c>
      <c r="AU16" s="142" t="s">
        <v>90</v>
      </c>
      <c r="AV16" s="142" t="s">
        <v>290</v>
      </c>
      <c r="AW16" s="142" t="s">
        <v>222</v>
      </c>
      <c r="AX16" s="142" t="s">
        <v>90</v>
      </c>
      <c r="AY16" s="136"/>
      <c r="AZ16" s="142" t="s">
        <v>767</v>
      </c>
      <c r="BA16" s="142" t="s">
        <v>628</v>
      </c>
      <c r="BB16" s="38"/>
      <c r="BC16" s="142" t="s">
        <v>90</v>
      </c>
      <c r="BD16"/>
      <c r="BE16" t="s">
        <v>90</v>
      </c>
      <c r="BF16" t="s">
        <v>90</v>
      </c>
      <c r="BG16" s="142" t="s">
        <v>7</v>
      </c>
      <c r="BH16" s="142" t="s">
        <v>90</v>
      </c>
      <c r="BI16" s="142" t="s">
        <v>7</v>
      </c>
      <c r="BJ16" s="142" t="s">
        <v>7</v>
      </c>
      <c r="BK16" s="142" t="s">
        <v>7</v>
      </c>
      <c r="BL16" s="142" t="s">
        <v>90</v>
      </c>
      <c r="BM16" s="142" t="s">
        <v>90</v>
      </c>
      <c r="BN16" s="142"/>
      <c r="BO16" s="142"/>
      <c r="BP16" s="142" t="s">
        <v>90</v>
      </c>
      <c r="BQ16" s="142" t="s">
        <v>90</v>
      </c>
      <c r="BR16" s="137"/>
      <c r="BS16"/>
      <c r="BT16" s="142" t="s">
        <v>90</v>
      </c>
      <c r="BU16" t="s">
        <v>90</v>
      </c>
      <c r="BV16" s="142" t="s">
        <v>90</v>
      </c>
      <c r="BW16" s="142"/>
      <c r="BX16" s="142" t="s">
        <v>90</v>
      </c>
      <c r="BY16"/>
      <c r="BZ16" s="142" t="s">
        <v>90</v>
      </c>
      <c r="CA16" s="142" t="s">
        <v>90</v>
      </c>
      <c r="CB16" s="142" t="s">
        <v>90</v>
      </c>
      <c r="CC16" s="142" t="s">
        <v>90</v>
      </c>
      <c r="CD16" s="142" t="s">
        <v>7</v>
      </c>
      <c r="CE16" s="142" t="s">
        <v>7</v>
      </c>
      <c r="CF16" s="38"/>
      <c r="CG16" s="38"/>
      <c r="CH16"/>
      <c r="CI16" s="142" t="s">
        <v>90</v>
      </c>
    </row>
    <row r="17" spans="2:87" x14ac:dyDescent="0.25">
      <c r="B17">
        <v>2</v>
      </c>
      <c r="C17" s="142" t="s">
        <v>636</v>
      </c>
      <c r="D17" s="142" t="s">
        <v>630</v>
      </c>
      <c r="E17" s="142" t="s">
        <v>763</v>
      </c>
      <c r="F17" s="38">
        <v>45229</v>
      </c>
      <c r="G17" s="142" t="s">
        <v>81</v>
      </c>
      <c r="H17" s="142" t="s">
        <v>90</v>
      </c>
      <c r="I17" s="142" t="s">
        <v>7</v>
      </c>
      <c r="J17" s="142" t="s">
        <v>83</v>
      </c>
      <c r="K17" s="142">
        <v>1.2E-2</v>
      </c>
      <c r="L17" s="142" t="s">
        <v>644</v>
      </c>
      <c r="M17" s="142" t="s">
        <v>90</v>
      </c>
      <c r="N17" s="142" t="s">
        <v>7</v>
      </c>
      <c r="O17" s="142" t="s">
        <v>7</v>
      </c>
      <c r="P17" s="142" t="s">
        <v>7</v>
      </c>
      <c r="Q17" t="s">
        <v>7</v>
      </c>
      <c r="R17" s="142" t="s">
        <v>90</v>
      </c>
      <c r="S17"/>
      <c r="T17" s="142" t="s">
        <v>90</v>
      </c>
      <c r="U17" s="142" t="s">
        <v>7</v>
      </c>
      <c r="V17" s="142" t="s">
        <v>7</v>
      </c>
      <c r="W17" s="142" t="s">
        <v>7</v>
      </c>
      <c r="X17" s="142" t="s">
        <v>90</v>
      </c>
      <c r="Y17" s="142" t="s">
        <v>90</v>
      </c>
      <c r="Z17" s="38"/>
      <c r="AA17" s="38"/>
      <c r="AB17" s="38"/>
      <c r="AC17" s="142">
        <v>1.2E-2</v>
      </c>
      <c r="AD17" s="142"/>
      <c r="AE17" s="142"/>
      <c r="AF17" t="s">
        <v>90</v>
      </c>
      <c r="AG17" s="142" t="s">
        <v>90</v>
      </c>
      <c r="AH17" s="142" t="s">
        <v>7</v>
      </c>
      <c r="AI17" s="142" t="s">
        <v>90</v>
      </c>
      <c r="AJ17" t="s">
        <v>90</v>
      </c>
      <c r="AK17" t="s">
        <v>7</v>
      </c>
      <c r="AL17" t="s">
        <v>90</v>
      </c>
      <c r="AM17" t="s">
        <v>7</v>
      </c>
      <c r="AN17" s="142" t="s">
        <v>90</v>
      </c>
      <c r="AO17" s="142" t="s">
        <v>90</v>
      </c>
      <c r="AP17" s="142" t="s">
        <v>90</v>
      </c>
      <c r="AQ17" s="142" t="s">
        <v>90</v>
      </c>
      <c r="AR17" s="142" t="s">
        <v>7</v>
      </c>
      <c r="AS17" s="142" t="s">
        <v>90</v>
      </c>
      <c r="AT17" s="142" t="s">
        <v>90</v>
      </c>
      <c r="AU17" s="142" t="s">
        <v>90</v>
      </c>
      <c r="AV17" s="142" t="s">
        <v>90</v>
      </c>
      <c r="AW17" s="142" t="s">
        <v>90</v>
      </c>
      <c r="AX17" s="142" t="s">
        <v>90</v>
      </c>
      <c r="AY17" s="136"/>
      <c r="AZ17" s="142" t="s">
        <v>764</v>
      </c>
      <c r="BA17" s="142" t="s">
        <v>90</v>
      </c>
      <c r="BB17" s="38"/>
      <c r="BC17" s="142" t="s">
        <v>90</v>
      </c>
      <c r="BD17"/>
      <c r="BE17" t="s">
        <v>90</v>
      </c>
      <c r="BF17" t="s">
        <v>90</v>
      </c>
      <c r="BG17" s="142" t="s">
        <v>7</v>
      </c>
      <c r="BH17" s="142" t="s">
        <v>90</v>
      </c>
      <c r="BI17" s="142" t="s">
        <v>7</v>
      </c>
      <c r="BJ17" s="142" t="s">
        <v>7</v>
      </c>
      <c r="BK17" s="142" t="s">
        <v>7</v>
      </c>
      <c r="BL17" s="142" t="s">
        <v>90</v>
      </c>
      <c r="BM17" s="142" t="s">
        <v>90</v>
      </c>
      <c r="BN17" s="142"/>
      <c r="BO17" s="142"/>
      <c r="BP17" s="142" t="s">
        <v>90</v>
      </c>
      <c r="BQ17" s="142" t="s">
        <v>90</v>
      </c>
      <c r="BR17" s="137"/>
      <c r="BS17"/>
      <c r="BT17" s="142" t="s">
        <v>90</v>
      </c>
      <c r="BU17" t="s">
        <v>90</v>
      </c>
      <c r="BV17" s="142" t="s">
        <v>90</v>
      </c>
      <c r="BW17" s="142"/>
      <c r="BX17" s="142" t="s">
        <v>90</v>
      </c>
      <c r="BY17" t="s">
        <v>628</v>
      </c>
      <c r="BZ17" s="142" t="s">
        <v>90</v>
      </c>
      <c r="CA17" s="142" t="s">
        <v>90</v>
      </c>
      <c r="CB17" s="142" t="s">
        <v>90</v>
      </c>
      <c r="CC17" s="142" t="s">
        <v>90</v>
      </c>
      <c r="CD17" s="142" t="s">
        <v>7</v>
      </c>
      <c r="CE17" s="142" t="s">
        <v>7</v>
      </c>
      <c r="CF17" s="38"/>
      <c r="CG17" s="38"/>
      <c r="CH17"/>
      <c r="CI17" s="142" t="s">
        <v>90</v>
      </c>
    </row>
    <row r="18" spans="2:87" x14ac:dyDescent="0.25">
      <c r="B18">
        <v>1</v>
      </c>
      <c r="C18" s="142" t="s">
        <v>636</v>
      </c>
      <c r="D18" s="142" t="s">
        <v>630</v>
      </c>
      <c r="E18" s="142" t="s">
        <v>761</v>
      </c>
      <c r="F18" s="38">
        <v>45229</v>
      </c>
      <c r="G18" s="142" t="s">
        <v>81</v>
      </c>
      <c r="H18" s="142" t="s">
        <v>90</v>
      </c>
      <c r="I18" s="142" t="s">
        <v>7</v>
      </c>
      <c r="J18" s="142" t="s">
        <v>83</v>
      </c>
      <c r="K18" s="142">
        <v>7.0000000000000001E-3</v>
      </c>
      <c r="L18" s="142" t="s">
        <v>736</v>
      </c>
      <c r="M18" s="142" t="s">
        <v>90</v>
      </c>
      <c r="N18" s="142" t="s">
        <v>7</v>
      </c>
      <c r="O18" s="142" t="s">
        <v>7</v>
      </c>
      <c r="P18" s="142" t="s">
        <v>7</v>
      </c>
      <c r="Q18" t="s">
        <v>7</v>
      </c>
      <c r="R18" s="142" t="s">
        <v>90</v>
      </c>
      <c r="S18"/>
      <c r="T18" s="142" t="s">
        <v>90</v>
      </c>
      <c r="U18" s="142" t="s">
        <v>7</v>
      </c>
      <c r="V18" s="142" t="s">
        <v>7</v>
      </c>
      <c r="W18" s="142" t="s">
        <v>7</v>
      </c>
      <c r="X18" s="142" t="s">
        <v>90</v>
      </c>
      <c r="Y18" s="142" t="s">
        <v>90</v>
      </c>
      <c r="Z18" s="38"/>
      <c r="AA18" s="38"/>
      <c r="AB18" s="38"/>
      <c r="AC18" s="142">
        <v>7.0000000000000001E-3</v>
      </c>
      <c r="AD18" s="142"/>
      <c r="AE18" s="142"/>
      <c r="AF18" t="s">
        <v>90</v>
      </c>
      <c r="AG18" s="142" t="s">
        <v>90</v>
      </c>
      <c r="AH18" s="142" t="s">
        <v>7</v>
      </c>
      <c r="AI18" s="142" t="s">
        <v>90</v>
      </c>
      <c r="AJ18" t="s">
        <v>90</v>
      </c>
      <c r="AK18" t="s">
        <v>7</v>
      </c>
      <c r="AL18" t="s">
        <v>90</v>
      </c>
      <c r="AM18" t="s">
        <v>7</v>
      </c>
      <c r="AN18" s="142" t="s">
        <v>90</v>
      </c>
      <c r="AO18" s="142" t="s">
        <v>90</v>
      </c>
      <c r="AP18" s="142" t="s">
        <v>90</v>
      </c>
      <c r="AQ18" s="142" t="s">
        <v>90</v>
      </c>
      <c r="AR18" s="142" t="s">
        <v>7</v>
      </c>
      <c r="AS18" s="142" t="s">
        <v>90</v>
      </c>
      <c r="AT18" s="142" t="s">
        <v>90</v>
      </c>
      <c r="AU18" s="142" t="s">
        <v>90</v>
      </c>
      <c r="AV18" s="142" t="s">
        <v>90</v>
      </c>
      <c r="AW18" s="142" t="s">
        <v>90</v>
      </c>
      <c r="AX18" s="142" t="s">
        <v>90</v>
      </c>
      <c r="AY18" s="136"/>
      <c r="AZ18" s="142" t="s">
        <v>762</v>
      </c>
      <c r="BA18" s="142" t="s">
        <v>90</v>
      </c>
      <c r="BB18" s="38"/>
      <c r="BC18" s="142" t="s">
        <v>90</v>
      </c>
      <c r="BD18"/>
      <c r="BE18" t="s">
        <v>90</v>
      </c>
      <c r="BF18" t="s">
        <v>90</v>
      </c>
      <c r="BG18" s="142" t="s">
        <v>7</v>
      </c>
      <c r="BH18" s="142" t="s">
        <v>90</v>
      </c>
      <c r="BI18" s="142" t="s">
        <v>7</v>
      </c>
      <c r="BJ18" s="142" t="s">
        <v>7</v>
      </c>
      <c r="BK18" s="142" t="s">
        <v>7</v>
      </c>
      <c r="BL18" s="142" t="s">
        <v>90</v>
      </c>
      <c r="BM18" s="142" t="s">
        <v>90</v>
      </c>
      <c r="BN18" s="142"/>
      <c r="BO18" s="142"/>
      <c r="BP18" s="142" t="s">
        <v>90</v>
      </c>
      <c r="BQ18" s="142" t="s">
        <v>90</v>
      </c>
      <c r="BR18" s="137"/>
      <c r="BS18"/>
      <c r="BT18" s="142" t="s">
        <v>90</v>
      </c>
      <c r="BU18" t="s">
        <v>90</v>
      </c>
      <c r="BV18" s="142" t="s">
        <v>90</v>
      </c>
      <c r="BW18" s="142"/>
      <c r="BX18" s="142" t="s">
        <v>90</v>
      </c>
      <c r="BY18" t="s">
        <v>628</v>
      </c>
      <c r="BZ18" s="142" t="s">
        <v>90</v>
      </c>
      <c r="CA18" s="142" t="s">
        <v>90</v>
      </c>
      <c r="CB18" s="142" t="s">
        <v>90</v>
      </c>
      <c r="CC18" s="142" t="s">
        <v>90</v>
      </c>
      <c r="CD18" s="142" t="s">
        <v>7</v>
      </c>
      <c r="CE18" s="142" t="s">
        <v>7</v>
      </c>
      <c r="CF18" s="38"/>
      <c r="CG18" s="38"/>
      <c r="CH18"/>
      <c r="CI18" s="142" t="s">
        <v>90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_All">
                <anchor moveWithCells="1">
                  <from>
                    <xdr:col>1</xdr:col>
                    <xdr:colOff>171450</xdr:colOff>
                    <xdr:row>0</xdr:row>
                    <xdr:rowOff>57150</xdr:rowOff>
                  </from>
                  <to>
                    <xdr:col>3</xdr:col>
                    <xdr:colOff>1562100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N14"/>
  <sheetViews>
    <sheetView workbookViewId="0">
      <selection activeCell="C12" sqref="C12"/>
    </sheetView>
  </sheetViews>
  <sheetFormatPr defaultRowHeight="15" x14ac:dyDescent="0.25"/>
  <cols>
    <col min="1" max="1" width="7.33203125" style="1" bestFit="1" customWidth="1"/>
    <col min="2" max="2" width="11.109375" style="1" bestFit="1" customWidth="1"/>
    <col min="3" max="3" width="34.44140625" style="1" bestFit="1" customWidth="1"/>
    <col min="4" max="4" width="13.88671875" style="1" bestFit="1" customWidth="1"/>
    <col min="5" max="5" width="10.33203125" style="1" bestFit="1" customWidth="1"/>
    <col min="6" max="7" width="9.44140625" style="1" bestFit="1" customWidth="1"/>
    <col min="8" max="8" width="12.77734375" style="1" bestFit="1" customWidth="1"/>
    <col min="9" max="9" width="6.109375" style="1" bestFit="1" customWidth="1"/>
    <col min="10" max="10" width="12.21875" style="1" bestFit="1" customWidth="1"/>
    <col min="11" max="11" width="6.33203125" style="1" bestFit="1" customWidth="1"/>
    <col min="12" max="12" width="6.109375" style="1" bestFit="1" customWidth="1"/>
    <col min="13" max="13" width="8" style="1" bestFit="1" customWidth="1"/>
    <col min="14" max="14" width="7.109375" style="1" bestFit="1" customWidth="1"/>
    <col min="15" max="15" width="6.109375" style="1" bestFit="1" customWidth="1"/>
    <col min="16" max="17" width="9.44140625" style="1" bestFit="1" customWidth="1"/>
    <col min="18" max="18" width="7.77734375" style="1" bestFit="1" customWidth="1"/>
    <col min="19" max="19" width="8.88671875" style="1" bestFit="1" customWidth="1"/>
    <col min="20" max="20" width="11.33203125" style="1" bestFit="1" customWidth="1"/>
    <col min="21" max="22" width="11.109375" style="1" bestFit="1" customWidth="1"/>
    <col min="23" max="24" width="9.44140625" style="1" bestFit="1" customWidth="1"/>
    <col min="25" max="25" width="10.33203125" style="1" bestFit="1" customWidth="1"/>
    <col min="26" max="26" width="11.109375" style="1" bestFit="1" customWidth="1"/>
    <col min="27" max="27" width="10.33203125" style="1" bestFit="1" customWidth="1"/>
    <col min="28" max="28" width="7.77734375" style="1" bestFit="1" customWidth="1"/>
    <col min="29" max="29" width="7" style="1" bestFit="1" customWidth="1"/>
    <col min="30" max="30" width="7.77734375" style="1" bestFit="1" customWidth="1"/>
    <col min="31" max="31" width="8.88671875" style="1" bestFit="1" customWidth="1"/>
    <col min="32" max="32" width="11.109375" style="1" bestFit="1" customWidth="1"/>
    <col min="33" max="33" width="14.44140625" style="1" bestFit="1" customWidth="1"/>
    <col min="34" max="34" width="9.44140625" style="1" bestFit="1" customWidth="1"/>
    <col min="35" max="35" width="49.6640625" style="1" bestFit="1" customWidth="1"/>
    <col min="36" max="36" width="28.109375" style="1" bestFit="1" customWidth="1"/>
    <col min="37" max="37" width="26.44140625" style="1" bestFit="1" customWidth="1"/>
    <col min="38" max="38" width="7.77734375" style="1" bestFit="1" customWidth="1"/>
    <col min="39" max="39" width="5.88671875" style="1" bestFit="1" customWidth="1"/>
    <col min="40" max="40" width="9.44140625" style="1" bestFit="1" customWidth="1"/>
    <col min="41" max="41" width="6.109375" style="1" bestFit="1" customWidth="1"/>
    <col min="42" max="42" width="9.44140625" style="1" bestFit="1" customWidth="1"/>
    <col min="43" max="43" width="10.21875" style="1" bestFit="1" customWidth="1"/>
    <col min="44" max="44" width="12.6640625" style="1" bestFit="1" customWidth="1"/>
    <col min="45" max="45" width="6.77734375" style="1" bestFit="1" customWidth="1"/>
    <col min="46" max="46" width="80.88671875" style="1" bestFit="1" customWidth="1"/>
    <col min="47" max="47" width="9.44140625" style="1" bestFit="1" customWidth="1"/>
    <col min="48" max="48" width="12.21875" style="1" bestFit="1" customWidth="1"/>
    <col min="49" max="49" width="9.5546875" style="1" bestFit="1" customWidth="1"/>
    <col min="50" max="50" width="11.77734375" style="1" bestFit="1" customWidth="1"/>
    <col min="51" max="51" width="20" style="1" bestFit="1" customWidth="1"/>
    <col min="52" max="52" width="10.77734375" style="1" bestFit="1" customWidth="1"/>
    <col min="53" max="53" width="17.44140625" style="1" bestFit="1" customWidth="1"/>
    <col min="54" max="54" width="20.109375" style="1" customWidth="1"/>
    <col min="55" max="55" width="11.5546875" style="1" bestFit="1" customWidth="1"/>
    <col min="56" max="57" width="17.33203125" style="1" bestFit="1" customWidth="1"/>
    <col min="58" max="58" width="9.21875" style="1" bestFit="1" customWidth="1"/>
    <col min="59" max="59" width="15.21875" style="1" bestFit="1" customWidth="1"/>
    <col min="60" max="60" width="13.44140625" style="1" bestFit="1" customWidth="1"/>
    <col min="61" max="61" width="11.109375" style="1" bestFit="1" customWidth="1"/>
    <col min="62" max="63" width="10.88671875" style="1" bestFit="1" customWidth="1"/>
    <col min="64" max="64" width="9.21875" style="1" bestFit="1" customWidth="1"/>
    <col min="65" max="65" width="8.77734375" style="1" bestFit="1" customWidth="1"/>
    <col min="66" max="66" width="9.21875" style="1" bestFit="1" customWidth="1"/>
    <col min="67" max="67" width="14.6640625" style="1" bestFit="1" customWidth="1"/>
    <col min="68" max="68" width="9.21875" style="1" bestFit="1" customWidth="1"/>
    <col min="69" max="69" width="8.5546875" style="1" bestFit="1" customWidth="1"/>
    <col min="70" max="70" width="9.33203125" style="1" bestFit="1" customWidth="1"/>
    <col min="71" max="71" width="9.21875" style="1" bestFit="1" customWidth="1"/>
    <col min="72" max="72" width="10.109375" style="1" bestFit="1" customWidth="1"/>
    <col min="73" max="73" width="10.33203125" style="1" bestFit="1" customWidth="1"/>
    <col min="74" max="74" width="15.109375" style="1" bestFit="1" customWidth="1"/>
    <col min="75" max="75" width="10.33203125" style="1" bestFit="1" customWidth="1"/>
    <col min="76" max="76" width="5.88671875" style="1" bestFit="1" customWidth="1"/>
    <col min="77" max="77" width="9.21875" style="1" bestFit="1" customWidth="1"/>
    <col min="78" max="78" width="10.33203125" style="1" bestFit="1" customWidth="1"/>
    <col min="79" max="79" width="14.44140625" style="1" bestFit="1" customWidth="1"/>
    <col min="80" max="80" width="16.109375" style="1" bestFit="1" customWidth="1"/>
    <col min="81" max="81" width="20.6640625" style="1" bestFit="1" customWidth="1"/>
    <col min="82" max="82" width="18.88671875" style="1" bestFit="1" customWidth="1"/>
    <col min="83" max="83" width="27.109375" style="1" bestFit="1" customWidth="1"/>
    <col min="84" max="16384" width="8.88671875" style="1"/>
  </cols>
  <sheetData>
    <row r="1" spans="1:66" ht="39.75" customHeight="1" x14ac:dyDescent="0.25"/>
    <row r="2" spans="1:66" ht="39.75" customHeight="1" x14ac:dyDescent="0.25"/>
    <row r="3" spans="1:66" ht="39.75" customHeight="1" x14ac:dyDescent="0.25"/>
    <row r="4" spans="1:66" x14ac:dyDescent="0.25">
      <c r="A4" t="s">
        <v>84</v>
      </c>
      <c r="B4" t="s">
        <v>389</v>
      </c>
      <c r="C4" t="s">
        <v>92</v>
      </c>
      <c r="D4" t="s">
        <v>47</v>
      </c>
      <c r="E4" t="s">
        <v>48</v>
      </c>
      <c r="F4" t="s">
        <v>130</v>
      </c>
      <c r="G4" t="s">
        <v>165</v>
      </c>
      <c r="H4" t="s">
        <v>50</v>
      </c>
      <c r="I4" t="s">
        <v>63</v>
      </c>
      <c r="J4" t="s">
        <v>56</v>
      </c>
      <c r="K4" t="s">
        <v>85</v>
      </c>
      <c r="L4" t="s">
        <v>116</v>
      </c>
      <c r="M4" t="s">
        <v>86</v>
      </c>
      <c r="N4" t="s">
        <v>52</v>
      </c>
      <c r="O4" t="s">
        <v>143</v>
      </c>
      <c r="P4" t="s">
        <v>154</v>
      </c>
      <c r="Q4" t="s">
        <v>156</v>
      </c>
      <c r="R4" t="s">
        <v>58</v>
      </c>
      <c r="S4" t="s">
        <v>88</v>
      </c>
      <c r="T4" t="s">
        <v>89</v>
      </c>
      <c r="U4" t="s">
        <v>172</v>
      </c>
      <c r="V4" t="s">
        <v>173</v>
      </c>
      <c r="W4" t="s">
        <v>133</v>
      </c>
      <c r="X4" t="s">
        <v>79</v>
      </c>
      <c r="Y4" t="s">
        <v>65</v>
      </c>
      <c r="Z4" t="s">
        <v>68</v>
      </c>
      <c r="AA4" t="s">
        <v>51</v>
      </c>
      <c r="AB4" t="s">
        <v>161</v>
      </c>
      <c r="AC4" t="s">
        <v>162</v>
      </c>
      <c r="AD4" t="s">
        <v>196</v>
      </c>
      <c r="AE4" t="s">
        <v>641</v>
      </c>
      <c r="AF4" t="s">
        <v>214</v>
      </c>
      <c r="AG4" t="s">
        <v>241</v>
      </c>
      <c r="AH4" t="s">
        <v>194</v>
      </c>
      <c r="AI4" t="s">
        <v>69</v>
      </c>
      <c r="AJ4" t="s">
        <v>70</v>
      </c>
      <c r="AK4" t="s">
        <v>80</v>
      </c>
      <c r="AL4" t="s">
        <v>40</v>
      </c>
      <c r="AM4" t="s">
        <v>131</v>
      </c>
      <c r="AN4" t="s">
        <v>456</v>
      </c>
      <c r="AO4" t="s">
        <v>199</v>
      </c>
      <c r="AP4" t="s">
        <v>195</v>
      </c>
      <c r="AQ4" t="s">
        <v>200</v>
      </c>
      <c r="AR4" t="s">
        <v>201</v>
      </c>
      <c r="AS4" t="s">
        <v>267</v>
      </c>
      <c r="AT4" t="s">
        <v>207</v>
      </c>
      <c r="AU4" t="s">
        <v>185</v>
      </c>
      <c r="AV4" t="s">
        <v>377</v>
      </c>
      <c r="AW4" t="s">
        <v>157</v>
      </c>
      <c r="AX4" t="s">
        <v>202</v>
      </c>
      <c r="AY4" t="s">
        <v>132</v>
      </c>
      <c r="AZ4" t="s">
        <v>639</v>
      </c>
    </row>
    <row r="5" spans="1:66" x14ac:dyDescent="0.25">
      <c r="A5" s="142"/>
      <c r="B5" s="142" t="s">
        <v>90</v>
      </c>
      <c r="C5" s="142" t="s">
        <v>841</v>
      </c>
      <c r="D5" s="142" t="s">
        <v>840</v>
      </c>
      <c r="E5" s="38">
        <v>45233</v>
      </c>
      <c r="F5" s="142" t="s">
        <v>81</v>
      </c>
      <c r="G5" s="142" t="s">
        <v>81</v>
      </c>
      <c r="H5" s="142" t="s">
        <v>90</v>
      </c>
      <c r="I5" s="142" t="s">
        <v>104</v>
      </c>
      <c r="J5" s="142">
        <v>9.69</v>
      </c>
      <c r="K5" s="142" t="s">
        <v>142</v>
      </c>
      <c r="L5" s="142" t="s">
        <v>401</v>
      </c>
      <c r="M5" s="142" t="s">
        <v>90</v>
      </c>
      <c r="N5" s="142" t="s">
        <v>401</v>
      </c>
      <c r="O5" s="142" t="s">
        <v>90</v>
      </c>
      <c r="P5" s="142"/>
      <c r="Q5" s="142" t="s">
        <v>112</v>
      </c>
      <c r="R5" s="142">
        <v>100</v>
      </c>
      <c r="S5" s="142" t="s">
        <v>109</v>
      </c>
      <c r="T5" s="142" t="s">
        <v>243</v>
      </c>
      <c r="U5" s="142" t="s">
        <v>7</v>
      </c>
      <c r="V5" s="142" t="s">
        <v>7</v>
      </c>
      <c r="W5" s="142" t="s">
        <v>90</v>
      </c>
      <c r="X5" s="142" t="s">
        <v>126</v>
      </c>
      <c r="Y5" s="38">
        <v>45240</v>
      </c>
      <c r="Z5" s="38">
        <v>45422</v>
      </c>
      <c r="AA5" s="38">
        <v>46336</v>
      </c>
      <c r="AB5" s="142">
        <v>1.3280000000000001</v>
      </c>
      <c r="AC5" s="142">
        <v>9.69</v>
      </c>
      <c r="AD5" s="142">
        <v>10.4</v>
      </c>
      <c r="AE5" s="142" t="s">
        <v>960</v>
      </c>
      <c r="AF5" s="142" t="s">
        <v>90</v>
      </c>
      <c r="AG5" s="142" t="s">
        <v>90</v>
      </c>
      <c r="AH5" s="142" t="s">
        <v>90</v>
      </c>
      <c r="AI5" s="142" t="s">
        <v>841</v>
      </c>
      <c r="AJ5" s="142" t="s">
        <v>90</v>
      </c>
      <c r="AK5" s="142" t="s">
        <v>90</v>
      </c>
      <c r="AL5" s="142" t="s">
        <v>318</v>
      </c>
      <c r="AM5" s="142" t="s">
        <v>629</v>
      </c>
      <c r="AN5" s="142" t="s">
        <v>7</v>
      </c>
      <c r="AO5"/>
      <c r="AP5" s="142" t="s">
        <v>90</v>
      </c>
      <c r="AQ5"/>
      <c r="AR5"/>
      <c r="AS5" s="142" t="s">
        <v>90</v>
      </c>
      <c r="AT5" s="142" t="s">
        <v>959</v>
      </c>
      <c r="AU5" s="142" t="s">
        <v>290</v>
      </c>
      <c r="AV5" s="142" t="s">
        <v>222</v>
      </c>
      <c r="AW5"/>
      <c r="AX5"/>
      <c r="AY5" s="142" t="s">
        <v>843</v>
      </c>
      <c r="AZ5" t="s">
        <v>628</v>
      </c>
      <c r="BM5" s="17"/>
    </row>
    <row r="6" spans="1:66" x14ac:dyDescent="0.25">
      <c r="A6" s="142"/>
      <c r="B6" s="142" t="s">
        <v>90</v>
      </c>
      <c r="C6" s="142" t="s">
        <v>946</v>
      </c>
      <c r="D6" s="142" t="s">
        <v>939</v>
      </c>
      <c r="E6" s="38">
        <v>45233</v>
      </c>
      <c r="F6" s="142" t="s">
        <v>81</v>
      </c>
      <c r="G6" s="142" t="s">
        <v>81</v>
      </c>
      <c r="H6" s="142" t="s">
        <v>90</v>
      </c>
      <c r="I6" s="142" t="s">
        <v>104</v>
      </c>
      <c r="J6" s="142">
        <v>3.65</v>
      </c>
      <c r="K6" s="142" t="s">
        <v>434</v>
      </c>
      <c r="L6" s="142" t="s">
        <v>445</v>
      </c>
      <c r="M6" s="142" t="s">
        <v>972</v>
      </c>
      <c r="N6" s="142" t="s">
        <v>445</v>
      </c>
      <c r="O6" s="142" t="s">
        <v>90</v>
      </c>
      <c r="P6" s="142">
        <v>10</v>
      </c>
      <c r="Q6" s="142" t="s">
        <v>112</v>
      </c>
      <c r="R6" s="142">
        <v>100</v>
      </c>
      <c r="S6" s="142" t="s">
        <v>111</v>
      </c>
      <c r="T6" s="142" t="s">
        <v>231</v>
      </c>
      <c r="U6" s="142" t="s">
        <v>140</v>
      </c>
      <c r="V6" s="142" t="s">
        <v>7</v>
      </c>
      <c r="W6" s="142" t="s">
        <v>90</v>
      </c>
      <c r="X6" s="142" t="s">
        <v>90</v>
      </c>
      <c r="Y6" s="38"/>
      <c r="Z6" s="38"/>
      <c r="AA6" s="38">
        <v>46336</v>
      </c>
      <c r="AB6" s="142">
        <v>0.5</v>
      </c>
      <c r="AC6" s="142">
        <v>3.65</v>
      </c>
      <c r="AD6" s="142">
        <v>3.9180000000000001</v>
      </c>
      <c r="AE6" s="142" t="s">
        <v>90</v>
      </c>
      <c r="AF6" s="142" t="s">
        <v>90</v>
      </c>
      <c r="AG6" s="142" t="s">
        <v>90</v>
      </c>
      <c r="AH6" s="142" t="s">
        <v>90</v>
      </c>
      <c r="AI6" s="142" t="s">
        <v>90</v>
      </c>
      <c r="AJ6" s="142" t="s">
        <v>90</v>
      </c>
      <c r="AK6" s="142" t="s">
        <v>90</v>
      </c>
      <c r="AL6" s="142" t="s">
        <v>309</v>
      </c>
      <c r="AM6" s="142" t="s">
        <v>90</v>
      </c>
      <c r="AN6" s="142" t="s">
        <v>7</v>
      </c>
      <c r="AO6"/>
      <c r="AP6" s="142" t="s">
        <v>90</v>
      </c>
      <c r="AQ6"/>
      <c r="AR6"/>
      <c r="AS6" s="142" t="s">
        <v>90</v>
      </c>
      <c r="AT6" s="142" t="s">
        <v>90</v>
      </c>
      <c r="AU6" s="142" t="s">
        <v>90</v>
      </c>
      <c r="AV6" s="142" t="s">
        <v>222</v>
      </c>
      <c r="AW6"/>
      <c r="AX6"/>
      <c r="AY6" s="142" t="s">
        <v>941</v>
      </c>
      <c r="AZ6" t="s">
        <v>628</v>
      </c>
      <c r="BM6" s="17"/>
    </row>
    <row r="7" spans="1:66" x14ac:dyDescent="0.25">
      <c r="A7" s="142"/>
      <c r="B7" s="142" t="s">
        <v>90</v>
      </c>
      <c r="C7" s="142" t="s">
        <v>849</v>
      </c>
      <c r="D7" s="142" t="s">
        <v>848</v>
      </c>
      <c r="E7" s="38">
        <v>45232</v>
      </c>
      <c r="F7" s="142" t="s">
        <v>81</v>
      </c>
      <c r="G7" s="142" t="s">
        <v>81</v>
      </c>
      <c r="H7" s="142" t="s">
        <v>372</v>
      </c>
      <c r="I7" s="142" t="s">
        <v>83</v>
      </c>
      <c r="J7" s="142">
        <v>0.82299999999999995</v>
      </c>
      <c r="K7" s="142" t="s">
        <v>142</v>
      </c>
      <c r="L7" s="142" t="s">
        <v>919</v>
      </c>
      <c r="M7" s="142" t="s">
        <v>90</v>
      </c>
      <c r="N7" s="142" t="s">
        <v>919</v>
      </c>
      <c r="O7" s="142" t="s">
        <v>90</v>
      </c>
      <c r="P7" s="142"/>
      <c r="Q7" s="142" t="s">
        <v>112</v>
      </c>
      <c r="R7" s="142">
        <v>100</v>
      </c>
      <c r="S7" s="142" t="s">
        <v>38</v>
      </c>
      <c r="T7" s="142" t="s">
        <v>231</v>
      </c>
      <c r="U7" s="142" t="s">
        <v>7</v>
      </c>
      <c r="V7" s="142" t="s">
        <v>7</v>
      </c>
      <c r="W7" s="142" t="s">
        <v>90</v>
      </c>
      <c r="X7" s="142" t="s">
        <v>126</v>
      </c>
      <c r="Y7" s="38">
        <v>45237</v>
      </c>
      <c r="Z7" s="38">
        <v>45419</v>
      </c>
      <c r="AA7" s="38">
        <v>46333</v>
      </c>
      <c r="AB7" s="142">
        <v>0.82299999999999995</v>
      </c>
      <c r="AC7" s="142">
        <v>6.0019999999999998</v>
      </c>
      <c r="AD7" s="142">
        <v>6.4450000000000003</v>
      </c>
      <c r="AE7" s="142" t="s">
        <v>912</v>
      </c>
      <c r="AF7" s="142" t="s">
        <v>850</v>
      </c>
      <c r="AG7" s="142" t="s">
        <v>90</v>
      </c>
      <c r="AH7" s="142" t="s">
        <v>90</v>
      </c>
      <c r="AI7" s="142" t="s">
        <v>913</v>
      </c>
      <c r="AJ7" s="142" t="s">
        <v>849</v>
      </c>
      <c r="AK7" s="142" t="s">
        <v>90</v>
      </c>
      <c r="AL7" s="142" t="s">
        <v>90</v>
      </c>
      <c r="AM7" s="142" t="s">
        <v>90</v>
      </c>
      <c r="AN7" s="142" t="s">
        <v>7</v>
      </c>
      <c r="AO7"/>
      <c r="AP7" s="142" t="s">
        <v>90</v>
      </c>
      <c r="AQ7"/>
      <c r="AR7"/>
      <c r="AS7" s="142" t="s">
        <v>90</v>
      </c>
      <c r="AT7" s="142" t="s">
        <v>90</v>
      </c>
      <c r="AU7" s="142" t="s">
        <v>290</v>
      </c>
      <c r="AV7" s="142" t="s">
        <v>222</v>
      </c>
      <c r="AW7"/>
      <c r="AX7"/>
      <c r="AY7" s="142" t="s">
        <v>855</v>
      </c>
      <c r="AZ7" t="s">
        <v>628</v>
      </c>
      <c r="BM7" s="17"/>
    </row>
    <row r="8" spans="1:66" x14ac:dyDescent="0.25">
      <c r="A8" s="142"/>
      <c r="B8" s="142" t="s">
        <v>90</v>
      </c>
      <c r="C8" s="142" t="s">
        <v>844</v>
      </c>
      <c r="D8" s="142" t="s">
        <v>942</v>
      </c>
      <c r="E8" s="38">
        <v>45232</v>
      </c>
      <c r="F8" s="142" t="s">
        <v>81</v>
      </c>
      <c r="G8" s="142" t="s">
        <v>81</v>
      </c>
      <c r="H8" s="142" t="s">
        <v>372</v>
      </c>
      <c r="I8" s="142" t="s">
        <v>83</v>
      </c>
      <c r="J8" s="142">
        <v>0.98</v>
      </c>
      <c r="K8" s="142" t="s">
        <v>735</v>
      </c>
      <c r="L8" s="142" t="s">
        <v>973</v>
      </c>
      <c r="M8" s="142" t="s">
        <v>90</v>
      </c>
      <c r="N8" s="142" t="s">
        <v>973</v>
      </c>
      <c r="O8" s="142" t="s">
        <v>90</v>
      </c>
      <c r="P8" s="142"/>
      <c r="Q8" s="142" t="s">
        <v>112</v>
      </c>
      <c r="R8" s="142"/>
      <c r="S8" s="142" t="s">
        <v>38</v>
      </c>
      <c r="T8" s="142" t="s">
        <v>243</v>
      </c>
      <c r="U8" s="142" t="s">
        <v>7</v>
      </c>
      <c r="V8" s="142" t="s">
        <v>7</v>
      </c>
      <c r="W8" s="142" t="s">
        <v>90</v>
      </c>
      <c r="X8" s="142" t="s">
        <v>90</v>
      </c>
      <c r="Y8" s="38">
        <v>45236</v>
      </c>
      <c r="Z8" s="38">
        <v>45600</v>
      </c>
      <c r="AA8" s="38">
        <v>45600</v>
      </c>
      <c r="AB8" s="142">
        <v>0.98</v>
      </c>
      <c r="AC8" s="142">
        <v>7.1470000000000002</v>
      </c>
      <c r="AD8" s="142">
        <v>7.6740000000000004</v>
      </c>
      <c r="AE8" s="142" t="s">
        <v>969</v>
      </c>
      <c r="AF8" s="142" t="s">
        <v>421</v>
      </c>
      <c r="AG8" s="142" t="s">
        <v>90</v>
      </c>
      <c r="AH8" s="142" t="s">
        <v>90</v>
      </c>
      <c r="AI8" s="142" t="s">
        <v>845</v>
      </c>
      <c r="AJ8" s="142" t="s">
        <v>844</v>
      </c>
      <c r="AK8" s="142" t="s">
        <v>90</v>
      </c>
      <c r="AL8" s="142" t="s">
        <v>90</v>
      </c>
      <c r="AM8" s="142" t="s">
        <v>648</v>
      </c>
      <c r="AN8" s="142" t="s">
        <v>7</v>
      </c>
      <c r="AO8"/>
      <c r="AP8" s="142" t="s">
        <v>837</v>
      </c>
      <c r="AQ8"/>
      <c r="AR8"/>
      <c r="AS8" s="142" t="s">
        <v>90</v>
      </c>
      <c r="AT8" s="142" t="s">
        <v>90</v>
      </c>
      <c r="AU8" s="142" t="s">
        <v>290</v>
      </c>
      <c r="AV8" s="142" t="s">
        <v>222</v>
      </c>
      <c r="AW8"/>
      <c r="AX8"/>
      <c r="AY8" s="142" t="s">
        <v>944</v>
      </c>
      <c r="AZ8" t="s">
        <v>628</v>
      </c>
      <c r="BM8" s="17"/>
    </row>
    <row r="9" spans="1:66" x14ac:dyDescent="0.25">
      <c r="A9" s="142"/>
      <c r="B9" s="142" t="s">
        <v>90</v>
      </c>
      <c r="C9" s="142" t="s">
        <v>857</v>
      </c>
      <c r="D9" s="142" t="s">
        <v>856</v>
      </c>
      <c r="E9" s="38">
        <v>45232</v>
      </c>
      <c r="F9" s="142" t="s">
        <v>859</v>
      </c>
      <c r="G9" s="142" t="s">
        <v>859</v>
      </c>
      <c r="H9" s="142" t="s">
        <v>90</v>
      </c>
      <c r="I9" s="142" t="s">
        <v>83</v>
      </c>
      <c r="J9" s="142">
        <v>5</v>
      </c>
      <c r="K9" s="142" t="s">
        <v>920</v>
      </c>
      <c r="L9" s="142" t="s">
        <v>921</v>
      </c>
      <c r="M9" s="142" t="s">
        <v>936</v>
      </c>
      <c r="N9" s="142" t="s">
        <v>937</v>
      </c>
      <c r="O9" s="142" t="s">
        <v>90</v>
      </c>
      <c r="P9" s="142"/>
      <c r="Q9" s="142" t="s">
        <v>938</v>
      </c>
      <c r="R9" s="142">
        <v>99.213999999999999</v>
      </c>
      <c r="S9" s="142" t="s">
        <v>38</v>
      </c>
      <c r="T9" s="142" t="s">
        <v>261</v>
      </c>
      <c r="U9" s="142" t="s">
        <v>7</v>
      </c>
      <c r="V9" s="142" t="s">
        <v>7</v>
      </c>
      <c r="W9" s="142" t="s">
        <v>90</v>
      </c>
      <c r="X9" s="142" t="s">
        <v>126</v>
      </c>
      <c r="Y9" s="38">
        <v>45239</v>
      </c>
      <c r="Z9" s="38">
        <v>45421</v>
      </c>
      <c r="AA9" s="38">
        <v>47066</v>
      </c>
      <c r="AB9" s="142">
        <v>5</v>
      </c>
      <c r="AC9" s="142">
        <v>36.463999999999999</v>
      </c>
      <c r="AD9" s="142">
        <v>39.152999999999999</v>
      </c>
      <c r="AE9" s="142" t="s">
        <v>903</v>
      </c>
      <c r="AF9" s="142" t="s">
        <v>858</v>
      </c>
      <c r="AG9" s="142" t="s">
        <v>90</v>
      </c>
      <c r="AH9" s="142" t="s">
        <v>90</v>
      </c>
      <c r="AI9" s="142" t="s">
        <v>860</v>
      </c>
      <c r="AJ9" s="142" t="s">
        <v>857</v>
      </c>
      <c r="AK9" s="142" t="s">
        <v>90</v>
      </c>
      <c r="AL9" s="142" t="s">
        <v>90</v>
      </c>
      <c r="AM9" s="142" t="s">
        <v>90</v>
      </c>
      <c r="AN9" s="142" t="s">
        <v>7</v>
      </c>
      <c r="AO9"/>
      <c r="AP9" s="142" t="s">
        <v>90</v>
      </c>
      <c r="AQ9"/>
      <c r="AR9"/>
      <c r="AS9" s="142" t="s">
        <v>90</v>
      </c>
      <c r="AT9" s="142" t="s">
        <v>90</v>
      </c>
      <c r="AU9" s="142" t="s">
        <v>290</v>
      </c>
      <c r="AV9" s="142" t="s">
        <v>222</v>
      </c>
      <c r="AW9"/>
      <c r="AX9"/>
      <c r="AY9" s="142" t="s">
        <v>864</v>
      </c>
      <c r="AZ9" t="s">
        <v>628</v>
      </c>
      <c r="BM9" s="17"/>
    </row>
    <row r="10" spans="1:66" x14ac:dyDescent="0.25">
      <c r="A10" s="142"/>
      <c r="B10" s="142" t="s">
        <v>90</v>
      </c>
      <c r="C10" s="142" t="s">
        <v>751</v>
      </c>
      <c r="D10" s="142" t="s">
        <v>750</v>
      </c>
      <c r="E10" s="38">
        <v>45231</v>
      </c>
      <c r="F10" s="142" t="s">
        <v>81</v>
      </c>
      <c r="G10" s="142" t="s">
        <v>81</v>
      </c>
      <c r="H10" s="142" t="s">
        <v>438</v>
      </c>
      <c r="I10" s="142" t="s">
        <v>242</v>
      </c>
      <c r="J10" s="142">
        <v>39</v>
      </c>
      <c r="K10" s="142" t="s">
        <v>142</v>
      </c>
      <c r="L10" s="142" t="s">
        <v>720</v>
      </c>
      <c r="M10" s="142" t="s">
        <v>90</v>
      </c>
      <c r="N10" s="142" t="s">
        <v>720</v>
      </c>
      <c r="O10" s="142" t="s">
        <v>90</v>
      </c>
      <c r="P10" s="142"/>
      <c r="Q10" s="142" t="s">
        <v>112</v>
      </c>
      <c r="R10" s="142">
        <v>100</v>
      </c>
      <c r="S10" s="142" t="s">
        <v>110</v>
      </c>
      <c r="T10" s="142" t="s">
        <v>231</v>
      </c>
      <c r="U10" s="142" t="s">
        <v>7</v>
      </c>
      <c r="V10" s="142" t="s">
        <v>7</v>
      </c>
      <c r="W10" s="142" t="s">
        <v>90</v>
      </c>
      <c r="X10" s="142" t="s">
        <v>126</v>
      </c>
      <c r="Y10" s="38">
        <v>45238</v>
      </c>
      <c r="Z10" s="38">
        <v>45420</v>
      </c>
      <c r="AA10" s="38">
        <v>46334</v>
      </c>
      <c r="AB10" s="142">
        <v>0.25700000000000001</v>
      </c>
      <c r="AC10" s="142">
        <v>1.895</v>
      </c>
      <c r="AD10" s="142">
        <v>2.02</v>
      </c>
      <c r="AE10" s="142" t="s">
        <v>776</v>
      </c>
      <c r="AF10" s="142" t="s">
        <v>850</v>
      </c>
      <c r="AG10" s="142" t="s">
        <v>90</v>
      </c>
      <c r="AH10" s="142" t="s">
        <v>90</v>
      </c>
      <c r="AI10" s="142" t="s">
        <v>777</v>
      </c>
      <c r="AJ10" s="142" t="s">
        <v>751</v>
      </c>
      <c r="AK10" s="142" t="s">
        <v>90</v>
      </c>
      <c r="AL10" s="142" t="s">
        <v>289</v>
      </c>
      <c r="AM10" s="142" t="s">
        <v>90</v>
      </c>
      <c r="AN10" s="142" t="s">
        <v>7</v>
      </c>
      <c r="AO10"/>
      <c r="AP10" s="142" t="s">
        <v>90</v>
      </c>
      <c r="AQ10"/>
      <c r="AR10"/>
      <c r="AS10" s="142" t="s">
        <v>90</v>
      </c>
      <c r="AT10" s="142" t="s">
        <v>775</v>
      </c>
      <c r="AU10" s="142" t="s">
        <v>290</v>
      </c>
      <c r="AV10" s="142" t="s">
        <v>222</v>
      </c>
      <c r="AW10"/>
      <c r="AX10"/>
      <c r="AY10" s="142" t="s">
        <v>752</v>
      </c>
      <c r="AZ10" t="s">
        <v>628</v>
      </c>
      <c r="BM10" s="17"/>
    </row>
    <row r="11" spans="1:66" x14ac:dyDescent="0.25">
      <c r="A11" s="142"/>
      <c r="B11" s="142" t="s">
        <v>90</v>
      </c>
      <c r="C11" s="142" t="s">
        <v>759</v>
      </c>
      <c r="D11" s="142" t="s">
        <v>758</v>
      </c>
      <c r="E11" s="38">
        <v>45230</v>
      </c>
      <c r="F11" s="142" t="s">
        <v>81</v>
      </c>
      <c r="G11" s="142" t="s">
        <v>81</v>
      </c>
      <c r="H11" s="142" t="s">
        <v>438</v>
      </c>
      <c r="I11" s="142" t="s">
        <v>104</v>
      </c>
      <c r="J11" s="142">
        <v>3.58</v>
      </c>
      <c r="K11" s="142" t="s">
        <v>142</v>
      </c>
      <c r="L11" s="142" t="s">
        <v>401</v>
      </c>
      <c r="M11" s="142" t="s">
        <v>834</v>
      </c>
      <c r="N11" s="142" t="s">
        <v>401</v>
      </c>
      <c r="O11" s="142" t="s">
        <v>90</v>
      </c>
      <c r="P11" s="142">
        <v>0</v>
      </c>
      <c r="Q11" s="142" t="s">
        <v>112</v>
      </c>
      <c r="R11" s="142">
        <v>100</v>
      </c>
      <c r="S11" s="142" t="s">
        <v>109</v>
      </c>
      <c r="T11" s="142" t="s">
        <v>231</v>
      </c>
      <c r="U11" s="142" t="s">
        <v>7</v>
      </c>
      <c r="V11" s="142" t="s">
        <v>7</v>
      </c>
      <c r="W11" s="142" t="s">
        <v>90</v>
      </c>
      <c r="X11" s="142" t="s">
        <v>126</v>
      </c>
      <c r="Y11" s="38">
        <v>45233</v>
      </c>
      <c r="Z11" s="38">
        <v>45415</v>
      </c>
      <c r="AA11" s="38">
        <v>46329</v>
      </c>
      <c r="AB11" s="142">
        <v>0.49099999999999999</v>
      </c>
      <c r="AC11" s="142">
        <v>3.58</v>
      </c>
      <c r="AD11" s="142">
        <v>3.8420000000000001</v>
      </c>
      <c r="AE11" s="142" t="s">
        <v>808</v>
      </c>
      <c r="AF11" s="142" t="s">
        <v>230</v>
      </c>
      <c r="AG11" s="142" t="s">
        <v>90</v>
      </c>
      <c r="AH11" s="142" t="s">
        <v>90</v>
      </c>
      <c r="AI11" s="142" t="s">
        <v>759</v>
      </c>
      <c r="AJ11" s="142" t="s">
        <v>90</v>
      </c>
      <c r="AK11" s="142" t="s">
        <v>90</v>
      </c>
      <c r="AL11" s="142" t="s">
        <v>833</v>
      </c>
      <c r="AM11" s="142" t="s">
        <v>90</v>
      </c>
      <c r="AN11" s="142" t="s">
        <v>7</v>
      </c>
      <c r="AO11"/>
      <c r="AP11" s="142" t="s">
        <v>90</v>
      </c>
      <c r="AQ11"/>
      <c r="AR11"/>
      <c r="AS11" s="142" t="s">
        <v>90</v>
      </c>
      <c r="AT11" s="142" t="s">
        <v>807</v>
      </c>
      <c r="AU11" s="142" t="s">
        <v>290</v>
      </c>
      <c r="AV11" s="142" t="s">
        <v>222</v>
      </c>
      <c r="AW11"/>
      <c r="AX11"/>
      <c r="AY11" s="142" t="s">
        <v>760</v>
      </c>
      <c r="AZ11" t="s">
        <v>628</v>
      </c>
      <c r="BN11" s="17"/>
    </row>
    <row r="12" spans="1:66" x14ac:dyDescent="0.25">
      <c r="A12" s="142"/>
      <c r="B12" s="142" t="s">
        <v>90</v>
      </c>
      <c r="C12" s="142" t="s">
        <v>754</v>
      </c>
      <c r="D12" s="142" t="s">
        <v>753</v>
      </c>
      <c r="E12" s="38">
        <v>45230</v>
      </c>
      <c r="F12" s="142" t="s">
        <v>81</v>
      </c>
      <c r="G12" s="142" t="s">
        <v>81</v>
      </c>
      <c r="H12" s="142" t="s">
        <v>440</v>
      </c>
      <c r="I12" s="142" t="s">
        <v>83</v>
      </c>
      <c r="J12" s="142">
        <v>1.7</v>
      </c>
      <c r="K12" s="142" t="s">
        <v>735</v>
      </c>
      <c r="L12" s="142" t="s">
        <v>796</v>
      </c>
      <c r="M12" s="142" t="s">
        <v>836</v>
      </c>
      <c r="N12" s="142" t="s">
        <v>796</v>
      </c>
      <c r="O12" s="142" t="s">
        <v>90</v>
      </c>
      <c r="P12" s="142">
        <v>10</v>
      </c>
      <c r="Q12" s="142" t="s">
        <v>112</v>
      </c>
      <c r="R12" s="142">
        <v>100</v>
      </c>
      <c r="S12" s="142" t="s">
        <v>38</v>
      </c>
      <c r="T12" s="142" t="s">
        <v>835</v>
      </c>
      <c r="U12" s="142" t="s">
        <v>141</v>
      </c>
      <c r="V12" s="142" t="s">
        <v>7</v>
      </c>
      <c r="W12" s="142" t="s">
        <v>90</v>
      </c>
      <c r="X12" s="142" t="s">
        <v>126</v>
      </c>
      <c r="Y12" s="38">
        <v>45237</v>
      </c>
      <c r="Z12" s="38">
        <v>45419</v>
      </c>
      <c r="AA12" s="38">
        <v>45601</v>
      </c>
      <c r="AB12" s="142">
        <v>1.7</v>
      </c>
      <c r="AC12" s="142">
        <v>12.398</v>
      </c>
      <c r="AD12" s="142">
        <v>13.311999999999999</v>
      </c>
      <c r="AE12" s="142" t="s">
        <v>789</v>
      </c>
      <c r="AF12" s="142" t="s">
        <v>421</v>
      </c>
      <c r="AG12" s="142" t="s">
        <v>90</v>
      </c>
      <c r="AH12" s="142" t="s">
        <v>90</v>
      </c>
      <c r="AI12" s="142" t="s">
        <v>790</v>
      </c>
      <c r="AJ12" s="142" t="s">
        <v>754</v>
      </c>
      <c r="AK12" s="142" t="s">
        <v>90</v>
      </c>
      <c r="AL12" s="142" t="s">
        <v>90</v>
      </c>
      <c r="AM12" s="142" t="s">
        <v>90</v>
      </c>
      <c r="AN12" s="142" t="s">
        <v>7</v>
      </c>
      <c r="AO12"/>
      <c r="AP12" s="142" t="s">
        <v>837</v>
      </c>
      <c r="AQ12"/>
      <c r="AR12"/>
      <c r="AS12" s="142" t="s">
        <v>90</v>
      </c>
      <c r="AT12" s="142" t="s">
        <v>788</v>
      </c>
      <c r="AU12" s="142" t="s">
        <v>290</v>
      </c>
      <c r="AV12" s="142" t="s">
        <v>222</v>
      </c>
      <c r="AW12"/>
      <c r="AX12"/>
      <c r="AY12" s="142" t="s">
        <v>755</v>
      </c>
      <c r="AZ12" t="s">
        <v>628</v>
      </c>
      <c r="BN12" s="17"/>
    </row>
    <row r="13" spans="1:66" x14ac:dyDescent="0.25">
      <c r="A13" s="142"/>
      <c r="B13" s="142" t="s">
        <v>90</v>
      </c>
      <c r="C13" s="142" t="s">
        <v>754</v>
      </c>
      <c r="D13" s="142" t="s">
        <v>756</v>
      </c>
      <c r="E13" s="38">
        <v>45230</v>
      </c>
      <c r="F13" s="142" t="s">
        <v>81</v>
      </c>
      <c r="G13" s="142" t="s">
        <v>81</v>
      </c>
      <c r="H13" s="142" t="s">
        <v>440</v>
      </c>
      <c r="I13" s="142" t="s">
        <v>104</v>
      </c>
      <c r="J13" s="142">
        <v>9</v>
      </c>
      <c r="K13" s="142" t="s">
        <v>735</v>
      </c>
      <c r="L13" s="142" t="s">
        <v>785</v>
      </c>
      <c r="M13" s="142" t="s">
        <v>834</v>
      </c>
      <c r="N13" s="142" t="s">
        <v>785</v>
      </c>
      <c r="O13" s="142" t="s">
        <v>90</v>
      </c>
      <c r="P13" s="142">
        <v>50</v>
      </c>
      <c r="Q13" s="142" t="s">
        <v>112</v>
      </c>
      <c r="R13" s="142">
        <v>100</v>
      </c>
      <c r="S13" s="142" t="s">
        <v>38</v>
      </c>
      <c r="T13" s="142" t="s">
        <v>835</v>
      </c>
      <c r="U13" s="142" t="s">
        <v>7</v>
      </c>
      <c r="V13" s="142" t="s">
        <v>7</v>
      </c>
      <c r="W13" s="142" t="s">
        <v>90</v>
      </c>
      <c r="X13" s="142" t="s">
        <v>126</v>
      </c>
      <c r="Y13" s="38">
        <v>45237</v>
      </c>
      <c r="Z13" s="38">
        <v>45419</v>
      </c>
      <c r="AA13" s="38">
        <v>45601</v>
      </c>
      <c r="AB13" s="142">
        <v>1.234</v>
      </c>
      <c r="AC13" s="142">
        <v>9</v>
      </c>
      <c r="AD13" s="142">
        <v>9.66</v>
      </c>
      <c r="AE13" s="142" t="s">
        <v>789</v>
      </c>
      <c r="AF13" s="142" t="s">
        <v>421</v>
      </c>
      <c r="AG13" s="142" t="s">
        <v>90</v>
      </c>
      <c r="AH13" s="142" t="s">
        <v>90</v>
      </c>
      <c r="AI13" s="142" t="s">
        <v>790</v>
      </c>
      <c r="AJ13" s="142" t="s">
        <v>754</v>
      </c>
      <c r="AK13" s="142" t="s">
        <v>90</v>
      </c>
      <c r="AL13" s="142" t="s">
        <v>90</v>
      </c>
      <c r="AM13" s="142" t="s">
        <v>90</v>
      </c>
      <c r="AN13" s="142" t="s">
        <v>7</v>
      </c>
      <c r="AO13"/>
      <c r="AP13" s="142" t="s">
        <v>837</v>
      </c>
      <c r="AQ13"/>
      <c r="AR13"/>
      <c r="AS13" s="142" t="s">
        <v>90</v>
      </c>
      <c r="AT13" s="142" t="s">
        <v>788</v>
      </c>
      <c r="AU13" s="142" t="s">
        <v>290</v>
      </c>
      <c r="AV13" s="142" t="s">
        <v>222</v>
      </c>
      <c r="AW13"/>
      <c r="AX13"/>
      <c r="AY13" s="142" t="s">
        <v>757</v>
      </c>
      <c r="AZ13" t="s">
        <v>628</v>
      </c>
      <c r="BN13" s="17"/>
    </row>
    <row r="14" spans="1:66" x14ac:dyDescent="0.25">
      <c r="A14" s="142"/>
      <c r="B14" s="142" t="s">
        <v>90</v>
      </c>
      <c r="C14" s="142" t="s">
        <v>766</v>
      </c>
      <c r="D14" s="142" t="s">
        <v>765</v>
      </c>
      <c r="E14" s="38">
        <v>45229</v>
      </c>
      <c r="F14" s="142" t="s">
        <v>81</v>
      </c>
      <c r="G14" s="142" t="s">
        <v>922</v>
      </c>
      <c r="H14" s="142" t="s">
        <v>372</v>
      </c>
      <c r="I14" s="142" t="s">
        <v>108</v>
      </c>
      <c r="J14" s="142">
        <v>1.08</v>
      </c>
      <c r="K14" s="142" t="s">
        <v>735</v>
      </c>
      <c r="L14" s="142" t="s">
        <v>838</v>
      </c>
      <c r="M14" s="142" t="s">
        <v>90</v>
      </c>
      <c r="N14" s="142" t="s">
        <v>838</v>
      </c>
      <c r="O14" s="142" t="s">
        <v>90</v>
      </c>
      <c r="P14" s="142"/>
      <c r="Q14" s="142" t="s">
        <v>112</v>
      </c>
      <c r="R14" s="142">
        <v>100</v>
      </c>
      <c r="S14" s="142" t="s">
        <v>39</v>
      </c>
      <c r="T14" s="142" t="s">
        <v>261</v>
      </c>
      <c r="U14" s="142" t="s">
        <v>7</v>
      </c>
      <c r="V14" s="142" t="s">
        <v>7</v>
      </c>
      <c r="W14" s="142" t="s">
        <v>90</v>
      </c>
      <c r="X14" s="142" t="s">
        <v>90</v>
      </c>
      <c r="Y14" s="38">
        <v>45233</v>
      </c>
      <c r="Z14" s="38">
        <v>45597</v>
      </c>
      <c r="AA14" s="38">
        <v>45597</v>
      </c>
      <c r="AB14" s="142">
        <v>1.1419999999999999</v>
      </c>
      <c r="AC14" s="142">
        <v>8.3290000000000006</v>
      </c>
      <c r="AD14" s="142">
        <v>8.9420000000000002</v>
      </c>
      <c r="AE14" s="142" t="s">
        <v>827</v>
      </c>
      <c r="AF14" s="142" t="s">
        <v>850</v>
      </c>
      <c r="AG14" s="142" t="s">
        <v>90</v>
      </c>
      <c r="AH14" s="142" t="s">
        <v>90</v>
      </c>
      <c r="AI14" s="142" t="s">
        <v>828</v>
      </c>
      <c r="AJ14" s="142" t="s">
        <v>90</v>
      </c>
      <c r="AK14" s="142" t="s">
        <v>766</v>
      </c>
      <c r="AL14" s="142" t="s">
        <v>90</v>
      </c>
      <c r="AM14" s="142" t="s">
        <v>90</v>
      </c>
      <c r="AN14" s="142" t="s">
        <v>7</v>
      </c>
      <c r="AO14"/>
      <c r="AP14" s="142" t="s">
        <v>837</v>
      </c>
      <c r="AQ14"/>
      <c r="AR14"/>
      <c r="AS14" s="142" t="s">
        <v>90</v>
      </c>
      <c r="AT14" s="142" t="s">
        <v>90</v>
      </c>
      <c r="AU14" s="142" t="s">
        <v>290</v>
      </c>
      <c r="AV14" s="142" t="s">
        <v>222</v>
      </c>
      <c r="AW14"/>
      <c r="AX14"/>
      <c r="AY14" s="142" t="s">
        <v>767</v>
      </c>
      <c r="AZ14" t="s">
        <v>628</v>
      </c>
      <c r="BN14" s="17"/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7"/>
  <sheetViews>
    <sheetView zoomScale="85" zoomScaleNormal="85" workbookViewId="0">
      <selection activeCell="A11" sqref="A11:O23"/>
    </sheetView>
  </sheetViews>
  <sheetFormatPr defaultColWidth="8.88671875" defaultRowHeight="15" x14ac:dyDescent="0.25"/>
  <cols>
    <col min="1" max="1" width="10.44140625" style="21" bestFit="1" customWidth="1"/>
    <col min="2" max="2" width="8.5546875" style="21" bestFit="1" customWidth="1"/>
    <col min="3" max="3" width="25.109375" style="21" bestFit="1" customWidth="1"/>
    <col min="4" max="4" width="12.33203125" style="21" customWidth="1"/>
    <col min="5" max="5" width="8.33203125" style="21" bestFit="1" customWidth="1"/>
    <col min="6" max="6" width="8" style="21" bestFit="1" customWidth="1"/>
    <col min="7" max="7" width="7.44140625" style="21" bestFit="1" customWidth="1"/>
    <col min="8" max="8" width="9.109375" style="21" bestFit="1" customWidth="1"/>
    <col min="9" max="9" width="11" style="21" bestFit="1" customWidth="1" collapsed="1"/>
    <col min="10" max="10" width="15.5546875" style="21" bestFit="1" customWidth="1"/>
    <col min="11" max="11" width="10.77734375" style="21" bestFit="1" customWidth="1"/>
    <col min="12" max="12" width="7.33203125" style="21" bestFit="1" customWidth="1"/>
    <col min="13" max="13" width="6.109375" style="21" bestFit="1" customWidth="1"/>
    <col min="14" max="14" width="7.77734375" style="21" bestFit="1" customWidth="1"/>
    <col min="15" max="15" width="28.5546875" style="21" bestFit="1" customWidth="1" collapsed="1"/>
    <col min="16" max="16" width="6.5546875" style="21" customWidth="1"/>
    <col min="17" max="17" width="6.77734375" style="21" customWidth="1"/>
    <col min="18" max="18" width="28.109375" style="21" bestFit="1" customWidth="1"/>
    <col min="19" max="19" width="12.6640625" style="21" bestFit="1" customWidth="1"/>
    <col min="20" max="22" width="7.6640625" style="21" customWidth="1"/>
    <col min="23" max="23" width="6.109375" style="21" bestFit="1" customWidth="1"/>
    <col min="24" max="24" width="9.44140625" style="21" bestFit="1" customWidth="1"/>
    <col min="25" max="25" width="35.109375" style="21" bestFit="1" customWidth="1"/>
    <col min="26" max="16384" width="8.88671875" style="21"/>
  </cols>
  <sheetData>
    <row r="1" spans="1:22" ht="59.25" customHeight="1" x14ac:dyDescent="0.25">
      <c r="A1" s="20" t="s">
        <v>149</v>
      </c>
      <c r="H1" s="51" t="s">
        <v>152</v>
      </c>
    </row>
    <row r="2" spans="1:22" x14ac:dyDescent="0.25">
      <c r="B2" s="22" t="s">
        <v>84</v>
      </c>
      <c r="C2" s="22" t="s">
        <v>152</v>
      </c>
      <c r="D2" s="22" t="s">
        <v>155</v>
      </c>
      <c r="E2" s="22" t="s">
        <v>144</v>
      </c>
      <c r="F2" s="22" t="s">
        <v>145</v>
      </c>
      <c r="V2" s="24"/>
    </row>
    <row r="3" spans="1:22" x14ac:dyDescent="0.25">
      <c r="B3" s="22"/>
      <c r="D3" s="32"/>
      <c r="E3" s="25"/>
      <c r="F3" s="25"/>
      <c r="V3" s="27"/>
    </row>
    <row r="4" spans="1:22" x14ac:dyDescent="0.25">
      <c r="B4" s="22"/>
      <c r="D4" s="32"/>
      <c r="E4" s="25"/>
      <c r="F4" s="25"/>
      <c r="V4" s="27"/>
    </row>
    <row r="5" spans="1:22" x14ac:dyDescent="0.25">
      <c r="B5" s="22"/>
      <c r="D5" s="32"/>
      <c r="E5" s="25"/>
      <c r="F5" s="25"/>
      <c r="V5" s="27"/>
    </row>
    <row r="6" spans="1:22" x14ac:dyDescent="0.25">
      <c r="B6" s="22"/>
      <c r="D6" s="32"/>
      <c r="E6" s="25"/>
      <c r="F6" s="25"/>
      <c r="V6" s="27"/>
    </row>
    <row r="7" spans="1:22" x14ac:dyDescent="0.25">
      <c r="B7" s="22"/>
      <c r="D7" s="32"/>
      <c r="E7" s="25"/>
      <c r="F7" s="25"/>
      <c r="V7" s="27"/>
    </row>
    <row r="8" spans="1:22" x14ac:dyDescent="0.25">
      <c r="B8" s="22"/>
      <c r="D8" s="32"/>
      <c r="E8" s="25"/>
      <c r="F8" s="25"/>
      <c r="V8" s="27"/>
    </row>
    <row r="9" spans="1:22" x14ac:dyDescent="0.25">
      <c r="Q9" s="24"/>
      <c r="R9" s="24"/>
      <c r="S9" s="24"/>
      <c r="T9" s="24"/>
      <c r="U9" s="24"/>
      <c r="V9" s="24"/>
    </row>
    <row r="10" spans="1:22" x14ac:dyDescent="0.25">
      <c r="A10" s="23" t="s">
        <v>117</v>
      </c>
      <c r="B10" s="23" t="s">
        <v>146</v>
      </c>
      <c r="C10" s="23" t="s">
        <v>118</v>
      </c>
      <c r="D10" s="23" t="s">
        <v>147</v>
      </c>
      <c r="E10" s="23" t="s">
        <v>119</v>
      </c>
      <c r="F10" s="23" t="s">
        <v>120</v>
      </c>
      <c r="G10" s="23" t="s">
        <v>121</v>
      </c>
      <c r="H10" s="23" t="s">
        <v>122</v>
      </c>
      <c r="I10" s="23" t="s">
        <v>123</v>
      </c>
      <c r="J10" s="23" t="s">
        <v>124</v>
      </c>
      <c r="K10" s="23" t="s">
        <v>125</v>
      </c>
      <c r="L10" s="23" t="s">
        <v>148</v>
      </c>
      <c r="M10" s="23" t="s">
        <v>150</v>
      </c>
      <c r="N10" s="23" t="s">
        <v>151</v>
      </c>
      <c r="O10" s="23" t="s">
        <v>152</v>
      </c>
      <c r="Q10" s="24"/>
      <c r="R10" s="24"/>
      <c r="S10" s="24"/>
      <c r="T10" s="24"/>
      <c r="U10" s="24"/>
      <c r="V10" s="24"/>
    </row>
    <row r="11" spans="1:22" x14ac:dyDescent="0.25">
      <c r="A11" s="31"/>
      <c r="K11" s="29"/>
      <c r="Q11" s="24"/>
      <c r="R11" s="24"/>
      <c r="S11" s="24"/>
      <c r="T11" s="24"/>
      <c r="U11" s="24"/>
      <c r="V11" s="24"/>
    </row>
    <row r="12" spans="1:22" x14ac:dyDescent="0.25">
      <c r="A12" s="31"/>
      <c r="K12" s="29"/>
      <c r="Q12" s="24"/>
      <c r="R12" s="24"/>
      <c r="S12" s="24"/>
      <c r="T12" s="24"/>
      <c r="U12" s="24"/>
      <c r="V12" s="24"/>
    </row>
    <row r="13" spans="1:22" x14ac:dyDescent="0.25">
      <c r="A13" s="31"/>
      <c r="K13" s="29"/>
      <c r="Q13" s="24"/>
      <c r="R13" s="24"/>
      <c r="S13" s="24"/>
      <c r="T13" s="24"/>
      <c r="U13" s="24"/>
      <c r="V13" s="24"/>
    </row>
    <row r="14" spans="1:22" x14ac:dyDescent="0.25">
      <c r="A14" s="31"/>
      <c r="K14" s="29"/>
      <c r="Q14" s="24"/>
      <c r="R14" s="24"/>
      <c r="S14" s="24"/>
      <c r="T14" s="24"/>
      <c r="U14" s="24"/>
      <c r="V14" s="24"/>
    </row>
    <row r="15" spans="1:22" x14ac:dyDescent="0.25">
      <c r="A15" s="31"/>
      <c r="K15" s="29"/>
      <c r="Q15" s="24"/>
      <c r="R15" s="24"/>
      <c r="S15" s="24"/>
      <c r="T15" s="24"/>
      <c r="U15" s="24"/>
      <c r="V15" s="24"/>
    </row>
    <row r="16" spans="1:22" x14ac:dyDescent="0.25">
      <c r="A16" s="31"/>
      <c r="K16" s="29"/>
      <c r="Q16" s="24"/>
      <c r="R16" s="24"/>
      <c r="S16" s="24"/>
      <c r="T16" s="24"/>
      <c r="U16" s="24"/>
      <c r="V16" s="24"/>
    </row>
    <row r="17" spans="1:22" x14ac:dyDescent="0.25">
      <c r="A17" s="31"/>
      <c r="K17" s="29"/>
      <c r="Q17" s="24"/>
      <c r="R17" s="24"/>
      <c r="S17" s="24"/>
      <c r="T17" s="24"/>
      <c r="U17" s="24"/>
      <c r="V17" s="24"/>
    </row>
    <row r="18" spans="1:22" x14ac:dyDescent="0.25">
      <c r="A18" s="31"/>
      <c r="K18" s="29"/>
    </row>
    <row r="19" spans="1:22" x14ac:dyDescent="0.25">
      <c r="A19" s="31"/>
      <c r="K19" s="29"/>
      <c r="Q19" s="24"/>
      <c r="R19" s="24"/>
      <c r="S19" s="24"/>
      <c r="T19" s="24"/>
      <c r="U19" s="24"/>
      <c r="V19" s="24"/>
    </row>
    <row r="20" spans="1:22" x14ac:dyDescent="0.25">
      <c r="A20" s="31"/>
      <c r="K20" s="29"/>
      <c r="V20" s="24"/>
    </row>
    <row r="21" spans="1:22" x14ac:dyDescent="0.25">
      <c r="A21" s="31"/>
      <c r="K21" s="29"/>
      <c r="V21" s="24"/>
    </row>
    <row r="22" spans="1:22" x14ac:dyDescent="0.25">
      <c r="A22" s="31"/>
      <c r="K22" s="29"/>
      <c r="V22" s="24"/>
    </row>
    <row r="23" spans="1:22" x14ac:dyDescent="0.25">
      <c r="A23" s="31"/>
      <c r="K23" s="29"/>
      <c r="V23" s="24"/>
    </row>
    <row r="24" spans="1:22" x14ac:dyDescent="0.25">
      <c r="Q24" s="24"/>
      <c r="R24" s="24"/>
      <c r="S24" s="24"/>
      <c r="T24" s="24"/>
      <c r="U24" s="24"/>
      <c r="V24" s="24"/>
    </row>
    <row r="25" spans="1:22" x14ac:dyDescent="0.25">
      <c r="A25" s="31"/>
      <c r="K25" s="29"/>
      <c r="Q25" s="24"/>
      <c r="R25" s="24"/>
      <c r="S25" s="30"/>
      <c r="T25" s="27"/>
      <c r="U25" s="27"/>
      <c r="V25" s="24"/>
    </row>
    <row r="26" spans="1:22" x14ac:dyDescent="0.25">
      <c r="A26" s="31"/>
      <c r="K26" s="29"/>
      <c r="Q26" s="24"/>
      <c r="R26" s="24"/>
      <c r="S26" s="30"/>
      <c r="T26" s="27"/>
      <c r="U26" s="27"/>
      <c r="V26" s="24"/>
    </row>
    <row r="27" spans="1:22" x14ac:dyDescent="0.25">
      <c r="A27" s="31"/>
      <c r="K27" s="29"/>
      <c r="Q27" s="24"/>
      <c r="R27" s="24"/>
      <c r="S27" s="30"/>
      <c r="T27" s="27"/>
      <c r="U27" s="27"/>
      <c r="V27" s="24"/>
    </row>
    <row r="28" spans="1:22" x14ac:dyDescent="0.25">
      <c r="A28" s="31"/>
      <c r="K28" s="29"/>
      <c r="Q28" s="24"/>
      <c r="R28" s="24"/>
      <c r="S28" s="30"/>
      <c r="T28" s="27"/>
      <c r="U28" s="27"/>
    </row>
    <row r="29" spans="1:22" x14ac:dyDescent="0.25">
      <c r="A29" s="31"/>
      <c r="K29" s="29"/>
      <c r="Q29" s="24"/>
      <c r="R29" s="24"/>
      <c r="S29" s="30"/>
      <c r="T29" s="27"/>
      <c r="U29" s="27"/>
    </row>
    <row r="30" spans="1:22" x14ac:dyDescent="0.25">
      <c r="A30" s="31"/>
      <c r="K30" s="29"/>
      <c r="Q30" s="24"/>
      <c r="R30" s="24"/>
      <c r="S30" s="30"/>
      <c r="T30" s="27"/>
      <c r="U30" s="27"/>
    </row>
    <row r="31" spans="1:22" x14ac:dyDescent="0.25">
      <c r="A31" s="31"/>
      <c r="K31" s="29"/>
    </row>
    <row r="32" spans="1:22" x14ac:dyDescent="0.25">
      <c r="A32" s="31"/>
      <c r="K32" s="29"/>
    </row>
    <row r="33" spans="1:11" x14ac:dyDescent="0.25">
      <c r="A33" s="31"/>
      <c r="K33" s="29"/>
    </row>
    <row r="34" spans="1:11" x14ac:dyDescent="0.25">
      <c r="A34" s="31"/>
      <c r="K34" s="29"/>
    </row>
    <row r="35" spans="1:11" x14ac:dyDescent="0.25">
      <c r="A35" s="31"/>
      <c r="K35" s="29"/>
    </row>
    <row r="36" spans="1:11" x14ac:dyDescent="0.25">
      <c r="A36" s="31"/>
      <c r="K36" s="29"/>
    </row>
    <row r="37" spans="1:11" x14ac:dyDescent="0.25">
      <c r="A37" s="31"/>
      <c r="K37" s="29"/>
    </row>
  </sheetData>
  <phoneticPr fontId="29" type="noConversion"/>
  <conditionalFormatting sqref="I25:I37 I11:I23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I25:I37 I11:I23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3E2B-479A-4984-8E89-136C7DF470B0}">
  <sheetPr codeName="Sheet20"/>
  <dimension ref="A2:L4"/>
  <sheetViews>
    <sheetView workbookViewId="0">
      <selection activeCell="C12" sqref="C12"/>
    </sheetView>
  </sheetViews>
  <sheetFormatPr defaultRowHeight="15" x14ac:dyDescent="0.25"/>
  <cols>
    <col min="1" max="1" width="7.33203125" bestFit="1" customWidth="1"/>
    <col min="2" max="2" width="11.109375" bestFit="1" customWidth="1"/>
    <col min="3" max="3" width="10.33203125" bestFit="1" customWidth="1"/>
    <col min="4" max="4" width="13.21875" bestFit="1" customWidth="1"/>
    <col min="5" max="5" width="25.88671875" bestFit="1" customWidth="1"/>
    <col min="6" max="6" width="9.44140625" bestFit="1" customWidth="1"/>
    <col min="7" max="7" width="6.109375" bestFit="1" customWidth="1"/>
    <col min="8" max="8" width="12.21875" bestFit="1" customWidth="1"/>
    <col min="9" max="9" width="7.77734375" bestFit="1" customWidth="1"/>
    <col min="10" max="10" width="6.109375" bestFit="1" customWidth="1"/>
    <col min="11" max="11" width="19.33203125" bestFit="1" customWidth="1"/>
    <col min="12" max="12" width="8.6640625" bestFit="1" customWidth="1"/>
  </cols>
  <sheetData>
    <row r="2" spans="1:12" x14ac:dyDescent="0.25">
      <c r="A2" t="s">
        <v>84</v>
      </c>
      <c r="B2" t="s">
        <v>389</v>
      </c>
      <c r="C2" t="s">
        <v>48</v>
      </c>
      <c r="D2" t="s">
        <v>47</v>
      </c>
      <c r="E2" t="s">
        <v>92</v>
      </c>
      <c r="F2" t="s">
        <v>130</v>
      </c>
      <c r="G2" t="s">
        <v>63</v>
      </c>
      <c r="H2" t="s">
        <v>56</v>
      </c>
      <c r="I2" t="s">
        <v>161</v>
      </c>
      <c r="J2" t="s">
        <v>85</v>
      </c>
      <c r="K2" t="s">
        <v>132</v>
      </c>
      <c r="L2" t="s">
        <v>640</v>
      </c>
    </row>
    <row r="3" spans="1:12" x14ac:dyDescent="0.25">
      <c r="A3">
        <v>2</v>
      </c>
      <c r="B3" t="s">
        <v>636</v>
      </c>
      <c r="C3" s="38">
        <v>45229</v>
      </c>
      <c r="D3" t="s">
        <v>763</v>
      </c>
      <c r="E3" t="s">
        <v>630</v>
      </c>
      <c r="F3" t="s">
        <v>81</v>
      </c>
      <c r="G3" t="s">
        <v>83</v>
      </c>
      <c r="H3">
        <v>1.2E-2</v>
      </c>
      <c r="I3">
        <v>1.2E-2</v>
      </c>
      <c r="J3" t="s">
        <v>644</v>
      </c>
      <c r="K3" t="s">
        <v>764</v>
      </c>
      <c r="L3" t="s">
        <v>628</v>
      </c>
    </row>
    <row r="4" spans="1:12" x14ac:dyDescent="0.25">
      <c r="A4">
        <v>1</v>
      </c>
      <c r="B4" t="s">
        <v>636</v>
      </c>
      <c r="C4" s="38">
        <v>45229</v>
      </c>
      <c r="D4" t="s">
        <v>761</v>
      </c>
      <c r="E4" t="s">
        <v>630</v>
      </c>
      <c r="F4" t="s">
        <v>81</v>
      </c>
      <c r="G4" t="s">
        <v>83</v>
      </c>
      <c r="H4">
        <v>7.0000000000000001E-3</v>
      </c>
      <c r="I4">
        <v>7.0000000000000001E-3</v>
      </c>
      <c r="J4" t="s">
        <v>736</v>
      </c>
      <c r="K4" t="s">
        <v>762</v>
      </c>
      <c r="L4" t="s">
        <v>628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K6"/>
  <sheetViews>
    <sheetView workbookViewId="0">
      <selection activeCell="C12" sqref="C12"/>
    </sheetView>
  </sheetViews>
  <sheetFormatPr defaultRowHeight="15" x14ac:dyDescent="0.25"/>
  <cols>
    <col min="1" max="1" width="34.44140625" style="1" bestFit="1" customWidth="1"/>
    <col min="2" max="2" width="12.77734375" style="1" bestFit="1" customWidth="1"/>
    <col min="3" max="3" width="7.6640625" style="1" bestFit="1" customWidth="1"/>
    <col min="4" max="4" width="9.44140625" style="1" bestFit="1" customWidth="1"/>
    <col min="5" max="7" width="6.109375" style="1" bestFit="1" customWidth="1"/>
    <col min="8" max="8" width="11.109375" style="1" bestFit="1" customWidth="1"/>
    <col min="9" max="9" width="13.5546875" style="1" bestFit="1" customWidth="1"/>
    <col min="10" max="10" width="9.6640625" style="1" bestFit="1" customWidth="1"/>
    <col min="11" max="11" width="9.33203125" style="1" customWidth="1"/>
    <col min="12" max="12" width="5.88671875" style="1" bestFit="1" customWidth="1"/>
    <col min="13" max="13" width="6" style="1" bestFit="1" customWidth="1"/>
    <col min="14" max="14" width="5.88671875" style="1" bestFit="1" customWidth="1"/>
    <col min="15" max="15" width="10.88671875" style="1" bestFit="1" customWidth="1"/>
    <col min="16" max="16" width="13.33203125" style="1" bestFit="1" customWidth="1"/>
    <col min="17" max="17" width="9.44140625" style="1" bestFit="1" customWidth="1"/>
    <col min="18" max="18" width="9.109375" style="1" bestFit="1" customWidth="1"/>
    <col min="19" max="19" width="9.33203125" style="1" customWidth="1"/>
    <col min="20" max="20" width="9.33203125" style="1" bestFit="1" customWidth="1"/>
    <col min="21" max="23" width="6.109375" style="1" bestFit="1" customWidth="1"/>
    <col min="24" max="24" width="11.109375" style="1" bestFit="1" customWidth="1"/>
    <col min="25" max="25" width="13.5546875" style="1" bestFit="1" customWidth="1"/>
    <col min="26" max="26" width="6.109375" style="1" bestFit="1" customWidth="1"/>
    <col min="27" max="27" width="9.33203125" style="1" bestFit="1" customWidth="1"/>
    <col min="28" max="29" width="6.109375" style="1" bestFit="1" customWidth="1"/>
    <col min="30" max="30" width="4.44140625" style="1" bestFit="1" customWidth="1"/>
    <col min="31" max="31" width="11.109375" style="1" bestFit="1" customWidth="1"/>
    <col min="32" max="32" width="13.5546875" style="1" bestFit="1" customWidth="1"/>
    <col min="33" max="33" width="7.77734375" style="1" bestFit="1" customWidth="1"/>
    <col min="34" max="34" width="9.44140625" style="1" bestFit="1" customWidth="1"/>
    <col min="35" max="35" width="6.109375" style="1" bestFit="1" customWidth="1"/>
    <col min="36" max="36" width="8.109375" style="1" bestFit="1" customWidth="1"/>
    <col min="37" max="37" width="9.44140625" style="1" bestFit="1" customWidth="1"/>
    <col min="38" max="38" width="10.88671875" style="1" bestFit="1" customWidth="1"/>
    <col min="39" max="39" width="9.21875" style="1" bestFit="1" customWidth="1"/>
    <col min="40" max="40" width="10.88671875" style="1" bestFit="1" customWidth="1"/>
    <col min="41" max="41" width="12.5546875" style="1" bestFit="1" customWidth="1"/>
    <col min="42" max="42" width="9.5546875" style="1" bestFit="1" customWidth="1"/>
    <col min="43" max="44" width="11.77734375" style="1" bestFit="1" customWidth="1"/>
    <col min="45" max="45" width="11" style="1" bestFit="1" customWidth="1"/>
    <col min="46" max="46" width="9.33203125" style="1" bestFit="1" customWidth="1"/>
    <col min="47" max="47" width="11.5546875" style="1" bestFit="1" customWidth="1"/>
    <col min="48" max="48" width="5.88671875" style="1" bestFit="1" customWidth="1"/>
    <col min="49" max="49" width="9.21875" style="1" customWidth="1"/>
    <col min="50" max="50" width="5.88671875" style="1" bestFit="1" customWidth="1"/>
    <col min="51" max="52" width="9.21875" style="1" customWidth="1"/>
    <col min="53" max="55" width="5.88671875" style="1" bestFit="1" customWidth="1"/>
    <col min="56" max="56" width="9.21875" style="1" customWidth="1"/>
    <col min="57" max="57" width="4.21875" style="1" bestFit="1" customWidth="1"/>
    <col min="58" max="58" width="10.88671875" style="1" bestFit="1" customWidth="1"/>
    <col min="59" max="59" width="13.33203125" style="1" bestFit="1" customWidth="1"/>
    <col min="60" max="60" width="7.5546875" style="1" bestFit="1" customWidth="1"/>
    <col min="61" max="61" width="9.21875" style="1" customWidth="1"/>
    <col min="62" max="62" width="5.88671875" style="1" bestFit="1" customWidth="1"/>
    <col min="63" max="64" width="9.21875" style="1" customWidth="1"/>
    <col min="65" max="65" width="9.33203125" style="1" bestFit="1" customWidth="1"/>
    <col min="66" max="66" width="11.5546875" style="1" bestFit="1" customWidth="1"/>
    <col min="67" max="67" width="5.88671875" style="1" bestFit="1" customWidth="1"/>
    <col min="68" max="68" width="9.21875" style="1" bestFit="1" customWidth="1"/>
    <col min="69" max="69" width="7.6640625" style="1" bestFit="1" customWidth="1"/>
    <col min="70" max="71" width="9.21875" style="1" bestFit="1" customWidth="1"/>
    <col min="72" max="74" width="5.88671875" style="1" bestFit="1" customWidth="1"/>
    <col min="75" max="75" width="9.21875" style="1" bestFit="1" customWidth="1"/>
    <col min="76" max="76" width="4.21875" style="1" bestFit="1" customWidth="1"/>
    <col min="77" max="77" width="10.88671875" style="1" bestFit="1" customWidth="1"/>
    <col min="78" max="78" width="13.33203125" style="1" bestFit="1" customWidth="1"/>
    <col min="79" max="79" width="7.5546875" style="1" bestFit="1" customWidth="1"/>
    <col min="80" max="80" width="9.21875" style="1" bestFit="1" customWidth="1"/>
    <col min="81" max="81" width="5.88671875" style="1" bestFit="1" customWidth="1"/>
    <col min="82" max="83" width="9.21875" style="1" bestFit="1" customWidth="1"/>
    <col min="84" max="84" width="9.33203125" style="1" bestFit="1" customWidth="1"/>
    <col min="85" max="85" width="11.5546875" style="1" bestFit="1" customWidth="1"/>
    <col min="86" max="86" width="11.77734375" style="1" bestFit="1" customWidth="1"/>
    <col min="87" max="87" width="5.88671875" style="1" bestFit="1" customWidth="1"/>
    <col min="88" max="89" width="8.33203125" style="1" bestFit="1" customWidth="1"/>
    <col min="90" max="16384" width="8.88671875" style="1"/>
  </cols>
  <sheetData>
    <row r="1" spans="1:11" ht="43.5" customHeight="1" x14ac:dyDescent="0.25"/>
    <row r="2" spans="1:11" ht="43.5" customHeight="1" x14ac:dyDescent="0.25"/>
    <row r="3" spans="1:11" ht="43.5" customHeight="1" x14ac:dyDescent="0.25"/>
    <row r="4" spans="1:11" x14ac:dyDescent="0.25">
      <c r="A4" t="s">
        <v>92</v>
      </c>
      <c r="B4" t="s">
        <v>114</v>
      </c>
      <c r="C4" t="s">
        <v>210</v>
      </c>
      <c r="D4" t="s">
        <v>191</v>
      </c>
      <c r="E4" t="s">
        <v>87</v>
      </c>
      <c r="F4" t="s">
        <v>44</v>
      </c>
      <c r="G4" t="s">
        <v>45</v>
      </c>
      <c r="H4" t="s">
        <v>212</v>
      </c>
      <c r="I4" t="s">
        <v>179</v>
      </c>
      <c r="J4" t="s">
        <v>926</v>
      </c>
      <c r="K4" t="s">
        <v>638</v>
      </c>
    </row>
    <row r="5" spans="1:11" x14ac:dyDescent="0.25">
      <c r="A5" t="s">
        <v>841</v>
      </c>
      <c r="B5" t="s">
        <v>981</v>
      </c>
      <c r="C5" t="s">
        <v>238</v>
      </c>
      <c r="D5" t="s">
        <v>182</v>
      </c>
      <c r="E5" t="s">
        <v>19</v>
      </c>
      <c r="F5" t="s">
        <v>956</v>
      </c>
      <c r="G5" t="s">
        <v>7</v>
      </c>
      <c r="H5" s="136"/>
      <c r="I5" s="136">
        <v>45233</v>
      </c>
      <c r="J5" t="s">
        <v>2</v>
      </c>
      <c r="K5" t="s">
        <v>628</v>
      </c>
    </row>
    <row r="6" spans="1:11" x14ac:dyDescent="0.25">
      <c r="A6" t="s">
        <v>946</v>
      </c>
      <c r="B6" t="s">
        <v>980</v>
      </c>
      <c r="C6" t="s">
        <v>238</v>
      </c>
      <c r="D6" t="s">
        <v>182</v>
      </c>
      <c r="E6" t="s">
        <v>17</v>
      </c>
      <c r="F6" t="s">
        <v>953</v>
      </c>
      <c r="G6" t="s">
        <v>7</v>
      </c>
      <c r="H6" s="136"/>
      <c r="I6" s="136">
        <v>45233</v>
      </c>
      <c r="J6" t="s">
        <v>1</v>
      </c>
      <c r="K6" t="s">
        <v>628</v>
      </c>
    </row>
  </sheetData>
  <phoneticPr fontId="2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88"/>
  <sheetViews>
    <sheetView topLeftCell="A11" zoomScale="85" zoomScaleNormal="85" workbookViewId="0">
      <selection activeCell="B26" sqref="B26:C59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65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59">
        <v>45167</v>
      </c>
      <c r="H1" s="56"/>
      <c r="I1" s="48" t="s">
        <v>275</v>
      </c>
      <c r="J1" s="48" t="s">
        <v>52</v>
      </c>
      <c r="K1" s="48" t="s">
        <v>64</v>
      </c>
      <c r="L1" s="48" t="s">
        <v>73</v>
      </c>
    </row>
    <row r="2" spans="1:125" ht="36" x14ac:dyDescent="0.55000000000000004">
      <c r="A2" s="73" t="s">
        <v>286</v>
      </c>
      <c r="D2" s="66"/>
      <c r="E2" s="58"/>
      <c r="F2" s="58"/>
      <c r="M2" s="58"/>
      <c r="N2" s="56"/>
      <c r="O2" s="56"/>
      <c r="P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</row>
    <row r="4" spans="1:125" ht="27.75" customHeight="1" x14ac:dyDescent="0.45">
      <c r="B4" s="70" t="s">
        <v>285</v>
      </c>
      <c r="D4" s="66"/>
      <c r="E4" s="58"/>
      <c r="F4" s="58"/>
      <c r="G4" s="58"/>
      <c r="H4" s="58"/>
      <c r="I4" s="58"/>
      <c r="J4" s="58"/>
      <c r="K4" s="58"/>
      <c r="L4" s="58"/>
      <c r="M4" s="58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  <c r="DR4" s="56"/>
      <c r="DS4" s="56"/>
      <c r="DT4" s="56"/>
      <c r="DU4" s="56"/>
    </row>
    <row r="5" spans="1:125" ht="27.75" customHeight="1" x14ac:dyDescent="0.45">
      <c r="B5" s="69" t="s">
        <v>277</v>
      </c>
      <c r="C5" s="69" t="s">
        <v>278</v>
      </c>
      <c r="D5" s="69" t="s">
        <v>283</v>
      </c>
      <c r="E5" s="58"/>
      <c r="F5" s="58"/>
      <c r="G5" s="58"/>
      <c r="H5" s="58"/>
      <c r="I5" s="58"/>
      <c r="J5" s="58"/>
      <c r="K5" s="58"/>
      <c r="L5" s="58"/>
      <c r="M5" s="58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  <c r="DO5" s="56"/>
      <c r="DP5" s="56"/>
      <c r="DQ5" s="56"/>
      <c r="DR5" s="56"/>
      <c r="DS5" s="56"/>
      <c r="DT5" s="56"/>
      <c r="DU5" s="56"/>
    </row>
    <row r="6" spans="1:125" ht="27.75" customHeight="1" x14ac:dyDescent="0.45">
      <c r="B6" s="64"/>
      <c r="C6" s="64" t="s">
        <v>402</v>
      </c>
      <c r="D6" s="64" t="s">
        <v>284</v>
      </c>
      <c r="E6" s="58"/>
      <c r="F6" s="58"/>
      <c r="G6" s="58"/>
      <c r="H6" s="58"/>
      <c r="I6" s="58"/>
      <c r="J6" s="58"/>
      <c r="K6" s="58"/>
      <c r="L6" s="58"/>
      <c r="M6" s="58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6"/>
      <c r="DS6" s="56"/>
      <c r="DT6" s="56"/>
      <c r="DU6" s="56"/>
    </row>
    <row r="8" spans="1:125" ht="27.75" customHeight="1" x14ac:dyDescent="0.45">
      <c r="B8" s="72" t="s">
        <v>281</v>
      </c>
      <c r="C8" s="62"/>
      <c r="D8" s="67"/>
      <c r="E8" s="62"/>
      <c r="F8" s="62"/>
      <c r="G8" s="62"/>
      <c r="H8" s="62"/>
      <c r="I8" s="62"/>
      <c r="J8" s="62"/>
      <c r="K8" s="62"/>
      <c r="L8" s="62"/>
      <c r="M8" s="62"/>
      <c r="N8" s="62"/>
      <c r="O8" s="56"/>
      <c r="P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</row>
    <row r="9" spans="1:125" x14ac:dyDescent="0.25">
      <c r="B9" t="s">
        <v>47</v>
      </c>
      <c r="C9" t="s">
        <v>153</v>
      </c>
      <c r="D9" s="63" t="s">
        <v>48</v>
      </c>
      <c r="E9" t="s">
        <v>130</v>
      </c>
      <c r="F9" t="s">
        <v>63</v>
      </c>
      <c r="G9" t="s">
        <v>56</v>
      </c>
      <c r="H9" t="s">
        <v>85</v>
      </c>
      <c r="I9" t="s">
        <v>116</v>
      </c>
      <c r="J9" t="s">
        <v>86</v>
      </c>
      <c r="K9" t="s">
        <v>154</v>
      </c>
    </row>
    <row r="10" spans="1:125" x14ac:dyDescent="0.25">
      <c r="B10" t="s">
        <v>652</v>
      </c>
      <c r="C10" t="s">
        <v>688</v>
      </c>
      <c r="D10" s="63">
        <v>45218</v>
      </c>
      <c r="E10" t="s">
        <v>81</v>
      </c>
      <c r="F10" t="s">
        <v>242</v>
      </c>
      <c r="G10">
        <v>106</v>
      </c>
      <c r="H10" t="s">
        <v>142</v>
      </c>
      <c r="I10" t="s">
        <v>660</v>
      </c>
      <c r="J10" t="s">
        <v>666</v>
      </c>
      <c r="K10">
        <v>30</v>
      </c>
    </row>
    <row r="11" spans="1:125" x14ac:dyDescent="0.25">
      <c r="B11" t="s">
        <v>655</v>
      </c>
      <c r="C11" t="s">
        <v>689</v>
      </c>
      <c r="D11">
        <v>45217</v>
      </c>
      <c r="E11" t="s">
        <v>672</v>
      </c>
      <c r="F11" t="s">
        <v>83</v>
      </c>
      <c r="G11">
        <v>10</v>
      </c>
      <c r="H11" t="s">
        <v>142</v>
      </c>
      <c r="I11" t="s">
        <v>404</v>
      </c>
      <c r="J11" t="s">
        <v>405</v>
      </c>
      <c r="K11">
        <v>45</v>
      </c>
    </row>
    <row r="12" spans="1:125" x14ac:dyDescent="0.25">
      <c r="B12" t="s">
        <v>653</v>
      </c>
      <c r="C12" t="s">
        <v>690</v>
      </c>
      <c r="D12">
        <v>45217</v>
      </c>
      <c r="E12" t="s">
        <v>672</v>
      </c>
      <c r="F12" t="s">
        <v>83</v>
      </c>
      <c r="G12">
        <v>5</v>
      </c>
      <c r="H12" t="s">
        <v>142</v>
      </c>
      <c r="I12" t="s">
        <v>663</v>
      </c>
      <c r="J12" t="s">
        <v>667</v>
      </c>
      <c r="K12" t="s">
        <v>7</v>
      </c>
    </row>
    <row r="13" spans="1:125" x14ac:dyDescent="0.25">
      <c r="B13" t="s">
        <v>656</v>
      </c>
      <c r="C13" t="s">
        <v>691</v>
      </c>
      <c r="D13">
        <v>45217</v>
      </c>
      <c r="E13" t="s">
        <v>672</v>
      </c>
      <c r="F13" t="s">
        <v>108</v>
      </c>
      <c r="G13">
        <v>3</v>
      </c>
      <c r="H13" t="s">
        <v>142</v>
      </c>
      <c r="I13" t="s">
        <v>662</v>
      </c>
      <c r="J13" t="s">
        <v>668</v>
      </c>
      <c r="K13">
        <v>20</v>
      </c>
    </row>
    <row r="14" spans="1:125" s="52" customFormat="1" ht="35.25" customHeight="1" x14ac:dyDescent="0.25">
      <c r="B14" t="s">
        <v>657</v>
      </c>
      <c r="C14" t="s">
        <v>692</v>
      </c>
      <c r="D14">
        <v>45217</v>
      </c>
      <c r="E14" t="s">
        <v>672</v>
      </c>
      <c r="F14" t="s">
        <v>104</v>
      </c>
      <c r="G14">
        <v>16</v>
      </c>
      <c r="H14" t="s">
        <v>455</v>
      </c>
      <c r="I14" t="s">
        <v>670</v>
      </c>
      <c r="J14" t="s">
        <v>669</v>
      </c>
      <c r="K14">
        <v>35</v>
      </c>
    </row>
    <row r="15" spans="1:125" ht="27.75" x14ac:dyDescent="0.45">
      <c r="B15" t="s">
        <v>658</v>
      </c>
      <c r="C15" t="s">
        <v>693</v>
      </c>
      <c r="D15">
        <v>45216</v>
      </c>
      <c r="E15" t="s">
        <v>81</v>
      </c>
      <c r="F15" t="s">
        <v>242</v>
      </c>
      <c r="G15">
        <v>45</v>
      </c>
      <c r="H15" t="s">
        <v>142</v>
      </c>
      <c r="I15" t="s">
        <v>664</v>
      </c>
      <c r="J15" t="s">
        <v>671</v>
      </c>
      <c r="K15">
        <v>15</v>
      </c>
      <c r="L15" s="57"/>
      <c r="M15" s="57"/>
    </row>
    <row r="16" spans="1:125" x14ac:dyDescent="0.25">
      <c r="B16" t="s">
        <v>659</v>
      </c>
      <c r="C16" t="s">
        <v>694</v>
      </c>
      <c r="D16">
        <v>45215</v>
      </c>
      <c r="E16" t="s">
        <v>81</v>
      </c>
      <c r="F16" t="s">
        <v>83</v>
      </c>
      <c r="G16">
        <v>0.3</v>
      </c>
      <c r="H16" t="s">
        <v>142</v>
      </c>
      <c r="I16" t="s">
        <v>646</v>
      </c>
      <c r="J16" t="s">
        <v>7</v>
      </c>
      <c r="K16" t="s">
        <v>7</v>
      </c>
    </row>
    <row r="17" spans="2:13" x14ac:dyDescent="0.25">
      <c r="B17" t="s">
        <v>695</v>
      </c>
      <c r="C17" t="s">
        <v>696</v>
      </c>
      <c r="D17">
        <v>45212</v>
      </c>
      <c r="E17" t="s">
        <v>81</v>
      </c>
      <c r="F17" t="s">
        <v>104</v>
      </c>
      <c r="G17">
        <v>4.0999999999999996</v>
      </c>
      <c r="H17" t="s">
        <v>697</v>
      </c>
      <c r="I17" t="s">
        <v>401</v>
      </c>
      <c r="J17" t="s">
        <v>7</v>
      </c>
      <c r="K17" t="s">
        <v>7</v>
      </c>
    </row>
    <row r="18" spans="2:13" x14ac:dyDescent="0.25">
      <c r="B18" t="s">
        <v>698</v>
      </c>
      <c r="C18" t="s">
        <v>406</v>
      </c>
      <c r="D18">
        <v>45211</v>
      </c>
      <c r="E18" t="s">
        <v>699</v>
      </c>
      <c r="F18" t="s">
        <v>108</v>
      </c>
      <c r="G18">
        <v>3</v>
      </c>
      <c r="H18" t="s">
        <v>142</v>
      </c>
      <c r="I18" t="s">
        <v>445</v>
      </c>
      <c r="J18" t="s">
        <v>668</v>
      </c>
      <c r="K18">
        <v>20</v>
      </c>
    </row>
    <row r="19" spans="2:13" ht="27.75" x14ac:dyDescent="0.45">
      <c r="B19" t="s">
        <v>700</v>
      </c>
      <c r="C19" t="s">
        <v>701</v>
      </c>
      <c r="D19">
        <v>45210</v>
      </c>
      <c r="E19" t="s">
        <v>403</v>
      </c>
      <c r="F19" t="s">
        <v>104</v>
      </c>
      <c r="G19">
        <v>16</v>
      </c>
      <c r="H19" t="s">
        <v>455</v>
      </c>
      <c r="I19" t="s">
        <v>670</v>
      </c>
      <c r="J19" t="s">
        <v>669</v>
      </c>
      <c r="K19">
        <v>35</v>
      </c>
      <c r="L19" s="58"/>
      <c r="M19" s="58"/>
    </row>
    <row r="21" spans="2:13" ht="27.75" x14ac:dyDescent="0.45">
      <c r="B21" s="71" t="s">
        <v>280</v>
      </c>
      <c r="C21" s="57"/>
      <c r="D21" s="68"/>
      <c r="E21" s="57"/>
      <c r="F21" s="57"/>
      <c r="G21" s="57"/>
      <c r="H21" s="57"/>
      <c r="I21" s="57"/>
      <c r="J21" s="57"/>
      <c r="K21" s="57"/>
    </row>
    <row r="22" spans="2:13" x14ac:dyDescent="0.25">
      <c r="B22" t="s">
        <v>273</v>
      </c>
      <c r="C22" t="s">
        <v>271</v>
      </c>
      <c r="D22" s="63" t="s">
        <v>133</v>
      </c>
      <c r="E22" t="s">
        <v>274</v>
      </c>
      <c r="F22" t="s">
        <v>48</v>
      </c>
      <c r="G22" t="s">
        <v>56</v>
      </c>
      <c r="H22" t="s">
        <v>275</v>
      </c>
      <c r="I22" t="s">
        <v>52</v>
      </c>
      <c r="J22" t="s">
        <v>364</v>
      </c>
      <c r="K22" t="s">
        <v>365</v>
      </c>
    </row>
    <row r="23" spans="2:13" ht="18.75" x14ac:dyDescent="0.25">
      <c r="B23" s="86" t="s">
        <v>369</v>
      </c>
      <c r="C23" s="86" t="s">
        <v>272</v>
      </c>
      <c r="D23" s="87" t="s">
        <v>232</v>
      </c>
      <c r="E23" s="86"/>
      <c r="F23" s="88">
        <v>45177</v>
      </c>
      <c r="G23" s="86">
        <v>1.22</v>
      </c>
      <c r="H23" s="86" t="s">
        <v>266</v>
      </c>
      <c r="I23" s="89">
        <v>6.2E-2</v>
      </c>
      <c r="J23" s="90" t="s">
        <v>217</v>
      </c>
      <c r="K23" s="90" t="s">
        <v>357</v>
      </c>
    </row>
    <row r="25" spans="2:13" ht="27.75" x14ac:dyDescent="0.45">
      <c r="B25" s="72" t="s">
        <v>282</v>
      </c>
      <c r="C25" s="58"/>
      <c r="D25" s="66"/>
      <c r="E25" s="58"/>
      <c r="F25" s="72" t="s">
        <v>287</v>
      </c>
      <c r="G25" s="58"/>
      <c r="H25" s="58"/>
      <c r="I25" s="58"/>
      <c r="J25" s="58"/>
      <c r="K25" s="58"/>
    </row>
    <row r="26" spans="2:13" x14ac:dyDescent="0.25">
      <c r="B26" t="s">
        <v>268</v>
      </c>
      <c r="C26" t="s">
        <v>270</v>
      </c>
    </row>
    <row r="27" spans="2:13" x14ac:dyDescent="0.25">
      <c r="B27" t="s">
        <v>273</v>
      </c>
      <c r="C27" s="37" t="s">
        <v>369</v>
      </c>
    </row>
    <row r="28" spans="2:13" x14ac:dyDescent="0.25">
      <c r="B28" t="s">
        <v>377</v>
      </c>
      <c r="C28" s="37" t="s">
        <v>272</v>
      </c>
    </row>
    <row r="29" spans="2:13" x14ac:dyDescent="0.25">
      <c r="B29" t="s">
        <v>133</v>
      </c>
      <c r="C29" s="37" t="s">
        <v>232</v>
      </c>
    </row>
    <row r="30" spans="2:13" x14ac:dyDescent="0.25">
      <c r="B30" t="s">
        <v>48</v>
      </c>
      <c r="C30" s="37">
        <v>45177</v>
      </c>
    </row>
    <row r="31" spans="2:13" x14ac:dyDescent="0.25">
      <c r="B31" t="s">
        <v>56</v>
      </c>
      <c r="C31" s="37">
        <v>1.22</v>
      </c>
    </row>
    <row r="32" spans="2:13" x14ac:dyDescent="0.25">
      <c r="B32" t="s">
        <v>275</v>
      </c>
      <c r="C32" s="37" t="s">
        <v>263</v>
      </c>
    </row>
    <row r="33" spans="2:3" x14ac:dyDescent="0.25">
      <c r="B33" t="s">
        <v>52</v>
      </c>
      <c r="C33" s="37" t="s">
        <v>279</v>
      </c>
    </row>
    <row r="34" spans="2:3" x14ac:dyDescent="0.25">
      <c r="B34" t="s">
        <v>64</v>
      </c>
      <c r="C34" s="37" t="s">
        <v>355</v>
      </c>
    </row>
    <row r="35" spans="2:3" x14ac:dyDescent="0.25">
      <c r="B35" t="s">
        <v>73</v>
      </c>
      <c r="C35" s="37" t="s">
        <v>359</v>
      </c>
    </row>
    <row r="36" spans="2:3" x14ac:dyDescent="0.25">
      <c r="B36" t="s">
        <v>92</v>
      </c>
      <c r="C36" s="37" t="s">
        <v>371</v>
      </c>
    </row>
    <row r="37" spans="2:3" x14ac:dyDescent="0.25">
      <c r="B37" t="s">
        <v>47</v>
      </c>
      <c r="C37" s="37" t="s">
        <v>369</v>
      </c>
    </row>
    <row r="38" spans="2:3" x14ac:dyDescent="0.25">
      <c r="B38" t="s">
        <v>130</v>
      </c>
      <c r="C38" s="37" t="s">
        <v>81</v>
      </c>
    </row>
    <row r="39" spans="2:3" x14ac:dyDescent="0.25">
      <c r="B39" t="s">
        <v>165</v>
      </c>
      <c r="C39" s="37" t="s">
        <v>81</v>
      </c>
    </row>
    <row r="40" spans="2:3" x14ac:dyDescent="0.25">
      <c r="B40" t="s">
        <v>50</v>
      </c>
      <c r="C40" s="37" t="s">
        <v>372</v>
      </c>
    </row>
    <row r="41" spans="2:3" x14ac:dyDescent="0.25">
      <c r="B41" t="s">
        <v>63</v>
      </c>
      <c r="C41" s="37" t="s">
        <v>83</v>
      </c>
    </row>
    <row r="42" spans="2:3" x14ac:dyDescent="0.25">
      <c r="B42" t="s">
        <v>85</v>
      </c>
      <c r="C42" s="37" t="s">
        <v>142</v>
      </c>
    </row>
    <row r="43" spans="2:3" x14ac:dyDescent="0.25">
      <c r="B43" t="s">
        <v>156</v>
      </c>
      <c r="C43" s="37" t="s">
        <v>112</v>
      </c>
    </row>
    <row r="44" spans="2:3" x14ac:dyDescent="0.25">
      <c r="B44" t="s">
        <v>88</v>
      </c>
      <c r="C44" s="37" t="s">
        <v>36</v>
      </c>
    </row>
    <row r="45" spans="2:3" x14ac:dyDescent="0.25">
      <c r="B45" t="s">
        <v>89</v>
      </c>
      <c r="C45" s="37" t="s">
        <v>243</v>
      </c>
    </row>
    <row r="46" spans="2:3" x14ac:dyDescent="0.25">
      <c r="B46" t="s">
        <v>79</v>
      </c>
      <c r="C46" s="37" t="s">
        <v>126</v>
      </c>
    </row>
    <row r="47" spans="2:3" x14ac:dyDescent="0.25">
      <c r="B47" t="s">
        <v>65</v>
      </c>
      <c r="C47" s="37">
        <v>44811</v>
      </c>
    </row>
    <row r="48" spans="2:3" x14ac:dyDescent="0.25">
      <c r="B48" t="s">
        <v>68</v>
      </c>
      <c r="C48" s="37">
        <v>44992</v>
      </c>
    </row>
    <row r="49" spans="2:3" x14ac:dyDescent="0.25">
      <c r="B49" t="s">
        <v>51</v>
      </c>
      <c r="C49" s="37">
        <v>45907</v>
      </c>
    </row>
    <row r="50" spans="2:3" x14ac:dyDescent="0.25">
      <c r="B50" t="s">
        <v>161</v>
      </c>
      <c r="C50" s="37">
        <v>2</v>
      </c>
    </row>
    <row r="51" spans="2:3" x14ac:dyDescent="0.25">
      <c r="B51" t="s">
        <v>162</v>
      </c>
      <c r="C51" s="37">
        <v>13.8</v>
      </c>
    </row>
    <row r="52" spans="2:3" x14ac:dyDescent="0.25">
      <c r="B52" t="s">
        <v>196</v>
      </c>
      <c r="C52" s="37">
        <v>15.7</v>
      </c>
    </row>
    <row r="53" spans="2:3" x14ac:dyDescent="0.25">
      <c r="B53" t="s">
        <v>641</v>
      </c>
      <c r="C53" s="37" t="s">
        <v>373</v>
      </c>
    </row>
    <row r="54" spans="2:3" x14ac:dyDescent="0.25">
      <c r="B54" t="s">
        <v>214</v>
      </c>
      <c r="C54" s="37" t="s">
        <v>230</v>
      </c>
    </row>
    <row r="55" spans="2:3" ht="45" x14ac:dyDescent="0.25">
      <c r="B55" t="s">
        <v>69</v>
      </c>
      <c r="C55" s="37" t="s">
        <v>374</v>
      </c>
    </row>
    <row r="56" spans="2:3" x14ac:dyDescent="0.25">
      <c r="B56" t="s">
        <v>207</v>
      </c>
      <c r="C56" s="37" t="s">
        <v>376</v>
      </c>
    </row>
    <row r="57" spans="2:3" x14ac:dyDescent="0.25">
      <c r="B57" t="s">
        <v>185</v>
      </c>
      <c r="C57" s="37" t="s">
        <v>290</v>
      </c>
    </row>
    <row r="58" spans="2:3" x14ac:dyDescent="0.25">
      <c r="B58" t="s">
        <v>132</v>
      </c>
      <c r="C58" s="37" t="s">
        <v>375</v>
      </c>
    </row>
    <row r="59" spans="2:3" x14ac:dyDescent="0.25">
      <c r="B59" t="s">
        <v>153</v>
      </c>
      <c r="C59" s="37" t="s">
        <v>370</v>
      </c>
    </row>
    <row r="60" spans="2:3" x14ac:dyDescent="0.25">
      <c r="B60" t="s">
        <v>218</v>
      </c>
      <c r="C60" s="37" t="s">
        <v>709</v>
      </c>
    </row>
    <row r="61" spans="2:3" x14ac:dyDescent="0.25">
      <c r="B61" t="s">
        <v>46</v>
      </c>
      <c r="C61" s="37" t="s">
        <v>710</v>
      </c>
    </row>
    <row r="62" spans="2:3" x14ac:dyDescent="0.25">
      <c r="B62" t="s">
        <v>96</v>
      </c>
      <c r="C62" s="37" t="s">
        <v>428</v>
      </c>
    </row>
    <row r="63" spans="2:3" x14ac:dyDescent="0.25">
      <c r="B63" t="s">
        <v>97</v>
      </c>
      <c r="C63" s="37" t="s">
        <v>428</v>
      </c>
    </row>
    <row r="64" spans="2:3" x14ac:dyDescent="0.25">
      <c r="B64" t="s">
        <v>49</v>
      </c>
      <c r="C64" s="37" t="s">
        <v>428</v>
      </c>
    </row>
    <row r="65" spans="2:3" x14ac:dyDescent="0.25">
      <c r="B65" t="s">
        <v>57</v>
      </c>
      <c r="C65" s="37" t="s">
        <v>434</v>
      </c>
    </row>
    <row r="66" spans="2:3" x14ac:dyDescent="0.25">
      <c r="B66" t="s">
        <v>98</v>
      </c>
      <c r="C66" s="37" t="s">
        <v>433</v>
      </c>
    </row>
    <row r="67" spans="2:3" x14ac:dyDescent="0.25">
      <c r="B67" t="s">
        <v>288</v>
      </c>
      <c r="C67" s="37" t="s">
        <v>432</v>
      </c>
    </row>
    <row r="68" spans="2:3" x14ac:dyDescent="0.25">
      <c r="B68" t="s">
        <v>219</v>
      </c>
      <c r="C68" s="37" t="s">
        <v>431</v>
      </c>
    </row>
    <row r="69" spans="2:3" x14ac:dyDescent="0.25">
      <c r="B69" t="s">
        <v>55</v>
      </c>
      <c r="C69" s="37" t="s">
        <v>430</v>
      </c>
    </row>
    <row r="70" spans="2:3" x14ac:dyDescent="0.25">
      <c r="B70" t="s">
        <v>93</v>
      </c>
      <c r="C70" s="37" t="s">
        <v>711</v>
      </c>
    </row>
    <row r="71" spans="2:3" x14ac:dyDescent="0.25">
      <c r="B71" t="s">
        <v>44</v>
      </c>
      <c r="C71" s="37" t="s">
        <v>712</v>
      </c>
    </row>
    <row r="72" spans="2:3" x14ac:dyDescent="0.25">
      <c r="B72" t="s">
        <v>43</v>
      </c>
      <c r="C72" s="37" t="s">
        <v>713</v>
      </c>
    </row>
    <row r="73" spans="2:3" x14ac:dyDescent="0.25">
      <c r="B73" t="s">
        <v>164</v>
      </c>
      <c r="C73" s="37" t="s">
        <v>428</v>
      </c>
    </row>
    <row r="74" spans="2:3" x14ac:dyDescent="0.25">
      <c r="B74" t="s">
        <v>42</v>
      </c>
      <c r="C74" s="37" t="s">
        <v>1</v>
      </c>
    </row>
    <row r="75" spans="2:3" x14ac:dyDescent="0.25">
      <c r="B75" t="s">
        <v>203</v>
      </c>
      <c r="C75" s="37" t="s">
        <v>714</v>
      </c>
    </row>
    <row r="76" spans="2:3" x14ac:dyDescent="0.25">
      <c r="B76" t="s">
        <v>41</v>
      </c>
      <c r="C76" s="37" t="s">
        <v>427</v>
      </c>
    </row>
    <row r="77" spans="2:3" x14ac:dyDescent="0.25">
      <c r="B77" t="s">
        <v>95</v>
      </c>
      <c r="C77" s="37" t="s">
        <v>436</v>
      </c>
    </row>
    <row r="78" spans="2:3" x14ac:dyDescent="0.25">
      <c r="B78" t="s">
        <v>99</v>
      </c>
      <c r="C78" s="37">
        <v>1000</v>
      </c>
    </row>
    <row r="79" spans="2:3" x14ac:dyDescent="0.25">
      <c r="B79" t="s">
        <v>100</v>
      </c>
      <c r="C79" s="37">
        <v>2</v>
      </c>
    </row>
    <row r="80" spans="2:3" x14ac:dyDescent="0.25">
      <c r="B80" t="s">
        <v>101</v>
      </c>
      <c r="C80" s="37">
        <v>6.9</v>
      </c>
    </row>
    <row r="81" spans="2:3" x14ac:dyDescent="0.25">
      <c r="B81" t="s">
        <v>71</v>
      </c>
      <c r="C81" s="37">
        <v>44811</v>
      </c>
    </row>
    <row r="82" spans="2:3" x14ac:dyDescent="0.25">
      <c r="B82" t="s">
        <v>72</v>
      </c>
      <c r="C82" s="37">
        <v>44811</v>
      </c>
    </row>
    <row r="83" spans="2:3" x14ac:dyDescent="0.25">
      <c r="B83" t="s">
        <v>102</v>
      </c>
      <c r="C83" s="37" t="s">
        <v>715</v>
      </c>
    </row>
    <row r="84" spans="2:3" x14ac:dyDescent="0.25">
      <c r="B84" t="s">
        <v>74</v>
      </c>
      <c r="C84" s="37" t="s">
        <v>426</v>
      </c>
    </row>
    <row r="85" spans="2:3" x14ac:dyDescent="0.25">
      <c r="B85" t="s">
        <v>75</v>
      </c>
      <c r="C85" s="37" t="s">
        <v>426</v>
      </c>
    </row>
    <row r="86" spans="2:3" x14ac:dyDescent="0.25">
      <c r="B86" t="s">
        <v>76</v>
      </c>
      <c r="C86" s="37" t="s">
        <v>425</v>
      </c>
    </row>
    <row r="87" spans="2:3" x14ac:dyDescent="0.25">
      <c r="B87" t="s">
        <v>77</v>
      </c>
      <c r="C87" s="37" t="s">
        <v>424</v>
      </c>
    </row>
    <row r="88" spans="2:3" x14ac:dyDescent="0.25">
      <c r="B88" t="s">
        <v>78</v>
      </c>
      <c r="C88" s="37" t="s">
        <v>423</v>
      </c>
    </row>
  </sheetData>
  <phoneticPr fontId="14" type="noConversion"/>
  <conditionalFormatting sqref="B10:J19">
    <cfRule type="expression" dxfId="135" priority="1">
      <formula>ISNUMBER(FIND(#REF!,"【"))</formula>
    </cfRule>
  </conditionalFormatting>
  <conditionalFormatting sqref="K10:K19">
    <cfRule type="expression" dxfId="134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4FDE7-DE2B-4096-8BED-2AA14EC060AE}">
  <sheetPr codeName="Sheet11">
    <tabColor rgb="FF2A7968"/>
  </sheetPr>
  <dimension ref="A1:C10"/>
  <sheetViews>
    <sheetView workbookViewId="0">
      <selection activeCell="A4" sqref="A4:C9"/>
    </sheetView>
  </sheetViews>
  <sheetFormatPr defaultRowHeight="15" x14ac:dyDescent="0.25"/>
  <cols>
    <col min="1" max="1" width="9.6640625" style="1" customWidth="1"/>
    <col min="2" max="2" width="50.6640625" style="1" customWidth="1"/>
    <col min="3" max="3" width="45.5546875" style="1" customWidth="1"/>
    <col min="4" max="16384" width="8.88671875" style="1"/>
  </cols>
  <sheetData>
    <row r="1" spans="1:3" ht="40.5" customHeight="1" x14ac:dyDescent="0.45">
      <c r="A1" s="132" t="s">
        <v>675</v>
      </c>
    </row>
    <row r="2" spans="1:3" ht="40.5" customHeight="1" x14ac:dyDescent="0.25"/>
    <row r="3" spans="1:3" ht="40.5" customHeight="1" x14ac:dyDescent="0.25"/>
    <row r="4" spans="1:3" x14ac:dyDescent="0.25">
      <c r="A4" t="s">
        <v>84</v>
      </c>
      <c r="B4" t="s">
        <v>676</v>
      </c>
      <c r="C4" t="s">
        <v>677</v>
      </c>
    </row>
    <row r="5" spans="1:3" ht="60" x14ac:dyDescent="0.25">
      <c r="A5" s="147">
        <v>1</v>
      </c>
      <c r="B5" s="145" t="s">
        <v>928</v>
      </c>
      <c r="C5" s="146" t="s">
        <v>929</v>
      </c>
    </row>
    <row r="6" spans="1:3" ht="45" x14ac:dyDescent="0.25">
      <c r="A6" s="147">
        <v>2</v>
      </c>
      <c r="B6" s="145" t="s">
        <v>930</v>
      </c>
      <c r="C6" s="146" t="s">
        <v>931</v>
      </c>
    </row>
    <row r="7" spans="1:3" ht="105" x14ac:dyDescent="0.25">
      <c r="A7" s="147">
        <v>3</v>
      </c>
      <c r="B7" s="145" t="s">
        <v>932</v>
      </c>
      <c r="C7" s="146" t="s">
        <v>933</v>
      </c>
    </row>
    <row r="8" spans="1:3" ht="45" x14ac:dyDescent="0.25">
      <c r="A8" s="147">
        <v>4</v>
      </c>
      <c r="B8" s="145" t="s">
        <v>934</v>
      </c>
      <c r="C8" s="146" t="s">
        <v>935</v>
      </c>
    </row>
    <row r="9" spans="1:3" ht="38.25" customHeight="1" x14ac:dyDescent="0.25">
      <c r="A9" s="147">
        <v>5</v>
      </c>
      <c r="B9" s="145" t="s">
        <v>977</v>
      </c>
      <c r="C9" s="146" t="s">
        <v>978</v>
      </c>
    </row>
    <row r="10" spans="1:3" ht="30" x14ac:dyDescent="0.25">
      <c r="A10" s="133" t="s">
        <v>687</v>
      </c>
      <c r="B10" s="135"/>
      <c r="C10" s="134"/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V140"/>
  <sheetViews>
    <sheetView topLeftCell="A56" zoomScale="115" zoomScaleNormal="115" workbookViewId="0">
      <selection activeCell="G73" sqref="G73"/>
    </sheetView>
  </sheetViews>
  <sheetFormatPr defaultColWidth="8.21875" defaultRowHeight="18" customHeight="1" outlineLevelRow="1" outlineLevelCol="1" x14ac:dyDescent="0.25"/>
  <cols>
    <col min="1" max="1" width="4.5546875" style="16" customWidth="1" outlineLevel="1"/>
    <col min="2" max="2" width="8.109375" style="15" bestFit="1" customWidth="1"/>
    <col min="3" max="3" width="8.109375" style="15" customWidth="1"/>
    <col min="4" max="4" width="17.33203125" style="16" bestFit="1" customWidth="1"/>
    <col min="5" max="5" width="10.44140625" style="9" bestFit="1" customWidth="1"/>
    <col min="6" max="6" width="15" style="9" bestFit="1" customWidth="1"/>
    <col min="7" max="7" width="23.33203125" style="9" bestFit="1" customWidth="1"/>
    <col min="8" max="8" width="8.33203125" style="9" bestFit="1" customWidth="1"/>
    <col min="9" max="9" width="7.88671875" style="9" bestFit="1" customWidth="1"/>
    <col min="10" max="10" width="7.5546875" style="9" bestFit="1" customWidth="1"/>
    <col min="11" max="11" width="10.44140625" style="9" bestFit="1" customWidth="1"/>
    <col min="12" max="12" width="7.44140625" style="9" bestFit="1" customWidth="1"/>
    <col min="13" max="13" width="12.6640625" style="9" bestFit="1" customWidth="1"/>
    <col min="14" max="14" width="11" style="9" bestFit="1" customWidth="1"/>
    <col min="15" max="15" width="13.109375" style="9" bestFit="1" customWidth="1"/>
    <col min="16" max="16" width="18.109375" style="9" bestFit="1" customWidth="1"/>
    <col min="17" max="17" width="12.77734375" style="9" bestFit="1" customWidth="1"/>
    <col min="18" max="18" width="12.77734375" style="9" customWidth="1"/>
    <col min="19" max="19" width="13.44140625" style="9" bestFit="1" customWidth="1"/>
    <col min="20" max="20" width="13.44140625" style="9" customWidth="1"/>
    <col min="21" max="21" width="31.5546875" style="9" bestFit="1" customWidth="1"/>
    <col min="22" max="22" width="29.21875" style="9" bestFit="1" customWidth="1"/>
    <col min="23" max="23" width="7.88671875" style="9" bestFit="1" customWidth="1"/>
    <col min="24" max="24" width="7.5546875" style="9" bestFit="1" customWidth="1"/>
    <col min="25" max="25" width="20.44140625" style="9" bestFit="1" customWidth="1"/>
    <col min="26" max="26" width="11.88671875" style="9" bestFit="1" customWidth="1"/>
    <col min="27" max="27" width="10.6640625" style="9" bestFit="1" customWidth="1"/>
    <col min="28" max="28" width="8.88671875" style="9" bestFit="1" customWidth="1"/>
    <col min="29" max="29" width="7.109375" style="9" bestFit="1" customWidth="1"/>
    <col min="30" max="30" width="7.88671875" style="9" bestFit="1" customWidth="1"/>
    <col min="31" max="31" width="23.109375" style="9" bestFit="1" customWidth="1"/>
    <col min="32" max="32" width="7.21875" style="9" bestFit="1" customWidth="1"/>
    <col min="33" max="33" width="15.5546875" style="9" bestFit="1" customWidth="1"/>
    <col min="34" max="34" width="15.5546875" style="9" customWidth="1"/>
    <col min="35" max="35" width="8.109375" style="9" bestFit="1" customWidth="1"/>
    <col min="36" max="36" width="9" style="9" bestFit="1" customWidth="1"/>
    <col min="37" max="37" width="7.109375" style="9" bestFit="1" customWidth="1"/>
    <col min="38" max="38" width="10.6640625" style="9" bestFit="1" customWidth="1"/>
    <col min="39" max="39" width="7.109375" style="9" bestFit="1" customWidth="1"/>
    <col min="40" max="40" width="15.21875" style="9" bestFit="1" customWidth="1"/>
    <col min="41" max="41" width="7.109375" style="9" bestFit="1" customWidth="1"/>
    <col min="42" max="42" width="5.77734375" style="9" bestFit="1" customWidth="1"/>
    <col min="43" max="43" width="7.109375" style="9" bestFit="1" customWidth="1"/>
    <col min="44" max="16384" width="8.21875" style="9"/>
  </cols>
  <sheetData>
    <row r="1" spans="1:22" ht="18" customHeight="1" outlineLevel="1" x14ac:dyDescent="0.25">
      <c r="A1" s="111" t="str">
        <f ca="1" xml:space="preserve"> IF(ISNUMBER(FIND("ktkt",CELL("filename"))),"Remote",IF(ISNUMBER(FIND("http",CELL("filename"))),"Remote","Global"))</f>
        <v>Global</v>
      </c>
      <c r="B1" s="111" t="str">
        <f ca="1">CELL("filename")</f>
        <v>V:\Team Folder\Execution Team\Weekly AM\20231106\Data\[2.Dynamic List Generator.xlsm]【FINAL】</v>
      </c>
      <c r="C1" s="111"/>
      <c r="D1" s="9"/>
    </row>
    <row r="2" spans="1:22" ht="18" customHeight="1" x14ac:dyDescent="0.25">
      <c r="B2" s="9"/>
      <c r="C2" s="9"/>
      <c r="D2" s="9"/>
    </row>
    <row r="3" spans="1:22" ht="18" customHeight="1" x14ac:dyDescent="0.25">
      <c r="B3" s="9"/>
      <c r="C3" s="9"/>
      <c r="D3" s="9"/>
    </row>
    <row r="4" spans="1:22" ht="18" customHeight="1" x14ac:dyDescent="0.25">
      <c r="B4" s="9"/>
      <c r="C4" s="9"/>
      <c r="D4" s="76" t="s">
        <v>362</v>
      </c>
      <c r="F4" s="76" t="s">
        <v>363</v>
      </c>
      <c r="G4" s="76"/>
      <c r="I4" s="76" t="s">
        <v>350</v>
      </c>
      <c r="M4" s="76" t="s">
        <v>381</v>
      </c>
      <c r="P4" s="76" t="s">
        <v>382</v>
      </c>
      <c r="Q4" s="76"/>
      <c r="R4" s="76" t="s">
        <v>379</v>
      </c>
      <c r="U4" s="76" t="s">
        <v>379</v>
      </c>
    </row>
    <row r="5" spans="1:22" ht="18" customHeight="1" x14ac:dyDescent="0.25">
      <c r="A5" s="7"/>
      <c r="D5" s="15"/>
      <c r="E5" s="16"/>
      <c r="I5" s="16"/>
    </row>
    <row r="6" spans="1:22" ht="15" x14ac:dyDescent="0.25">
      <c r="D6" s="74" t="s">
        <v>87</v>
      </c>
      <c r="E6" s="15"/>
      <c r="F6" s="78" t="s">
        <v>360</v>
      </c>
      <c r="G6" s="26" t="s">
        <v>361</v>
      </c>
      <c r="I6" s="26" t="s">
        <v>157</v>
      </c>
      <c r="J6" t="s">
        <v>246</v>
      </c>
      <c r="M6" t="s">
        <v>383</v>
      </c>
      <c r="N6" t="s">
        <v>384</v>
      </c>
      <c r="O6" s="1"/>
      <c r="P6" s="26" t="s">
        <v>380</v>
      </c>
      <c r="Q6" s="96"/>
      <c r="R6" s="26" t="s">
        <v>378</v>
      </c>
      <c r="S6" s="26" t="s">
        <v>268</v>
      </c>
      <c r="U6" t="s">
        <v>627</v>
      </c>
      <c r="V6" t="s">
        <v>626</v>
      </c>
    </row>
    <row r="7" spans="1:22" ht="15" x14ac:dyDescent="0.25">
      <c r="A7" s="8"/>
      <c r="D7" s="74" t="s">
        <v>12</v>
      </c>
      <c r="E7" s="15"/>
      <c r="F7" s="78" t="s">
        <v>215</v>
      </c>
      <c r="G7" s="26" t="s">
        <v>354</v>
      </c>
      <c r="I7" s="26" t="s">
        <v>0</v>
      </c>
      <c r="J7" t="s">
        <v>253</v>
      </c>
      <c r="M7" t="s">
        <v>92</v>
      </c>
      <c r="N7" t="s">
        <v>385</v>
      </c>
      <c r="O7" s="1"/>
      <c r="P7" t="s">
        <v>84</v>
      </c>
      <c r="Q7" s="1"/>
      <c r="R7" t="s">
        <v>116</v>
      </c>
      <c r="S7" t="str">
        <f>DMIRenamed[[#This Row],[DMIRenamed]]&amp;"_DMI"</f>
        <v>票息_DMI</v>
      </c>
      <c r="U7" t="s">
        <v>453</v>
      </c>
      <c r="V7" t="s">
        <v>454</v>
      </c>
    </row>
    <row r="8" spans="1:22" ht="15" x14ac:dyDescent="0.25">
      <c r="D8" s="74" t="s">
        <v>28</v>
      </c>
      <c r="E8" s="15"/>
      <c r="F8" s="78" t="s">
        <v>216</v>
      </c>
      <c r="G8" s="26" t="s">
        <v>356</v>
      </c>
      <c r="I8" s="26" t="s">
        <v>4</v>
      </c>
      <c r="J8" t="s">
        <v>247</v>
      </c>
      <c r="M8" t="s">
        <v>218</v>
      </c>
      <c r="N8" t="s">
        <v>388</v>
      </c>
      <c r="O8" s="1"/>
      <c r="P8" t="s">
        <v>389</v>
      </c>
      <c r="Q8" s="1"/>
      <c r="R8" t="s">
        <v>275</v>
      </c>
      <c r="S8" t="str">
        <f>DMIRenamed[[#This Row],[DMIRenamed]]&amp;"_DMI"</f>
        <v>IPT_DMI</v>
      </c>
      <c r="U8" t="s">
        <v>460</v>
      </c>
      <c r="V8" t="s">
        <v>462</v>
      </c>
    </row>
    <row r="9" spans="1:22" ht="15" x14ac:dyDescent="0.25">
      <c r="A9" s="13"/>
      <c r="D9" s="74" t="s">
        <v>33</v>
      </c>
      <c r="E9" s="15"/>
      <c r="F9" s="78" t="s">
        <v>217</v>
      </c>
      <c r="G9" s="26" t="s">
        <v>355</v>
      </c>
      <c r="I9" s="26" t="s">
        <v>5</v>
      </c>
      <c r="J9" t="s">
        <v>248</v>
      </c>
      <c r="M9" t="s">
        <v>47</v>
      </c>
      <c r="N9" t="s">
        <v>385</v>
      </c>
      <c r="O9" s="1"/>
      <c r="P9" t="s">
        <v>92</v>
      </c>
      <c r="Q9" s="1"/>
      <c r="R9" t="s">
        <v>52</v>
      </c>
      <c r="S9" t="str">
        <f>DMIRenamed[[#This Row],[DMIRenamed]]&amp;"_DMI"</f>
        <v>FPG_DMI</v>
      </c>
      <c r="U9" t="s">
        <v>461</v>
      </c>
      <c r="V9" t="s">
        <v>463</v>
      </c>
    </row>
    <row r="10" spans="1:22" ht="15" x14ac:dyDescent="0.25">
      <c r="D10" s="74" t="s">
        <v>29</v>
      </c>
      <c r="E10" s="15"/>
      <c r="F10" s="78" t="s">
        <v>357</v>
      </c>
      <c r="G10" s="77"/>
      <c r="I10" s="26" t="s">
        <v>6</v>
      </c>
      <c r="J10" t="s">
        <v>249</v>
      </c>
      <c r="M10" t="s">
        <v>48</v>
      </c>
      <c r="N10" t="s">
        <v>385</v>
      </c>
      <c r="O10" s="1"/>
      <c r="P10" t="s">
        <v>47</v>
      </c>
      <c r="Q10" s="1"/>
      <c r="R10" t="s">
        <v>143</v>
      </c>
      <c r="S10" t="str">
        <f>DMIRenamed[[#This Row],[DMIRenamed]]&amp;"_DMI"</f>
        <v>定价_DMI</v>
      </c>
      <c r="U10" t="s">
        <v>464</v>
      </c>
      <c r="V10" t="s">
        <v>466</v>
      </c>
    </row>
    <row r="11" spans="1:22" ht="15" x14ac:dyDescent="0.25">
      <c r="A11" s="10"/>
      <c r="D11" s="74" t="s">
        <v>34</v>
      </c>
      <c r="F11" s="78" t="s">
        <v>358</v>
      </c>
      <c r="G11" s="26"/>
      <c r="I11" s="26" t="s">
        <v>213</v>
      </c>
      <c r="J11" t="s">
        <v>250</v>
      </c>
      <c r="M11" t="s">
        <v>46</v>
      </c>
      <c r="N11" t="s">
        <v>387</v>
      </c>
      <c r="O11" s="1"/>
      <c r="P11" t="s">
        <v>48</v>
      </c>
      <c r="Q11" s="1"/>
      <c r="U11" t="s">
        <v>465</v>
      </c>
      <c r="V11" t="s">
        <v>467</v>
      </c>
    </row>
    <row r="12" spans="1:22" ht="15" x14ac:dyDescent="0.25">
      <c r="D12" s="74" t="s">
        <v>9</v>
      </c>
      <c r="F12" s="84" t="s">
        <v>7</v>
      </c>
      <c r="G12" s="84" t="s">
        <v>7</v>
      </c>
      <c r="M12" t="s">
        <v>96</v>
      </c>
      <c r="N12" t="s">
        <v>387</v>
      </c>
      <c r="O12" s="1"/>
      <c r="P12" t="s">
        <v>130</v>
      </c>
      <c r="Q12" s="1"/>
      <c r="U12" t="s">
        <v>468</v>
      </c>
      <c r="V12" t="s">
        <v>469</v>
      </c>
    </row>
    <row r="13" spans="1:22" ht="15" x14ac:dyDescent="0.25">
      <c r="A13" s="11"/>
      <c r="D13" s="74" t="s">
        <v>30</v>
      </c>
      <c r="G13" s="79"/>
      <c r="M13" t="s">
        <v>97</v>
      </c>
      <c r="N13" t="s">
        <v>388</v>
      </c>
      <c r="O13" s="1"/>
      <c r="P13" t="s">
        <v>165</v>
      </c>
      <c r="Q13" s="1"/>
      <c r="U13" t="s">
        <v>471</v>
      </c>
      <c r="V13" t="s">
        <v>470</v>
      </c>
    </row>
    <row r="14" spans="1:22" ht="15" x14ac:dyDescent="0.25">
      <c r="D14" s="74" t="s">
        <v>32</v>
      </c>
      <c r="F14" s="35" t="s">
        <v>91</v>
      </c>
      <c r="G14" s="79"/>
      <c r="I14" s="26" t="s">
        <v>191</v>
      </c>
      <c r="J14" t="s">
        <v>252</v>
      </c>
      <c r="M14" t="s">
        <v>49</v>
      </c>
      <c r="N14" t="s">
        <v>387</v>
      </c>
      <c r="O14" s="1"/>
      <c r="P14" t="s">
        <v>50</v>
      </c>
      <c r="Q14" s="1"/>
      <c r="U14" t="s">
        <v>472</v>
      </c>
      <c r="V14" t="s">
        <v>479</v>
      </c>
    </row>
    <row r="15" spans="1:22" ht="15" x14ac:dyDescent="0.25">
      <c r="A15" s="14"/>
      <c r="D15" s="74" t="s">
        <v>13</v>
      </c>
      <c r="F15" s="35" t="s">
        <v>128</v>
      </c>
      <c r="G15" s="80"/>
      <c r="I15" s="26" t="s">
        <v>180</v>
      </c>
      <c r="J15">
        <v>1</v>
      </c>
      <c r="M15" t="s">
        <v>56</v>
      </c>
      <c r="N15" t="s">
        <v>385</v>
      </c>
      <c r="O15" s="1"/>
      <c r="P15" t="s">
        <v>63</v>
      </c>
      <c r="Q15" s="1"/>
      <c r="U15" t="s">
        <v>473</v>
      </c>
      <c r="V15" t="s">
        <v>482</v>
      </c>
    </row>
    <row r="16" spans="1:22" ht="15" x14ac:dyDescent="0.25">
      <c r="D16" s="74" t="s">
        <v>17</v>
      </c>
      <c r="F16" s="35" t="s">
        <v>129</v>
      </c>
      <c r="G16" s="80"/>
      <c r="I16" s="26" t="s">
        <v>181</v>
      </c>
      <c r="J16">
        <v>2</v>
      </c>
      <c r="M16" t="s">
        <v>63</v>
      </c>
      <c r="N16" t="s">
        <v>385</v>
      </c>
      <c r="O16" s="1"/>
      <c r="P16" t="s">
        <v>56</v>
      </c>
      <c r="Q16" s="1"/>
      <c r="U16" t="s">
        <v>474</v>
      </c>
      <c r="V16" t="s">
        <v>483</v>
      </c>
    </row>
    <row r="17" spans="1:22" ht="15" x14ac:dyDescent="0.25">
      <c r="A17" s="12"/>
      <c r="D17" s="74" t="s">
        <v>8</v>
      </c>
      <c r="F17" s="35" t="s">
        <v>113</v>
      </c>
      <c r="G17" s="79"/>
      <c r="I17" s="26" t="s">
        <v>182</v>
      </c>
      <c r="J17">
        <v>3</v>
      </c>
      <c r="M17" t="s">
        <v>57</v>
      </c>
      <c r="N17" t="s">
        <v>387</v>
      </c>
      <c r="O17" s="1"/>
      <c r="P17" t="s">
        <v>85</v>
      </c>
      <c r="Q17" s="1"/>
      <c r="U17" t="s">
        <v>475</v>
      </c>
      <c r="V17" t="s">
        <v>486</v>
      </c>
    </row>
    <row r="18" spans="1:22" ht="15" x14ac:dyDescent="0.25">
      <c r="D18" s="74" t="s">
        <v>22</v>
      </c>
      <c r="G18" s="79"/>
      <c r="I18" s="26" t="s">
        <v>183</v>
      </c>
      <c r="J18">
        <v>4</v>
      </c>
      <c r="M18" t="s">
        <v>116</v>
      </c>
      <c r="N18" t="s">
        <v>386</v>
      </c>
      <c r="O18" s="1"/>
      <c r="P18" t="s">
        <v>116</v>
      </c>
      <c r="Q18" s="1"/>
      <c r="U18" t="s">
        <v>476</v>
      </c>
      <c r="V18" t="s">
        <v>490</v>
      </c>
    </row>
    <row r="19" spans="1:22" ht="15" x14ac:dyDescent="0.25">
      <c r="A19" s="13"/>
      <c r="D19" s="74" t="s">
        <v>16</v>
      </c>
      <c r="F19" s="36" t="s">
        <v>42</v>
      </c>
      <c r="I19" s="26" t="s">
        <v>2</v>
      </c>
      <c r="J19">
        <v>5</v>
      </c>
      <c r="M19" t="s">
        <v>51</v>
      </c>
      <c r="N19" t="s">
        <v>385</v>
      </c>
      <c r="O19" s="1"/>
      <c r="P19" t="s">
        <v>86</v>
      </c>
      <c r="Q19" s="1"/>
      <c r="U19" t="s">
        <v>477</v>
      </c>
      <c r="V19" t="s">
        <v>491</v>
      </c>
    </row>
    <row r="20" spans="1:22" ht="15" x14ac:dyDescent="0.25">
      <c r="D20" s="74" t="s">
        <v>20</v>
      </c>
      <c r="F20" s="36" t="s">
        <v>1</v>
      </c>
      <c r="G20" s="81"/>
      <c r="I20" s="26" t="s">
        <v>184</v>
      </c>
      <c r="J20">
        <v>6</v>
      </c>
      <c r="M20" t="s">
        <v>98</v>
      </c>
      <c r="N20" t="s">
        <v>387</v>
      </c>
      <c r="O20" s="1"/>
      <c r="P20" t="s">
        <v>52</v>
      </c>
      <c r="Q20" s="1"/>
      <c r="U20" t="s">
        <v>478</v>
      </c>
      <c r="V20" t="s">
        <v>492</v>
      </c>
    </row>
    <row r="21" spans="1:22" ht="15" x14ac:dyDescent="0.25">
      <c r="A21" s="26" t="s">
        <v>268</v>
      </c>
      <c r="D21" s="74" t="s">
        <v>10</v>
      </c>
      <c r="F21" s="36" t="s">
        <v>82</v>
      </c>
      <c r="G21" s="81"/>
      <c r="I21" s="26" t="s">
        <v>7</v>
      </c>
      <c r="J21">
        <v>7</v>
      </c>
      <c r="M21" t="s">
        <v>275</v>
      </c>
      <c r="N21" t="s">
        <v>386</v>
      </c>
      <c r="O21" s="1"/>
      <c r="P21" t="s">
        <v>143</v>
      </c>
      <c r="Q21" s="1"/>
      <c r="U21" t="s">
        <v>480</v>
      </c>
      <c r="V21" t="s">
        <v>493</v>
      </c>
    </row>
    <row r="22" spans="1:22" ht="15" x14ac:dyDescent="0.25">
      <c r="A22" s="26"/>
      <c r="D22" s="74" t="s">
        <v>26</v>
      </c>
      <c r="F22" s="74" t="s">
        <v>348</v>
      </c>
      <c r="G22" s="81"/>
      <c r="M22" t="s">
        <v>52</v>
      </c>
      <c r="N22" t="s">
        <v>386</v>
      </c>
      <c r="O22" s="1"/>
      <c r="P22" t="s">
        <v>154</v>
      </c>
      <c r="Q22" s="1"/>
      <c r="U22" t="s">
        <v>481</v>
      </c>
      <c r="V22" t="s">
        <v>494</v>
      </c>
    </row>
    <row r="23" spans="1:22" ht="15" x14ac:dyDescent="0.25">
      <c r="A23" s="114"/>
      <c r="D23" s="74" t="s">
        <v>21</v>
      </c>
      <c r="F23" s="74" t="s">
        <v>349</v>
      </c>
      <c r="G23" s="81"/>
      <c r="I23" s="26" t="s">
        <v>210</v>
      </c>
      <c r="J23" t="s">
        <v>252</v>
      </c>
      <c r="M23" t="s">
        <v>53</v>
      </c>
      <c r="N23" t="s">
        <v>388</v>
      </c>
      <c r="O23" s="1"/>
      <c r="P23" t="s">
        <v>156</v>
      </c>
      <c r="Q23" s="1"/>
      <c r="U23" t="s">
        <v>484</v>
      </c>
      <c r="V23" t="s">
        <v>497</v>
      </c>
    </row>
    <row r="24" spans="1:22" ht="15" x14ac:dyDescent="0.25">
      <c r="A24" s="26" t="s">
        <v>268</v>
      </c>
      <c r="D24" s="74" t="s">
        <v>14</v>
      </c>
      <c r="E24" s="15"/>
      <c r="F24" s="36" t="s">
        <v>2</v>
      </c>
      <c r="G24" s="81"/>
      <c r="I24" s="26" t="s">
        <v>211</v>
      </c>
      <c r="J24">
        <v>1</v>
      </c>
      <c r="M24" t="s">
        <v>288</v>
      </c>
      <c r="N24" t="s">
        <v>387</v>
      </c>
      <c r="O24" s="1"/>
      <c r="P24" t="s">
        <v>58</v>
      </c>
      <c r="Q24" s="1"/>
      <c r="U24" t="s">
        <v>485</v>
      </c>
      <c r="V24" t="s">
        <v>498</v>
      </c>
    </row>
    <row r="25" spans="1:22" ht="15" x14ac:dyDescent="0.25">
      <c r="A25" s="26"/>
      <c r="D25" s="74" t="s">
        <v>18</v>
      </c>
      <c r="E25" s="15"/>
      <c r="F25" s="36" t="s">
        <v>3</v>
      </c>
      <c r="I25" s="26" t="s">
        <v>237</v>
      </c>
      <c r="J25">
        <v>2</v>
      </c>
      <c r="M25" t="s">
        <v>79</v>
      </c>
      <c r="N25" t="s">
        <v>385</v>
      </c>
      <c r="O25" s="1"/>
      <c r="P25" t="s">
        <v>88</v>
      </c>
      <c r="Q25" s="1"/>
      <c r="U25" t="s">
        <v>487</v>
      </c>
      <c r="V25" t="s">
        <v>502</v>
      </c>
    </row>
    <row r="26" spans="1:22" ht="15" x14ac:dyDescent="0.25">
      <c r="A26" s="114"/>
      <c r="D26" s="74" t="s">
        <v>24</v>
      </c>
      <c r="E26" s="15"/>
      <c r="G26" s="81"/>
      <c r="I26" s="26" t="s">
        <v>238</v>
      </c>
      <c r="J26">
        <v>3</v>
      </c>
      <c r="M26" t="s">
        <v>219</v>
      </c>
      <c r="N26" t="s">
        <v>387</v>
      </c>
      <c r="O26" s="1"/>
      <c r="P26" t="s">
        <v>89</v>
      </c>
      <c r="Q26" s="1"/>
      <c r="U26" t="s">
        <v>488</v>
      </c>
      <c r="V26" t="s">
        <v>503</v>
      </c>
    </row>
    <row r="27" spans="1:22" ht="15" x14ac:dyDescent="0.25">
      <c r="A27" s="26" t="s">
        <v>268</v>
      </c>
      <c r="D27" s="74" t="s">
        <v>27</v>
      </c>
      <c r="E27" s="15"/>
      <c r="F27" s="26" t="s">
        <v>94</v>
      </c>
      <c r="G27" s="81"/>
      <c r="I27" s="26" t="s">
        <v>239</v>
      </c>
      <c r="J27">
        <v>4</v>
      </c>
      <c r="M27" t="s">
        <v>54</v>
      </c>
      <c r="N27" t="s">
        <v>387</v>
      </c>
      <c r="O27" s="1"/>
      <c r="P27" t="s">
        <v>172</v>
      </c>
      <c r="Q27" s="1"/>
      <c r="U27" t="s">
        <v>489</v>
      </c>
      <c r="V27" t="s">
        <v>509</v>
      </c>
    </row>
    <row r="28" spans="1:22" ht="15" x14ac:dyDescent="0.25">
      <c r="A28" s="26"/>
      <c r="D28" s="74" t="s">
        <v>11</v>
      </c>
      <c r="E28" s="15"/>
      <c r="F28" s="26" t="s">
        <v>276</v>
      </c>
      <c r="G28" s="81"/>
      <c r="I28" s="26" t="s">
        <v>240</v>
      </c>
      <c r="J28">
        <v>5</v>
      </c>
      <c r="M28" t="s">
        <v>55</v>
      </c>
      <c r="N28" t="s">
        <v>387</v>
      </c>
      <c r="O28" s="1"/>
      <c r="P28" t="s">
        <v>173</v>
      </c>
      <c r="Q28" s="1"/>
      <c r="U28" t="s">
        <v>495</v>
      </c>
      <c r="V28" t="s">
        <v>510</v>
      </c>
    </row>
    <row r="29" spans="1:22" ht="15" x14ac:dyDescent="0.25">
      <c r="A29" s="114"/>
      <c r="D29" s="74" t="s">
        <v>19</v>
      </c>
      <c r="E29" s="15"/>
      <c r="F29" s="26" t="s">
        <v>351</v>
      </c>
      <c r="G29" s="81"/>
      <c r="I29" s="26" t="s">
        <v>7</v>
      </c>
      <c r="J29">
        <v>6</v>
      </c>
      <c r="M29" t="s">
        <v>58</v>
      </c>
      <c r="N29" t="s">
        <v>385</v>
      </c>
      <c r="O29" s="1"/>
      <c r="P29" t="s">
        <v>133</v>
      </c>
      <c r="Q29" s="1"/>
      <c r="U29" t="s">
        <v>496</v>
      </c>
      <c r="V29" t="s">
        <v>512</v>
      </c>
    </row>
    <row r="30" spans="1:22" ht="15" x14ac:dyDescent="0.25">
      <c r="A30" s="26" t="s">
        <v>268</v>
      </c>
      <c r="D30" s="74" t="s">
        <v>25</v>
      </c>
      <c r="E30" s="15"/>
      <c r="F30" s="26" t="s">
        <v>352</v>
      </c>
      <c r="G30" s="82"/>
      <c r="I30" s="18"/>
      <c r="J30" s="18"/>
      <c r="M30" t="s">
        <v>59</v>
      </c>
      <c r="N30" t="s">
        <v>388</v>
      </c>
      <c r="O30" s="1"/>
      <c r="P30" t="s">
        <v>79</v>
      </c>
      <c r="Q30" s="1"/>
      <c r="U30" t="s">
        <v>499</v>
      </c>
      <c r="V30" t="s">
        <v>515</v>
      </c>
    </row>
    <row r="31" spans="1:22" ht="15" x14ac:dyDescent="0.25">
      <c r="A31" s="26"/>
      <c r="D31" s="74" t="s">
        <v>23</v>
      </c>
      <c r="E31" s="15"/>
      <c r="F31" s="26" t="s">
        <v>353</v>
      </c>
      <c r="I31" s="26" t="s">
        <v>139</v>
      </c>
      <c r="J31" t="s">
        <v>252</v>
      </c>
      <c r="M31" t="s">
        <v>93</v>
      </c>
      <c r="N31" t="s">
        <v>387</v>
      </c>
      <c r="O31" s="1"/>
      <c r="P31" t="s">
        <v>65</v>
      </c>
      <c r="Q31" s="1"/>
      <c r="U31" t="s">
        <v>500</v>
      </c>
      <c r="V31" t="s">
        <v>523</v>
      </c>
    </row>
    <row r="32" spans="1:22" ht="15" x14ac:dyDescent="0.25">
      <c r="A32" s="114"/>
      <c r="D32" s="74" t="s">
        <v>135</v>
      </c>
      <c r="E32" s="15"/>
      <c r="I32" s="26" t="s">
        <v>197</v>
      </c>
      <c r="J32">
        <v>1</v>
      </c>
      <c r="M32" t="s">
        <v>44</v>
      </c>
      <c r="N32" t="s">
        <v>385</v>
      </c>
      <c r="O32" s="1"/>
      <c r="P32" t="s">
        <v>68</v>
      </c>
      <c r="Q32" s="1"/>
      <c r="U32" t="s">
        <v>501</v>
      </c>
      <c r="V32" t="s">
        <v>528</v>
      </c>
    </row>
    <row r="33" spans="1:22" ht="15" x14ac:dyDescent="0.25">
      <c r="A33" s="26" t="s">
        <v>268</v>
      </c>
      <c r="D33" s="74" t="s">
        <v>15</v>
      </c>
      <c r="E33" s="15"/>
      <c r="F33" s="26" t="s">
        <v>160</v>
      </c>
      <c r="I33" s="26" t="s">
        <v>141</v>
      </c>
      <c r="J33">
        <v>2</v>
      </c>
      <c r="M33" t="s">
        <v>45</v>
      </c>
      <c r="N33" t="s">
        <v>385</v>
      </c>
      <c r="O33" s="1"/>
      <c r="P33" t="s">
        <v>51</v>
      </c>
      <c r="Q33" s="1"/>
      <c r="U33" t="s">
        <v>504</v>
      </c>
      <c r="V33" t="s">
        <v>532</v>
      </c>
    </row>
    <row r="34" spans="1:22" ht="15" x14ac:dyDescent="0.25">
      <c r="A34" s="26"/>
      <c r="D34" s="74" t="s">
        <v>35</v>
      </c>
      <c r="E34" s="15"/>
      <c r="F34" s="26" t="s">
        <v>168</v>
      </c>
      <c r="I34" s="26" t="s">
        <v>140</v>
      </c>
      <c r="J34">
        <v>3</v>
      </c>
      <c r="M34" t="s">
        <v>127</v>
      </c>
      <c r="N34" t="s">
        <v>387</v>
      </c>
      <c r="O34" s="1"/>
      <c r="P34" t="s">
        <v>161</v>
      </c>
      <c r="Q34" s="1"/>
      <c r="U34" t="s">
        <v>505</v>
      </c>
      <c r="V34" t="s">
        <v>535</v>
      </c>
    </row>
    <row r="35" spans="1:22" ht="15" x14ac:dyDescent="0.25">
      <c r="A35" s="114"/>
      <c r="D35" s="74" t="s">
        <v>134</v>
      </c>
      <c r="E35" s="15"/>
      <c r="F35" s="26" t="s">
        <v>171</v>
      </c>
      <c r="I35" s="26" t="s">
        <v>198</v>
      </c>
      <c r="J35">
        <v>4</v>
      </c>
      <c r="M35" t="s">
        <v>60</v>
      </c>
      <c r="N35" t="s">
        <v>387</v>
      </c>
      <c r="O35" s="1"/>
      <c r="P35" t="s">
        <v>162</v>
      </c>
      <c r="Q35" s="1"/>
      <c r="U35" t="s">
        <v>506</v>
      </c>
      <c r="V35" t="s">
        <v>536</v>
      </c>
    </row>
    <row r="36" spans="1:22" ht="15" x14ac:dyDescent="0.25">
      <c r="A36" s="26" t="s">
        <v>268</v>
      </c>
      <c r="D36" s="74" t="s">
        <v>31</v>
      </c>
      <c r="E36" s="15"/>
      <c r="F36" s="26" t="s">
        <v>178</v>
      </c>
      <c r="I36" s="26" t="s">
        <v>176</v>
      </c>
      <c r="J36">
        <v>5</v>
      </c>
      <c r="M36" t="s">
        <v>61</v>
      </c>
      <c r="N36" t="s">
        <v>387</v>
      </c>
      <c r="O36" s="1"/>
      <c r="P36" t="s">
        <v>196</v>
      </c>
      <c r="Q36" s="1"/>
      <c r="U36" t="s">
        <v>507</v>
      </c>
      <c r="V36" t="s">
        <v>537</v>
      </c>
    </row>
    <row r="37" spans="1:22" ht="15" x14ac:dyDescent="0.25">
      <c r="A37" s="26"/>
      <c r="D37" s="74" t="s">
        <v>136</v>
      </c>
      <c r="E37" s="15"/>
      <c r="F37" s="77" t="s">
        <v>7</v>
      </c>
      <c r="I37" s="26" t="s">
        <v>175</v>
      </c>
      <c r="J37">
        <v>6</v>
      </c>
      <c r="M37" t="s">
        <v>62</v>
      </c>
      <c r="N37" t="s">
        <v>387</v>
      </c>
      <c r="O37" s="1"/>
      <c r="P37" t="s">
        <v>641</v>
      </c>
      <c r="Q37" s="1"/>
      <c r="U37" t="s">
        <v>508</v>
      </c>
      <c r="V37" t="s">
        <v>539</v>
      </c>
    </row>
    <row r="38" spans="1:22" ht="15" x14ac:dyDescent="0.25">
      <c r="A38" s="114"/>
      <c r="D38" s="74" t="s">
        <v>346</v>
      </c>
      <c r="E38" s="15"/>
      <c r="M38" t="s">
        <v>64</v>
      </c>
      <c r="N38" t="s">
        <v>387</v>
      </c>
      <c r="O38" s="1"/>
      <c r="P38" t="s">
        <v>214</v>
      </c>
      <c r="Q38" s="1"/>
      <c r="U38" t="s">
        <v>511</v>
      </c>
      <c r="V38" t="s">
        <v>543</v>
      </c>
    </row>
    <row r="39" spans="1:22" ht="15" x14ac:dyDescent="0.25">
      <c r="A39" s="26" t="s">
        <v>268</v>
      </c>
      <c r="D39" s="74" t="s">
        <v>347</v>
      </c>
      <c r="E39" s="15"/>
      <c r="I39" s="26" t="s">
        <v>63</v>
      </c>
      <c r="J39" s="26" t="s">
        <v>252</v>
      </c>
      <c r="M39" t="s">
        <v>185</v>
      </c>
      <c r="N39" t="s">
        <v>385</v>
      </c>
      <c r="O39" s="1"/>
      <c r="P39" t="s">
        <v>241</v>
      </c>
      <c r="Q39" s="1"/>
      <c r="U39" t="s">
        <v>513</v>
      </c>
      <c r="V39" t="s">
        <v>545</v>
      </c>
    </row>
    <row r="40" spans="1:22" ht="15" x14ac:dyDescent="0.25">
      <c r="A40" s="26"/>
      <c r="E40" s="15"/>
      <c r="I40" s="26" t="s">
        <v>83</v>
      </c>
      <c r="J40">
        <v>1</v>
      </c>
      <c r="M40" t="s">
        <v>43</v>
      </c>
      <c r="N40" t="s">
        <v>385</v>
      </c>
      <c r="O40" s="1"/>
      <c r="P40" t="s">
        <v>194</v>
      </c>
      <c r="Q40" s="1"/>
      <c r="U40" t="s">
        <v>514</v>
      </c>
      <c r="V40" t="s">
        <v>549</v>
      </c>
    </row>
    <row r="41" spans="1:22" ht="15" x14ac:dyDescent="0.25">
      <c r="A41" s="114"/>
      <c r="D41" s="74" t="s">
        <v>40</v>
      </c>
      <c r="E41" s="15"/>
      <c r="I41" s="26" t="s">
        <v>104</v>
      </c>
      <c r="J41">
        <v>2</v>
      </c>
      <c r="M41" t="s">
        <v>94</v>
      </c>
      <c r="N41" t="s">
        <v>387</v>
      </c>
      <c r="O41" s="1"/>
      <c r="P41" t="s">
        <v>69</v>
      </c>
      <c r="Q41" s="1"/>
      <c r="U41" t="s">
        <v>516</v>
      </c>
      <c r="V41" t="s">
        <v>550</v>
      </c>
    </row>
    <row r="42" spans="1:22" ht="15" x14ac:dyDescent="0.25">
      <c r="A42" s="26" t="s">
        <v>268</v>
      </c>
      <c r="D42" s="74" t="s">
        <v>320</v>
      </c>
      <c r="E42" s="15"/>
      <c r="I42" s="26" t="s">
        <v>106</v>
      </c>
      <c r="J42">
        <v>3</v>
      </c>
      <c r="M42" t="s">
        <v>164</v>
      </c>
      <c r="N42" t="s">
        <v>388</v>
      </c>
      <c r="O42" s="1"/>
      <c r="P42" t="s">
        <v>70</v>
      </c>
      <c r="Q42" s="1"/>
      <c r="U42" t="s">
        <v>517</v>
      </c>
      <c r="V42" t="s">
        <v>553</v>
      </c>
    </row>
    <row r="43" spans="1:22" ht="15" x14ac:dyDescent="0.25">
      <c r="A43" s="26"/>
      <c r="D43" s="74" t="s">
        <v>293</v>
      </c>
      <c r="E43" s="15"/>
      <c r="I43" s="26" t="s">
        <v>108</v>
      </c>
      <c r="J43">
        <v>4</v>
      </c>
      <c r="M43" t="s">
        <v>50</v>
      </c>
      <c r="N43" t="s">
        <v>385</v>
      </c>
      <c r="O43" s="1"/>
      <c r="P43" t="s">
        <v>80</v>
      </c>
      <c r="Q43" s="1"/>
      <c r="U43" t="s">
        <v>518</v>
      </c>
      <c r="V43" t="s">
        <v>558</v>
      </c>
    </row>
    <row r="44" spans="1:22" ht="15" x14ac:dyDescent="0.25">
      <c r="A44" s="114"/>
      <c r="D44" s="74" t="s">
        <v>294</v>
      </c>
      <c r="E44" s="15"/>
      <c r="I44" s="26" t="s">
        <v>242</v>
      </c>
      <c r="J44">
        <v>5</v>
      </c>
      <c r="M44" t="s">
        <v>103</v>
      </c>
      <c r="N44" t="s">
        <v>388</v>
      </c>
      <c r="O44" s="1"/>
      <c r="P44" t="s">
        <v>40</v>
      </c>
      <c r="Q44" s="1"/>
      <c r="U44" t="s">
        <v>519</v>
      </c>
      <c r="V44" t="s">
        <v>560</v>
      </c>
    </row>
    <row r="45" spans="1:22" ht="15" x14ac:dyDescent="0.25">
      <c r="A45" s="26" t="s">
        <v>268</v>
      </c>
      <c r="D45" s="74" t="s">
        <v>295</v>
      </c>
      <c r="E45" s="15"/>
      <c r="I45" s="26" t="s">
        <v>254</v>
      </c>
      <c r="J45">
        <v>6</v>
      </c>
      <c r="M45" t="s">
        <v>203</v>
      </c>
      <c r="N45" t="s">
        <v>388</v>
      </c>
      <c r="O45" s="1"/>
      <c r="P45" t="s">
        <v>131</v>
      </c>
      <c r="Q45" s="1"/>
      <c r="U45" t="s">
        <v>520</v>
      </c>
      <c r="V45" t="s">
        <v>561</v>
      </c>
    </row>
    <row r="46" spans="1:22" ht="15" x14ac:dyDescent="0.25">
      <c r="A46" s="26"/>
      <c r="D46" s="74" t="s">
        <v>291</v>
      </c>
      <c r="E46" s="15"/>
      <c r="I46" s="26" t="s">
        <v>255</v>
      </c>
      <c r="J46">
        <v>7</v>
      </c>
      <c r="M46" t="s">
        <v>41</v>
      </c>
      <c r="N46" t="s">
        <v>385</v>
      </c>
      <c r="O46" s="1"/>
      <c r="P46" t="s">
        <v>456</v>
      </c>
      <c r="Q46" s="1"/>
      <c r="U46" t="s">
        <v>521</v>
      </c>
      <c r="V46" t="s">
        <v>570</v>
      </c>
    </row>
    <row r="47" spans="1:22" ht="15" x14ac:dyDescent="0.25">
      <c r="D47" s="74" t="s">
        <v>296</v>
      </c>
      <c r="E47" s="15"/>
      <c r="I47" s="26" t="s">
        <v>256</v>
      </c>
      <c r="J47">
        <v>8</v>
      </c>
      <c r="M47" t="s">
        <v>95</v>
      </c>
      <c r="N47" t="s">
        <v>388</v>
      </c>
      <c r="O47" s="1"/>
      <c r="P47" t="s">
        <v>199</v>
      </c>
      <c r="Q47" s="1"/>
      <c r="U47" t="s">
        <v>522</v>
      </c>
      <c r="V47" t="s">
        <v>575</v>
      </c>
    </row>
    <row r="48" spans="1:22" ht="15" x14ac:dyDescent="0.25">
      <c r="D48" s="74" t="s">
        <v>297</v>
      </c>
      <c r="E48" s="15"/>
      <c r="I48" s="26" t="s">
        <v>257</v>
      </c>
      <c r="J48">
        <v>9</v>
      </c>
      <c r="M48" t="s">
        <v>204</v>
      </c>
      <c r="N48" t="s">
        <v>387</v>
      </c>
      <c r="O48" s="1"/>
      <c r="P48" t="s">
        <v>195</v>
      </c>
      <c r="Q48" s="1"/>
      <c r="U48" t="s">
        <v>524</v>
      </c>
      <c r="V48" t="s">
        <v>577</v>
      </c>
    </row>
    <row r="49" spans="4:22" ht="15" x14ac:dyDescent="0.25">
      <c r="D49" s="74" t="s">
        <v>298</v>
      </c>
      <c r="E49" s="15"/>
      <c r="I49" s="26" t="s">
        <v>258</v>
      </c>
      <c r="J49">
        <v>10</v>
      </c>
      <c r="M49" t="s">
        <v>205</v>
      </c>
      <c r="N49" t="s">
        <v>387</v>
      </c>
      <c r="O49" s="1"/>
      <c r="P49" t="s">
        <v>200</v>
      </c>
      <c r="Q49" s="1"/>
      <c r="U49" t="s">
        <v>525</v>
      </c>
      <c r="V49" t="s">
        <v>579</v>
      </c>
    </row>
    <row r="50" spans="4:22" ht="15" x14ac:dyDescent="0.25">
      <c r="D50" s="74" t="s">
        <v>299</v>
      </c>
      <c r="E50" s="15"/>
      <c r="I50" s="26" t="s">
        <v>259</v>
      </c>
      <c r="J50">
        <v>11</v>
      </c>
      <c r="M50" t="s">
        <v>206</v>
      </c>
      <c r="N50" t="s">
        <v>387</v>
      </c>
      <c r="O50" s="1"/>
      <c r="P50" t="s">
        <v>201</v>
      </c>
      <c r="Q50" s="1"/>
      <c r="U50" t="s">
        <v>526</v>
      </c>
      <c r="V50" t="s">
        <v>585</v>
      </c>
    </row>
    <row r="51" spans="4:22" ht="15" x14ac:dyDescent="0.25">
      <c r="D51" s="74" t="s">
        <v>300</v>
      </c>
      <c r="E51" s="15"/>
      <c r="M51" t="s">
        <v>207</v>
      </c>
      <c r="N51" t="s">
        <v>385</v>
      </c>
      <c r="O51" s="1"/>
      <c r="P51" t="s">
        <v>267</v>
      </c>
      <c r="Q51" s="1"/>
      <c r="U51" t="s">
        <v>527</v>
      </c>
      <c r="V51" t="s">
        <v>595</v>
      </c>
    </row>
    <row r="52" spans="4:22" ht="15" x14ac:dyDescent="0.25">
      <c r="D52" s="74" t="s">
        <v>301</v>
      </c>
      <c r="E52" s="15"/>
      <c r="I52" s="26" t="s">
        <v>260</v>
      </c>
      <c r="J52" s="26" t="s">
        <v>252</v>
      </c>
      <c r="M52" t="s">
        <v>78</v>
      </c>
      <c r="N52" t="s">
        <v>387</v>
      </c>
      <c r="O52" s="1"/>
      <c r="P52" t="s">
        <v>207</v>
      </c>
      <c r="Q52" s="1"/>
      <c r="U52" t="s">
        <v>529</v>
      </c>
      <c r="V52" t="s">
        <v>602</v>
      </c>
    </row>
    <row r="53" spans="4:22" ht="15" x14ac:dyDescent="0.25">
      <c r="D53" s="74" t="s">
        <v>302</v>
      </c>
      <c r="E53" s="15"/>
      <c r="I53" s="26" t="s">
        <v>243</v>
      </c>
      <c r="J53">
        <v>1</v>
      </c>
      <c r="M53" t="s">
        <v>99</v>
      </c>
      <c r="N53" t="s">
        <v>388</v>
      </c>
      <c r="O53" s="1"/>
      <c r="P53" t="s">
        <v>185</v>
      </c>
      <c r="Q53" s="1"/>
      <c r="U53" t="s">
        <v>530</v>
      </c>
      <c r="V53" t="s">
        <v>610</v>
      </c>
    </row>
    <row r="54" spans="4:22" ht="15" x14ac:dyDescent="0.25">
      <c r="D54" s="74" t="s">
        <v>303</v>
      </c>
      <c r="E54" s="15"/>
      <c r="I54" s="26" t="s">
        <v>261</v>
      </c>
      <c r="J54">
        <v>2</v>
      </c>
      <c r="M54" t="s">
        <v>100</v>
      </c>
      <c r="N54" t="s">
        <v>388</v>
      </c>
      <c r="O54" s="1"/>
      <c r="P54" t="s">
        <v>377</v>
      </c>
      <c r="Q54" s="1"/>
      <c r="U54" t="s">
        <v>531</v>
      </c>
      <c r="V54" t="s">
        <v>615</v>
      </c>
    </row>
    <row r="55" spans="4:22" ht="15" x14ac:dyDescent="0.25">
      <c r="D55" s="74" t="s">
        <v>304</v>
      </c>
      <c r="E55" s="15"/>
      <c r="I55" s="26" t="s">
        <v>231</v>
      </c>
      <c r="J55">
        <v>3</v>
      </c>
      <c r="M55" t="s">
        <v>65</v>
      </c>
      <c r="N55" t="s">
        <v>385</v>
      </c>
      <c r="O55" s="1"/>
      <c r="P55" t="s">
        <v>157</v>
      </c>
      <c r="Q55" s="1"/>
      <c r="U55" t="s">
        <v>533</v>
      </c>
      <c r="V55" t="s">
        <v>571</v>
      </c>
    </row>
    <row r="56" spans="4:22" ht="15" x14ac:dyDescent="0.25">
      <c r="D56" s="74" t="s">
        <v>244</v>
      </c>
      <c r="E56" s="15"/>
      <c r="I56" s="26" t="s">
        <v>2</v>
      </c>
      <c r="J56">
        <v>4</v>
      </c>
      <c r="M56" t="s">
        <v>66</v>
      </c>
      <c r="N56" t="s">
        <v>387</v>
      </c>
      <c r="O56" s="1"/>
      <c r="P56" t="s">
        <v>202</v>
      </c>
      <c r="U56" t="s">
        <v>534</v>
      </c>
      <c r="V56"/>
    </row>
    <row r="57" spans="4:22" ht="15" x14ac:dyDescent="0.25">
      <c r="D57" s="74" t="s">
        <v>305</v>
      </c>
      <c r="E57" s="15"/>
      <c r="I57" s="26" t="s">
        <v>262</v>
      </c>
      <c r="J57">
        <v>5</v>
      </c>
      <c r="M57" t="s">
        <v>67</v>
      </c>
      <c r="N57" t="s">
        <v>387</v>
      </c>
      <c r="O57" s="1"/>
      <c r="P57" t="s">
        <v>132</v>
      </c>
      <c r="U57" t="s">
        <v>538</v>
      </c>
      <c r="V57"/>
    </row>
    <row r="58" spans="4:22" ht="15" x14ac:dyDescent="0.25">
      <c r="D58" s="74" t="s">
        <v>306</v>
      </c>
      <c r="E58" s="15"/>
      <c r="I58" s="26" t="s">
        <v>107</v>
      </c>
      <c r="J58">
        <v>6</v>
      </c>
      <c r="M58" t="s">
        <v>101</v>
      </c>
      <c r="N58" t="s">
        <v>388</v>
      </c>
      <c r="O58" s="1"/>
      <c r="U58" t="s">
        <v>540</v>
      </c>
      <c r="V58"/>
    </row>
    <row r="59" spans="4:22" ht="15" x14ac:dyDescent="0.25">
      <c r="D59" s="74" t="s">
        <v>307</v>
      </c>
      <c r="E59" s="15"/>
      <c r="I59" s="26" t="s">
        <v>7</v>
      </c>
      <c r="J59">
        <v>7</v>
      </c>
      <c r="M59" t="s">
        <v>77</v>
      </c>
      <c r="N59" t="s">
        <v>388</v>
      </c>
      <c r="O59" s="1"/>
      <c r="U59" t="s">
        <v>541</v>
      </c>
      <c r="V59"/>
    </row>
    <row r="60" spans="4:22" ht="15" x14ac:dyDescent="0.25">
      <c r="D60" s="74" t="s">
        <v>308</v>
      </c>
      <c r="E60" s="15"/>
      <c r="M60" t="s">
        <v>68</v>
      </c>
      <c r="N60" t="s">
        <v>385</v>
      </c>
      <c r="O60" s="1"/>
      <c r="U60" t="s">
        <v>542</v>
      </c>
      <c r="V60"/>
    </row>
    <row r="61" spans="4:22" ht="15" x14ac:dyDescent="0.25">
      <c r="D61" s="74" t="s">
        <v>309</v>
      </c>
      <c r="E61" s="15"/>
      <c r="I61" s="26" t="s">
        <v>159</v>
      </c>
      <c r="J61" t="s">
        <v>252</v>
      </c>
      <c r="M61" t="s">
        <v>69</v>
      </c>
      <c r="N61" t="s">
        <v>385</v>
      </c>
      <c r="O61" s="1"/>
      <c r="U61" t="s">
        <v>544</v>
      </c>
      <c r="V61"/>
    </row>
    <row r="62" spans="4:22" ht="15" x14ac:dyDescent="0.25">
      <c r="D62" s="74" t="s">
        <v>310</v>
      </c>
      <c r="E62" s="15"/>
      <c r="I62" s="26" t="s">
        <v>170</v>
      </c>
      <c r="J62">
        <v>1</v>
      </c>
      <c r="M62" t="s">
        <v>71</v>
      </c>
      <c r="N62" t="s">
        <v>388</v>
      </c>
      <c r="O62" s="1"/>
      <c r="U62" t="s">
        <v>546</v>
      </c>
      <c r="V62"/>
    </row>
    <row r="63" spans="4:22" ht="15" x14ac:dyDescent="0.25">
      <c r="D63" s="74" t="s">
        <v>311</v>
      </c>
      <c r="E63" s="15"/>
      <c r="I63" s="26" t="s">
        <v>167</v>
      </c>
      <c r="J63">
        <v>2</v>
      </c>
      <c r="M63" t="s">
        <v>143</v>
      </c>
      <c r="N63" t="s">
        <v>386</v>
      </c>
      <c r="O63" s="1"/>
      <c r="U63" t="s">
        <v>547</v>
      </c>
      <c r="V63"/>
    </row>
    <row r="64" spans="4:22" ht="15" x14ac:dyDescent="0.25">
      <c r="D64" s="74" t="s">
        <v>312</v>
      </c>
      <c r="E64" s="15"/>
      <c r="I64" s="26" t="s">
        <v>235</v>
      </c>
      <c r="J64">
        <v>3</v>
      </c>
      <c r="M64" t="s">
        <v>70</v>
      </c>
      <c r="N64" t="s">
        <v>385</v>
      </c>
      <c r="O64" s="1"/>
      <c r="U64" t="s">
        <v>548</v>
      </c>
      <c r="V64"/>
    </row>
    <row r="65" spans="4:22" ht="15" x14ac:dyDescent="0.25">
      <c r="D65" s="74" t="s">
        <v>313</v>
      </c>
      <c r="E65" s="15"/>
      <c r="I65" s="26" t="s">
        <v>234</v>
      </c>
      <c r="J65">
        <v>4</v>
      </c>
      <c r="M65" t="s">
        <v>72</v>
      </c>
      <c r="N65" t="s">
        <v>388</v>
      </c>
      <c r="O65" s="1"/>
      <c r="U65" t="s">
        <v>551</v>
      </c>
      <c r="V65"/>
    </row>
    <row r="66" spans="4:22" ht="15" x14ac:dyDescent="0.25">
      <c r="D66" s="74" t="s">
        <v>314</v>
      </c>
      <c r="E66" s="15"/>
      <c r="I66" s="26" t="s">
        <v>177</v>
      </c>
      <c r="J66">
        <v>5</v>
      </c>
      <c r="M66" t="s">
        <v>102</v>
      </c>
      <c r="N66" t="s">
        <v>387</v>
      </c>
      <c r="O66" s="1"/>
      <c r="U66" t="s">
        <v>552</v>
      </c>
      <c r="V66"/>
    </row>
    <row r="67" spans="4:22" ht="15" x14ac:dyDescent="0.25">
      <c r="D67" s="74" t="s">
        <v>289</v>
      </c>
      <c r="E67" s="15"/>
      <c r="I67" s="26" t="s">
        <v>184</v>
      </c>
      <c r="J67">
        <v>6</v>
      </c>
      <c r="M67" t="s">
        <v>73</v>
      </c>
      <c r="N67" t="s">
        <v>387</v>
      </c>
      <c r="O67" s="1"/>
      <c r="U67" t="s">
        <v>554</v>
      </c>
      <c r="V67"/>
    </row>
    <row r="68" spans="4:22" ht="15" x14ac:dyDescent="0.25">
      <c r="D68" s="74" t="s">
        <v>264</v>
      </c>
      <c r="E68" s="15"/>
      <c r="M68" t="s">
        <v>208</v>
      </c>
      <c r="N68" t="s">
        <v>387</v>
      </c>
      <c r="O68" s="1"/>
      <c r="U68" t="s">
        <v>555</v>
      </c>
      <c r="V68"/>
    </row>
    <row r="69" spans="4:22" ht="15" x14ac:dyDescent="0.25">
      <c r="D69" s="74" t="s">
        <v>315</v>
      </c>
      <c r="E69" s="15"/>
      <c r="I69" t="s">
        <v>131</v>
      </c>
      <c r="J69" t="s">
        <v>252</v>
      </c>
      <c r="M69" t="s">
        <v>76</v>
      </c>
      <c r="N69" t="s">
        <v>387</v>
      </c>
      <c r="O69" s="1"/>
      <c r="U69" t="s">
        <v>556</v>
      </c>
      <c r="V69"/>
    </row>
    <row r="70" spans="4:22" ht="15" x14ac:dyDescent="0.25">
      <c r="D70" s="74" t="s">
        <v>316</v>
      </c>
      <c r="E70" s="15"/>
      <c r="I70" t="s">
        <v>629</v>
      </c>
      <c r="J70">
        <v>1</v>
      </c>
      <c r="M70" t="s">
        <v>74</v>
      </c>
      <c r="N70" t="s">
        <v>387</v>
      </c>
      <c r="O70" s="1"/>
      <c r="U70" t="s">
        <v>557</v>
      </c>
      <c r="V70"/>
    </row>
    <row r="71" spans="4:22" ht="15" x14ac:dyDescent="0.25">
      <c r="D71" s="74" t="s">
        <v>317</v>
      </c>
      <c r="E71" s="15"/>
      <c r="I71" t="s">
        <v>645</v>
      </c>
      <c r="J71">
        <v>2</v>
      </c>
      <c r="M71" t="s">
        <v>75</v>
      </c>
      <c r="N71" t="s">
        <v>388</v>
      </c>
      <c r="O71" s="1"/>
      <c r="U71" t="s">
        <v>559</v>
      </c>
      <c r="V71"/>
    </row>
    <row r="72" spans="4:22" ht="15" x14ac:dyDescent="0.25">
      <c r="D72" s="74" t="s">
        <v>318</v>
      </c>
      <c r="E72" s="15"/>
      <c r="I72" t="s">
        <v>647</v>
      </c>
      <c r="J72">
        <v>3</v>
      </c>
      <c r="M72" t="s">
        <v>80</v>
      </c>
      <c r="N72" t="s">
        <v>385</v>
      </c>
      <c r="O72" s="1"/>
      <c r="U72" t="s">
        <v>562</v>
      </c>
      <c r="V72"/>
    </row>
    <row r="73" spans="4:22" ht="15" x14ac:dyDescent="0.25">
      <c r="D73" s="74" t="s">
        <v>319</v>
      </c>
      <c r="E73" s="15"/>
      <c r="I73" t="s">
        <v>648</v>
      </c>
      <c r="J73">
        <v>4</v>
      </c>
      <c r="O73" s="1"/>
      <c r="U73" t="s">
        <v>563</v>
      </c>
      <c r="V73"/>
    </row>
    <row r="74" spans="4:22" ht="15" x14ac:dyDescent="0.25">
      <c r="D74" s="74" t="s">
        <v>409</v>
      </c>
      <c r="E74" s="15"/>
      <c r="I74" t="s">
        <v>649</v>
      </c>
      <c r="J74">
        <v>5</v>
      </c>
      <c r="O74" s="1"/>
      <c r="U74" t="s">
        <v>564</v>
      </c>
      <c r="V74"/>
    </row>
    <row r="75" spans="4:22" ht="15" x14ac:dyDescent="0.25">
      <c r="D75" s="74" t="s">
        <v>321</v>
      </c>
      <c r="E75" s="15"/>
      <c r="I75" s="16"/>
      <c r="O75" s="1"/>
      <c r="U75" t="s">
        <v>565</v>
      </c>
      <c r="V75"/>
    </row>
    <row r="76" spans="4:22" ht="15" x14ac:dyDescent="0.25">
      <c r="D76" s="74" t="s">
        <v>322</v>
      </c>
      <c r="E76" s="15"/>
      <c r="I76" t="s">
        <v>172</v>
      </c>
      <c r="J76" t="s">
        <v>252</v>
      </c>
      <c r="Q76" s="1"/>
      <c r="U76" t="s">
        <v>566</v>
      </c>
      <c r="V76"/>
    </row>
    <row r="77" spans="4:22" ht="15" x14ac:dyDescent="0.25">
      <c r="D77" s="74" t="s">
        <v>323</v>
      </c>
      <c r="E77" s="15"/>
      <c r="I77" t="s">
        <v>141</v>
      </c>
      <c r="J77">
        <v>1</v>
      </c>
      <c r="Q77" s="1"/>
      <c r="U77" t="s">
        <v>567</v>
      </c>
      <c r="V77"/>
    </row>
    <row r="78" spans="4:22" ht="15" x14ac:dyDescent="0.25">
      <c r="D78" s="74" t="s">
        <v>324</v>
      </c>
      <c r="E78" s="15"/>
      <c r="I78" t="s">
        <v>140</v>
      </c>
      <c r="J78">
        <v>2</v>
      </c>
      <c r="Q78" s="1"/>
      <c r="U78" t="s">
        <v>568</v>
      </c>
      <c r="V78"/>
    </row>
    <row r="79" spans="4:22" ht="15" x14ac:dyDescent="0.25">
      <c r="D79" s="74" t="s">
        <v>325</v>
      </c>
      <c r="E79" s="15"/>
      <c r="I79" t="s">
        <v>722</v>
      </c>
      <c r="J79">
        <v>3</v>
      </c>
      <c r="Q79" s="1"/>
      <c r="U79" t="s">
        <v>569</v>
      </c>
      <c r="V79"/>
    </row>
    <row r="80" spans="4:22" ht="15" x14ac:dyDescent="0.25">
      <c r="D80" s="74" t="s">
        <v>326</v>
      </c>
      <c r="E80" s="15"/>
      <c r="I80" t="s">
        <v>723</v>
      </c>
      <c r="J80">
        <v>4</v>
      </c>
      <c r="Q80" s="1"/>
      <c r="U80" t="s">
        <v>572</v>
      </c>
      <c r="V80"/>
    </row>
    <row r="81" spans="4:22" ht="15" x14ac:dyDescent="0.25">
      <c r="D81" s="74" t="s">
        <v>327</v>
      </c>
      <c r="E81" s="15"/>
      <c r="I81" t="s">
        <v>724</v>
      </c>
      <c r="J81">
        <v>5</v>
      </c>
      <c r="Q81" s="1"/>
      <c r="U81" t="s">
        <v>573</v>
      </c>
      <c r="V81"/>
    </row>
    <row r="82" spans="4:22" ht="15" x14ac:dyDescent="0.25">
      <c r="D82" s="74" t="s">
        <v>328</v>
      </c>
      <c r="E82" s="15"/>
      <c r="I82" t="s">
        <v>7</v>
      </c>
      <c r="J82">
        <v>6</v>
      </c>
      <c r="Q82" s="1"/>
      <c r="U82" t="s">
        <v>574</v>
      </c>
      <c r="V82"/>
    </row>
    <row r="83" spans="4:22" ht="15" x14ac:dyDescent="0.25">
      <c r="D83" s="74" t="s">
        <v>329</v>
      </c>
      <c r="E83" s="15"/>
      <c r="I83" s="16"/>
      <c r="Q83" s="1"/>
      <c r="U83" t="s">
        <v>576</v>
      </c>
      <c r="V83"/>
    </row>
    <row r="84" spans="4:22" ht="15" x14ac:dyDescent="0.25">
      <c r="D84" s="74" t="s">
        <v>330</v>
      </c>
      <c r="E84" s="15"/>
      <c r="I84" s="74" t="s">
        <v>156</v>
      </c>
      <c r="J84" s="26" t="s">
        <v>252</v>
      </c>
      <c r="Q84" s="1"/>
      <c r="U84" t="s">
        <v>578</v>
      </c>
      <c r="V84"/>
    </row>
    <row r="85" spans="4:22" ht="15" x14ac:dyDescent="0.25">
      <c r="D85" s="74" t="s">
        <v>331</v>
      </c>
      <c r="E85" s="15"/>
      <c r="I85" s="74" t="s">
        <v>731</v>
      </c>
      <c r="J85"/>
      <c r="Q85" s="1"/>
      <c r="U85" t="s">
        <v>580</v>
      </c>
      <c r="V85"/>
    </row>
    <row r="86" spans="4:22" ht="15" x14ac:dyDescent="0.25">
      <c r="D86" s="74" t="s">
        <v>332</v>
      </c>
      <c r="E86" s="15"/>
      <c r="I86" s="74" t="s">
        <v>112</v>
      </c>
      <c r="J86">
        <v>1</v>
      </c>
      <c r="Q86" s="1"/>
      <c r="U86" t="s">
        <v>581</v>
      </c>
      <c r="V86"/>
    </row>
    <row r="87" spans="4:22" ht="15" x14ac:dyDescent="0.25">
      <c r="D87" s="74" t="s">
        <v>333</v>
      </c>
      <c r="E87" s="15"/>
      <c r="I87" s="74" t="s">
        <v>725</v>
      </c>
      <c r="J87">
        <v>2</v>
      </c>
      <c r="Q87" s="1"/>
      <c r="U87" t="s">
        <v>582</v>
      </c>
      <c r="V87"/>
    </row>
    <row r="88" spans="4:22" ht="15" x14ac:dyDescent="0.25">
      <c r="D88" s="74" t="s">
        <v>334</v>
      </c>
      <c r="E88" s="15"/>
      <c r="I88" s="74" t="s">
        <v>726</v>
      </c>
      <c r="J88">
        <v>3</v>
      </c>
      <c r="Q88" s="1"/>
      <c r="U88" t="s">
        <v>583</v>
      </c>
      <c r="V88"/>
    </row>
    <row r="89" spans="4:22" ht="15" x14ac:dyDescent="0.25">
      <c r="D89" s="74" t="s">
        <v>335</v>
      </c>
      <c r="E89" s="15"/>
      <c r="I89" s="74" t="s">
        <v>727</v>
      </c>
      <c r="J89">
        <v>4</v>
      </c>
      <c r="Q89" s="1"/>
      <c r="U89" t="s">
        <v>584</v>
      </c>
      <c r="V89"/>
    </row>
    <row r="90" spans="4:22" ht="15" x14ac:dyDescent="0.25">
      <c r="D90" s="74" t="s">
        <v>336</v>
      </c>
      <c r="E90" s="15"/>
      <c r="I90" s="74" t="s">
        <v>728</v>
      </c>
      <c r="J90">
        <v>5</v>
      </c>
      <c r="Q90" s="1"/>
      <c r="U90" t="s">
        <v>586</v>
      </c>
      <c r="V90"/>
    </row>
    <row r="91" spans="4:22" ht="15" x14ac:dyDescent="0.25">
      <c r="D91" s="74" t="s">
        <v>337</v>
      </c>
      <c r="E91" s="15"/>
      <c r="I91" s="74" t="s">
        <v>729</v>
      </c>
      <c r="J91">
        <v>6</v>
      </c>
      <c r="Q91" s="1"/>
      <c r="U91" t="s">
        <v>587</v>
      </c>
      <c r="V91"/>
    </row>
    <row r="92" spans="4:22" ht="15" x14ac:dyDescent="0.25">
      <c r="D92" s="74" t="s">
        <v>338</v>
      </c>
      <c r="E92" s="15"/>
      <c r="I92" s="74" t="s">
        <v>730</v>
      </c>
      <c r="J92">
        <v>7</v>
      </c>
      <c r="Q92" s="1"/>
      <c r="U92" t="s">
        <v>588</v>
      </c>
      <c r="V92"/>
    </row>
    <row r="93" spans="4:22" ht="15" x14ac:dyDescent="0.25">
      <c r="D93" s="74" t="s">
        <v>339</v>
      </c>
      <c r="E93" s="15"/>
      <c r="I93" s="16"/>
      <c r="Q93" s="1"/>
      <c r="U93" t="s">
        <v>589</v>
      </c>
      <c r="V93"/>
    </row>
    <row r="94" spans="4:22" ht="15" x14ac:dyDescent="0.25">
      <c r="E94" s="15"/>
      <c r="I94" s="16"/>
      <c r="Q94" s="1"/>
      <c r="U94" t="s">
        <v>590</v>
      </c>
      <c r="V94"/>
    </row>
    <row r="95" spans="4:22" ht="15" x14ac:dyDescent="0.25">
      <c r="D95" t="s">
        <v>457</v>
      </c>
      <c r="E95" s="15"/>
      <c r="Q95" s="1"/>
      <c r="U95" t="s">
        <v>591</v>
      </c>
      <c r="V95"/>
    </row>
    <row r="96" spans="4:22" ht="15" x14ac:dyDescent="0.25">
      <c r="D96" t="s">
        <v>109</v>
      </c>
      <c r="H96" s="16"/>
      <c r="P96" s="1"/>
      <c r="U96" t="s">
        <v>592</v>
      </c>
      <c r="V96"/>
    </row>
    <row r="97" spans="4:22" ht="15" x14ac:dyDescent="0.25">
      <c r="D97" t="s">
        <v>110</v>
      </c>
      <c r="H97" s="16"/>
      <c r="P97" s="1"/>
      <c r="U97" t="s">
        <v>593</v>
      </c>
      <c r="V97"/>
    </row>
    <row r="98" spans="4:22" ht="15" x14ac:dyDescent="0.25">
      <c r="D98" t="s">
        <v>265</v>
      </c>
      <c r="H98" s="16"/>
      <c r="P98" s="1"/>
      <c r="U98" t="s">
        <v>594</v>
      </c>
      <c r="V98"/>
    </row>
    <row r="99" spans="4:22" ht="15" x14ac:dyDescent="0.25">
      <c r="D99" t="s">
        <v>111</v>
      </c>
      <c r="H99" s="16"/>
      <c r="P99" s="1"/>
      <c r="U99" t="s">
        <v>596</v>
      </c>
      <c r="V99"/>
    </row>
    <row r="100" spans="4:22" ht="15" x14ac:dyDescent="0.25">
      <c r="D100" t="s">
        <v>38</v>
      </c>
      <c r="H100" s="16"/>
      <c r="P100" s="1"/>
      <c r="U100" t="s">
        <v>597</v>
      </c>
      <c r="V100"/>
    </row>
    <row r="101" spans="4:22" ht="15" x14ac:dyDescent="0.25">
      <c r="D101" t="s">
        <v>36</v>
      </c>
      <c r="H101" s="16"/>
      <c r="P101" s="1"/>
      <c r="U101" t="s">
        <v>598</v>
      </c>
      <c r="V101"/>
    </row>
    <row r="102" spans="4:22" ht="15" x14ac:dyDescent="0.25">
      <c r="D102" t="s">
        <v>236</v>
      </c>
      <c r="H102" s="16"/>
      <c r="P102" s="1"/>
      <c r="U102" t="s">
        <v>599</v>
      </c>
      <c r="V102"/>
    </row>
    <row r="103" spans="4:22" ht="15" x14ac:dyDescent="0.25">
      <c r="D103" t="s">
        <v>39</v>
      </c>
      <c r="H103" s="16"/>
      <c r="P103" s="1"/>
      <c r="U103" t="s">
        <v>600</v>
      </c>
      <c r="V103"/>
    </row>
    <row r="104" spans="4:22" ht="15" x14ac:dyDescent="0.25">
      <c r="D104" t="s">
        <v>37</v>
      </c>
      <c r="H104" s="16"/>
      <c r="P104" s="1"/>
      <c r="U104" t="s">
        <v>601</v>
      </c>
      <c r="V104"/>
    </row>
    <row r="105" spans="4:22" ht="15" x14ac:dyDescent="0.25">
      <c r="H105" s="16"/>
      <c r="I105" s="16"/>
      <c r="P105" s="1"/>
      <c r="U105" t="s">
        <v>603</v>
      </c>
      <c r="V105"/>
    </row>
    <row r="106" spans="4:22" ht="15" x14ac:dyDescent="0.25">
      <c r="D106" s="74" t="s">
        <v>412</v>
      </c>
      <c r="E106" s="15"/>
      <c r="I106" s="16"/>
      <c r="Q106" s="1"/>
      <c r="U106" t="s">
        <v>604</v>
      </c>
      <c r="V106"/>
    </row>
    <row r="107" spans="4:22" ht="15" x14ac:dyDescent="0.25">
      <c r="D107" s="139" t="s">
        <v>413</v>
      </c>
      <c r="E107" s="15"/>
      <c r="I107" s="16"/>
      <c r="Q107" s="1"/>
      <c r="U107" t="s">
        <v>605</v>
      </c>
      <c r="V107"/>
    </row>
    <row r="108" spans="4:22" ht="15" x14ac:dyDescent="0.25">
      <c r="D108" s="139" t="s">
        <v>414</v>
      </c>
      <c r="E108" s="15"/>
      <c r="I108" s="16"/>
      <c r="Q108" s="1"/>
      <c r="U108" t="s">
        <v>606</v>
      </c>
      <c r="V108"/>
    </row>
    <row r="109" spans="4:22" ht="15" x14ac:dyDescent="0.25">
      <c r="D109" s="139" t="s">
        <v>420</v>
      </c>
      <c r="E109" s="15"/>
      <c r="I109" s="16"/>
      <c r="Q109" s="1"/>
      <c r="U109" t="s">
        <v>607</v>
      </c>
      <c r="V109"/>
    </row>
    <row r="110" spans="4:22" ht="15" x14ac:dyDescent="0.25">
      <c r="D110" s="139" t="s">
        <v>635</v>
      </c>
      <c r="E110" s="15"/>
      <c r="I110" s="16"/>
      <c r="Q110" s="1"/>
      <c r="U110" t="s">
        <v>608</v>
      </c>
      <c r="V110"/>
    </row>
    <row r="111" spans="4:22" ht="15" x14ac:dyDescent="0.25">
      <c r="D111" s="139" t="s">
        <v>673</v>
      </c>
      <c r="E111" s="15"/>
      <c r="I111" s="16"/>
      <c r="Q111" s="1"/>
      <c r="U111" t="s">
        <v>609</v>
      </c>
      <c r="V111"/>
    </row>
    <row r="112" spans="4:22" ht="15" x14ac:dyDescent="0.25">
      <c r="D112" s="139" t="s">
        <v>732</v>
      </c>
      <c r="E112" s="15"/>
      <c r="I112" s="16"/>
      <c r="Q112" s="1"/>
      <c r="U112" t="s">
        <v>611</v>
      </c>
      <c r="V112"/>
    </row>
    <row r="113" spans="4:22" ht="15" x14ac:dyDescent="0.25">
      <c r="D113" s="139" t="s">
        <v>927</v>
      </c>
      <c r="E113" s="15"/>
      <c r="I113" s="16"/>
      <c r="Q113" s="1"/>
      <c r="U113" t="s">
        <v>612</v>
      </c>
      <c r="V113"/>
    </row>
    <row r="114" spans="4:22" ht="15" x14ac:dyDescent="0.25">
      <c r="E114" s="15"/>
      <c r="I114" s="16"/>
      <c r="Q114" s="1"/>
      <c r="U114" t="s">
        <v>613</v>
      </c>
      <c r="V114"/>
    </row>
    <row r="115" spans="4:22" ht="15" x14ac:dyDescent="0.25">
      <c r="D115" t="s">
        <v>685</v>
      </c>
      <c r="E115" s="15"/>
      <c r="I115" s="16"/>
      <c r="Q115" s="1"/>
      <c r="U115" t="s">
        <v>614</v>
      </c>
      <c r="V115"/>
    </row>
    <row r="116" spans="4:22" ht="15" x14ac:dyDescent="0.25">
      <c r="D116" t="s">
        <v>678</v>
      </c>
      <c r="E116" s="15"/>
      <c r="I116" s="16"/>
      <c r="Q116" s="1"/>
      <c r="U116" t="s">
        <v>616</v>
      </c>
      <c r="V116"/>
    </row>
    <row r="117" spans="4:22" ht="15" x14ac:dyDescent="0.25">
      <c r="D117" t="s">
        <v>679</v>
      </c>
      <c r="E117" s="15"/>
      <c r="I117" s="16"/>
      <c r="Q117" s="1"/>
      <c r="U117" t="s">
        <v>617</v>
      </c>
      <c r="V117"/>
    </row>
    <row r="118" spans="4:22" ht="15" x14ac:dyDescent="0.25">
      <c r="D118" t="s">
        <v>680</v>
      </c>
      <c r="E118" s="15"/>
      <c r="I118" s="16"/>
      <c r="Q118" s="1"/>
      <c r="U118" t="s">
        <v>618</v>
      </c>
      <c r="V118"/>
    </row>
    <row r="119" spans="4:22" ht="15" x14ac:dyDescent="0.25">
      <c r="D119" t="s">
        <v>684</v>
      </c>
      <c r="E119" s="15"/>
      <c r="I119" s="16"/>
      <c r="Q119" s="1"/>
      <c r="U119" t="s">
        <v>619</v>
      </c>
      <c r="V119"/>
    </row>
    <row r="120" spans="4:22" ht="15" x14ac:dyDescent="0.25">
      <c r="D120" t="s">
        <v>683</v>
      </c>
      <c r="I120" s="16"/>
      <c r="Q120" s="1"/>
      <c r="U120" t="s">
        <v>620</v>
      </c>
      <c r="V120"/>
    </row>
    <row r="121" spans="4:22" ht="15" x14ac:dyDescent="0.25">
      <c r="D121" t="s">
        <v>682</v>
      </c>
      <c r="I121" s="16"/>
      <c r="Q121" s="1"/>
      <c r="U121" t="s">
        <v>621</v>
      </c>
      <c r="V121"/>
    </row>
    <row r="122" spans="4:22" ht="15" x14ac:dyDescent="0.25">
      <c r="D122" t="s">
        <v>2</v>
      </c>
      <c r="I122" s="16"/>
      <c r="Q122" s="1"/>
      <c r="U122" t="s">
        <v>622</v>
      </c>
      <c r="V122"/>
    </row>
    <row r="123" spans="4:22" ht="15" x14ac:dyDescent="0.25">
      <c r="I123" s="16"/>
      <c r="Q123" s="1"/>
      <c r="U123" t="s">
        <v>623</v>
      </c>
      <c r="V123"/>
    </row>
    <row r="124" spans="4:22" ht="15" x14ac:dyDescent="0.25">
      <c r="D124" t="s">
        <v>686</v>
      </c>
      <c r="I124" s="16"/>
      <c r="Q124" s="1"/>
      <c r="U124" t="s">
        <v>624</v>
      </c>
      <c r="V124"/>
    </row>
    <row r="125" spans="4:22" ht="15" x14ac:dyDescent="0.25">
      <c r="D125" t="s">
        <v>366</v>
      </c>
      <c r="I125" s="16"/>
      <c r="U125" t="s">
        <v>625</v>
      </c>
      <c r="V125"/>
    </row>
    <row r="126" spans="4:22" ht="15" x14ac:dyDescent="0.25">
      <c r="D126" t="s">
        <v>681</v>
      </c>
      <c r="I126" s="16"/>
    </row>
    <row r="127" spans="4:22" ht="15" x14ac:dyDescent="0.25">
      <c r="D127" t="s">
        <v>2</v>
      </c>
      <c r="E127" s="15"/>
      <c r="I127" s="16"/>
    </row>
    <row r="128" spans="4:22" ht="11.25" x14ac:dyDescent="0.25">
      <c r="E128" s="15"/>
      <c r="I128" s="16"/>
    </row>
    <row r="129" spans="9:9" ht="11.25" x14ac:dyDescent="0.25">
      <c r="I129" s="16"/>
    </row>
    <row r="130" spans="9:9" ht="11.25" x14ac:dyDescent="0.25">
      <c r="I130" s="16"/>
    </row>
    <row r="131" spans="9:9" ht="11.25" x14ac:dyDescent="0.25">
      <c r="I131" s="16"/>
    </row>
    <row r="132" spans="9:9" ht="11.25" x14ac:dyDescent="0.25"/>
    <row r="133" spans="9:9" ht="11.25" x14ac:dyDescent="0.25"/>
    <row r="134" spans="9:9" ht="11.25" x14ac:dyDescent="0.25"/>
    <row r="135" spans="9:9" ht="11.25" x14ac:dyDescent="0.25"/>
    <row r="136" spans="9:9" ht="11.25" x14ac:dyDescent="0.25"/>
    <row r="137" spans="9:9" ht="11.25" x14ac:dyDescent="0.25"/>
    <row r="138" spans="9:9" ht="11.25" x14ac:dyDescent="0.25"/>
    <row r="139" spans="9:9" ht="11.25" x14ac:dyDescent="0.25"/>
    <row r="140" spans="9:9" ht="11.25" x14ac:dyDescent="0.25"/>
  </sheetData>
  <phoneticPr fontId="14" type="noConversion"/>
  <conditionalFormatting sqref="N7:N72">
    <cfRule type="containsText" dxfId="133" priority="1" operator="containsText" text="Reference">
      <formula>NOT(ISERROR(SEARCH("Reference",N7)))</formula>
    </cfRule>
    <cfRule type="containsText" dxfId="132" priority="2" operator="containsText" text="原始录入">
      <formula>NOT(ISERROR(SEARCH("原始录入",N7)))</formula>
    </cfRule>
    <cfRule type="containsText" dxfId="131" priority="3" operator="containsText" text="未">
      <formula>NOT(ISERROR(SEARCH("未",N7)))</formula>
    </cfRule>
  </conditionalFormatting>
  <pageMargins left="0.7" right="0.7" top="0.75" bottom="0.75" header="0.3" footer="0.3"/>
  <pageSetup orientation="portrait" r:id="rId1"/>
  <tableParts count="3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48" t="s">
        <v>40</v>
      </c>
      <c r="H1" s="48" t="s">
        <v>94</v>
      </c>
      <c r="I1" s="93" t="s">
        <v>219</v>
      </c>
    </row>
    <row r="2" spans="1:9" ht="36" x14ac:dyDescent="0.55000000000000004">
      <c r="A2" s="73" t="s">
        <v>340</v>
      </c>
      <c r="E2" s="1" t="s">
        <v>344</v>
      </c>
    </row>
    <row r="3" spans="1:9" ht="15.75" x14ac:dyDescent="0.25">
      <c r="B3" s="69" t="s">
        <v>278</v>
      </c>
      <c r="C3" s="69" t="s">
        <v>283</v>
      </c>
    </row>
    <row r="4" spans="1:9" x14ac:dyDescent="0.25">
      <c r="B4" s="64" t="s">
        <v>366</v>
      </c>
      <c r="C4" s="64" t="s">
        <v>284</v>
      </c>
    </row>
    <row r="6" spans="1:9" x14ac:dyDescent="0.25">
      <c r="B6" t="s">
        <v>92</v>
      </c>
    </row>
    <row r="7" spans="1:9" x14ac:dyDescent="0.25">
      <c r="B7" t="s">
        <v>702</v>
      </c>
    </row>
    <row r="8" spans="1:9" x14ac:dyDescent="0.25">
      <c r="B8" t="s">
        <v>571</v>
      </c>
    </row>
    <row r="9" spans="1:9" x14ac:dyDescent="0.25">
      <c r="B9" t="s">
        <v>654</v>
      </c>
    </row>
    <row r="10" spans="1:9" x14ac:dyDescent="0.25">
      <c r="B10" t="s">
        <v>703</v>
      </c>
    </row>
    <row r="11" spans="1:9" x14ac:dyDescent="0.25">
      <c r="B11" t="s">
        <v>704</v>
      </c>
    </row>
    <row r="12" spans="1:9" x14ac:dyDescent="0.25">
      <c r="B12" t="s">
        <v>705</v>
      </c>
    </row>
    <row r="13" spans="1:9" x14ac:dyDescent="0.25">
      <c r="B13" t="s">
        <v>706</v>
      </c>
    </row>
    <row r="14" spans="1:9" x14ac:dyDescent="0.25">
      <c r="B14" t="s">
        <v>467</v>
      </c>
    </row>
    <row r="15" spans="1:9" x14ac:dyDescent="0.25">
      <c r="B15" t="s">
        <v>707</v>
      </c>
    </row>
    <row r="16" spans="1:9" x14ac:dyDescent="0.25">
      <c r="B16" t="s">
        <v>708</v>
      </c>
    </row>
    <row r="20" spans="2:12" x14ac:dyDescent="0.25">
      <c r="K20" t="s">
        <v>360</v>
      </c>
      <c r="L20" t="s">
        <v>361</v>
      </c>
    </row>
    <row r="21" spans="2:12" x14ac:dyDescent="0.25">
      <c r="K21" t="s">
        <v>341</v>
      </c>
      <c r="L21" s="85" t="s">
        <v>65</v>
      </c>
    </row>
    <row r="22" spans="2:12" x14ac:dyDescent="0.25">
      <c r="K22" t="s">
        <v>342</v>
      </c>
      <c r="L22" s="85" t="s">
        <v>51</v>
      </c>
    </row>
    <row r="23" spans="2:12" x14ac:dyDescent="0.25">
      <c r="K23" t="s">
        <v>364</v>
      </c>
      <c r="L23" t="s">
        <v>64</v>
      </c>
    </row>
    <row r="24" spans="2:12" ht="17.25" customHeight="1" x14ac:dyDescent="0.25">
      <c r="B24" s="1" t="s">
        <v>367</v>
      </c>
      <c r="C24" s="1" t="s">
        <v>343</v>
      </c>
      <c r="K24" t="s">
        <v>365</v>
      </c>
      <c r="L24" t="s">
        <v>73</v>
      </c>
    </row>
    <row r="25" spans="2:12" ht="17.25" customHeight="1" x14ac:dyDescent="0.25">
      <c r="B25" s="83" t="s">
        <v>47</v>
      </c>
      <c r="C25" s="91"/>
      <c r="K25" t="s">
        <v>130</v>
      </c>
      <c r="L25" t="s">
        <v>220</v>
      </c>
    </row>
    <row r="26" spans="2:12" ht="17.25" customHeight="1" x14ac:dyDescent="0.25">
      <c r="B26" s="83" t="s">
        <v>48</v>
      </c>
      <c r="C26" s="91"/>
      <c r="K26" t="s">
        <v>165</v>
      </c>
      <c r="L26" t="s">
        <v>221</v>
      </c>
    </row>
    <row r="27" spans="2:12" ht="17.25" customHeight="1" x14ac:dyDescent="0.25">
      <c r="B27" s="83" t="s">
        <v>57</v>
      </c>
      <c r="C27" s="91"/>
      <c r="K27" t="s">
        <v>116</v>
      </c>
      <c r="L27" t="s">
        <v>368</v>
      </c>
    </row>
    <row r="28" spans="2:12" ht="17.25" customHeight="1" x14ac:dyDescent="0.25">
      <c r="B28" s="83" t="s">
        <v>219</v>
      </c>
      <c r="C28" s="91"/>
    </row>
    <row r="29" spans="2:12" ht="17.25" customHeight="1" x14ac:dyDescent="0.25">
      <c r="B29" s="83" t="s">
        <v>54</v>
      </c>
      <c r="C29" s="91"/>
    </row>
    <row r="30" spans="2:12" ht="17.25" customHeight="1" x14ac:dyDescent="0.25">
      <c r="B30" s="83" t="s">
        <v>364</v>
      </c>
      <c r="C30" s="91" t="s">
        <v>215</v>
      </c>
    </row>
    <row r="31" spans="2:12" ht="17.25" customHeight="1" x14ac:dyDescent="0.25">
      <c r="B31" s="83" t="s">
        <v>365</v>
      </c>
      <c r="C31" s="91" t="s">
        <v>357</v>
      </c>
    </row>
    <row r="32" spans="2:12" ht="17.25" customHeight="1" x14ac:dyDescent="0.25">
      <c r="B32" s="83" t="s">
        <v>130</v>
      </c>
      <c r="C32" s="91"/>
    </row>
    <row r="33" spans="2:3" ht="17.25" customHeight="1" x14ac:dyDescent="0.25">
      <c r="B33" s="83" t="s">
        <v>94</v>
      </c>
      <c r="C33" s="91"/>
    </row>
    <row r="34" spans="2:3" ht="17.25" customHeight="1" x14ac:dyDescent="0.25">
      <c r="B34" s="83" t="s">
        <v>116</v>
      </c>
      <c r="C34" s="92">
        <v>3.2000000000000001E-2</v>
      </c>
    </row>
    <row r="35" spans="2:3" ht="17.25" customHeight="1" x14ac:dyDescent="0.25">
      <c r="B35" s="83" t="s">
        <v>63</v>
      </c>
      <c r="C35" s="91" t="s">
        <v>83</v>
      </c>
    </row>
    <row r="36" spans="2:3" ht="17.25" customHeight="1" x14ac:dyDescent="0.25">
      <c r="B36" s="83" t="s">
        <v>56</v>
      </c>
      <c r="C36" s="91">
        <v>2</v>
      </c>
    </row>
    <row r="37" spans="2:3" ht="17.25" customHeight="1" x14ac:dyDescent="0.25">
      <c r="B37" s="83" t="s">
        <v>275</v>
      </c>
      <c r="C37" s="91" t="s">
        <v>345</v>
      </c>
    </row>
    <row r="38" spans="2:3" ht="17.25" customHeight="1" x14ac:dyDescent="0.25">
      <c r="B38" s="83" t="s">
        <v>52</v>
      </c>
      <c r="C38" s="92">
        <v>3.2000000000000001E-2</v>
      </c>
    </row>
  </sheetData>
  <dataConsolidate link="1"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V17"/>
  <sheetViews>
    <sheetView topLeftCell="A4" workbookViewId="0">
      <selection activeCell="D6" sqref="D6"/>
    </sheetView>
  </sheetViews>
  <sheetFormatPr defaultRowHeight="15" x14ac:dyDescent="0.25"/>
  <cols>
    <col min="1" max="1" width="34.44140625" style="1" bestFit="1" customWidth="1"/>
    <col min="2" max="2" width="19.6640625" style="1" bestFit="1" customWidth="1"/>
    <col min="3" max="3" width="13.88671875" style="1" bestFit="1" customWidth="1"/>
    <col min="4" max="4" width="10.33203125" style="1" bestFit="1" customWidth="1"/>
    <col min="5" max="5" width="25.6640625" style="1" bestFit="1" customWidth="1"/>
    <col min="6" max="6" width="10.21875" style="1" bestFit="1" customWidth="1"/>
    <col min="7" max="7" width="12.77734375" style="1" bestFit="1" customWidth="1"/>
    <col min="8" max="8" width="9.44140625" style="1" bestFit="1" customWidth="1"/>
    <col min="9" max="9" width="12.21875" style="1" bestFit="1" customWidth="1"/>
    <col min="10" max="10" width="6.109375" style="1" bestFit="1" customWidth="1"/>
    <col min="11" max="11" width="12.21875" style="1" bestFit="1" customWidth="1"/>
    <col min="12" max="12" width="10.44140625" style="1" bestFit="1" customWidth="1"/>
    <col min="13" max="13" width="10.33203125" style="1" bestFit="1" customWidth="1"/>
    <col min="14" max="14" width="40.44140625" style="1" bestFit="1" customWidth="1"/>
    <col min="15" max="15" width="17" style="1" bestFit="1" customWidth="1"/>
    <col min="16" max="16" width="10.21875" style="1" bestFit="1" customWidth="1"/>
    <col min="17" max="17" width="12.77734375" style="1" bestFit="1" customWidth="1"/>
    <col min="18" max="18" width="9.44140625" style="1" bestFit="1" customWidth="1"/>
    <col min="19" max="19" width="9.5546875" style="1" bestFit="1" customWidth="1"/>
    <col min="20" max="20" width="28.109375" style="1" bestFit="1" customWidth="1"/>
    <col min="21" max="21" width="14.88671875" style="1" bestFit="1" customWidth="1"/>
    <col min="22" max="22" width="7.77734375" style="1" bestFit="1" customWidth="1"/>
    <col min="23" max="23" width="9.44140625" style="1" bestFit="1" customWidth="1"/>
    <col min="24" max="26" width="6.109375" style="1" bestFit="1" customWidth="1"/>
    <col min="27" max="27" width="10.5546875" style="1" bestFit="1" customWidth="1"/>
    <col min="28" max="30" width="9.44140625" style="1" bestFit="1" customWidth="1"/>
    <col min="31" max="31" width="80.88671875" style="1" bestFit="1" customWidth="1"/>
    <col min="32" max="34" width="9.44140625" style="1" bestFit="1" customWidth="1"/>
    <col min="35" max="36" width="12.77734375" style="1" bestFit="1" customWidth="1"/>
    <col min="37" max="37" width="9.6640625" style="1" bestFit="1" customWidth="1"/>
    <col min="38" max="38" width="9.77734375" style="1" bestFit="1" customWidth="1"/>
    <col min="39" max="39" width="14.44140625" style="1" bestFit="1" customWidth="1"/>
    <col min="40" max="40" width="9.44140625" style="1" bestFit="1" customWidth="1"/>
    <col min="41" max="41" width="12.77734375" style="1" bestFit="1" customWidth="1"/>
    <col min="42" max="43" width="11.109375" style="1" bestFit="1" customWidth="1"/>
    <col min="44" max="44" width="80.88671875" style="1" bestFit="1" customWidth="1"/>
    <col min="45" max="45" width="8.88671875" style="1" bestFit="1" customWidth="1"/>
    <col min="46" max="46" width="12.77734375" style="1" bestFit="1" customWidth="1"/>
    <col min="47" max="47" width="9.44140625" style="1" bestFit="1" customWidth="1"/>
    <col min="48" max="48" width="10.33203125" style="1" bestFit="1" customWidth="1"/>
    <col min="49" max="49" width="11.109375" style="1" bestFit="1" customWidth="1"/>
    <col min="50" max="50" width="9.44140625" style="1" bestFit="1" customWidth="1"/>
    <col min="51" max="51" width="12.77734375" style="1" bestFit="1" customWidth="1"/>
    <col min="52" max="52" width="11.109375" style="1" bestFit="1" customWidth="1"/>
    <col min="53" max="53" width="49.6640625" style="1" bestFit="1" customWidth="1"/>
    <col min="54" max="54" width="11.109375" style="1" bestFit="1" customWidth="1"/>
    <col min="55" max="55" width="10.44140625" style="1" bestFit="1" customWidth="1"/>
    <col min="56" max="56" width="28.109375" style="1" bestFit="1" customWidth="1"/>
    <col min="57" max="57" width="10.33203125" style="1" bestFit="1" customWidth="1"/>
    <col min="58" max="58" width="56.109375" style="1" bestFit="1" customWidth="1"/>
    <col min="59" max="60" width="80.88671875" style="1" bestFit="1" customWidth="1"/>
    <col min="61" max="61" width="11.109375" style="1" bestFit="1" customWidth="1"/>
    <col min="62" max="67" width="9.44140625" style="1" bestFit="1" customWidth="1"/>
    <col min="68" max="68" width="26.44140625" style="1" bestFit="1" customWidth="1"/>
    <col min="69" max="69" width="11.21875" style="1" bestFit="1" customWidth="1"/>
    <col min="70" max="70" width="12.21875" style="1" bestFit="1" customWidth="1"/>
    <col min="71" max="71" width="11.109375" style="1" bestFit="1" customWidth="1"/>
    <col min="72" max="72" width="9.5546875" style="1" bestFit="1" customWidth="1"/>
    <col min="73" max="73" width="6.109375" style="1" bestFit="1" customWidth="1"/>
    <col min="74" max="75" width="20" style="1" bestFit="1" customWidth="1"/>
    <col min="76" max="76" width="19.44140625" style="1" bestFit="1" customWidth="1"/>
    <col min="77" max="77" width="7.6640625" style="1" bestFit="1" customWidth="1"/>
    <col min="78" max="78" width="19.44140625" style="1" bestFit="1" customWidth="1"/>
    <col min="79" max="80" width="20.21875" style="1" bestFit="1" customWidth="1"/>
    <col min="81" max="85" width="19.33203125" style="1" bestFit="1" customWidth="1"/>
    <col min="86" max="86" width="6.109375" style="1" bestFit="1" customWidth="1"/>
    <col min="87" max="87" width="19.44140625" style="1" bestFit="1" customWidth="1"/>
    <col min="88" max="16384" width="8.88671875" style="1"/>
  </cols>
  <sheetData>
    <row r="1" spans="1:74" ht="67.5" customHeight="1" x14ac:dyDescent="0.25">
      <c r="A1" s="5" t="s">
        <v>222</v>
      </c>
    </row>
    <row r="5" spans="1:74" x14ac:dyDescent="0.25">
      <c r="A5" t="s">
        <v>92</v>
      </c>
      <c r="B5" t="s">
        <v>218</v>
      </c>
      <c r="C5" t="s">
        <v>47</v>
      </c>
      <c r="D5" t="s">
        <v>48</v>
      </c>
      <c r="E5" t="s">
        <v>46</v>
      </c>
      <c r="F5" t="s">
        <v>96</v>
      </c>
      <c r="G5" t="s">
        <v>97</v>
      </c>
      <c r="H5" t="s">
        <v>49</v>
      </c>
      <c r="I5" t="s">
        <v>56</v>
      </c>
      <c r="J5" t="s">
        <v>63</v>
      </c>
      <c r="K5" t="s">
        <v>57</v>
      </c>
      <c r="L5" t="s">
        <v>368</v>
      </c>
      <c r="M5" t="s">
        <v>51</v>
      </c>
      <c r="N5" t="s">
        <v>98</v>
      </c>
      <c r="O5" t="s">
        <v>192</v>
      </c>
      <c r="P5" t="s">
        <v>193</v>
      </c>
      <c r="Q5" t="s">
        <v>53</v>
      </c>
      <c r="R5" t="s">
        <v>288</v>
      </c>
      <c r="S5" t="s">
        <v>219</v>
      </c>
      <c r="T5" t="s">
        <v>54</v>
      </c>
      <c r="U5" t="s">
        <v>55</v>
      </c>
      <c r="V5" t="s">
        <v>58</v>
      </c>
      <c r="W5" t="s">
        <v>59</v>
      </c>
      <c r="X5" t="s">
        <v>93</v>
      </c>
      <c r="Y5" t="s">
        <v>44</v>
      </c>
      <c r="Z5" t="s">
        <v>45</v>
      </c>
      <c r="AA5" t="s">
        <v>127</v>
      </c>
      <c r="AB5" t="s">
        <v>60</v>
      </c>
      <c r="AC5" t="s">
        <v>61</v>
      </c>
      <c r="AD5" t="s">
        <v>62</v>
      </c>
      <c r="AE5" t="s">
        <v>64</v>
      </c>
      <c r="AF5" t="s">
        <v>185</v>
      </c>
      <c r="AG5" t="s">
        <v>43</v>
      </c>
      <c r="AH5" t="s">
        <v>94</v>
      </c>
      <c r="AI5" t="s">
        <v>164</v>
      </c>
      <c r="AJ5" t="s">
        <v>50</v>
      </c>
      <c r="AK5" t="s">
        <v>926</v>
      </c>
      <c r="AL5" t="s">
        <v>203</v>
      </c>
      <c r="AM5" t="s">
        <v>41</v>
      </c>
      <c r="AN5" t="s">
        <v>95</v>
      </c>
      <c r="AO5" t="s">
        <v>204</v>
      </c>
      <c r="AP5" t="s">
        <v>205</v>
      </c>
      <c r="AQ5" t="s">
        <v>206</v>
      </c>
      <c r="AR5" t="s">
        <v>207</v>
      </c>
      <c r="AS5" t="s">
        <v>641</v>
      </c>
      <c r="AT5" t="s">
        <v>99</v>
      </c>
      <c r="AU5" t="s">
        <v>100</v>
      </c>
      <c r="AV5" t="s">
        <v>65</v>
      </c>
      <c r="AW5" t="s">
        <v>66</v>
      </c>
      <c r="AX5" t="s">
        <v>67</v>
      </c>
      <c r="AY5" t="s">
        <v>101</v>
      </c>
      <c r="AZ5" t="s">
        <v>68</v>
      </c>
      <c r="BA5" t="s">
        <v>69</v>
      </c>
      <c r="BB5" t="s">
        <v>71</v>
      </c>
      <c r="BC5" t="s">
        <v>209</v>
      </c>
      <c r="BD5" t="s">
        <v>70</v>
      </c>
      <c r="BE5" t="s">
        <v>72</v>
      </c>
      <c r="BF5" t="s">
        <v>102</v>
      </c>
      <c r="BG5" t="s">
        <v>73</v>
      </c>
      <c r="BH5" t="s">
        <v>208</v>
      </c>
      <c r="BI5" t="s">
        <v>74</v>
      </c>
      <c r="BJ5" t="s">
        <v>75</v>
      </c>
      <c r="BK5" t="s">
        <v>76</v>
      </c>
      <c r="BL5" t="s">
        <v>77</v>
      </c>
      <c r="BM5" t="s">
        <v>78</v>
      </c>
      <c r="BN5" t="s">
        <v>103</v>
      </c>
      <c r="BO5" t="s">
        <v>79</v>
      </c>
      <c r="BP5" t="s">
        <v>80</v>
      </c>
      <c r="BQ5" t="s">
        <v>893</v>
      </c>
      <c r="BR5" t="s">
        <v>377</v>
      </c>
      <c r="BS5" t="s">
        <v>212</v>
      </c>
      <c r="BT5" t="s">
        <v>422</v>
      </c>
      <c r="BU5" t="s">
        <v>87</v>
      </c>
      <c r="BV5" t="s">
        <v>132</v>
      </c>
    </row>
    <row r="6" spans="1:74" x14ac:dyDescent="0.25">
      <c r="A6" s="141" t="s">
        <v>946</v>
      </c>
      <c r="B6" s="141" t="s">
        <v>90</v>
      </c>
      <c r="C6" s="139" t="s">
        <v>939</v>
      </c>
      <c r="D6" s="140">
        <v>45233</v>
      </c>
      <c r="E6" s="141" t="s">
        <v>947</v>
      </c>
      <c r="F6" s="141" t="s">
        <v>428</v>
      </c>
      <c r="G6" s="141" t="s">
        <v>90</v>
      </c>
      <c r="H6" s="141" t="s">
        <v>428</v>
      </c>
      <c r="I6" s="141">
        <v>3.65</v>
      </c>
      <c r="J6" s="141" t="s">
        <v>104</v>
      </c>
      <c r="K6" s="141" t="s">
        <v>434</v>
      </c>
      <c r="L6" s="139">
        <v>4</v>
      </c>
      <c r="M6" s="140">
        <v>46336</v>
      </c>
      <c r="N6" s="141" t="s">
        <v>437</v>
      </c>
      <c r="O6" s="141" t="s">
        <v>948</v>
      </c>
      <c r="P6" s="141" t="s">
        <v>949</v>
      </c>
      <c r="Q6" s="139">
        <v>10</v>
      </c>
      <c r="R6" s="141" t="s">
        <v>90</v>
      </c>
      <c r="S6" s="141" t="s">
        <v>950</v>
      </c>
      <c r="T6" s="141" t="s">
        <v>951</v>
      </c>
      <c r="U6" s="141" t="s">
        <v>90</v>
      </c>
      <c r="V6" s="139">
        <v>100</v>
      </c>
      <c r="W6" s="139"/>
      <c r="X6" s="141" t="s">
        <v>952</v>
      </c>
      <c r="Y6" s="141" t="s">
        <v>953</v>
      </c>
      <c r="Z6" s="141" t="s">
        <v>90</v>
      </c>
      <c r="AA6" s="139"/>
      <c r="AB6" s="139"/>
      <c r="AC6" s="139"/>
      <c r="AD6" s="139"/>
      <c r="AE6" s="141" t="s">
        <v>90</v>
      </c>
      <c r="AF6" s="141" t="s">
        <v>90</v>
      </c>
      <c r="AG6" s="141" t="s">
        <v>90</v>
      </c>
      <c r="AH6" s="141" t="s">
        <v>90</v>
      </c>
      <c r="AI6" s="141" t="s">
        <v>90</v>
      </c>
      <c r="AJ6" s="141" t="s">
        <v>90</v>
      </c>
      <c r="AK6" s="142" t="s">
        <v>1</v>
      </c>
      <c r="AL6" s="139" t="s">
        <v>661</v>
      </c>
      <c r="AM6" s="141" t="s">
        <v>427</v>
      </c>
      <c r="AN6" s="141" t="s">
        <v>90</v>
      </c>
      <c r="AO6" s="139"/>
      <c r="AP6" s="141" t="s">
        <v>90</v>
      </c>
      <c r="AQ6" s="141" t="s">
        <v>90</v>
      </c>
      <c r="AR6" s="141" t="s">
        <v>90</v>
      </c>
      <c r="AS6" s="139" t="s">
        <v>90</v>
      </c>
      <c r="AT6" s="141"/>
      <c r="AU6" s="139"/>
      <c r="AV6" s="140"/>
      <c r="AW6" s="140"/>
      <c r="AX6" s="141" t="s">
        <v>90</v>
      </c>
      <c r="AY6" s="141">
        <v>4</v>
      </c>
      <c r="AZ6" s="140"/>
      <c r="BA6" s="141" t="s">
        <v>90</v>
      </c>
      <c r="BB6" s="140"/>
      <c r="BC6" s="141" t="s">
        <v>90</v>
      </c>
      <c r="BD6" s="141" t="s">
        <v>90</v>
      </c>
      <c r="BE6" s="140"/>
      <c r="BF6" s="141" t="s">
        <v>90</v>
      </c>
      <c r="BG6" s="141" t="s">
        <v>90</v>
      </c>
      <c r="BH6" s="141" t="s">
        <v>90</v>
      </c>
      <c r="BI6" s="141" t="s">
        <v>90</v>
      </c>
      <c r="BJ6" s="141" t="s">
        <v>90</v>
      </c>
      <c r="BK6" s="141" t="s">
        <v>90</v>
      </c>
      <c r="BL6" s="141" t="s">
        <v>90</v>
      </c>
      <c r="BM6" s="141" t="s">
        <v>90</v>
      </c>
      <c r="BN6" s="141" t="s">
        <v>90</v>
      </c>
      <c r="BO6" s="141" t="s">
        <v>90</v>
      </c>
      <c r="BP6" s="141" t="s">
        <v>90</v>
      </c>
      <c r="BQ6" s="142"/>
      <c r="BR6" s="141" t="s">
        <v>222</v>
      </c>
      <c r="BS6" s="38"/>
      <c r="BT6" t="s">
        <v>7</v>
      </c>
      <c r="BU6" s="141" t="s">
        <v>17</v>
      </c>
      <c r="BV6" s="139" t="s">
        <v>941</v>
      </c>
    </row>
    <row r="7" spans="1:74" x14ac:dyDescent="0.25">
      <c r="A7" s="141" t="s">
        <v>841</v>
      </c>
      <c r="B7" s="141" t="s">
        <v>954</v>
      </c>
      <c r="C7" s="139" t="s">
        <v>840</v>
      </c>
      <c r="D7" s="140">
        <v>45233</v>
      </c>
      <c r="E7" s="141" t="s">
        <v>955</v>
      </c>
      <c r="F7" s="141" t="s">
        <v>428</v>
      </c>
      <c r="G7" s="141" t="s">
        <v>428</v>
      </c>
      <c r="H7" s="141" t="s">
        <v>428</v>
      </c>
      <c r="I7" s="141">
        <v>9.69</v>
      </c>
      <c r="J7" s="141" t="s">
        <v>104</v>
      </c>
      <c r="K7" s="141" t="s">
        <v>434</v>
      </c>
      <c r="L7" s="139">
        <v>4.8</v>
      </c>
      <c r="M7" s="140">
        <v>46336</v>
      </c>
      <c r="N7" s="141" t="s">
        <v>433</v>
      </c>
      <c r="O7" s="141" t="s">
        <v>90</v>
      </c>
      <c r="P7" s="141" t="s">
        <v>401</v>
      </c>
      <c r="Q7" s="139"/>
      <c r="R7" s="141" t="s">
        <v>432</v>
      </c>
      <c r="S7" s="141" t="s">
        <v>802</v>
      </c>
      <c r="T7" s="141" t="s">
        <v>894</v>
      </c>
      <c r="U7" s="141" t="s">
        <v>430</v>
      </c>
      <c r="V7" s="139">
        <v>100</v>
      </c>
      <c r="W7" s="139"/>
      <c r="X7" s="141" t="s">
        <v>895</v>
      </c>
      <c r="Y7" s="141" t="s">
        <v>956</v>
      </c>
      <c r="Z7" s="141" t="s">
        <v>90</v>
      </c>
      <c r="AA7" s="139"/>
      <c r="AB7" s="139"/>
      <c r="AC7" s="139"/>
      <c r="AD7" s="139"/>
      <c r="AE7" s="141" t="s">
        <v>957</v>
      </c>
      <c r="AF7" s="141" t="s">
        <v>290</v>
      </c>
      <c r="AG7" s="141" t="s">
        <v>958</v>
      </c>
      <c r="AH7" s="141" t="s">
        <v>276</v>
      </c>
      <c r="AI7" s="141" t="s">
        <v>428</v>
      </c>
      <c r="AJ7" s="141" t="s">
        <v>90</v>
      </c>
      <c r="AK7" s="142" t="s">
        <v>2</v>
      </c>
      <c r="AL7" s="139" t="s">
        <v>661</v>
      </c>
      <c r="AM7" s="141" t="s">
        <v>427</v>
      </c>
      <c r="AN7" s="141" t="s">
        <v>436</v>
      </c>
      <c r="AO7" s="139"/>
      <c r="AP7" s="141" t="s">
        <v>90</v>
      </c>
      <c r="AQ7" s="141" t="s">
        <v>90</v>
      </c>
      <c r="AR7" s="141" t="s">
        <v>959</v>
      </c>
      <c r="AS7" s="139" t="s">
        <v>960</v>
      </c>
      <c r="AT7" s="141">
        <v>10000</v>
      </c>
      <c r="AU7" s="139">
        <v>9.69</v>
      </c>
      <c r="AV7" s="140">
        <v>45240</v>
      </c>
      <c r="AW7" s="140"/>
      <c r="AX7" s="141" t="s">
        <v>90</v>
      </c>
      <c r="AY7" s="141">
        <v>4.8</v>
      </c>
      <c r="AZ7" s="140">
        <v>45422</v>
      </c>
      <c r="BA7" s="141" t="s">
        <v>841</v>
      </c>
      <c r="BB7" s="140">
        <v>45240</v>
      </c>
      <c r="BC7" s="141" t="s">
        <v>401</v>
      </c>
      <c r="BD7" s="141" t="s">
        <v>90</v>
      </c>
      <c r="BE7" s="140">
        <v>45240</v>
      </c>
      <c r="BF7" s="141" t="s">
        <v>778</v>
      </c>
      <c r="BG7" s="141" t="s">
        <v>961</v>
      </c>
      <c r="BH7" s="141" t="s">
        <v>962</v>
      </c>
      <c r="BI7" s="141" t="s">
        <v>426</v>
      </c>
      <c r="BJ7" s="141" t="s">
        <v>426</v>
      </c>
      <c r="BK7" s="141" t="s">
        <v>425</v>
      </c>
      <c r="BL7" s="141" t="s">
        <v>424</v>
      </c>
      <c r="BM7" s="141" t="s">
        <v>423</v>
      </c>
      <c r="BN7" s="141" t="s">
        <v>90</v>
      </c>
      <c r="BO7" s="141" t="s">
        <v>126</v>
      </c>
      <c r="BP7" s="141" t="s">
        <v>90</v>
      </c>
      <c r="BQ7" s="142"/>
      <c r="BR7" s="141" t="s">
        <v>222</v>
      </c>
      <c r="BS7" s="38"/>
      <c r="BT7" t="s">
        <v>7</v>
      </c>
      <c r="BU7" s="141" t="s">
        <v>19</v>
      </c>
      <c r="BV7" s="139" t="s">
        <v>843</v>
      </c>
    </row>
    <row r="8" spans="1:74" x14ac:dyDescent="0.25">
      <c r="A8" s="141" t="s">
        <v>857</v>
      </c>
      <c r="B8" s="141" t="s">
        <v>896</v>
      </c>
      <c r="C8" s="139" t="s">
        <v>856</v>
      </c>
      <c r="D8" s="140">
        <v>45232</v>
      </c>
      <c r="E8" s="141" t="s">
        <v>897</v>
      </c>
      <c r="F8" s="141" t="s">
        <v>898</v>
      </c>
      <c r="G8" s="141" t="s">
        <v>899</v>
      </c>
      <c r="H8" s="141" t="s">
        <v>428</v>
      </c>
      <c r="I8" s="141">
        <v>5</v>
      </c>
      <c r="J8" s="141" t="s">
        <v>83</v>
      </c>
      <c r="K8" s="141" t="s">
        <v>900</v>
      </c>
      <c r="L8" s="139">
        <v>5.75</v>
      </c>
      <c r="M8" s="140">
        <v>47066</v>
      </c>
      <c r="N8" s="141" t="s">
        <v>821</v>
      </c>
      <c r="O8" s="141" t="s">
        <v>963</v>
      </c>
      <c r="P8" s="141" t="s">
        <v>964</v>
      </c>
      <c r="Q8" s="139">
        <v>25</v>
      </c>
      <c r="R8" s="141" t="s">
        <v>432</v>
      </c>
      <c r="S8" s="141" t="s">
        <v>458</v>
      </c>
      <c r="T8" s="141" t="s">
        <v>90</v>
      </c>
      <c r="U8" s="141" t="s">
        <v>430</v>
      </c>
      <c r="V8" s="139">
        <v>99.213999999999999</v>
      </c>
      <c r="W8" s="139"/>
      <c r="X8" s="141" t="s">
        <v>831</v>
      </c>
      <c r="Y8" s="141" t="s">
        <v>90</v>
      </c>
      <c r="Z8" s="141" t="s">
        <v>90</v>
      </c>
      <c r="AA8" s="139"/>
      <c r="AB8" s="139"/>
      <c r="AC8" s="139"/>
      <c r="AD8" s="139"/>
      <c r="AE8" s="141" t="s">
        <v>901</v>
      </c>
      <c r="AF8" s="141" t="s">
        <v>290</v>
      </c>
      <c r="AG8" s="141" t="s">
        <v>459</v>
      </c>
      <c r="AH8" s="141" t="s">
        <v>90</v>
      </c>
      <c r="AI8" s="141" t="s">
        <v>428</v>
      </c>
      <c r="AJ8" s="141" t="s">
        <v>90</v>
      </c>
      <c r="AK8" s="142" t="s">
        <v>82</v>
      </c>
      <c r="AL8" s="139" t="s">
        <v>902</v>
      </c>
      <c r="AM8" s="141" t="s">
        <v>733</v>
      </c>
      <c r="AN8" s="141" t="s">
        <v>435</v>
      </c>
      <c r="AO8" s="139"/>
      <c r="AP8" s="141" t="s">
        <v>90</v>
      </c>
      <c r="AQ8" s="141" t="s">
        <v>90</v>
      </c>
      <c r="AR8" s="141" t="s">
        <v>90</v>
      </c>
      <c r="AS8" s="139" t="s">
        <v>903</v>
      </c>
      <c r="AT8" s="141">
        <v>1000</v>
      </c>
      <c r="AU8" s="139">
        <v>5</v>
      </c>
      <c r="AV8" s="140">
        <v>45239</v>
      </c>
      <c r="AW8" s="140">
        <v>47035</v>
      </c>
      <c r="AX8" s="141" t="s">
        <v>90</v>
      </c>
      <c r="AY8" s="141">
        <v>5.75</v>
      </c>
      <c r="AZ8" s="140">
        <v>45421</v>
      </c>
      <c r="BA8" s="141" t="s">
        <v>860</v>
      </c>
      <c r="BB8" s="140">
        <v>45239</v>
      </c>
      <c r="BC8" s="141" t="s">
        <v>90</v>
      </c>
      <c r="BD8" s="141" t="s">
        <v>857</v>
      </c>
      <c r="BE8" s="140">
        <v>45239</v>
      </c>
      <c r="BF8" s="141" t="s">
        <v>90</v>
      </c>
      <c r="BG8" s="141" t="s">
        <v>904</v>
      </c>
      <c r="BH8" s="141" t="s">
        <v>905</v>
      </c>
      <c r="BI8" s="141" t="s">
        <v>426</v>
      </c>
      <c r="BJ8" s="141" t="s">
        <v>426</v>
      </c>
      <c r="BK8" s="141" t="s">
        <v>425</v>
      </c>
      <c r="BL8" s="141" t="s">
        <v>424</v>
      </c>
      <c r="BM8" s="141" t="s">
        <v>906</v>
      </c>
      <c r="BN8" s="141" t="s">
        <v>90</v>
      </c>
      <c r="BO8" s="141" t="s">
        <v>126</v>
      </c>
      <c r="BP8" s="141" t="s">
        <v>90</v>
      </c>
      <c r="BQ8" s="142"/>
      <c r="BR8" s="141" t="s">
        <v>222</v>
      </c>
      <c r="BS8" s="38"/>
      <c r="BT8" t="s">
        <v>7</v>
      </c>
      <c r="BU8" s="141" t="s">
        <v>28</v>
      </c>
      <c r="BV8" s="139" t="s">
        <v>864</v>
      </c>
    </row>
    <row r="9" spans="1:74" x14ac:dyDescent="0.25">
      <c r="A9" s="141" t="s">
        <v>844</v>
      </c>
      <c r="B9" s="141" t="s">
        <v>965</v>
      </c>
      <c r="C9" s="139" t="s">
        <v>942</v>
      </c>
      <c r="D9" s="140">
        <v>45232</v>
      </c>
      <c r="E9" s="141" t="s">
        <v>966</v>
      </c>
      <c r="F9" s="141" t="s">
        <v>428</v>
      </c>
      <c r="G9" s="141" t="s">
        <v>967</v>
      </c>
      <c r="H9" s="141" t="s">
        <v>428</v>
      </c>
      <c r="I9" s="141">
        <v>0.98</v>
      </c>
      <c r="J9" s="141" t="s">
        <v>83</v>
      </c>
      <c r="K9" s="141" t="s">
        <v>783</v>
      </c>
      <c r="L9" s="139">
        <v>8.5</v>
      </c>
      <c r="M9" s="140">
        <v>45600</v>
      </c>
      <c r="N9" s="141" t="s">
        <v>433</v>
      </c>
      <c r="O9" s="141" t="s">
        <v>90</v>
      </c>
      <c r="P9" s="141" t="s">
        <v>90</v>
      </c>
      <c r="Q9" s="139"/>
      <c r="R9" s="141" t="s">
        <v>432</v>
      </c>
      <c r="S9" s="141" t="s">
        <v>458</v>
      </c>
      <c r="T9" s="141" t="s">
        <v>90</v>
      </c>
      <c r="U9" s="141" t="s">
        <v>430</v>
      </c>
      <c r="V9" s="139"/>
      <c r="W9" s="139"/>
      <c r="X9" s="141" t="s">
        <v>634</v>
      </c>
      <c r="Y9" s="141" t="s">
        <v>907</v>
      </c>
      <c r="Z9" s="141" t="s">
        <v>90</v>
      </c>
      <c r="AA9" s="139"/>
      <c r="AB9" s="139"/>
      <c r="AC9" s="139"/>
      <c r="AD9" s="139"/>
      <c r="AE9" s="141" t="s">
        <v>968</v>
      </c>
      <c r="AF9" s="141" t="s">
        <v>290</v>
      </c>
      <c r="AG9" s="141" t="s">
        <v>429</v>
      </c>
      <c r="AH9" s="141" t="s">
        <v>90</v>
      </c>
      <c r="AI9" s="141" t="s">
        <v>428</v>
      </c>
      <c r="AJ9" s="141" t="s">
        <v>372</v>
      </c>
      <c r="AK9" s="142" t="s">
        <v>1</v>
      </c>
      <c r="AL9" s="139" t="s">
        <v>917</v>
      </c>
      <c r="AM9" s="141" t="s">
        <v>427</v>
      </c>
      <c r="AN9" s="141" t="s">
        <v>436</v>
      </c>
      <c r="AO9" s="139"/>
      <c r="AP9" s="141" t="s">
        <v>90</v>
      </c>
      <c r="AQ9" s="141" t="s">
        <v>90</v>
      </c>
      <c r="AR9" s="141" t="s">
        <v>90</v>
      </c>
      <c r="AS9" s="139" t="s">
        <v>969</v>
      </c>
      <c r="AT9" s="141">
        <v>1000</v>
      </c>
      <c r="AU9" s="139">
        <v>0.98</v>
      </c>
      <c r="AV9" s="140">
        <v>45236</v>
      </c>
      <c r="AW9" s="140"/>
      <c r="AX9" s="141" t="s">
        <v>90</v>
      </c>
      <c r="AY9" s="141">
        <v>8.5</v>
      </c>
      <c r="AZ9" s="140">
        <v>45600</v>
      </c>
      <c r="BA9" s="141" t="s">
        <v>845</v>
      </c>
      <c r="BB9" s="140">
        <v>45236</v>
      </c>
      <c r="BC9" s="141" t="s">
        <v>90</v>
      </c>
      <c r="BD9" s="141" t="s">
        <v>844</v>
      </c>
      <c r="BE9" s="140">
        <v>45236</v>
      </c>
      <c r="BF9" s="141" t="s">
        <v>90</v>
      </c>
      <c r="BG9" s="141" t="s">
        <v>90</v>
      </c>
      <c r="BH9" s="141" t="s">
        <v>970</v>
      </c>
      <c r="BI9" s="141" t="s">
        <v>426</v>
      </c>
      <c r="BJ9" s="141" t="s">
        <v>426</v>
      </c>
      <c r="BK9" s="141" t="s">
        <v>425</v>
      </c>
      <c r="BL9" s="141" t="s">
        <v>424</v>
      </c>
      <c r="BM9" s="141" t="s">
        <v>423</v>
      </c>
      <c r="BN9" s="141" t="s">
        <v>90</v>
      </c>
      <c r="BO9" s="141" t="s">
        <v>90</v>
      </c>
      <c r="BP9" s="141" t="s">
        <v>90</v>
      </c>
      <c r="BQ9" s="142"/>
      <c r="BR9" s="141" t="s">
        <v>222</v>
      </c>
      <c r="BS9" s="38"/>
      <c r="BT9" t="s">
        <v>7</v>
      </c>
      <c r="BU9" s="141" t="s">
        <v>10</v>
      </c>
      <c r="BV9" s="139" t="s">
        <v>944</v>
      </c>
    </row>
    <row r="10" spans="1:74" x14ac:dyDescent="0.25">
      <c r="A10" s="141" t="s">
        <v>849</v>
      </c>
      <c r="B10" s="141" t="s">
        <v>908</v>
      </c>
      <c r="C10" s="139" t="s">
        <v>848</v>
      </c>
      <c r="D10" s="140">
        <v>45232</v>
      </c>
      <c r="E10" s="141" t="s">
        <v>909</v>
      </c>
      <c r="F10" s="141" t="s">
        <v>428</v>
      </c>
      <c r="G10" s="141" t="s">
        <v>428</v>
      </c>
      <c r="H10" s="141" t="s">
        <v>428</v>
      </c>
      <c r="I10" s="141">
        <v>0.82299999999999995</v>
      </c>
      <c r="J10" s="141" t="s">
        <v>83</v>
      </c>
      <c r="K10" s="141" t="s">
        <v>434</v>
      </c>
      <c r="L10" s="139">
        <v>8</v>
      </c>
      <c r="M10" s="140">
        <v>46333</v>
      </c>
      <c r="N10" s="141" t="s">
        <v>437</v>
      </c>
      <c r="O10" s="141" t="s">
        <v>90</v>
      </c>
      <c r="P10" s="141" t="s">
        <v>90</v>
      </c>
      <c r="Q10" s="139"/>
      <c r="R10" s="141" t="s">
        <v>432</v>
      </c>
      <c r="S10" s="141" t="s">
        <v>458</v>
      </c>
      <c r="T10" s="141" t="s">
        <v>90</v>
      </c>
      <c r="U10" s="141" t="s">
        <v>430</v>
      </c>
      <c r="V10" s="139">
        <v>100</v>
      </c>
      <c r="W10" s="139"/>
      <c r="X10" s="141" t="s">
        <v>634</v>
      </c>
      <c r="Y10" s="141" t="s">
        <v>910</v>
      </c>
      <c r="Z10" s="141" t="s">
        <v>90</v>
      </c>
      <c r="AA10" s="139"/>
      <c r="AB10" s="139"/>
      <c r="AC10" s="139"/>
      <c r="AD10" s="139"/>
      <c r="AE10" s="141" t="s">
        <v>911</v>
      </c>
      <c r="AF10" s="141" t="s">
        <v>290</v>
      </c>
      <c r="AG10" s="141" t="s">
        <v>429</v>
      </c>
      <c r="AH10" s="141" t="s">
        <v>90</v>
      </c>
      <c r="AI10" s="141" t="s">
        <v>428</v>
      </c>
      <c r="AJ10" s="141" t="s">
        <v>372</v>
      </c>
      <c r="AK10" s="142" t="s">
        <v>1</v>
      </c>
      <c r="AL10" s="139" t="s">
        <v>661</v>
      </c>
      <c r="AM10" s="141" t="s">
        <v>427</v>
      </c>
      <c r="AN10" s="141" t="s">
        <v>436</v>
      </c>
      <c r="AO10" s="139"/>
      <c r="AP10" s="141" t="s">
        <v>90</v>
      </c>
      <c r="AQ10" s="141" t="s">
        <v>90</v>
      </c>
      <c r="AR10" s="141" t="s">
        <v>90</v>
      </c>
      <c r="AS10" s="139" t="s">
        <v>912</v>
      </c>
      <c r="AT10" s="141">
        <v>1000</v>
      </c>
      <c r="AU10" s="139">
        <v>0.82279999999999998</v>
      </c>
      <c r="AV10" s="140">
        <v>45237</v>
      </c>
      <c r="AW10" s="140"/>
      <c r="AX10" s="141" t="s">
        <v>90</v>
      </c>
      <c r="AY10" s="141">
        <v>8</v>
      </c>
      <c r="AZ10" s="140">
        <v>45419</v>
      </c>
      <c r="BA10" s="141" t="s">
        <v>913</v>
      </c>
      <c r="BB10" s="140">
        <v>45237</v>
      </c>
      <c r="BC10" s="141" t="s">
        <v>90</v>
      </c>
      <c r="BD10" s="141" t="s">
        <v>849</v>
      </c>
      <c r="BE10" s="140">
        <v>45237</v>
      </c>
      <c r="BF10" s="141" t="s">
        <v>90</v>
      </c>
      <c r="BG10" s="141" t="s">
        <v>90</v>
      </c>
      <c r="BH10" s="141" t="s">
        <v>914</v>
      </c>
      <c r="BI10" s="141" t="s">
        <v>426</v>
      </c>
      <c r="BJ10" s="141" t="s">
        <v>426</v>
      </c>
      <c r="BK10" s="141" t="s">
        <v>425</v>
      </c>
      <c r="BL10" s="141" t="s">
        <v>424</v>
      </c>
      <c r="BM10" s="141" t="s">
        <v>423</v>
      </c>
      <c r="BN10" s="141" t="s">
        <v>90</v>
      </c>
      <c r="BO10" s="141" t="s">
        <v>126</v>
      </c>
      <c r="BP10" s="141" t="s">
        <v>90</v>
      </c>
      <c r="BQ10" s="142"/>
      <c r="BR10" s="141" t="s">
        <v>222</v>
      </c>
      <c r="BS10" s="38"/>
      <c r="BT10" t="s">
        <v>7</v>
      </c>
      <c r="BU10" s="141" t="s">
        <v>10</v>
      </c>
      <c r="BV10" s="139" t="s">
        <v>855</v>
      </c>
    </row>
    <row r="11" spans="1:74" x14ac:dyDescent="0.25">
      <c r="A11" s="141" t="s">
        <v>751</v>
      </c>
      <c r="B11" s="141" t="s">
        <v>768</v>
      </c>
      <c r="C11" s="139" t="s">
        <v>750</v>
      </c>
      <c r="D11" s="140">
        <v>45231</v>
      </c>
      <c r="E11" s="141" t="s">
        <v>769</v>
      </c>
      <c r="F11" s="141" t="s">
        <v>428</v>
      </c>
      <c r="G11" s="141" t="s">
        <v>428</v>
      </c>
      <c r="H11" s="141" t="s">
        <v>428</v>
      </c>
      <c r="I11" s="141">
        <v>39</v>
      </c>
      <c r="J11" s="141" t="s">
        <v>242</v>
      </c>
      <c r="K11" s="141" t="s">
        <v>434</v>
      </c>
      <c r="L11" s="139">
        <v>2.2999999999999998</v>
      </c>
      <c r="M11" s="140">
        <v>46334</v>
      </c>
      <c r="N11" s="141" t="s">
        <v>437</v>
      </c>
      <c r="O11" s="141" t="s">
        <v>90</v>
      </c>
      <c r="P11" s="141" t="s">
        <v>720</v>
      </c>
      <c r="Q11" s="139"/>
      <c r="R11" s="141" t="s">
        <v>432</v>
      </c>
      <c r="S11" s="141" t="s">
        <v>770</v>
      </c>
      <c r="T11" s="141" t="s">
        <v>771</v>
      </c>
      <c r="U11" s="141" t="s">
        <v>430</v>
      </c>
      <c r="V11" s="139">
        <v>100</v>
      </c>
      <c r="W11" s="139"/>
      <c r="X11" s="141" t="s">
        <v>634</v>
      </c>
      <c r="Y11" s="141" t="s">
        <v>772</v>
      </c>
      <c r="Z11" s="141" t="s">
        <v>90</v>
      </c>
      <c r="AA11" s="139"/>
      <c r="AB11" s="139"/>
      <c r="AC11" s="139"/>
      <c r="AD11" s="139"/>
      <c r="AE11" s="141" t="s">
        <v>773</v>
      </c>
      <c r="AF11" s="141" t="s">
        <v>290</v>
      </c>
      <c r="AG11" s="141" t="s">
        <v>774</v>
      </c>
      <c r="AH11" s="141" t="s">
        <v>90</v>
      </c>
      <c r="AI11" s="141" t="s">
        <v>428</v>
      </c>
      <c r="AJ11" s="141" t="s">
        <v>438</v>
      </c>
      <c r="AK11" s="142" t="s">
        <v>2</v>
      </c>
      <c r="AL11" s="139" t="s">
        <v>661</v>
      </c>
      <c r="AM11" s="141" t="s">
        <v>427</v>
      </c>
      <c r="AN11" s="141" t="s">
        <v>436</v>
      </c>
      <c r="AO11" s="139"/>
      <c r="AP11" s="141" t="s">
        <v>90</v>
      </c>
      <c r="AQ11" s="141" t="s">
        <v>90</v>
      </c>
      <c r="AR11" s="141" t="s">
        <v>775</v>
      </c>
      <c r="AS11" s="139" t="s">
        <v>776</v>
      </c>
      <c r="AT11" s="141">
        <v>10000000</v>
      </c>
      <c r="AU11" s="139">
        <v>39</v>
      </c>
      <c r="AV11" s="140">
        <v>45238</v>
      </c>
      <c r="AW11" s="140"/>
      <c r="AX11" s="141" t="s">
        <v>90</v>
      </c>
      <c r="AY11" s="141">
        <v>2.2999999999999998</v>
      </c>
      <c r="AZ11" s="140">
        <v>45420</v>
      </c>
      <c r="BA11" s="141" t="s">
        <v>777</v>
      </c>
      <c r="BB11" s="140">
        <v>45238</v>
      </c>
      <c r="BC11" s="141" t="s">
        <v>720</v>
      </c>
      <c r="BD11" s="141" t="s">
        <v>751</v>
      </c>
      <c r="BE11" s="140">
        <v>45238</v>
      </c>
      <c r="BF11" s="141" t="s">
        <v>778</v>
      </c>
      <c r="BG11" s="141" t="s">
        <v>779</v>
      </c>
      <c r="BH11" s="141" t="s">
        <v>780</v>
      </c>
      <c r="BI11" s="141" t="s">
        <v>426</v>
      </c>
      <c r="BJ11" s="141" t="s">
        <v>426</v>
      </c>
      <c r="BK11" s="141" t="s">
        <v>425</v>
      </c>
      <c r="BL11" s="141" t="s">
        <v>424</v>
      </c>
      <c r="BM11" s="141" t="s">
        <v>423</v>
      </c>
      <c r="BN11" s="141" t="s">
        <v>90</v>
      </c>
      <c r="BO11" s="141" t="s">
        <v>126</v>
      </c>
      <c r="BP11" s="141" t="s">
        <v>90</v>
      </c>
      <c r="BQ11" s="142"/>
      <c r="BR11" s="141" t="s">
        <v>222</v>
      </c>
      <c r="BS11" s="38"/>
      <c r="BT11" t="s">
        <v>7</v>
      </c>
      <c r="BU11" s="141" t="s">
        <v>10</v>
      </c>
      <c r="BV11" s="139" t="s">
        <v>752</v>
      </c>
    </row>
    <row r="12" spans="1:74" x14ac:dyDescent="0.25">
      <c r="A12" s="141" t="s">
        <v>754</v>
      </c>
      <c r="B12" s="141" t="s">
        <v>781</v>
      </c>
      <c r="C12" s="139" t="s">
        <v>756</v>
      </c>
      <c r="D12" s="140">
        <v>45230</v>
      </c>
      <c r="E12" s="141" t="s">
        <v>782</v>
      </c>
      <c r="F12" s="141" t="s">
        <v>428</v>
      </c>
      <c r="G12" s="141" t="s">
        <v>428</v>
      </c>
      <c r="H12" s="141" t="s">
        <v>428</v>
      </c>
      <c r="I12" s="141">
        <v>9</v>
      </c>
      <c r="J12" s="141" t="s">
        <v>104</v>
      </c>
      <c r="K12" s="141" t="s">
        <v>783</v>
      </c>
      <c r="L12" s="139">
        <v>4.3</v>
      </c>
      <c r="M12" s="140">
        <v>45601</v>
      </c>
      <c r="N12" s="141" t="s">
        <v>784</v>
      </c>
      <c r="O12" s="141" t="s">
        <v>923</v>
      </c>
      <c r="P12" s="141" t="s">
        <v>785</v>
      </c>
      <c r="Q12" s="139">
        <v>50</v>
      </c>
      <c r="R12" s="141" t="s">
        <v>432</v>
      </c>
      <c r="S12" s="141" t="s">
        <v>458</v>
      </c>
      <c r="T12" s="141" t="s">
        <v>90</v>
      </c>
      <c r="U12" s="141" t="s">
        <v>430</v>
      </c>
      <c r="V12" s="139">
        <v>100</v>
      </c>
      <c r="W12" s="139"/>
      <c r="X12" s="141" t="s">
        <v>719</v>
      </c>
      <c r="Y12" s="141" t="s">
        <v>786</v>
      </c>
      <c r="Z12" s="141" t="s">
        <v>90</v>
      </c>
      <c r="AA12" s="139"/>
      <c r="AB12" s="139"/>
      <c r="AC12" s="139"/>
      <c r="AD12" s="139"/>
      <c r="AE12" s="141" t="s">
        <v>787</v>
      </c>
      <c r="AF12" s="141" t="s">
        <v>290</v>
      </c>
      <c r="AG12" s="141" t="s">
        <v>718</v>
      </c>
      <c r="AH12" s="141" t="s">
        <v>90</v>
      </c>
      <c r="AI12" s="141" t="s">
        <v>428</v>
      </c>
      <c r="AJ12" s="141" t="s">
        <v>440</v>
      </c>
      <c r="AK12" s="142" t="s">
        <v>2</v>
      </c>
      <c r="AL12" s="139" t="s">
        <v>816</v>
      </c>
      <c r="AM12" s="141" t="s">
        <v>427</v>
      </c>
      <c r="AN12" s="141" t="s">
        <v>436</v>
      </c>
      <c r="AO12" s="139"/>
      <c r="AP12" s="141" t="s">
        <v>90</v>
      </c>
      <c r="AQ12" s="141" t="s">
        <v>90</v>
      </c>
      <c r="AR12" s="141" t="s">
        <v>788</v>
      </c>
      <c r="AS12" s="139" t="s">
        <v>789</v>
      </c>
      <c r="AT12" s="141">
        <v>10000</v>
      </c>
      <c r="AU12" s="139">
        <v>9</v>
      </c>
      <c r="AV12" s="140">
        <v>45237</v>
      </c>
      <c r="AW12" s="140"/>
      <c r="AX12" s="141" t="s">
        <v>90</v>
      </c>
      <c r="AY12" s="141">
        <v>4.3</v>
      </c>
      <c r="AZ12" s="140">
        <v>45419</v>
      </c>
      <c r="BA12" s="141" t="s">
        <v>790</v>
      </c>
      <c r="BB12" s="140">
        <v>45237</v>
      </c>
      <c r="BC12" s="141" t="s">
        <v>785</v>
      </c>
      <c r="BD12" s="141" t="s">
        <v>754</v>
      </c>
      <c r="BE12" s="140">
        <v>45237</v>
      </c>
      <c r="BF12" s="141" t="s">
        <v>791</v>
      </c>
      <c r="BG12" s="141" t="s">
        <v>792</v>
      </c>
      <c r="BH12" s="141" t="s">
        <v>793</v>
      </c>
      <c r="BI12" s="141" t="s">
        <v>426</v>
      </c>
      <c r="BJ12" s="141" t="s">
        <v>426</v>
      </c>
      <c r="BK12" s="141" t="s">
        <v>425</v>
      </c>
      <c r="BL12" s="141" t="s">
        <v>424</v>
      </c>
      <c r="BM12" s="141" t="s">
        <v>423</v>
      </c>
      <c r="BN12" s="141" t="s">
        <v>90</v>
      </c>
      <c r="BO12" s="141" t="s">
        <v>126</v>
      </c>
      <c r="BP12" s="141" t="s">
        <v>90</v>
      </c>
      <c r="BQ12" s="142"/>
      <c r="BR12" s="141" t="s">
        <v>222</v>
      </c>
      <c r="BS12" s="38"/>
      <c r="BT12" t="s">
        <v>7</v>
      </c>
      <c r="BU12" s="141" t="s">
        <v>16</v>
      </c>
      <c r="BV12" s="139" t="s">
        <v>757</v>
      </c>
    </row>
    <row r="13" spans="1:74" x14ac:dyDescent="0.25">
      <c r="A13" s="141" t="s">
        <v>754</v>
      </c>
      <c r="B13" s="141" t="s">
        <v>794</v>
      </c>
      <c r="C13" s="139" t="s">
        <v>753</v>
      </c>
      <c r="D13" s="140">
        <v>45230</v>
      </c>
      <c r="E13" s="141" t="s">
        <v>795</v>
      </c>
      <c r="F13" s="141" t="s">
        <v>428</v>
      </c>
      <c r="G13" s="141" t="s">
        <v>428</v>
      </c>
      <c r="H13" s="141" t="s">
        <v>428</v>
      </c>
      <c r="I13" s="141">
        <v>1.7</v>
      </c>
      <c r="J13" s="141" t="s">
        <v>83</v>
      </c>
      <c r="K13" s="141" t="s">
        <v>783</v>
      </c>
      <c r="L13" s="139">
        <v>6.9</v>
      </c>
      <c r="M13" s="140">
        <v>45601</v>
      </c>
      <c r="N13" s="141" t="s">
        <v>784</v>
      </c>
      <c r="O13" s="141" t="s">
        <v>924</v>
      </c>
      <c r="P13" s="141" t="s">
        <v>796</v>
      </c>
      <c r="Q13" s="139">
        <v>10</v>
      </c>
      <c r="R13" s="141" t="s">
        <v>432</v>
      </c>
      <c r="S13" s="141" t="s">
        <v>458</v>
      </c>
      <c r="T13" s="141" t="s">
        <v>90</v>
      </c>
      <c r="U13" s="141" t="s">
        <v>430</v>
      </c>
      <c r="V13" s="139">
        <v>100</v>
      </c>
      <c r="W13" s="139"/>
      <c r="X13" s="141" t="s">
        <v>719</v>
      </c>
      <c r="Y13" s="141" t="s">
        <v>786</v>
      </c>
      <c r="Z13" s="141" t="s">
        <v>90</v>
      </c>
      <c r="AA13" s="139"/>
      <c r="AB13" s="139"/>
      <c r="AC13" s="139"/>
      <c r="AD13" s="139"/>
      <c r="AE13" s="141" t="s">
        <v>797</v>
      </c>
      <c r="AF13" s="141" t="s">
        <v>290</v>
      </c>
      <c r="AG13" s="141" t="s">
        <v>718</v>
      </c>
      <c r="AH13" s="141" t="s">
        <v>90</v>
      </c>
      <c r="AI13" s="141" t="s">
        <v>428</v>
      </c>
      <c r="AJ13" s="141" t="s">
        <v>440</v>
      </c>
      <c r="AK13" s="142" t="s">
        <v>2</v>
      </c>
      <c r="AL13" s="139" t="s">
        <v>816</v>
      </c>
      <c r="AM13" s="141" t="s">
        <v>427</v>
      </c>
      <c r="AN13" s="141" t="s">
        <v>436</v>
      </c>
      <c r="AO13" s="139"/>
      <c r="AP13" s="141" t="s">
        <v>90</v>
      </c>
      <c r="AQ13" s="141" t="s">
        <v>90</v>
      </c>
      <c r="AR13" s="141" t="s">
        <v>788</v>
      </c>
      <c r="AS13" s="139" t="s">
        <v>789</v>
      </c>
      <c r="AT13" s="141">
        <v>1000</v>
      </c>
      <c r="AU13" s="139">
        <v>1.7</v>
      </c>
      <c r="AV13" s="140">
        <v>45237</v>
      </c>
      <c r="AW13" s="140"/>
      <c r="AX13" s="141" t="s">
        <v>90</v>
      </c>
      <c r="AY13" s="141">
        <v>6.9</v>
      </c>
      <c r="AZ13" s="140">
        <v>45419</v>
      </c>
      <c r="BA13" s="141" t="s">
        <v>790</v>
      </c>
      <c r="BB13" s="140">
        <v>45237</v>
      </c>
      <c r="BC13" s="141" t="s">
        <v>796</v>
      </c>
      <c r="BD13" s="141" t="s">
        <v>754</v>
      </c>
      <c r="BE13" s="140">
        <v>45237</v>
      </c>
      <c r="BF13" s="141" t="s">
        <v>791</v>
      </c>
      <c r="BG13" s="141" t="s">
        <v>798</v>
      </c>
      <c r="BH13" s="141" t="s">
        <v>799</v>
      </c>
      <c r="BI13" s="141" t="s">
        <v>426</v>
      </c>
      <c r="BJ13" s="141" t="s">
        <v>426</v>
      </c>
      <c r="BK13" s="141" t="s">
        <v>425</v>
      </c>
      <c r="BL13" s="141" t="s">
        <v>424</v>
      </c>
      <c r="BM13" s="141" t="s">
        <v>423</v>
      </c>
      <c r="BN13" s="141" t="s">
        <v>90</v>
      </c>
      <c r="BO13" s="141" t="s">
        <v>126</v>
      </c>
      <c r="BP13" s="141" t="s">
        <v>90</v>
      </c>
      <c r="BQ13" s="142"/>
      <c r="BR13" s="141" t="s">
        <v>222</v>
      </c>
      <c r="BS13" s="38"/>
      <c r="BT13" t="s">
        <v>7</v>
      </c>
      <c r="BU13" s="141" t="s">
        <v>16</v>
      </c>
      <c r="BV13" s="139" t="s">
        <v>755</v>
      </c>
    </row>
    <row r="14" spans="1:74" x14ac:dyDescent="0.25">
      <c r="A14" s="141" t="s">
        <v>759</v>
      </c>
      <c r="B14" s="141" t="s">
        <v>800</v>
      </c>
      <c r="C14" s="139" t="s">
        <v>758</v>
      </c>
      <c r="D14" s="140">
        <v>45230</v>
      </c>
      <c r="E14" s="141" t="s">
        <v>801</v>
      </c>
      <c r="F14" s="141" t="s">
        <v>428</v>
      </c>
      <c r="G14" s="141" t="s">
        <v>428</v>
      </c>
      <c r="H14" s="141" t="s">
        <v>428</v>
      </c>
      <c r="I14" s="141">
        <v>3.58</v>
      </c>
      <c r="J14" s="141" t="s">
        <v>104</v>
      </c>
      <c r="K14" s="141" t="s">
        <v>434</v>
      </c>
      <c r="L14" s="139">
        <v>4.8</v>
      </c>
      <c r="M14" s="140">
        <v>46329</v>
      </c>
      <c r="N14" s="141" t="s">
        <v>437</v>
      </c>
      <c r="O14" s="141" t="s">
        <v>925</v>
      </c>
      <c r="P14" s="141" t="s">
        <v>401</v>
      </c>
      <c r="Q14" s="139">
        <v>0</v>
      </c>
      <c r="R14" s="141" t="s">
        <v>432</v>
      </c>
      <c r="S14" s="141" t="s">
        <v>802</v>
      </c>
      <c r="T14" s="141" t="s">
        <v>803</v>
      </c>
      <c r="U14" s="141" t="s">
        <v>430</v>
      </c>
      <c r="V14" s="139">
        <v>100</v>
      </c>
      <c r="W14" s="139"/>
      <c r="X14" s="141" t="s">
        <v>804</v>
      </c>
      <c r="Y14" s="141" t="s">
        <v>805</v>
      </c>
      <c r="Z14" s="141" t="s">
        <v>90</v>
      </c>
      <c r="AA14" s="139"/>
      <c r="AB14" s="139"/>
      <c r="AC14" s="139"/>
      <c r="AD14" s="139"/>
      <c r="AE14" s="141" t="s">
        <v>806</v>
      </c>
      <c r="AF14" s="141" t="s">
        <v>290</v>
      </c>
      <c r="AG14" s="141" t="s">
        <v>734</v>
      </c>
      <c r="AH14" s="141" t="s">
        <v>90</v>
      </c>
      <c r="AI14" s="141" t="s">
        <v>428</v>
      </c>
      <c r="AJ14" s="141" t="s">
        <v>438</v>
      </c>
      <c r="AK14" s="142" t="s">
        <v>2</v>
      </c>
      <c r="AL14" s="139" t="s">
        <v>665</v>
      </c>
      <c r="AM14" s="141" t="s">
        <v>427</v>
      </c>
      <c r="AN14" s="141" t="s">
        <v>436</v>
      </c>
      <c r="AO14" s="139"/>
      <c r="AP14" s="141" t="s">
        <v>90</v>
      </c>
      <c r="AQ14" s="141" t="s">
        <v>90</v>
      </c>
      <c r="AR14" s="141" t="s">
        <v>807</v>
      </c>
      <c r="AS14" s="139" t="s">
        <v>808</v>
      </c>
      <c r="AT14" s="141">
        <v>10000</v>
      </c>
      <c r="AU14" s="139">
        <v>3.58</v>
      </c>
      <c r="AV14" s="140">
        <v>45233</v>
      </c>
      <c r="AW14" s="140"/>
      <c r="AX14" s="141" t="s">
        <v>90</v>
      </c>
      <c r="AY14" s="141">
        <v>4.8</v>
      </c>
      <c r="AZ14" s="140">
        <v>45415</v>
      </c>
      <c r="BA14" s="141" t="s">
        <v>759</v>
      </c>
      <c r="BB14" s="140">
        <v>45233</v>
      </c>
      <c r="BC14" s="141" t="s">
        <v>401</v>
      </c>
      <c r="BD14" s="141" t="s">
        <v>90</v>
      </c>
      <c r="BE14" s="140">
        <v>45233</v>
      </c>
      <c r="BF14" s="141" t="s">
        <v>778</v>
      </c>
      <c r="BG14" s="141" t="s">
        <v>809</v>
      </c>
      <c r="BH14" s="141" t="s">
        <v>810</v>
      </c>
      <c r="BI14" s="141" t="s">
        <v>426</v>
      </c>
      <c r="BJ14" s="141" t="s">
        <v>426</v>
      </c>
      <c r="BK14" s="141" t="s">
        <v>425</v>
      </c>
      <c r="BL14" s="141" t="s">
        <v>424</v>
      </c>
      <c r="BM14" s="141" t="s">
        <v>423</v>
      </c>
      <c r="BN14" s="141" t="s">
        <v>90</v>
      </c>
      <c r="BO14" s="141" t="s">
        <v>126</v>
      </c>
      <c r="BP14" s="141" t="s">
        <v>90</v>
      </c>
      <c r="BQ14" s="142"/>
      <c r="BR14" s="141" t="s">
        <v>222</v>
      </c>
      <c r="BS14" s="38"/>
      <c r="BT14" t="s">
        <v>7</v>
      </c>
      <c r="BU14" s="141" t="s">
        <v>15</v>
      </c>
      <c r="BV14" s="139" t="s">
        <v>760</v>
      </c>
    </row>
    <row r="15" spans="1:74" x14ac:dyDescent="0.25">
      <c r="A15" s="141" t="s">
        <v>630</v>
      </c>
      <c r="B15" s="141" t="s">
        <v>811</v>
      </c>
      <c r="C15" s="139" t="s">
        <v>761</v>
      </c>
      <c r="D15" s="140">
        <v>45229</v>
      </c>
      <c r="E15" s="141" t="s">
        <v>812</v>
      </c>
      <c r="F15" s="141" t="s">
        <v>428</v>
      </c>
      <c r="G15" s="141" t="s">
        <v>428</v>
      </c>
      <c r="H15" s="141" t="s">
        <v>428</v>
      </c>
      <c r="I15" s="141">
        <v>7.0000000000000001E-3</v>
      </c>
      <c r="J15" s="141" t="s">
        <v>83</v>
      </c>
      <c r="K15" s="141" t="s">
        <v>813</v>
      </c>
      <c r="L15" s="139">
        <v>5.0999999999999996</v>
      </c>
      <c r="M15" s="140">
        <v>45294</v>
      </c>
      <c r="N15" s="141" t="s">
        <v>107</v>
      </c>
      <c r="O15" s="141" t="s">
        <v>90</v>
      </c>
      <c r="P15" s="141" t="s">
        <v>90</v>
      </c>
      <c r="Q15" s="139"/>
      <c r="R15" s="141" t="s">
        <v>432</v>
      </c>
      <c r="S15" s="141" t="s">
        <v>458</v>
      </c>
      <c r="T15" s="141" t="s">
        <v>90</v>
      </c>
      <c r="U15" s="141" t="s">
        <v>430</v>
      </c>
      <c r="V15" s="139">
        <v>100</v>
      </c>
      <c r="W15" s="139"/>
      <c r="X15" s="141" t="s">
        <v>439</v>
      </c>
      <c r="Y15" s="141" t="s">
        <v>90</v>
      </c>
      <c r="Z15" s="141" t="s">
        <v>90</v>
      </c>
      <c r="AA15" s="139"/>
      <c r="AB15" s="139"/>
      <c r="AC15" s="139"/>
      <c r="AD15" s="139"/>
      <c r="AE15" s="141" t="s">
        <v>631</v>
      </c>
      <c r="AF15" s="141" t="s">
        <v>290</v>
      </c>
      <c r="AG15" s="141" t="s">
        <v>459</v>
      </c>
      <c r="AH15" s="141" t="s">
        <v>90</v>
      </c>
      <c r="AI15" s="141" t="s">
        <v>428</v>
      </c>
      <c r="AJ15" s="141" t="s">
        <v>90</v>
      </c>
      <c r="AK15" s="142" t="s">
        <v>82</v>
      </c>
      <c r="AL15" s="139" t="s">
        <v>915</v>
      </c>
      <c r="AM15" s="141" t="s">
        <v>427</v>
      </c>
      <c r="AN15" s="141" t="s">
        <v>436</v>
      </c>
      <c r="AO15" s="139"/>
      <c r="AP15" s="141" t="s">
        <v>90</v>
      </c>
      <c r="AQ15" s="141" t="s">
        <v>90</v>
      </c>
      <c r="AR15" s="141" t="s">
        <v>90</v>
      </c>
      <c r="AS15" s="139" t="s">
        <v>632</v>
      </c>
      <c r="AT15" s="141">
        <v>700000</v>
      </c>
      <c r="AU15" s="139">
        <v>7.0000000000000001E-3</v>
      </c>
      <c r="AV15" s="140">
        <v>45231</v>
      </c>
      <c r="AW15" s="140"/>
      <c r="AX15" s="141" t="s">
        <v>90</v>
      </c>
      <c r="AY15" s="141">
        <v>5.0999999999999996</v>
      </c>
      <c r="AZ15" s="140">
        <v>45294</v>
      </c>
      <c r="BA15" s="141" t="s">
        <v>633</v>
      </c>
      <c r="BB15" s="140">
        <v>45231</v>
      </c>
      <c r="BC15" s="141" t="s">
        <v>90</v>
      </c>
      <c r="BD15" s="141" t="s">
        <v>630</v>
      </c>
      <c r="BE15" s="140">
        <v>45231</v>
      </c>
      <c r="BF15" s="141" t="s">
        <v>90</v>
      </c>
      <c r="BG15" s="141" t="s">
        <v>90</v>
      </c>
      <c r="BH15" s="141" t="s">
        <v>631</v>
      </c>
      <c r="BI15" s="141" t="s">
        <v>426</v>
      </c>
      <c r="BJ15" s="141" t="s">
        <v>426</v>
      </c>
      <c r="BK15" s="141" t="s">
        <v>425</v>
      </c>
      <c r="BL15" s="141" t="s">
        <v>424</v>
      </c>
      <c r="BM15" s="141" t="s">
        <v>423</v>
      </c>
      <c r="BN15" s="141" t="s">
        <v>90</v>
      </c>
      <c r="BO15" s="141" t="s">
        <v>90</v>
      </c>
      <c r="BP15" s="141" t="s">
        <v>90</v>
      </c>
      <c r="BQ15" s="142"/>
      <c r="BR15" s="141" t="s">
        <v>222</v>
      </c>
      <c r="BS15" s="38"/>
      <c r="BT15" t="s">
        <v>7</v>
      </c>
      <c r="BU15" s="141" t="s">
        <v>12</v>
      </c>
      <c r="BV15" s="139" t="s">
        <v>762</v>
      </c>
    </row>
    <row r="16" spans="1:74" x14ac:dyDescent="0.25">
      <c r="A16" s="141" t="s">
        <v>630</v>
      </c>
      <c r="B16" s="141" t="s">
        <v>814</v>
      </c>
      <c r="C16" s="139" t="s">
        <v>763</v>
      </c>
      <c r="D16" s="140">
        <v>45229</v>
      </c>
      <c r="E16" s="141" t="s">
        <v>815</v>
      </c>
      <c r="F16" s="141" t="s">
        <v>428</v>
      </c>
      <c r="G16" s="141" t="s">
        <v>428</v>
      </c>
      <c r="H16" s="141" t="s">
        <v>428</v>
      </c>
      <c r="I16" s="141">
        <v>1.2E-2</v>
      </c>
      <c r="J16" s="141" t="s">
        <v>83</v>
      </c>
      <c r="K16" s="141" t="s">
        <v>643</v>
      </c>
      <c r="L16" s="139">
        <v>5.5</v>
      </c>
      <c r="M16" s="140">
        <v>45323</v>
      </c>
      <c r="N16" s="141" t="s">
        <v>107</v>
      </c>
      <c r="O16" s="141" t="s">
        <v>90</v>
      </c>
      <c r="P16" s="141" t="s">
        <v>90</v>
      </c>
      <c r="Q16" s="139"/>
      <c r="R16" s="141" t="s">
        <v>432</v>
      </c>
      <c r="S16" s="141" t="s">
        <v>458</v>
      </c>
      <c r="T16" s="141" t="s">
        <v>90</v>
      </c>
      <c r="U16" s="141" t="s">
        <v>430</v>
      </c>
      <c r="V16" s="139">
        <v>100</v>
      </c>
      <c r="W16" s="139"/>
      <c r="X16" s="141" t="s">
        <v>439</v>
      </c>
      <c r="Y16" s="141" t="s">
        <v>90</v>
      </c>
      <c r="Z16" s="141" t="s">
        <v>90</v>
      </c>
      <c r="AA16" s="139"/>
      <c r="AB16" s="139"/>
      <c r="AC16" s="139"/>
      <c r="AD16" s="139"/>
      <c r="AE16" s="141" t="s">
        <v>631</v>
      </c>
      <c r="AF16" s="141" t="s">
        <v>290</v>
      </c>
      <c r="AG16" s="141" t="s">
        <v>459</v>
      </c>
      <c r="AH16" s="141" t="s">
        <v>90</v>
      </c>
      <c r="AI16" s="141" t="s">
        <v>428</v>
      </c>
      <c r="AJ16" s="141" t="s">
        <v>90</v>
      </c>
      <c r="AK16" s="142" t="s">
        <v>82</v>
      </c>
      <c r="AL16" s="139" t="s">
        <v>916</v>
      </c>
      <c r="AM16" s="141" t="s">
        <v>427</v>
      </c>
      <c r="AN16" s="141" t="s">
        <v>436</v>
      </c>
      <c r="AO16" s="139"/>
      <c r="AP16" s="141" t="s">
        <v>90</v>
      </c>
      <c r="AQ16" s="141" t="s">
        <v>90</v>
      </c>
      <c r="AR16" s="141" t="s">
        <v>90</v>
      </c>
      <c r="AS16" s="139" t="s">
        <v>632</v>
      </c>
      <c r="AT16" s="141">
        <v>1200000</v>
      </c>
      <c r="AU16" s="139">
        <v>1.2E-2</v>
      </c>
      <c r="AV16" s="140">
        <v>45231</v>
      </c>
      <c r="AW16" s="140"/>
      <c r="AX16" s="141" t="s">
        <v>90</v>
      </c>
      <c r="AY16" s="141">
        <v>5.5</v>
      </c>
      <c r="AZ16" s="140">
        <v>45323</v>
      </c>
      <c r="BA16" s="141" t="s">
        <v>633</v>
      </c>
      <c r="BB16" s="140">
        <v>45231</v>
      </c>
      <c r="BC16" s="141" t="s">
        <v>90</v>
      </c>
      <c r="BD16" s="141" t="s">
        <v>630</v>
      </c>
      <c r="BE16" s="140">
        <v>45231</v>
      </c>
      <c r="BF16" s="141" t="s">
        <v>90</v>
      </c>
      <c r="BG16" s="141" t="s">
        <v>90</v>
      </c>
      <c r="BH16" s="141" t="s">
        <v>631</v>
      </c>
      <c r="BI16" s="141" t="s">
        <v>426</v>
      </c>
      <c r="BJ16" s="141" t="s">
        <v>426</v>
      </c>
      <c r="BK16" s="141" t="s">
        <v>425</v>
      </c>
      <c r="BL16" s="141" t="s">
        <v>424</v>
      </c>
      <c r="BM16" s="141" t="s">
        <v>423</v>
      </c>
      <c r="BN16" s="141" t="s">
        <v>90</v>
      </c>
      <c r="BO16" s="141" t="s">
        <v>90</v>
      </c>
      <c r="BP16" s="141" t="s">
        <v>90</v>
      </c>
      <c r="BQ16" s="142"/>
      <c r="BR16" s="141" t="s">
        <v>222</v>
      </c>
      <c r="BS16" s="38"/>
      <c r="BT16" t="s">
        <v>7</v>
      </c>
      <c r="BU16" s="141" t="s">
        <v>12</v>
      </c>
      <c r="BV16" s="139" t="s">
        <v>764</v>
      </c>
    </row>
    <row r="17" spans="1:74" x14ac:dyDescent="0.25">
      <c r="A17" s="141" t="s">
        <v>766</v>
      </c>
      <c r="B17" s="141" t="s">
        <v>817</v>
      </c>
      <c r="C17" s="139" t="s">
        <v>765</v>
      </c>
      <c r="D17" s="140">
        <v>45229</v>
      </c>
      <c r="E17" s="141" t="s">
        <v>818</v>
      </c>
      <c r="F17" s="141" t="s">
        <v>819</v>
      </c>
      <c r="G17" s="141" t="s">
        <v>820</v>
      </c>
      <c r="H17" s="141" t="s">
        <v>428</v>
      </c>
      <c r="I17" s="141">
        <v>1.08</v>
      </c>
      <c r="J17" s="141" t="s">
        <v>108</v>
      </c>
      <c r="K17" s="141" t="s">
        <v>783</v>
      </c>
      <c r="L17" s="139">
        <v>5.5</v>
      </c>
      <c r="M17" s="140">
        <v>45597</v>
      </c>
      <c r="N17" s="141" t="s">
        <v>821</v>
      </c>
      <c r="O17" s="141" t="s">
        <v>90</v>
      </c>
      <c r="P17" s="141" t="s">
        <v>90</v>
      </c>
      <c r="Q17" s="139"/>
      <c r="R17" s="141" t="s">
        <v>432</v>
      </c>
      <c r="S17" s="141" t="s">
        <v>822</v>
      </c>
      <c r="T17" s="141" t="s">
        <v>90</v>
      </c>
      <c r="U17" s="141" t="s">
        <v>430</v>
      </c>
      <c r="V17" s="139">
        <v>100</v>
      </c>
      <c r="W17" s="139"/>
      <c r="X17" s="141" t="s">
        <v>823</v>
      </c>
      <c r="Y17" s="141" t="s">
        <v>824</v>
      </c>
      <c r="Z17" s="141" t="s">
        <v>90</v>
      </c>
      <c r="AA17" s="139"/>
      <c r="AB17" s="139"/>
      <c r="AC17" s="139"/>
      <c r="AD17" s="139"/>
      <c r="AE17" s="141" t="s">
        <v>825</v>
      </c>
      <c r="AF17" s="141" t="s">
        <v>290</v>
      </c>
      <c r="AG17" s="141" t="s">
        <v>429</v>
      </c>
      <c r="AH17" s="141" t="s">
        <v>90</v>
      </c>
      <c r="AI17" s="141" t="s">
        <v>428</v>
      </c>
      <c r="AJ17" s="141" t="s">
        <v>372</v>
      </c>
      <c r="AK17" s="142" t="s">
        <v>1</v>
      </c>
      <c r="AL17" s="139" t="s">
        <v>917</v>
      </c>
      <c r="AM17" s="141" t="s">
        <v>427</v>
      </c>
      <c r="AN17" s="141" t="s">
        <v>826</v>
      </c>
      <c r="AO17" s="139"/>
      <c r="AP17" s="141" t="s">
        <v>90</v>
      </c>
      <c r="AQ17" s="141" t="s">
        <v>90</v>
      </c>
      <c r="AR17" s="141" t="s">
        <v>90</v>
      </c>
      <c r="AS17" s="139" t="s">
        <v>827</v>
      </c>
      <c r="AT17" s="141">
        <v>1000</v>
      </c>
      <c r="AU17" s="139">
        <v>1.08</v>
      </c>
      <c r="AV17" s="140">
        <v>45233</v>
      </c>
      <c r="AW17" s="140"/>
      <c r="AX17" s="141" t="s">
        <v>90</v>
      </c>
      <c r="AY17" s="141">
        <v>5.5</v>
      </c>
      <c r="AZ17" s="140">
        <v>45597</v>
      </c>
      <c r="BA17" s="141" t="s">
        <v>828</v>
      </c>
      <c r="BB17" s="140">
        <v>45233</v>
      </c>
      <c r="BC17" s="141" t="s">
        <v>90</v>
      </c>
      <c r="BD17" s="141" t="s">
        <v>90</v>
      </c>
      <c r="BE17" s="140">
        <v>45233</v>
      </c>
      <c r="BF17" s="141" t="s">
        <v>90</v>
      </c>
      <c r="BG17" s="141" t="s">
        <v>829</v>
      </c>
      <c r="BH17" s="141" t="s">
        <v>830</v>
      </c>
      <c r="BI17" s="141" t="s">
        <v>426</v>
      </c>
      <c r="BJ17" s="141" t="s">
        <v>426</v>
      </c>
      <c r="BK17" s="141" t="s">
        <v>425</v>
      </c>
      <c r="BL17" s="141" t="s">
        <v>424</v>
      </c>
      <c r="BM17" s="141" t="s">
        <v>423</v>
      </c>
      <c r="BN17" s="141" t="s">
        <v>90</v>
      </c>
      <c r="BO17" s="141" t="s">
        <v>90</v>
      </c>
      <c r="BP17" s="141" t="s">
        <v>766</v>
      </c>
      <c r="BQ17" s="142"/>
      <c r="BR17" s="141" t="s">
        <v>222</v>
      </c>
      <c r="BS17" s="38"/>
      <c r="BT17" t="s">
        <v>7</v>
      </c>
      <c r="BU17" s="141" t="s">
        <v>14</v>
      </c>
      <c r="BV17" s="139" t="s">
        <v>767</v>
      </c>
    </row>
  </sheetData>
  <phoneticPr fontId="29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Y18"/>
  <sheetViews>
    <sheetView workbookViewId="0">
      <selection activeCell="E19" sqref="E19"/>
    </sheetView>
  </sheetViews>
  <sheetFormatPr defaultRowHeight="15" x14ac:dyDescent="0.25"/>
  <cols>
    <col min="1" max="1" width="10.33203125" style="1" bestFit="1" customWidth="1"/>
    <col min="2" max="2" width="13.88671875" style="1" bestFit="1" customWidth="1"/>
    <col min="3" max="3" width="36.6640625" style="1" bestFit="1" customWidth="1"/>
    <col min="4" max="4" width="18.44140625" style="1" bestFit="1" customWidth="1"/>
    <col min="5" max="5" width="9.44140625" style="1" bestFit="1" customWidth="1"/>
    <col min="6" max="6" width="11.109375" style="1" bestFit="1" customWidth="1"/>
    <col min="7" max="7" width="14.44140625" style="1" bestFit="1" customWidth="1"/>
    <col min="8" max="10" width="9.44140625" style="1" bestFit="1" customWidth="1"/>
    <col min="11" max="11" width="29.77734375" style="1" bestFit="1" customWidth="1"/>
    <col min="12" max="12" width="63.6640625" style="1" bestFit="1" customWidth="1"/>
    <col min="13" max="13" width="32.77734375" style="1" bestFit="1" customWidth="1"/>
    <col min="14" max="14" width="9.44140625" style="1" bestFit="1" customWidth="1"/>
    <col min="15" max="15" width="9.33203125" style="1" bestFit="1" customWidth="1"/>
    <col min="16" max="16" width="11.109375" style="1" bestFit="1" customWidth="1"/>
    <col min="17" max="17" width="18.5546875" style="1" bestFit="1" customWidth="1"/>
    <col min="18" max="18" width="6.109375" style="1" bestFit="1" customWidth="1"/>
    <col min="19" max="19" width="7.77734375" style="1" bestFit="1" customWidth="1"/>
    <col min="20" max="20" width="12.21875" style="1" bestFit="1" customWidth="1"/>
    <col min="21" max="21" width="20.21875" style="1" bestFit="1" customWidth="1"/>
    <col min="22" max="22" width="20.109375" style="1" bestFit="1" customWidth="1"/>
    <col min="23" max="23" width="14" style="1" bestFit="1" customWidth="1"/>
    <col min="24" max="24" width="24.33203125" style="1" bestFit="1" customWidth="1"/>
    <col min="25" max="25" width="20" style="1" bestFit="1" customWidth="1"/>
    <col min="26" max="27" width="20.33203125" style="1" bestFit="1" customWidth="1"/>
    <col min="28" max="28" width="10.44140625" style="1" bestFit="1" customWidth="1"/>
    <col min="29" max="29" width="19.44140625" style="1" bestFit="1" customWidth="1"/>
    <col min="30" max="30" width="20.44140625" style="1" bestFit="1" customWidth="1"/>
    <col min="31" max="31" width="10.44140625" style="1" bestFit="1" customWidth="1"/>
    <col min="32" max="32" width="20.109375" style="1" bestFit="1" customWidth="1"/>
    <col min="33" max="33" width="17.44140625" style="1" bestFit="1" customWidth="1"/>
    <col min="34" max="34" width="10.44140625" style="1" bestFit="1" customWidth="1"/>
    <col min="35" max="35" width="17.44140625" style="1" bestFit="1" customWidth="1"/>
    <col min="36" max="36" width="13.33203125" style="1" bestFit="1" customWidth="1"/>
    <col min="37" max="37" width="10.21875" style="1" bestFit="1" customWidth="1"/>
    <col min="38" max="38" width="7.44140625" style="1" bestFit="1" customWidth="1"/>
    <col min="39" max="39" width="13.5546875" style="1" bestFit="1" customWidth="1"/>
    <col min="40" max="40" width="10.44140625" style="1" bestFit="1" customWidth="1"/>
    <col min="41" max="41" width="7.6640625" style="1" bestFit="1" customWidth="1"/>
    <col min="42" max="42" width="20.44140625" style="1" bestFit="1" customWidth="1"/>
    <col min="43" max="43" width="7.6640625" style="1" bestFit="1" customWidth="1"/>
    <col min="44" max="44" width="19.44140625" style="1" bestFit="1" customWidth="1"/>
    <col min="45" max="45" width="12.6640625" style="1" bestFit="1" customWidth="1"/>
    <col min="46" max="46" width="13.33203125" style="1" bestFit="1" customWidth="1"/>
    <col min="47" max="47" width="20.109375" style="1" bestFit="1" customWidth="1"/>
    <col min="48" max="48" width="20.21875" style="1" bestFit="1" customWidth="1"/>
    <col min="49" max="49" width="12.77734375" style="1" bestFit="1" customWidth="1"/>
    <col min="50" max="50" width="11.44140625" style="1" bestFit="1" customWidth="1"/>
    <col min="51" max="51" width="14.33203125" style="1" bestFit="1" customWidth="1"/>
    <col min="52" max="52" width="12.6640625" style="1" bestFit="1" customWidth="1"/>
    <col min="53" max="53" width="20.109375" style="1" bestFit="1" customWidth="1"/>
    <col min="54" max="54" width="21" style="1" bestFit="1" customWidth="1"/>
    <col min="55" max="55" width="12.21875" style="1" bestFit="1" customWidth="1"/>
    <col min="56" max="56" width="9.5546875" style="1" bestFit="1" customWidth="1"/>
    <col min="57" max="57" width="11.6640625" style="1" bestFit="1" customWidth="1"/>
    <col min="58" max="58" width="21" style="1" customWidth="1"/>
    <col min="59" max="59" width="11.6640625" style="1" customWidth="1"/>
    <col min="60" max="16384" width="8.88671875" style="1"/>
  </cols>
  <sheetData>
    <row r="1" spans="1:25" ht="67.5" customHeight="1" x14ac:dyDescent="0.25">
      <c r="A1" s="39" t="s">
        <v>443</v>
      </c>
    </row>
    <row r="5" spans="1:25" x14ac:dyDescent="0.25">
      <c r="A5" t="s">
        <v>48</v>
      </c>
      <c r="B5" t="s">
        <v>47</v>
      </c>
      <c r="C5" t="s">
        <v>92</v>
      </c>
      <c r="D5" t="s">
        <v>137</v>
      </c>
      <c r="E5" t="s">
        <v>130</v>
      </c>
      <c r="F5" t="s">
        <v>214</v>
      </c>
      <c r="G5" t="s">
        <v>241</v>
      </c>
      <c r="H5" t="s">
        <v>165</v>
      </c>
      <c r="I5" t="s">
        <v>115</v>
      </c>
      <c r="J5" t="s">
        <v>739</v>
      </c>
      <c r="K5" t="s">
        <v>69</v>
      </c>
      <c r="L5" t="s">
        <v>70</v>
      </c>
      <c r="M5" t="s">
        <v>80</v>
      </c>
      <c r="N5" t="s">
        <v>65</v>
      </c>
      <c r="O5" t="s">
        <v>51</v>
      </c>
      <c r="P5" t="s">
        <v>66</v>
      </c>
      <c r="Q5" t="s">
        <v>116</v>
      </c>
      <c r="R5" t="s">
        <v>63</v>
      </c>
      <c r="S5" t="s">
        <v>58</v>
      </c>
      <c r="T5" t="s">
        <v>56</v>
      </c>
      <c r="U5" t="s">
        <v>407</v>
      </c>
      <c r="V5" t="s">
        <v>408</v>
      </c>
      <c r="W5" t="s">
        <v>441</v>
      </c>
      <c r="X5" t="s">
        <v>738</v>
      </c>
      <c r="Y5" t="s">
        <v>132</v>
      </c>
    </row>
    <row r="6" spans="1:25" x14ac:dyDescent="0.25">
      <c r="A6" s="140">
        <v>45233</v>
      </c>
      <c r="B6" s="139" t="s">
        <v>939</v>
      </c>
      <c r="C6" s="141" t="s">
        <v>940</v>
      </c>
      <c r="D6" s="130"/>
      <c r="E6" s="139" t="s">
        <v>451</v>
      </c>
      <c r="F6" s="141" t="s">
        <v>90</v>
      </c>
      <c r="G6" s="141" t="s">
        <v>90</v>
      </c>
      <c r="H6" s="139" t="s">
        <v>451</v>
      </c>
      <c r="I6" s="139"/>
      <c r="J6"/>
      <c r="K6" s="139" t="s">
        <v>90</v>
      </c>
      <c r="L6" s="139" t="s">
        <v>90</v>
      </c>
      <c r="M6" s="139" t="s">
        <v>90</v>
      </c>
      <c r="N6" s="140"/>
      <c r="O6" s="140"/>
      <c r="P6" s="140"/>
      <c r="Q6" s="141" t="s">
        <v>90</v>
      </c>
      <c r="R6" s="141" t="s">
        <v>90</v>
      </c>
      <c r="S6" s="139"/>
      <c r="T6" s="141"/>
      <c r="U6" s="139"/>
      <c r="V6" s="139"/>
      <c r="W6" s="142"/>
      <c r="X6" s="142"/>
      <c r="Y6" s="139" t="s">
        <v>941</v>
      </c>
    </row>
    <row r="7" spans="1:25" x14ac:dyDescent="0.25">
      <c r="A7" s="140">
        <v>45233</v>
      </c>
      <c r="B7" s="139" t="s">
        <v>840</v>
      </c>
      <c r="C7" s="141" t="s">
        <v>841</v>
      </c>
      <c r="D7" s="130"/>
      <c r="E7" s="139" t="s">
        <v>451</v>
      </c>
      <c r="F7" s="141" t="s">
        <v>90</v>
      </c>
      <c r="G7" s="141" t="s">
        <v>90</v>
      </c>
      <c r="H7" s="139" t="s">
        <v>451</v>
      </c>
      <c r="I7" s="139"/>
      <c r="J7"/>
      <c r="K7" s="139" t="s">
        <v>90</v>
      </c>
      <c r="L7" s="139" t="s">
        <v>90</v>
      </c>
      <c r="M7" s="139" t="s">
        <v>90</v>
      </c>
      <c r="N7" s="140"/>
      <c r="O7" s="140"/>
      <c r="P7" s="140"/>
      <c r="Q7" s="141" t="s">
        <v>90</v>
      </c>
      <c r="R7" s="141" t="s">
        <v>90</v>
      </c>
      <c r="S7" s="139"/>
      <c r="T7" s="141"/>
      <c r="U7" s="139"/>
      <c r="V7" s="139"/>
      <c r="W7" s="142"/>
      <c r="X7" s="142"/>
      <c r="Y7" s="139" t="s">
        <v>843</v>
      </c>
    </row>
    <row r="8" spans="1:25" x14ac:dyDescent="0.25">
      <c r="A8" s="140">
        <v>45232</v>
      </c>
      <c r="B8" s="139" t="s">
        <v>942</v>
      </c>
      <c r="C8" s="141" t="s">
        <v>844</v>
      </c>
      <c r="D8" s="130"/>
      <c r="E8" s="139" t="s">
        <v>81</v>
      </c>
      <c r="F8" s="141" t="s">
        <v>421</v>
      </c>
      <c r="G8" s="141" t="s">
        <v>90</v>
      </c>
      <c r="H8" s="139" t="s">
        <v>81</v>
      </c>
      <c r="I8" s="139"/>
      <c r="J8"/>
      <c r="K8" s="139" t="s">
        <v>845</v>
      </c>
      <c r="L8" s="139" t="s">
        <v>846</v>
      </c>
      <c r="M8" s="139" t="s">
        <v>90</v>
      </c>
      <c r="N8" s="140">
        <v>45236</v>
      </c>
      <c r="O8" s="140">
        <v>45600</v>
      </c>
      <c r="P8" s="140"/>
      <c r="Q8" s="141" t="s">
        <v>943</v>
      </c>
      <c r="R8" s="141" t="s">
        <v>83</v>
      </c>
      <c r="S8" s="139"/>
      <c r="T8" s="141">
        <v>0.98</v>
      </c>
      <c r="U8" s="139" t="s">
        <v>847</v>
      </c>
      <c r="V8" s="139" t="s">
        <v>81</v>
      </c>
      <c r="W8" s="142" t="s">
        <v>651</v>
      </c>
      <c r="X8" s="142" t="s">
        <v>90</v>
      </c>
      <c r="Y8" s="139" t="s">
        <v>944</v>
      </c>
    </row>
    <row r="9" spans="1:25" x14ac:dyDescent="0.25">
      <c r="A9" s="140">
        <v>45232</v>
      </c>
      <c r="B9" s="139" t="s">
        <v>848</v>
      </c>
      <c r="C9" s="141" t="s">
        <v>849</v>
      </c>
      <c r="D9" s="130"/>
      <c r="E9" s="139" t="s">
        <v>81</v>
      </c>
      <c r="F9" s="141" t="s">
        <v>850</v>
      </c>
      <c r="G9" s="141" t="s">
        <v>90</v>
      </c>
      <c r="H9" s="139" t="s">
        <v>81</v>
      </c>
      <c r="I9" s="139"/>
      <c r="J9"/>
      <c r="K9" s="139" t="s">
        <v>851</v>
      </c>
      <c r="L9" s="139" t="s">
        <v>852</v>
      </c>
      <c r="M9" s="139" t="s">
        <v>90</v>
      </c>
      <c r="N9" s="140">
        <v>45237</v>
      </c>
      <c r="O9" s="140">
        <v>46333</v>
      </c>
      <c r="P9" s="140"/>
      <c r="Q9" s="141" t="s">
        <v>853</v>
      </c>
      <c r="R9" s="141" t="s">
        <v>83</v>
      </c>
      <c r="S9" s="139">
        <v>100</v>
      </c>
      <c r="T9" s="141">
        <v>0.82299999999999995</v>
      </c>
      <c r="U9" s="139" t="s">
        <v>854</v>
      </c>
      <c r="V9" s="139" t="s">
        <v>81</v>
      </c>
      <c r="W9" s="142" t="s">
        <v>651</v>
      </c>
      <c r="X9" s="142" t="s">
        <v>90</v>
      </c>
      <c r="Y9" s="139" t="s">
        <v>855</v>
      </c>
    </row>
    <row r="10" spans="1:25" x14ac:dyDescent="0.25">
      <c r="A10" s="140">
        <v>45232</v>
      </c>
      <c r="B10" s="139" t="s">
        <v>856</v>
      </c>
      <c r="C10" s="141" t="s">
        <v>857</v>
      </c>
      <c r="D10" s="130"/>
      <c r="E10" s="139" t="s">
        <v>81</v>
      </c>
      <c r="F10" s="141" t="s">
        <v>858</v>
      </c>
      <c r="G10" s="141" t="s">
        <v>90</v>
      </c>
      <c r="H10" s="139" t="s">
        <v>859</v>
      </c>
      <c r="I10" s="139"/>
      <c r="J10"/>
      <c r="K10" s="139" t="s">
        <v>860</v>
      </c>
      <c r="L10" s="139" t="s">
        <v>861</v>
      </c>
      <c r="M10" s="139" t="s">
        <v>90</v>
      </c>
      <c r="N10" s="140">
        <v>45239</v>
      </c>
      <c r="O10" s="140">
        <v>47066</v>
      </c>
      <c r="P10" s="140">
        <v>47035</v>
      </c>
      <c r="Q10" s="141" t="s">
        <v>862</v>
      </c>
      <c r="R10" s="141" t="s">
        <v>83</v>
      </c>
      <c r="S10" s="139">
        <v>99.213999999999999</v>
      </c>
      <c r="T10" s="141">
        <v>5</v>
      </c>
      <c r="U10" s="139" t="s">
        <v>863</v>
      </c>
      <c r="V10" s="139" t="s">
        <v>859</v>
      </c>
      <c r="W10" s="142" t="s">
        <v>651</v>
      </c>
      <c r="X10" s="142" t="s">
        <v>90</v>
      </c>
      <c r="Y10" s="139" t="s">
        <v>864</v>
      </c>
    </row>
    <row r="11" spans="1:25" x14ac:dyDescent="0.25">
      <c r="A11" s="140">
        <v>45231</v>
      </c>
      <c r="B11" s="139" t="s">
        <v>750</v>
      </c>
      <c r="C11" s="141" t="s">
        <v>751</v>
      </c>
      <c r="D11" s="130"/>
      <c r="E11" s="139" t="s">
        <v>81</v>
      </c>
      <c r="F11" s="141" t="s">
        <v>850</v>
      </c>
      <c r="G11" s="141" t="s">
        <v>90</v>
      </c>
      <c r="H11" s="139" t="s">
        <v>81</v>
      </c>
      <c r="I11" s="139"/>
      <c r="J11"/>
      <c r="K11" s="139" t="s">
        <v>865</v>
      </c>
      <c r="L11" s="139" t="s">
        <v>866</v>
      </c>
      <c r="M11" s="139" t="s">
        <v>90</v>
      </c>
      <c r="N11" s="140">
        <v>45238</v>
      </c>
      <c r="O11" s="140">
        <v>46334</v>
      </c>
      <c r="P11" s="140"/>
      <c r="Q11" s="141" t="s">
        <v>867</v>
      </c>
      <c r="R11" s="141" t="s">
        <v>242</v>
      </c>
      <c r="S11" s="139">
        <v>100</v>
      </c>
      <c r="T11" s="141">
        <v>39</v>
      </c>
      <c r="U11" s="139" t="s">
        <v>90</v>
      </c>
      <c r="V11" s="139" t="s">
        <v>90</v>
      </c>
      <c r="W11" s="142" t="s">
        <v>651</v>
      </c>
      <c r="X11" s="142" t="s">
        <v>868</v>
      </c>
      <c r="Y11" s="139" t="s">
        <v>752</v>
      </c>
    </row>
    <row r="12" spans="1:25" x14ac:dyDescent="0.25">
      <c r="A12" s="140">
        <v>45230</v>
      </c>
      <c r="B12" s="139" t="s">
        <v>869</v>
      </c>
      <c r="C12" s="141" t="s">
        <v>870</v>
      </c>
      <c r="D12" s="130"/>
      <c r="E12" s="139" t="s">
        <v>81</v>
      </c>
      <c r="F12" s="141" t="s">
        <v>850</v>
      </c>
      <c r="G12" s="141" t="s">
        <v>90</v>
      </c>
      <c r="H12" s="139" t="s">
        <v>871</v>
      </c>
      <c r="I12" s="139"/>
      <c r="J12"/>
      <c r="K12" s="139" t="s">
        <v>872</v>
      </c>
      <c r="L12" s="139" t="s">
        <v>873</v>
      </c>
      <c r="M12" s="139" t="s">
        <v>90</v>
      </c>
      <c r="N12" s="140"/>
      <c r="O12" s="140">
        <v>45329</v>
      </c>
      <c r="P12" s="140"/>
      <c r="Q12" s="141" t="s">
        <v>874</v>
      </c>
      <c r="R12" s="141" t="s">
        <v>104</v>
      </c>
      <c r="S12" s="139"/>
      <c r="T12" s="141">
        <v>0.2</v>
      </c>
      <c r="U12" s="139" t="s">
        <v>875</v>
      </c>
      <c r="V12" s="139" t="s">
        <v>871</v>
      </c>
      <c r="W12" s="142" t="s">
        <v>651</v>
      </c>
      <c r="X12" s="142" t="s">
        <v>90</v>
      </c>
      <c r="Y12" s="139" t="s">
        <v>876</v>
      </c>
    </row>
    <row r="13" spans="1:25" x14ac:dyDescent="0.25">
      <c r="A13" s="140">
        <v>45230</v>
      </c>
      <c r="B13" s="139" t="s">
        <v>753</v>
      </c>
      <c r="C13" s="141" t="s">
        <v>754</v>
      </c>
      <c r="D13" s="130"/>
      <c r="E13" s="139" t="s">
        <v>81</v>
      </c>
      <c r="F13" s="141" t="s">
        <v>421</v>
      </c>
      <c r="G13" s="141" t="s">
        <v>90</v>
      </c>
      <c r="H13" s="139" t="s">
        <v>81</v>
      </c>
      <c r="I13" s="139"/>
      <c r="J13"/>
      <c r="K13" s="139" t="s">
        <v>877</v>
      </c>
      <c r="L13" s="139" t="s">
        <v>878</v>
      </c>
      <c r="M13" s="139" t="s">
        <v>90</v>
      </c>
      <c r="N13" s="140">
        <v>45237</v>
      </c>
      <c r="O13" s="140">
        <v>45601</v>
      </c>
      <c r="P13" s="140"/>
      <c r="Q13" s="141" t="s">
        <v>879</v>
      </c>
      <c r="R13" s="141" t="s">
        <v>83</v>
      </c>
      <c r="S13" s="139">
        <v>100</v>
      </c>
      <c r="T13" s="141">
        <v>1.7</v>
      </c>
      <c r="U13" s="139" t="s">
        <v>880</v>
      </c>
      <c r="V13" s="139" t="s">
        <v>81</v>
      </c>
      <c r="W13" s="142" t="s">
        <v>651</v>
      </c>
      <c r="X13" s="142" t="s">
        <v>90</v>
      </c>
      <c r="Y13" s="139" t="s">
        <v>755</v>
      </c>
    </row>
    <row r="14" spans="1:25" x14ac:dyDescent="0.25">
      <c r="A14" s="140">
        <v>45230</v>
      </c>
      <c r="B14" s="139" t="s">
        <v>756</v>
      </c>
      <c r="C14" s="141" t="s">
        <v>754</v>
      </c>
      <c r="D14" s="130"/>
      <c r="E14" s="139" t="s">
        <v>81</v>
      </c>
      <c r="F14" s="141" t="s">
        <v>421</v>
      </c>
      <c r="G14" s="141" t="s">
        <v>90</v>
      </c>
      <c r="H14" s="139" t="s">
        <v>81</v>
      </c>
      <c r="I14" s="139"/>
      <c r="J14"/>
      <c r="K14" s="139" t="s">
        <v>877</v>
      </c>
      <c r="L14" s="139" t="s">
        <v>878</v>
      </c>
      <c r="M14" s="139" t="s">
        <v>90</v>
      </c>
      <c r="N14" s="140">
        <v>45237</v>
      </c>
      <c r="O14" s="140">
        <v>45601</v>
      </c>
      <c r="P14" s="140"/>
      <c r="Q14" s="141" t="s">
        <v>881</v>
      </c>
      <c r="R14" s="141" t="s">
        <v>104</v>
      </c>
      <c r="S14" s="139">
        <v>100</v>
      </c>
      <c r="T14" s="141">
        <v>9</v>
      </c>
      <c r="U14" s="139" t="s">
        <v>880</v>
      </c>
      <c r="V14" s="139" t="s">
        <v>81</v>
      </c>
      <c r="W14" s="142" t="s">
        <v>651</v>
      </c>
      <c r="X14" s="142" t="s">
        <v>90</v>
      </c>
      <c r="Y14" s="139" t="s">
        <v>757</v>
      </c>
    </row>
    <row r="15" spans="1:25" x14ac:dyDescent="0.25">
      <c r="A15" s="140">
        <v>45230</v>
      </c>
      <c r="B15" s="139" t="s">
        <v>758</v>
      </c>
      <c r="C15" s="141" t="s">
        <v>759</v>
      </c>
      <c r="D15" s="130"/>
      <c r="E15" s="139" t="s">
        <v>81</v>
      </c>
      <c r="F15" s="141" t="s">
        <v>230</v>
      </c>
      <c r="G15" s="141" t="s">
        <v>90</v>
      </c>
      <c r="H15" s="139" t="s">
        <v>81</v>
      </c>
      <c r="I15" s="139"/>
      <c r="J15"/>
      <c r="K15" s="139" t="s">
        <v>882</v>
      </c>
      <c r="L15" s="139" t="s">
        <v>90</v>
      </c>
      <c r="M15" s="139" t="s">
        <v>90</v>
      </c>
      <c r="N15" s="140">
        <v>45233</v>
      </c>
      <c r="O15" s="140">
        <v>46329</v>
      </c>
      <c r="P15" s="140"/>
      <c r="Q15" s="141" t="s">
        <v>842</v>
      </c>
      <c r="R15" s="141" t="s">
        <v>104</v>
      </c>
      <c r="S15" s="139"/>
      <c r="T15" s="141">
        <v>3.58</v>
      </c>
      <c r="U15" s="139" t="s">
        <v>883</v>
      </c>
      <c r="V15" s="139" t="s">
        <v>81</v>
      </c>
      <c r="W15" s="142" t="s">
        <v>651</v>
      </c>
      <c r="X15" s="142" t="s">
        <v>884</v>
      </c>
      <c r="Y15" s="139" t="s">
        <v>760</v>
      </c>
    </row>
    <row r="16" spans="1:25" x14ac:dyDescent="0.25">
      <c r="A16" s="140">
        <v>45229</v>
      </c>
      <c r="B16" s="139" t="s">
        <v>761</v>
      </c>
      <c r="C16" s="141" t="s">
        <v>630</v>
      </c>
      <c r="D16" s="130"/>
      <c r="E16" s="139" t="s">
        <v>81</v>
      </c>
      <c r="F16" s="141" t="s">
        <v>421</v>
      </c>
      <c r="G16" s="141" t="s">
        <v>90</v>
      </c>
      <c r="H16" s="139" t="s">
        <v>81</v>
      </c>
      <c r="I16" s="139"/>
      <c r="J16"/>
      <c r="K16" s="139" t="s">
        <v>885</v>
      </c>
      <c r="L16" s="139" t="s">
        <v>886</v>
      </c>
      <c r="M16" s="139" t="s">
        <v>90</v>
      </c>
      <c r="N16" s="140">
        <v>45231</v>
      </c>
      <c r="O16" s="140">
        <v>45294</v>
      </c>
      <c r="P16" s="140"/>
      <c r="Q16" s="141" t="s">
        <v>887</v>
      </c>
      <c r="R16" s="141" t="s">
        <v>83</v>
      </c>
      <c r="S16" s="139">
        <v>100</v>
      </c>
      <c r="T16" s="141">
        <v>7.0000000000000001E-3</v>
      </c>
      <c r="U16" s="139" t="s">
        <v>888</v>
      </c>
      <c r="V16" s="139" t="s">
        <v>889</v>
      </c>
      <c r="W16" s="142" t="s">
        <v>651</v>
      </c>
      <c r="X16" s="142" t="s">
        <v>90</v>
      </c>
      <c r="Y16" s="139" t="s">
        <v>762</v>
      </c>
    </row>
    <row r="17" spans="1:25" x14ac:dyDescent="0.25">
      <c r="A17" s="140">
        <v>45229</v>
      </c>
      <c r="B17" s="139" t="s">
        <v>763</v>
      </c>
      <c r="C17" s="141" t="s">
        <v>630</v>
      </c>
      <c r="D17" s="130"/>
      <c r="E17" s="139" t="s">
        <v>81</v>
      </c>
      <c r="F17" s="141" t="s">
        <v>421</v>
      </c>
      <c r="G17" s="141" t="s">
        <v>90</v>
      </c>
      <c r="H17" s="139" t="s">
        <v>81</v>
      </c>
      <c r="I17" s="139"/>
      <c r="J17"/>
      <c r="K17" s="139" t="s">
        <v>885</v>
      </c>
      <c r="L17" s="139" t="s">
        <v>886</v>
      </c>
      <c r="M17" s="139" t="s">
        <v>90</v>
      </c>
      <c r="N17" s="140">
        <v>45231</v>
      </c>
      <c r="O17" s="140">
        <v>45323</v>
      </c>
      <c r="P17" s="140"/>
      <c r="Q17" s="141" t="s">
        <v>890</v>
      </c>
      <c r="R17" s="141" t="s">
        <v>83</v>
      </c>
      <c r="S17" s="139">
        <v>100</v>
      </c>
      <c r="T17" s="141">
        <v>1.2E-2</v>
      </c>
      <c r="U17" s="139" t="s">
        <v>888</v>
      </c>
      <c r="V17" s="139" t="s">
        <v>889</v>
      </c>
      <c r="W17" s="142" t="s">
        <v>651</v>
      </c>
      <c r="X17" s="142" t="s">
        <v>90</v>
      </c>
      <c r="Y17" s="139" t="s">
        <v>764</v>
      </c>
    </row>
    <row r="18" spans="1:25" x14ac:dyDescent="0.25">
      <c r="A18" s="140">
        <v>45229</v>
      </c>
      <c r="B18" s="139" t="s">
        <v>765</v>
      </c>
      <c r="C18" s="141" t="s">
        <v>766</v>
      </c>
      <c r="D18" s="130"/>
      <c r="E18" s="139" t="s">
        <v>81</v>
      </c>
      <c r="F18" s="141" t="s">
        <v>850</v>
      </c>
      <c r="G18" s="141" t="s">
        <v>90</v>
      </c>
      <c r="H18" s="139" t="s">
        <v>81</v>
      </c>
      <c r="I18" s="139"/>
      <c r="J18"/>
      <c r="K18" s="139" t="s">
        <v>828</v>
      </c>
      <c r="L18" s="139" t="s">
        <v>90</v>
      </c>
      <c r="M18" s="139" t="s">
        <v>891</v>
      </c>
      <c r="N18" s="140">
        <v>45233</v>
      </c>
      <c r="O18" s="140">
        <v>45597</v>
      </c>
      <c r="P18" s="140"/>
      <c r="Q18" s="141" t="s">
        <v>890</v>
      </c>
      <c r="R18" s="141" t="s">
        <v>108</v>
      </c>
      <c r="S18" s="139">
        <v>100</v>
      </c>
      <c r="T18" s="141">
        <v>1.08</v>
      </c>
      <c r="U18" s="139" t="s">
        <v>892</v>
      </c>
      <c r="V18" s="139" t="s">
        <v>81</v>
      </c>
      <c r="W18" s="142" t="s">
        <v>651</v>
      </c>
      <c r="X18" s="142" t="s">
        <v>90</v>
      </c>
      <c r="Y18" s="139" t="s">
        <v>767</v>
      </c>
    </row>
  </sheetData>
  <phoneticPr fontId="29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38</vt:i4>
      </vt:variant>
    </vt:vector>
  </HeadingPairs>
  <TitlesOfParts>
    <vt:vector size="53" baseType="lpstr">
      <vt:lpstr>DOWNLOAD</vt:lpstr>
      <vt:lpstr>load</vt:lpstr>
      <vt:lpstr>DLD_Add</vt:lpstr>
      <vt:lpstr>REVIEW_LIST</vt:lpstr>
      <vt:lpstr>【FINAL】</vt:lpstr>
      <vt:lpstr>wCurated</vt:lpstr>
      <vt:lpstr>FUTURE</vt:lpstr>
      <vt:lpstr>wChart</vt:lpstr>
      <vt:lpstr>wCredit</vt:lpstr>
      <vt:lpstr>AddTap</vt:lpstr>
      <vt:lpstr>NEWs</vt:lpstr>
      <vt:lpstr>MDM</vt:lpstr>
      <vt:lpstr>WIP AddNew</vt:lpstr>
      <vt:lpstr>wDMI</vt:lpstr>
      <vt:lpstr>BBG</vt:lpstr>
      <vt:lpstr>MDM!Criteria</vt:lpstr>
      <vt:lpstr>dd_BISL_ROLE</vt:lpstr>
      <vt:lpstr>dd_BOCOMJLM</vt:lpstr>
      <vt:lpstr>dd_byrtg</vt:lpstr>
      <vt:lpstr>dd_coverage</vt:lpstr>
      <vt:lpstr>dd_econ1</vt:lpstr>
      <vt:lpstr>dd_econfuture</vt:lpstr>
      <vt:lpstr>dd_FutureEvent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ESG</vt:lpstr>
      <vt:lpstr>GPS</vt:lpstr>
      <vt:lpstr>GPS_FileName</vt:lpstr>
      <vt:lpstr>IS_EXCH_FILTER</vt:lpstr>
      <vt:lpstr>Monday</vt:lpstr>
      <vt:lpstr>MultiSource</vt:lpstr>
      <vt:lpstr>Name</vt:lpstr>
      <vt:lpstr>UpdatorWeekly</vt:lpstr>
      <vt:lpstr>WeeklyFilter</vt:lpstr>
      <vt:lpstr>wNews_Input_ToClear</vt:lpstr>
      <vt:lpstr>定价基准</vt:lpstr>
      <vt:lpstr>新闻分类</vt:lpstr>
      <vt:lpstr>新闻地区</vt:lpstr>
      <vt:lpstr>港分_Role</vt:lpstr>
      <vt:lpstr>澳门Filter</vt:lpstr>
      <vt:lpstr>香港Filter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Cindy Liu 劉嘉西</cp:lastModifiedBy>
  <cp:lastPrinted>2023-09-19T03:58:50Z</cp:lastPrinted>
  <dcterms:created xsi:type="dcterms:W3CDTF">2023-03-10T12:57:22Z</dcterms:created>
  <dcterms:modified xsi:type="dcterms:W3CDTF">2023-11-06T02:35:13Z</dcterms:modified>
</cp:coreProperties>
</file>