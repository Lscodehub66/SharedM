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8.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tables/table9.xml" ContentType="application/vnd.openxmlformats-officedocument.spreadsheetml.table+xml"/>
  <Override PartName="/xl/queryTables/queryTable8.xml" ContentType="application/vnd.openxmlformats-officedocument.spreadsheetml.queryTable+xml"/>
  <Override PartName="/xl/drawings/drawing5.xml" ContentType="application/vnd.openxmlformats-officedocument.drawing+xml"/>
  <Override PartName="/xl/tables/table10.xml" ContentType="application/vnd.openxmlformats-officedocument.spreadsheetml.table+xml"/>
  <Override PartName="/xl/queryTables/queryTable9.xml" ContentType="application/vnd.openxmlformats-officedocument.spreadsheetml.queryTable+xml"/>
  <Override PartName="/xl/drawings/drawing6.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drawings/drawing7.xml" ContentType="application/vnd.openxmlformats-officedocument.drawing+xml"/>
  <Override PartName="/xl/tables/table14.xml" ContentType="application/vnd.openxmlformats-officedocument.spreadsheetml.table+xml"/>
  <Override PartName="/xl/queryTables/queryTable13.xml" ContentType="application/vnd.openxmlformats-officedocument.spreadsheetml.queryTable+xml"/>
  <Override PartName="/xl/drawings/drawing8.xml" ContentType="application/vnd.openxmlformats-officedocument.drawing+xml"/>
  <Override PartName="/xl/tables/table15.xml" ContentType="application/vnd.openxmlformats-officedocument.spreadsheetml.table+xml"/>
  <Override PartName="/xl/drawings/drawing9.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2.xml" ContentType="application/vnd.openxmlformats-officedocument.spreadsheetml.comments+xml"/>
  <Override PartName="/xl/tables/table22.xml" ContentType="application/vnd.openxmlformats-officedocument.spreadsheetml.table+xml"/>
  <Override PartName="/xl/queryTables/queryTable14.xml" ContentType="application/vnd.openxmlformats-officedocument.spreadsheetml.queryTable+xml"/>
  <Override PartName="/xl/drawings/drawing11.xml" ContentType="application/vnd.openxmlformats-officedocument.drawing+xml"/>
  <Override PartName="/xl/ctrlProps/ctrlProp6.xml" ContentType="application/vnd.ms-excel.controlproperties+xml"/>
  <Override PartName="/xl/tables/table23.xml" ContentType="application/vnd.openxmlformats-officedocument.spreadsheetml.table+xml"/>
  <Override PartName="/xl/queryTables/queryTable15.xml" ContentType="application/vnd.openxmlformats-officedocument.spreadsheetml.queryTable+xml"/>
  <Override PartName="/xl/slicers/slicer1.xml" ContentType="application/vnd.ms-excel.slicer+xml"/>
  <Override PartName="/xl/drawings/drawing12.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queryTables/queryTable16.xml" ContentType="application/vnd.openxmlformats-officedocument.spreadsheetml.queryTable+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26.xml" ContentType="application/vnd.openxmlformats-officedocument.spreadsheetml.table+xml"/>
  <Override PartName="/xl/queryTables/queryTable17.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queryTables/queryTable19.xml" ContentType="application/vnd.openxmlformats-officedocument.spreadsheetml.query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tables/table38.xml" ContentType="application/vnd.openxmlformats-officedocument.spreadsheetml.table+xml"/>
  <Override PartName="/xl/queryTables/queryTable25.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28.xml" ContentType="application/vnd.openxmlformats-officedocument.spreadsheetml.query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queryTables/queryTable29.xml" ContentType="application/vnd.openxmlformats-officedocument.spreadsheetml.queryTable+xml"/>
  <Override PartName="/xl/tables/table59.xml" ContentType="application/vnd.openxmlformats-officedocument.spreadsheetml.table+xml"/>
  <Override PartName="/xl/queryTables/queryTable30.xml" ContentType="application/vnd.openxmlformats-officedocument.spreadsheetml.queryTable+xml"/>
  <Override PartName="/xl/tables/table60.xml" ContentType="application/vnd.openxmlformats-officedocument.spreadsheetml.table+xml"/>
  <Override PartName="/xl/queryTables/queryTable31.xml" ContentType="application/vnd.openxmlformats-officedocument.spreadsheetml.queryTable+xml"/>
  <Override PartName="/xl/tables/table61.xml" ContentType="application/vnd.openxmlformats-officedocument.spreadsheetml.table+xml"/>
  <Override PartName="/xl/queryTables/queryTable32.xml" ContentType="application/vnd.openxmlformats-officedocument.spreadsheetml.queryTable+xml"/>
  <Override PartName="/xl/tables/table62.xml" ContentType="application/vnd.openxmlformats-officedocument.spreadsheetml.table+xml"/>
  <Override PartName="/xl/queryTables/queryTable33.xml" ContentType="application/vnd.openxmlformats-officedocument.spreadsheetml.queryTable+xml"/>
  <Override PartName="/xl/tables/table63.xml" ContentType="application/vnd.openxmlformats-officedocument.spreadsheetml.table+xml"/>
  <Override PartName="/xl/queryTables/queryTable34.xml" ContentType="application/vnd.openxmlformats-officedocument.spreadsheetml.queryTable+xml"/>
  <Override PartName="/xl/tables/table64.xml" ContentType="application/vnd.openxmlformats-officedocument.spreadsheetml.table+xml"/>
  <Override PartName="/xl/tables/table65.xml" ContentType="application/vnd.openxmlformats-officedocument.spreadsheetml.table+xml"/>
  <Override PartName="/xl/queryTables/queryTable35.xml" ContentType="application/vnd.openxmlformats-officedocument.spreadsheetml.queryTable+xml"/>
  <Override PartName="/xl/tables/table66.xml" ContentType="application/vnd.openxmlformats-officedocument.spreadsheetml.table+xml"/>
  <Override PartName="/xl/queryTables/queryTable36.xml" ContentType="application/vnd.openxmlformats-officedocument.spreadsheetml.queryTable+xml"/>
  <Override PartName="/xl/tables/table67.xml" ContentType="application/vnd.openxmlformats-officedocument.spreadsheetml.table+xml"/>
  <Override PartName="/xl/queryTables/queryTable37.xml" ContentType="application/vnd.openxmlformats-officedocument.spreadsheetml.queryTable+xml"/>
  <Override PartName="/xl/drawings/drawing1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40122\Data\"/>
    </mc:Choice>
  </mc:AlternateContent>
  <xr:revisionPtr revIDLastSave="0" documentId="13_ncr:1_{1A3A2C8F-0EE0-4952-8AA4-0D069EA562F1}" xr6:coauthVersionLast="36" xr6:coauthVersionMax="47" xr10:uidLastSave="{00000000-0000-0000-0000-000000000000}"/>
  <bookViews>
    <workbookView xWindow="-120" yWindow="-120" windowWidth="29040" windowHeight="15720" tabRatio="594" activeTab="4" xr2:uid="{00000000-000D-0000-FFFF-FFFF00000000}"/>
  </bookViews>
  <sheets>
    <sheet name="1_DLD" sheetId="1" r:id="rId1"/>
    <sheet name="QRC" sheetId="77" state="hidden" r:id="rId2"/>
    <sheet name="2_Filter" sheetId="75" r:id="rId3"/>
    <sheet name="DLD_DMIBBG" sheetId="79" state="hidden" r:id="rId4"/>
    <sheet name="3_wBond" sheetId="69" r:id="rId5"/>
    <sheet name="wIssue" sheetId="67" r:id="rId6"/>
    <sheet name="wStats" sheetId="68" r:id="rId7"/>
    <sheet name="wCredit" sheetId="46" r:id="rId8"/>
    <sheet name="wChart" sheetId="58" r:id="rId9"/>
    <sheet name="wBOCOM" sheetId="71" r:id="rId10"/>
    <sheet name="PRICE_STATS" sheetId="62" state="hidden" r:id="rId11"/>
    <sheet name="load" sheetId="23" state="hidden" r:id="rId12"/>
    <sheet name="REVIEW_LIST" sheetId="33" state="hidden" r:id="rId13"/>
    <sheet name="Filtered_Add" sheetId="72" state="hidden" r:id="rId14"/>
    <sheet name="【FINAL】" sheetId="57" r:id="rId15"/>
    <sheet name="wNews" sheetId="59" r:id="rId16"/>
    <sheet name="Roster" sheetId="76" state="hidden" r:id="rId17"/>
    <sheet name="WeeklyAddTap" sheetId="53" state="hidden" r:id="rId18"/>
    <sheet name="MDM" sheetId="27" r:id="rId19"/>
    <sheet name="Backup" sheetId="78" r:id="rId20"/>
  </sheets>
  <functionGroups builtInGroupCount="19"/>
  <definedNames>
    <definedName name="_xlnm._FilterDatabase" localSheetId="18" hidden="1">MDM!#REF!</definedName>
    <definedName name="Conso_Index">DLD_Conso_Filter[Index]</definedName>
    <definedName name="Conso_Timestamp">DLD_Conso_Filter[Timestamp]</definedName>
    <definedName name="Conso_ToClear">DLD_Conso_Filter[ISIN],DLD_Conso_Filter[Check]</definedName>
    <definedName name="_xlnm.Criteria" localSheetId="18">MDM!$W$6:$W$10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#REF!</definedName>
    <definedName name="dd_中资属性">中资属性[中资属性]</definedName>
    <definedName name="dd_主题债券">主题债券[主题债券]</definedName>
    <definedName name="dd_地区">地区[地区]</definedName>
    <definedName name="dd_备证行">dd_备证行全称[备证行全称]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14" hidden="1">【FINAL】!$E$5:$BW$36</definedName>
    <definedName name="ExternalData_1" localSheetId="2" hidden="1">'2_Filter'!$G$5:$DA$39</definedName>
    <definedName name="ExternalData_1" localSheetId="13" hidden="1">Filtered_Add!$A$1:$EB$32</definedName>
    <definedName name="ExternalData_1" localSheetId="18" hidden="1">MDM!$I$21:$J$26</definedName>
    <definedName name="ExternalData_1" localSheetId="7" hidden="1">wCredit!$D$4:$M$22</definedName>
    <definedName name="ExternalData_1" localSheetId="17" hidden="1">WeeklyAddTap!$B$4:$K$6</definedName>
    <definedName name="ExternalData_10" localSheetId="18" hidden="1">MDM!$I$77:$J$129</definedName>
    <definedName name="ExternalData_11" localSheetId="0" hidden="1">'1_DLD'!#REF!</definedName>
    <definedName name="ExternalData_11" localSheetId="18" hidden="1">MDM!$D$6:$D$39</definedName>
    <definedName name="ExternalData_12" localSheetId="18" hidden="1">MDM!$R$6:$S$75</definedName>
    <definedName name="ExternalData_13" localSheetId="18" hidden="1">MDM!#REF!</definedName>
    <definedName name="ExternalData_14" localSheetId="18" hidden="1">MDM!$D$53:$D$61</definedName>
    <definedName name="ExternalData_15" localSheetId="18" hidden="1">MDM!$I$28:$J$33</definedName>
    <definedName name="ExternalData_16" localSheetId="18" hidden="1">MDM!$L$36:$M$41</definedName>
    <definedName name="ExternalData_17" localSheetId="18" hidden="1">MDM!#REF!</definedName>
    <definedName name="ExternalData_18" localSheetId="0" hidden="1">'1_DLD'!#REF!</definedName>
    <definedName name="ExternalData_18" localSheetId="18" hidden="1">MDM!$I$36:$J$39</definedName>
    <definedName name="ExternalData_19" localSheetId="0" hidden="1">'1_DLD'!#REF!</definedName>
    <definedName name="ExternalData_19" localSheetId="11" hidden="1">load!$P$5:$AH$23</definedName>
    <definedName name="ExternalData_19" localSheetId="18" hidden="1">MDM!$I$41:$J$48</definedName>
    <definedName name="ExternalData_2" localSheetId="18" hidden="1">MDM!$I$13:$J$19</definedName>
    <definedName name="ExternalData_2" localSheetId="9" hidden="1">wBOCOM!$D$5:$U$8</definedName>
    <definedName name="ExternalData_2" localSheetId="7" hidden="1">wCredit!$A$5:$B$102</definedName>
    <definedName name="ExternalData_2" localSheetId="17" hidden="1">WeeklyAddTap!$B$15:$C$48</definedName>
    <definedName name="ExternalData_20" localSheetId="0" hidden="1">'2_Filter'!$C$15:$C$16</definedName>
    <definedName name="ExternalData_20" localSheetId="18" hidden="1">MDM!$I$50:$J$57</definedName>
    <definedName name="ExternalData_21" localSheetId="0" hidden="1">'1_DLD'!#REF!</definedName>
    <definedName name="ExternalData_21" localSheetId="18" hidden="1">MDM!$I$59:$J$66</definedName>
    <definedName name="ExternalData_22" localSheetId="11" hidden="1">load!$B$5:$L$23</definedName>
    <definedName name="ExternalData_22" localSheetId="18" hidden="1">MDM!$I$68:$J$74</definedName>
    <definedName name="ExternalData_23" localSheetId="3" hidden="1">DLD_DMIBBG!$A$1:$CC$40</definedName>
    <definedName name="ExternalData_23" localSheetId="11" hidden="1">load!#REF!</definedName>
    <definedName name="ExternalData_23" localSheetId="18" hidden="1">MDM!$L$55:$M$65</definedName>
    <definedName name="ExternalData_23" localSheetId="1" hidden="1">QRC!$A$1:$Q$7</definedName>
    <definedName name="ExternalData_23" localSheetId="8" hidden="1">wChart!$D$5:$N$9</definedName>
    <definedName name="ExternalData_24" localSheetId="11" hidden="1">load!$A$5:$E$17</definedName>
    <definedName name="ExternalData_26" localSheetId="2" hidden="1">'2_Filter'!$C$5:$E$9</definedName>
    <definedName name="ExternalData_26" localSheetId="10" hidden="1">PRICE_STATS!$C$5:$R$11</definedName>
    <definedName name="ExternalData_27" localSheetId="0" hidden="1">'1_DLD'!$B$13:$D$14</definedName>
    <definedName name="ExternalData_27" localSheetId="5" hidden="1">wIssue!$D$5:$S$32</definedName>
    <definedName name="ExternalData_28" localSheetId="0" hidden="1">'1_DLD'!$B$9:$D$12</definedName>
    <definedName name="ExternalData_28" localSheetId="4" hidden="1">'3_wBond'!$D$5:$X$32</definedName>
    <definedName name="ExternalData_28" localSheetId="6" hidden="1">wStats!$D$5:$M$32</definedName>
    <definedName name="ExternalData_3" localSheetId="11" hidden="1">load!#REF!</definedName>
    <definedName name="ExternalData_3" localSheetId="18" hidden="1">MDM!$L$6:$M$12</definedName>
    <definedName name="ExternalData_3" localSheetId="16" hidden="1">Roster!$A$1:$K$53</definedName>
    <definedName name="ExternalData_3" localSheetId="7" hidden="1">wCredit!$D$5:$O$13</definedName>
    <definedName name="ExternalData_5" localSheetId="18" hidden="1">MDM!$I$6:$J$10</definedName>
    <definedName name="ExternalData_6" localSheetId="18" hidden="1">MDM!$L$27:$M$33</definedName>
    <definedName name="ExternalData_7" localSheetId="18" hidden="1">MDM!$D$42:$D$51</definedName>
    <definedName name="ExternalData_8" localSheetId="18" hidden="1">MDM!$L$14:$M$25</definedName>
    <definedName name="ExternalData_9" localSheetId="18" hidden="1">MDM!$L$43:$M$53</definedName>
    <definedName name="Filter">dd_Filter[Filter]</definedName>
    <definedName name="FinalButton">【FINAL】!$A$1</definedName>
    <definedName name="FridayRun">'1_DLD'!$C$6</definedName>
    <definedName name="GPS">MDM!$A$1</definedName>
    <definedName name="GPS_FileName">MDM!$B$1</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ShowAll">'1_DLD'!$K$4</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Weekly">'1_DLD'!$C$5</definedName>
    <definedName name="WeeklyAddTap">'1_DLD'!$K$7</definedName>
    <definedName name="WeeklyFilter">'1_DLD'!$K$5</definedName>
    <definedName name="wNews_Input_ToClear">wNews_Input[[新闻]:[来源]]</definedName>
    <definedName name="上市">dd_上市[上市]</definedName>
    <definedName name="品种主题">dd_品种主题[品种主题]</definedName>
    <definedName name="地方国企">dd_地方国企[地方国企]</definedName>
    <definedName name="定价基准">#REF!</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4:slicerCache r:id="rId22"/>
        <x14:slicerCache r:id="rId23"/>
        <x14:slicerCache r:id="rId24"/>
        <x14:slicerCache r:id="rId25"/>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0" i="27" l="1"/>
  <c r="X9" i="27"/>
  <c r="X8" i="27"/>
  <c r="X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3"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4" xr16:uid="{8233E796-F812-40EC-ADB8-871AD49B2B53}" keepAlive="1" name="Query - ChinaCal18-24" description="Connection to the 'ChinaCal18-24' query in the workbook." type="5" refreshedVersion="8" background="1" saveData="1">
    <dbPr connection="Provider=Microsoft.Mashup.OleDb.1;Data Source=$Workbook$;Location=ChinaCal18-24;Extended Properties=&quot;&quot;" command="SELECT * FROM [ChinaCal18-24]"/>
  </connection>
  <connection id="5" xr16:uid="{A6AD8E86-39C6-4D5A-8EEF-E375F72C9B3A}" keepAlive="1" name="Query - CNHKWorkDate18-24" description="Connection to the 'CNHKWorkDate18-24' query in the workbook." type="5" refreshedVersion="8" background="1" saveData="1">
    <dbPr connection="Provider=Microsoft.Mashup.OleDb.1;Data Source=$Workbook$;Location=CNHKWorkDate18-24;Extended Properties=&quot;&quot;" command="SELECT * FROM [CNHKWorkDate18-24]"/>
  </connection>
  <connection id="6"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9"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0"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1"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12" xr16:uid="{300052CE-E049-47C1-8773-F138EC001C65}" keepAlive="1" name="Query - dd_上市" description="Connection to the 'dd_上市' query in the workbook." type="5" refreshedVersion="6" background="1" saveData="1">
    <dbPr connection="Provider=Microsoft.Mashup.OleDb.1;Data Source=$Workbook$;Location=dd_上市;Extended Properties=&quot;&quot;" command="SELECT * FROM [dd_上市]"/>
  </connection>
  <connection id="13" xr16:uid="{488F3829-E40F-454D-A2BF-E1C71A41106B}" keepAlive="1" name="Query - dd_品种主题" description="Connection to the 'dd_品种主题' query in the workbook." type="5" refreshedVersion="6" background="1" saveData="1">
    <dbPr connection="Provider=Microsoft.Mashup.OleDb.1;Data Source=$Workbook$;Location=dd_品种主题;Extended Properties=&quot;&quot;" command="SELECT * FROM [dd_品种主题]"/>
  </connection>
  <connection id="14"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15"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16" xr16:uid="{11B12458-3054-4656-B5A0-28E39A6B7A7E}" keepAlive="1" name="Query - dd_备证行全称" description="Connection to the 'dd_备证行全称' query in the workbook." type="5" refreshedVersion="6" background="1" saveData="1">
    <dbPr connection="Provider=Microsoft.Mashup.OleDb.1;Data Source=$Workbook$;Location=dd_备证行全称;Extended Properties=&quot;&quot;" command="SELECT * FROM [dd_备证行全称]"/>
  </connection>
  <connection id="17"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8"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9"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20"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21"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22"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23"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24"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25"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6"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27"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8"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9"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connection>
  <connection id="30"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31"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32"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33"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34"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5"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6"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37"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38"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9"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40"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41"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42"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43"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44"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45"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46"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7"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8"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49"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0" xr16:uid="{041184DA-AE92-4D4D-AAFD-9A79492DC803}" keepAlive="1" name="Query - HKHoliday18-22" description="Connection to the 'HKHoliday18-22' query in the workbook." type="5" refreshedVersion="8" background="1" saveData="1">
    <dbPr connection="Provider=Microsoft.Mashup.OleDb.1;Data Source=$Workbook$;Location=HKHoliday18-22;Extended Properties=&quot;&quot;" command="SELECT * FROM [HKHoliday18-22]"/>
  </connection>
  <connection id="51"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52"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3"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4"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55"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6"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57"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58"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59"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60" xr16:uid="{080FD6BB-7567-4066-99F9-21582C6AAD31}"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61"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62"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63" xr16:uid="{915DFF02-6B58-400F-8BFD-9C1B5C040AB8}" keepAlive="1" name="Query - Query3" description="Connection to the 'Query3' query in the workbook." type="5" refreshedVersion="0" background="1">
    <dbPr connection="Provider=Microsoft.Mashup.OleDb.1;Data Source=$Workbook$;Location=Query3;Extended Properties=&quot;&quot;" command="SELECT * FROM [Query3]"/>
  </connection>
  <connection id="64"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5"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6"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7"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68"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69"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70"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71"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72"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73"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4" xr16:uid="{9A51B50E-73C6-4A91-8599-FD600E74E6A5}" keepAlive="1" name="Query - WeeklyRoster24" description="Connection to the 'WeeklyRoster24' query in the workbook." type="5" refreshedVersion="6" background="1" saveData="1">
    <dbPr connection="Provider=Microsoft.Mashup.OleDb.1;Data Source=$Workbook$;Location=WeeklyRoster24;Extended Properties=&quot;&quot;" command="SELECT * FROM [WeeklyRoster24]"/>
  </connection>
  <connection id="75"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6"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7"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8"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9"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80"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<sst xmlns="http://schemas.openxmlformats.org/spreadsheetml/2006/main" count="14557" uniqueCount="1721">
  <si>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</si>
  <si>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</si>
  <si>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</si>
  <si>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</si>
  <si>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</si>
  <si>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</si>
  <si>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</si>
  <si>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</si>
  <si>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</si>
  <si>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</si>
  <si>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</si>
  <si>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</si>
  <si>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</si>
  <si>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</si>
  <si>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</si>
  <si>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</si>
  <si>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</si>
  <si>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</si>
  <si>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</si>
  <si>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</si>
  <si>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</si>
  <si>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</si>
  <si>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</si>
  <si>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</si>
  <si>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</si>
  <si>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</si>
  <si>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</si>
  <si>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</si>
  <si>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</si>
  <si>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</si>
  <si>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</si>
  <si>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</si>
  <si>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</si>
  <si>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</si>
  <si>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</si>
  <si>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</si>
  <si>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</si>
  <si>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</si>
  <si>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</si>
  <si>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</si>
  <si>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</si>
  <si>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</si>
  <si>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</si>
  <si>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</si>
  <si>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</si>
  <si>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</si>
  <si>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</si>
  <si>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</si>
  <si>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</si>
  <si>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</si>
  <si>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</si>
  <si>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</si>
  <si>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</si>
  <si>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</si>
  <si>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</si>
  <si>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</si>
  <si>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</si>
  <si>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</si>
  <si>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</si>
  <si>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</si>
  <si>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</si>
  <si>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</si>
  <si>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</si>
  <si>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</si>
  <si>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</si>
  <si>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</si>
  <si>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</si>
  <si>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</si>
  <si>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</si>
  <si>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</si>
  <si>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</si>
  <si>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</si>
  <si>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</si>
  <si>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</si>
  <si>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</si>
  <si>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</si>
  <si>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</si>
  <si>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</si>
  <si>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</si>
  <si>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</si>
  <si>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</si>
  <si>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</si>
  <si>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</si>
  <si>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</si>
  <si>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</si>
  <si>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</si>
  <si>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</si>
  <si>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</si>
  <si>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</si>
  <si>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</si>
  <si>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</si>
  <si>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</si>
  <si>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</si>
  <si>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</si>
  <si>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</si>
  <si>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</si>
  <si>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</si>
  <si>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</si>
  <si>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</si>
  <si>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</si>
  <si>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</si>
  <si>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</si>
  <si>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</si>
  <si>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</si>
  <si>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</si>
  <si>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</si>
  <si>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</si>
  <si>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</si>
  <si>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</si>
  <si>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</si>
  <si>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</si>
  <si>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</si>
  <si>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</si>
  <si>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</si>
  <si>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</si>
  <si>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</si>
  <si>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</si>
  <si>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</si>
  <si>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</si>
  <si>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</si>
  <si>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</si>
  <si>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</si>
  <si>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</si>
  <si>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</si>
  <si>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</si>
  <si>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</si>
  <si>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</si>
  <si>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</si>
  <si>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</si>
  <si>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</si>
  <si>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</si>
  <si>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</si>
  <si>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</si>
  <si>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</si>
  <si>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</si>
  <si>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</si>
  <si>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</si>
  <si>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</si>
  <si>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</si>
  <si>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</si>
  <si>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</si>
  <si>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</si>
  <si>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</si>
  <si>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</si>
  <si>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</si>
  <si>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</si>
  <si>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</si>
  <si>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</si>
  <si>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</si>
  <si>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</si>
  <si>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</si>
  <si>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</si>
  <si>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</si>
  <si>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</si>
  <si>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</si>
  <si>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</si>
  <si>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</si>
  <si>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</si>
  <si>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</si>
  <si>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</si>
  <si>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</si>
  <si>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</si>
  <si>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</si>
  <si>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</si>
  <si>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</si>
  <si>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</si>
  <si>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</si>
  <si>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</si>
  <si>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</si>
  <si>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</si>
  <si>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</si>
  <si>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</si>
  <si>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</si>
  <si>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</si>
  <si>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</si>
  <si>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</si>
  <si>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</si>
  <si>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</si>
  <si>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</si>
  <si>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</si>
  <si>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</si>
  <si>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</si>
  <si>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</si>
  <si>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</si>
  <si>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</si>
  <si>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</si>
  <si>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BISL</t>
  </si>
  <si>
    <t>港分</t>
  </si>
  <si>
    <t>澳分</t>
  </si>
  <si>
    <t>英文简称</t>
  </si>
  <si>
    <t>发行架构</t>
  </si>
  <si>
    <t>DMI</t>
  </si>
  <si>
    <t>CN</t>
  </si>
  <si>
    <t>澳交所</t>
  </si>
  <si>
    <t>增发</t>
  </si>
  <si>
    <t>SCMI(Level II)</t>
  </si>
  <si>
    <t>SCMI(waived)</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</si>
  <si>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</si>
  <si>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</si>
  <si>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</si>
  <si>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</si>
  <si>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</si>
  <si>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</si>
  <si>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</si>
  <si>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</si>
  <si>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</si>
  <si>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</si>
  <si>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</si>
  <si>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</si>
  <si>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</si>
  <si>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SortValue</t>
  </si>
  <si>
    <t>童富涵</t>
  </si>
  <si>
    <t>SGD</t>
  </si>
  <si>
    <t>MOP</t>
  </si>
  <si>
    <t>GBP</t>
  </si>
  <si>
    <t>AUD</t>
  </si>
  <si>
    <t>NZD</t>
  </si>
  <si>
    <t>CAD</t>
  </si>
  <si>
    <t>新交所</t>
  </si>
  <si>
    <t>备证+担保+维好</t>
  </si>
  <si>
    <t>Column1</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</si>
  <si>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</si>
  <si>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</si>
  <si>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</si>
  <si>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</si>
  <si>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</si>
  <si>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</si>
  <si>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</si>
  <si>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</si>
  <si>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</si>
  <si>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</si>
  <si>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</si>
  <si>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</si>
  <si>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</si>
  <si>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</si>
  <si>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</si>
  <si>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</si>
  <si>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</si>
  <si>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</si>
  <si>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</si>
  <si>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</si>
  <si>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</si>
  <si>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</si>
  <si>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</si>
  <si>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</si>
  <si>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</si>
  <si>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</si>
  <si>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</si>
  <si>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</si>
  <si>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</si>
  <si>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</si>
  <si>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</si>
  <si>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</si>
  <si>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</si>
  <si>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</si>
  <si>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</si>
  <si>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</si>
  <si>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</si>
  <si>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</si>
  <si>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</si>
  <si>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</si>
  <si>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</si>
  <si>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</si>
  <si>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</si>
  <si>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</si>
  <si>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</si>
  <si>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</si>
  <si>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</si>
  <si>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</si>
  <si>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</si>
  <si>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</si>
  <si>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</si>
  <si>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</si>
  <si>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</si>
  <si>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</si>
  <si>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</si>
  <si>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</si>
  <si>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</si>
  <si>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</si>
  <si>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</si>
  <si>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</si>
  <si>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</si>
  <si>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</si>
  <si>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</si>
  <si>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</si>
  <si>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</si>
  <si>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</si>
  <si>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</si>
  <si>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</si>
  <si>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ESG_Source</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</si>
  <si>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</si>
  <si>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</si>
  <si>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</si>
  <si>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</si>
  <si>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</si>
  <si>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</si>
  <si>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</si>
  <si>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</si>
  <si>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</si>
  <si>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</si>
  <si>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</si>
  <si>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</si>
  <si>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</si>
  <si>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</si>
  <si>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</si>
  <si>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</si>
  <si>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</si>
  <si>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</si>
  <si>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</si>
  <si>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</si>
  <si>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</si>
  <si>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</si>
  <si>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</si>
  <si>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</si>
  <si>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</si>
  <si>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</si>
  <si>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</si>
  <si>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</si>
  <si>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</si>
  <si>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</si>
  <si>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</si>
  <si>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</si>
  <si>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</si>
  <si>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</si>
  <si>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</si>
  <si>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</si>
  <si>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</si>
  <si>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</si>
  <si>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</si>
  <si>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</si>
  <si>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</si>
  <si>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</si>
  <si>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</si>
  <si>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</si>
  <si>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</si>
  <si>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</si>
  <si>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</si>
  <si>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</si>
  <si>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</si>
  <si>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</si>
  <si>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</si>
  <si>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</si>
  <si>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</si>
  <si>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</si>
  <si>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</si>
  <si>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</si>
  <si>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</si>
  <si>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</si>
  <si>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</si>
  <si>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</si>
  <si>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</si>
  <si>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</si>
  <si>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</si>
  <si>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</si>
  <si>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</si>
  <si>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</si>
  <si>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</si>
  <si>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</si>
  <si>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</si>
  <si>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</si>
  <si>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</si>
  <si>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</si>
  <si>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</si>
  <si>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</si>
  <si>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</si>
  <si>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</si>
  <si>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</si>
  <si>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</si>
  <si>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</si>
  <si>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</si>
  <si>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</si>
  <si>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</si>
  <si>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</si>
  <si>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</si>
  <si>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</si>
  <si>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</si>
  <si>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</si>
  <si>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</si>
  <si>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</si>
  <si>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</si>
  <si>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</si>
  <si>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</si>
  <si>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</si>
  <si>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</si>
  <si>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</si>
  <si>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</si>
  <si>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</si>
  <si>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</si>
  <si>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</si>
  <si>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</si>
  <si>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</si>
  <si>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</si>
  <si>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</si>
  <si>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</si>
  <si>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</si>
  <si>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</si>
  <si>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</si>
  <si>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</si>
  <si>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</si>
  <si>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</si>
  <si>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</si>
  <si>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</si>
  <si>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</si>
  <si>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</si>
  <si>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</si>
  <si>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</si>
  <si>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</si>
  <si>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</si>
  <si>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</si>
  <si>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</si>
  <si>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</si>
  <si>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</si>
  <si>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</si>
  <si>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</si>
  <si>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</si>
  <si>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</si>
  <si>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</si>
  <si>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</si>
  <si>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</si>
  <si>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</si>
  <si>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</si>
  <si>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</si>
  <si>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</si>
  <si>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</si>
  <si>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</si>
  <si>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</si>
  <si>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</si>
  <si>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</si>
  <si>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</si>
  <si>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</si>
  <si>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</si>
  <si>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</si>
  <si>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</si>
  <si>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</si>
  <si>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</si>
  <si>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</si>
  <si>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</si>
  <si>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</si>
  <si>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</si>
  <si>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</si>
  <si>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</si>
  <si>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</si>
  <si>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</si>
  <si>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</si>
  <si>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</si>
  <si>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</si>
  <si>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</si>
  <si>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</si>
  <si>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</si>
  <si>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</si>
  <si>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</si>
  <si>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</si>
  <si>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</si>
  <si>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</si>
  <si>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</si>
  <si>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</si>
  <si>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</si>
  <si>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</si>
  <si>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</si>
  <si>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</si>
  <si>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</si>
  <si>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</si>
  <si>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</si>
  <si>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</si>
  <si>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</si>
  <si>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</si>
  <si>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</si>
  <si>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</si>
  <si>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</si>
  <si>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</si>
  <si>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</si>
  <si>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</si>
  <si>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</si>
  <si>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</si>
  <si>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</si>
  <si>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</si>
  <si>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</si>
  <si>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</si>
  <si>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</si>
  <si>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</si>
  <si>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</si>
  <si>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</si>
  <si>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</si>
  <si>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</si>
  <si>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</si>
  <si>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</si>
  <si>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</si>
  <si>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</si>
  <si>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</si>
  <si>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0.9945</t>
  </si>
  <si>
    <t>VG</t>
  </si>
  <si>
    <t>DMI行业</t>
  </si>
  <si>
    <t>WeeklyAddTap</t>
  </si>
  <si>
    <t>输入原始ISIN</t>
  </si>
  <si>
    <t>AA+</t>
  </si>
  <si>
    <t>ISIN_Search</t>
  </si>
  <si>
    <t>wAddTap</t>
  </si>
  <si>
    <t>2 Fill in Tap Details</t>
  </si>
  <si>
    <t>1 Fill in Original ISIN</t>
  </si>
  <si>
    <t>3 Generate Tap Deal</t>
  </si>
  <si>
    <t>山东省</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</si>
  <si>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</si>
  <si>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</si>
  <si>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</si>
  <si>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</si>
  <si>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</si>
  <si>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</si>
  <si>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</si>
  <si>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</si>
  <si>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</si>
  <si>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</si>
  <si>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</si>
  <si>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</si>
  <si>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</si>
  <si>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</si>
  <si>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</si>
  <si>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</si>
  <si>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</si>
  <si>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</si>
  <si>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</si>
  <si>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</si>
  <si>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</si>
  <si>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</si>
  <si>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</si>
  <si>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</si>
  <si>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</si>
  <si>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</si>
  <si>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</si>
  <si>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</si>
  <si>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</si>
  <si>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</si>
  <si>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</si>
  <si>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</si>
  <si>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</si>
  <si>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</si>
  <si>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</si>
  <si>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国有相对控股企业</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</si>
  <si>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</si>
  <si>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</si>
  <si>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</si>
  <si>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</si>
  <si>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</si>
  <si>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</si>
  <si>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</si>
  <si>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</si>
  <si>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</si>
  <si>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</si>
  <si>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</si>
  <si>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</si>
  <si>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</si>
  <si>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</si>
  <si>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</si>
  <si>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</si>
  <si>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</si>
  <si>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</si>
  <si>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</si>
  <si>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</si>
  <si>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</si>
  <si>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</si>
  <si>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</si>
  <si>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</si>
  <si>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</si>
  <si>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</si>
  <si>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</si>
  <si>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</si>
  <si>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</si>
  <si>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</si>
  <si>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</si>
  <si>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</si>
  <si>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</si>
  <si>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</si>
  <si>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</si>
  <si>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</si>
  <si>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</si>
  <si>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</si>
  <si>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</si>
  <si>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</si>
  <si>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</si>
  <si>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</si>
  <si>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</si>
  <si>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</si>
  <si>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</si>
  <si>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</si>
  <si>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</si>
  <si>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</si>
  <si>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</si>
  <si>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</si>
  <si>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</si>
  <si>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</si>
  <si>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</si>
  <si>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</si>
  <si>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</si>
  <si>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</si>
  <si>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</si>
  <si>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</si>
  <si>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</si>
  <si>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</si>
  <si>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</si>
  <si>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</si>
  <si>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</si>
  <si>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</si>
  <si>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</si>
  <si>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</si>
  <si>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</si>
  <si>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</si>
  <si>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</si>
  <si>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</si>
  <si>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</si>
  <si>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</si>
  <si>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</si>
  <si>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</si>
  <si>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</si>
  <si>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</si>
  <si>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</si>
  <si>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</si>
  <si>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</si>
  <si>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</si>
  <si>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</si>
  <si>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</si>
  <si>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</si>
  <si>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</si>
  <si>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</si>
  <si>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</si>
  <si>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</si>
  <si>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</si>
  <si>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</si>
  <si>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</si>
  <si>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</si>
  <si>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</si>
  <si>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</si>
  <si>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</si>
  <si>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</si>
  <si>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</si>
  <si>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</si>
  <si>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</si>
  <si>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</si>
  <si>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</si>
  <si>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</si>
  <si>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</si>
  <si>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</si>
  <si>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</si>
  <si>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</si>
  <si>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</si>
  <si>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</si>
  <si>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</si>
  <si>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</si>
  <si>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</si>
  <si>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</si>
  <si>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</si>
  <si>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</si>
  <si>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</si>
  <si>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</si>
  <si>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</si>
  <si>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</si>
  <si>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</si>
  <si>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</si>
  <si>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</si>
  <si>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</si>
  <si>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</si>
  <si>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</si>
  <si>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</si>
  <si>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</si>
  <si>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</si>
  <si>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</si>
  <si>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</si>
  <si>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</si>
  <si>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</si>
  <si>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</si>
  <si>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</si>
  <si>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</si>
  <si>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</si>
  <si>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</si>
  <si>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</si>
  <si>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</si>
  <si>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</si>
  <si>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</si>
  <si>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</si>
  <si>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</si>
  <si>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</si>
  <si>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</si>
  <si>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</si>
  <si>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</si>
  <si>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</si>
  <si>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</si>
  <si>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</si>
  <si>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</si>
  <si>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</si>
  <si>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</si>
  <si>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</si>
  <si>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</si>
  <si>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</si>
  <si>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</si>
  <si>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控制权变更回售@101%</t>
  </si>
  <si>
    <t>3.0Y</t>
  </si>
  <si>
    <t>发行人成立地</t>
  </si>
  <si>
    <t>基础建设</t>
  </si>
  <si>
    <t>浮息定价</t>
  </si>
  <si>
    <t>7.5%</t>
  </si>
  <si>
    <t>广东省</t>
  </si>
  <si>
    <t>广州市</t>
  </si>
  <si>
    <t>--/稳定</t>
  </si>
  <si>
    <t>广发控股(香港)有限公司</t>
  </si>
  <si>
    <t>【Y】</t>
  </si>
  <si>
    <t>--/BBB</t>
  </si>
  <si>
    <t>民营企业</t>
  </si>
  <si>
    <t>GFGCHK</t>
  </si>
  <si>
    <t>GF GLOBAL CAPITAL LTD/HK</t>
  </si>
  <si>
    <t>有IPG</t>
  </si>
  <si>
    <t>SBLC</t>
  </si>
  <si>
    <t>控制权变更回售@100%</t>
  </si>
  <si>
    <t>江苏省</t>
  </si>
  <si>
    <t>到期一次还本付息</t>
  </si>
  <si>
    <t>--/BBB+</t>
  </si>
  <si>
    <t>SBLC+担保</t>
  </si>
  <si>
    <t>5.1%</t>
  </si>
  <si>
    <t>OFF</t>
  </si>
  <si>
    <t>ISIN_TEMP</t>
  </si>
  <si>
    <t>最终账簿(亿)</t>
  </si>
  <si>
    <t>账户数</t>
  </si>
  <si>
    <t>地区分布</t>
  </si>
  <si>
    <t>类型分布</t>
  </si>
  <si>
    <t>mEXE</t>
  </si>
  <si>
    <t>Filter_Bond</t>
  </si>
  <si>
    <t>Filter_Exch</t>
  </si>
  <si>
    <t>Filter_Credit</t>
  </si>
  <si>
    <t>是否中资主体</t>
  </si>
  <si>
    <t>DBIndex_Credit</t>
  </si>
  <si>
    <t>DBIndex_Bond</t>
  </si>
  <si>
    <t>DBIndex_Issue</t>
  </si>
  <si>
    <t>1.0000</t>
  </si>
  <si>
    <t>0.4959</t>
  </si>
  <si>
    <t>Filter</t>
  </si>
  <si>
    <r>
      <rPr>
        <sz val="14"/>
        <color theme="9"/>
        <rFont val="Microsoft JhengHei UI"/>
        <family val="2"/>
        <scheme val="minor"/>
      </rPr>
      <t>Fill in Missing Info</t>
    </r>
    <r>
      <rPr>
        <sz val="18"/>
        <color theme="9"/>
        <rFont val="Microsoft JhengHei UI"/>
        <family val="2"/>
        <scheme val="minor"/>
      </rPr>
      <t xml:space="preserve">
⬇️</t>
    </r>
  </si>
  <si>
    <t>DLD_priceNstats</t>
  </si>
  <si>
    <t>wChart</t>
  </si>
  <si>
    <t>广发香港</t>
  </si>
  <si>
    <t>4.7%a</t>
  </si>
  <si>
    <t>6.2%a</t>
  </si>
  <si>
    <t>XS2730038515</t>
  </si>
  <si>
    <t>邹城城资 8 2025-12-14</t>
  </si>
  <si>
    <t>240103XS2730038515</t>
  </si>
  <si>
    <t>XS2743680634</t>
  </si>
  <si>
    <t>240103XS2743680634</t>
  </si>
  <si>
    <t>XS2730874786</t>
  </si>
  <si>
    <t>章丘控股 5.907 2024-12-05</t>
  </si>
  <si>
    <t>6.2%</t>
  </si>
  <si>
    <t>5.907% p.a., the number</t>
  </si>
  <si>
    <t>5.907%</t>
  </si>
  <si>
    <t>240104XS2730874786</t>
  </si>
  <si>
    <t>XS2734722239</t>
  </si>
  <si>
    <t>融发集团 4.5 2027-01-10</t>
  </si>
  <si>
    <t>4.70% 区域</t>
  </si>
  <si>
    <t>4.50%</t>
  </si>
  <si>
    <t>4.5%</t>
  </si>
  <si>
    <t>240103XS2734722239</t>
  </si>
  <si>
    <t>HK0000979903</t>
  </si>
  <si>
    <t>钟吾城投 3.6 2027-01-10</t>
  </si>
  <si>
    <t>3.80% 区域</t>
  </si>
  <si>
    <t>3.60%</t>
  </si>
  <si>
    <t>240103HK0000979903</t>
  </si>
  <si>
    <t>XS2731859414</t>
  </si>
  <si>
    <t>乌经开建发国投集团 7.5 2027-01-09</t>
  </si>
  <si>
    <t>7.500%区域</t>
  </si>
  <si>
    <t>7.500%</t>
  </si>
  <si>
    <t>240102XS2731859414</t>
  </si>
  <si>
    <t>3.8%a</t>
  </si>
  <si>
    <t>3.6%</t>
  </si>
  <si>
    <t>7.5%a</t>
  </si>
  <si>
    <t>PRJ对账号</t>
  </si>
  <si>
    <t>mBond</t>
  </si>
  <si>
    <t>mIssue</t>
  </si>
  <si>
    <t>mStats</t>
  </si>
  <si>
    <t>HK</t>
  </si>
  <si>
    <t>--/BBB/BBB</t>
  </si>
  <si>
    <t>0.5</t>
  </si>
  <si>
    <t>6个月</t>
  </si>
  <si>
    <t>0.2</t>
  </si>
  <si>
    <t>【筛除】</t>
  </si>
  <si>
    <t>已收录</t>
  </si>
  <si>
    <t>新增</t>
  </si>
  <si>
    <t>临时isin</t>
  </si>
  <si>
    <t>ticker</t>
  </si>
  <si>
    <t>交易所</t>
  </si>
  <si>
    <t>JBR至少4家</t>
  </si>
  <si>
    <t>泰州市</t>
  </si>
  <si>
    <t>0.2466</t>
  </si>
  <si>
    <t>6%</t>
  </si>
  <si>
    <t>AAA</t>
  </si>
  <si>
    <t>稳定/稳定</t>
  </si>
  <si>
    <t>M3</t>
  </si>
  <si>
    <t>负面/稳定</t>
  </si>
  <si>
    <t>浮息</t>
  </si>
  <si>
    <t>香港特别行政区</t>
  </si>
  <si>
    <t>HK0000979580</t>
  </si>
  <si>
    <t>都江堰市城乡建设集团有限公司</t>
  </si>
  <si>
    <t>四川省</t>
  </si>
  <si>
    <t>4.4%</t>
  </si>
  <si>
    <t>湖南省</t>
  </si>
  <si>
    <t>点心债</t>
  </si>
  <si>
    <t>2.0000</t>
  </si>
  <si>
    <t>2.01Y</t>
  </si>
  <si>
    <t>2</t>
  </si>
  <si>
    <t>ESG_Indicator</t>
  </si>
  <si>
    <t>4.4000000000000004</t>
  </si>
  <si>
    <t>A1/A/A</t>
  </si>
  <si>
    <t>6</t>
  </si>
  <si>
    <t>香港岛</t>
  </si>
  <si>
    <t>房地产开发</t>
  </si>
  <si>
    <t>MondayText</t>
  </si>
  <si>
    <t>Start_date</t>
  </si>
  <si>
    <t>Due_date</t>
  </si>
  <si>
    <t>Due_DayName</t>
  </si>
  <si>
    <t>Template</t>
  </si>
  <si>
    <t>TaskName</t>
  </si>
  <si>
    <t>Description</t>
  </si>
  <si>
    <t>Maker_DD</t>
  </si>
  <si>
    <t>Checker_DD</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</si>
  <si>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</si>
  <si>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</si>
  <si>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</si>
  <si>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</si>
  <si>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</si>
  <si>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</si>
  <si>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</si>
  <si>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</si>
  <si>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</si>
  <si>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</si>
  <si>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</si>
  <si>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</si>
  <si>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</si>
  <si>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【Weekly】6 (Wed)</t>
  </si>
  <si>
    <t>Weekly Folder Name: 20240212</t>
  </si>
  <si>
    <t>【Weekly】7(No Weekly)</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</si>
  <si>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</si>
  <si>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</si>
  <si>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</si>
  <si>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</si>
  <si>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</si>
  <si>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</si>
  <si>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</si>
  <si>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</si>
  <si>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</si>
  <si>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</si>
  <si>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</si>
  <si>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</si>
  <si>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</si>
  <si>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【Weekly】13 (Tue)</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</si>
  <si>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</si>
  <si>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</si>
  <si>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</si>
  <si>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</si>
  <si>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</si>
  <si>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</si>
  <si>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</si>
  <si>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</si>
  <si>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</si>
  <si>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</si>
  <si>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</si>
  <si>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</si>
  <si>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</si>
  <si>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</si>
  <si>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</si>
  <si>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</si>
  <si>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</si>
  <si>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</si>
  <si>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</si>
  <si>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【Weekly】23 (Tue)</t>
  </si>
  <si>
    <t>Weekly Folder Name: 20240610</t>
  </si>
  <si>
    <t>【Weekly】24</t>
  </si>
  <si>
    <t>Weekly Folder Name: 20240617</t>
  </si>
  <si>
    <t>【Weekly】25</t>
  </si>
  <si>
    <t>Weekly Folder Name: 20240624</t>
  </si>
  <si>
    <t>【Weekly】26 (Tue)</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</si>
  <si>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</si>
  <si>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</si>
  <si>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</si>
  <si>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</si>
  <si>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</si>
  <si>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</si>
  <si>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</si>
  <si>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</si>
  <si>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</si>
  <si>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</si>
  <si>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</si>
  <si>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</si>
  <si>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</si>
  <si>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</si>
  <si>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</si>
  <si>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</si>
  <si>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</si>
  <si>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</si>
  <si>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</si>
  <si>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</si>
  <si>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</si>
  <si>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</si>
  <si>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</si>
  <si>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</si>
  <si>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</si>
  <si>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</si>
  <si>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</si>
  <si>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</si>
  <si>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</si>
  <si>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</si>
  <si>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</si>
  <si>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</si>
  <si>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</si>
  <si>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</si>
  <si>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</si>
  <si>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</si>
  <si>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</si>
  <si>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</si>
  <si>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</si>
  <si>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</si>
  <si>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</si>
  <si>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</si>
  <si>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</si>
  <si>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</si>
  <si>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</si>
  <si>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</si>
  <si>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</si>
  <si>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</si>
  <si>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</si>
  <si>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</si>
  <si>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</si>
  <si>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</si>
  <si>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</si>
  <si>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</si>
  <si>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</si>
  <si>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</si>
  <si>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</si>
  <si>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</si>
  <si>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</si>
  <si>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</si>
  <si>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【Weekly】52</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</si>
  <si>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</si>
  <si>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</si>
  <si>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</si>
  <si>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</si>
  <si>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</si>
  <si>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</si>
  <si>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</si>
  <si>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</si>
  <si>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</si>
  <si>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</si>
  <si>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</si>
  <si>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</si>
  <si>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</si>
  <si>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</si>
  <si>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</si>
  <si>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</si>
  <si>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</si>
  <si>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</si>
  <si>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</si>
  <si>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</si>
  <si>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</si>
  <si>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</si>
  <si>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</si>
  <si>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</si>
  <si>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</si>
  <si>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</si>
  <si>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</si>
  <si>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</si>
  <si>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</si>
  <si>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</si>
  <si>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</si>
  <si>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</si>
  <si>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</si>
  <si>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</si>
  <si>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</si>
  <si>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</si>
  <si>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</si>
  <si>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</si>
  <si>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</si>
  <si>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</si>
  <si>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</si>
  <si>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</si>
  <si>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</si>
  <si>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</si>
  <si>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</si>
  <si>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</si>
  <si>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</si>
  <si>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</si>
  <si>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</si>
  <si>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</si>
  <si>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</si>
  <si>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</si>
  <si>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</si>
  <si>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</si>
  <si>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</si>
  <si>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</si>
  <si>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</si>
  <si>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</si>
  <si>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</si>
  <si>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</si>
  <si>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</si>
  <si>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</si>
  <si>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</si>
  <si>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</si>
  <si>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</si>
  <si>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</si>
  <si>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</si>
  <si>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</si>
  <si>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</si>
  <si>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</si>
  <si>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</si>
  <si>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</si>
  <si>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</si>
  <si>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</si>
  <si>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</si>
  <si>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</si>
  <si>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</si>
  <si>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</si>
  <si>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</si>
  <si>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</si>
  <si>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</si>
  <si>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</si>
  <si>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</si>
  <si>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</si>
  <si>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</si>
  <si>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</si>
  <si>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</si>
  <si>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</si>
  <si>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</si>
  <si>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</si>
  <si>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</si>
  <si>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</si>
  <si>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</si>
  <si>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</si>
  <si>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</si>
  <si>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</si>
  <si>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</si>
  <si>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20231218</t>
  </si>
  <si>
    <t>20231225</t>
  </si>
  <si>
    <t>20240101</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</si>
  <si>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</si>
  <si>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</si>
  <si>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</si>
  <si>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</si>
  <si>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</si>
  <si>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</si>
  <si>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</si>
  <si>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</si>
  <si>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</si>
  <si>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</si>
  <si>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</si>
  <si>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</si>
  <si>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</si>
  <si>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</si>
  <si>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</si>
  <si>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</si>
  <si>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</si>
  <si>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</si>
  <si>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</si>
  <si>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</si>
  <si>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</si>
  <si>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</si>
  <si>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</si>
  <si>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</si>
  <si>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</si>
  <si>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</si>
  <si>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</si>
  <si>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</si>
  <si>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</si>
  <si>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</si>
  <si>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</si>
  <si>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</si>
  <si>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</si>
  <si>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</si>
  <si>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</si>
  <si>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</si>
  <si>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</si>
  <si>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</si>
  <si>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</si>
  <si>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</si>
  <si>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</si>
  <si>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</si>
  <si>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</si>
  <si>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</si>
  <si>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</si>
  <si>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</si>
  <si>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</si>
  <si>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</si>
  <si>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</si>
  <si>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</si>
  <si>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</si>
  <si>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</si>
  <si>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</si>
  <si>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**DMI字段检查**</t>
  </si>
  <si>
    <t>OK</t>
  </si>
  <si>
    <t>HK0000980174</t>
  </si>
  <si>
    <t>A1/A+/A+</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</si>
  <si>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</si>
  <si>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</si>
  <si>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</si>
  <si>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</si>
  <si>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</si>
  <si>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</si>
  <si>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</si>
  <si>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</si>
  <si>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</si>
  <si>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--/BBB+/--</t>
  </si>
  <si>
    <t>240118XS2729757109</t>
  </si>
  <si>
    <t>XS2747788060</t>
  </si>
  <si>
    <t>240117XS2747788060</t>
  </si>
  <si>
    <t>XS2749446097</t>
  </si>
  <si>
    <t>240117XS2749446097</t>
  </si>
  <si>
    <t>XS2752079181</t>
  </si>
  <si>
    <t>A1/--/--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</si>
  <si>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</si>
  <si>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</si>
  <si>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</si>
  <si>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</si>
  <si>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</si>
  <si>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</si>
  <si>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</si>
  <si>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</si>
  <si>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</si>
  <si>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</si>
  <si>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</si>
  <si>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</si>
  <si>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</si>
  <si>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崂山科技 4.05 2027-01-25</t>
  </si>
  <si>
    <t>4.05%</t>
  </si>
  <si>
    <t>镇江文广集团 1.68 2027-01-24</t>
  </si>
  <si>
    <t>1.68%</t>
  </si>
  <si>
    <t>镇江市</t>
  </si>
  <si>
    <t>中国石油集团 2.6 2026-01-25</t>
  </si>
  <si>
    <t>中信证券国际 1 2027-01-25</t>
  </si>
  <si>
    <t>衡阳城投集团 4.86 2027-01-24</t>
  </si>
  <si>
    <t>衡阳市</t>
  </si>
  <si>
    <t>东和投资集团 3.58 2027-01-24</t>
  </si>
  <si>
    <t>3.58%</t>
  </si>
  <si>
    <t>江淮建设 3.58 2027-01-24</t>
  </si>
  <si>
    <t>农业银行 FLOAT 2027-01-24</t>
  </si>
  <si>
    <t>泰兴市润嘉控股有限公司 6 2027-01-18</t>
  </si>
  <si>
    <t>2.6%</t>
  </si>
  <si>
    <t>1%</t>
  </si>
  <si>
    <t>东京</t>
  </si>
  <si>
    <t>4.86%</t>
  </si>
  <si>
    <t>SOFR+63</t>
  </si>
  <si>
    <t>1.8%a</t>
  </si>
  <si>
    <t>4.5%a</t>
  </si>
  <si>
    <t>3%a</t>
  </si>
  <si>
    <t>5%a</t>
  </si>
  <si>
    <t>4%a</t>
  </si>
  <si>
    <t>1</t>
  </si>
  <si>
    <t>--/A+/--</t>
  </si>
  <si>
    <t>4</t>
  </si>
  <si>
    <t>【非中资】</t>
  </si>
  <si>
    <t>泰兴润嘉</t>
  </si>
  <si>
    <t>镇江文广</t>
  </si>
  <si>
    <t>Y</t>
  </si>
  <si>
    <t>XS2730511396</t>
  </si>
  <si>
    <t>聊城市国泰东昌城市建设发展集团有限公司</t>
  </si>
  <si>
    <t>240118XS2730511396</t>
  </si>
  <si>
    <t>衡阳城发</t>
  </si>
  <si>
    <t>聊城市</t>
  </si>
  <si>
    <t>聊城国泰东昌</t>
  </si>
  <si>
    <t>东昌府区</t>
  </si>
  <si>
    <t>Dongchang</t>
  </si>
  <si>
    <t>8%</t>
  </si>
  <si>
    <t>项目名称(集团全称)</t>
  </si>
  <si>
    <t>团队</t>
  </si>
  <si>
    <t>IS_JGC</t>
  </si>
  <si>
    <t>IS_BnD</t>
  </si>
  <si>
    <t>项目状态</t>
  </si>
  <si>
    <t>序号</t>
  </si>
  <si>
    <t>SOE</t>
  </si>
  <si>
    <t>NON-JGC</t>
  </si>
  <si>
    <t>1.服务已完成</t>
  </si>
  <si>
    <t>7</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</si>
  <si>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</si>
  <si>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</si>
  <si>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</si>
  <si>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</si>
  <si>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</si>
  <si>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</si>
  <si>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</si>
  <si>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</si>
  <si>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</si>
  <si>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</si>
  <si>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</si>
  <si>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</si>
  <si>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</si>
  <si>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</si>
  <si>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</si>
  <si>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</si>
  <si>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</si>
  <si>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3.已发出Invoice</t>
  </si>
  <si>
    <t>wConso</t>
  </si>
  <si>
    <t>审阅发行详情</t>
  </si>
  <si>
    <t>审阅债券详情</t>
  </si>
  <si>
    <t>审阅认购统计</t>
  </si>
  <si>
    <t>审阅主体详情</t>
  </si>
  <si>
    <t>审阅角色详情</t>
  </si>
  <si>
    <t>币种</t>
  </si>
  <si>
    <t>承销费.原币</t>
  </si>
  <si>
    <t>承销费.美元</t>
  </si>
  <si>
    <t>QRC汇率因子</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</si>
  <si>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</si>
  <si>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</si>
  <si>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</si>
  <si>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</si>
  <si>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</si>
  <si>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</si>
  <si>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</si>
  <si>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</si>
  <si>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</si>
  <si>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</si>
  <si>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</si>
  <si>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</si>
  <si>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</si>
  <si>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</si>
  <si>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</si>
  <si>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</si>
  <si>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</si>
  <si>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</si>
  <si>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</si>
  <si>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</si>
  <si>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</si>
  <si>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</si>
  <si>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</si>
  <si>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</si>
  <si>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</si>
  <si>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Postal Savings Bank of China</t>
  </si>
  <si>
    <t>Source</t>
  </si>
  <si>
    <t>ISIN.Weekly.Count</t>
  </si>
  <si>
    <t>DMIBBG</t>
  </si>
  <si>
    <t>DMI_Missing_ISIN</t>
  </si>
  <si>
    <t>QRC_Income24</t>
  </si>
  <si>
    <t>GFGCHK 6.05 01/16/25</t>
  </si>
  <si>
    <t>XS2749439043</t>
  </si>
  <si>
    <t>广发控股(香港) 6.05 2025-01-16</t>
  </si>
  <si>
    <t>6.05</t>
  </si>
  <si>
    <t>240112XS2749439043</t>
  </si>
  <si>
    <t>SWIPRO 3.29 01/19/26</t>
  </si>
  <si>
    <t>HK0000987310</t>
  </si>
  <si>
    <t>太古地产 3.29 2026-01-19</t>
  </si>
  <si>
    <t>A2/NR</t>
  </si>
  <si>
    <t>稳定/无</t>
  </si>
  <si>
    <t>3.29</t>
  </si>
  <si>
    <t>Oversea-Chinese Banking Corporation Limited</t>
  </si>
  <si>
    <t>SWIPRO</t>
  </si>
  <si>
    <t>SWIRE PROPERTIES MTN FINANCING LTD</t>
  </si>
  <si>
    <t>240112HK0000987310</t>
  </si>
  <si>
    <t>A2/--/A</t>
  </si>
  <si>
    <t>永州市零陵资产经营有限责任公司</t>
  </si>
  <si>
    <t>YZLLAM 4.4 01/19/27</t>
  </si>
  <si>
    <t>HK0000979499</t>
  </si>
  <si>
    <t>永州零陵资产经营公司 4.4 2027-01-19</t>
  </si>
  <si>
    <t>香港交易所;中华（澳门）金融资产交易股份有限公司</t>
  </si>
  <si>
    <t>4.4%区域</t>
  </si>
  <si>
    <t>永州市</t>
  </si>
  <si>
    <t>Zheshang International Financial Holdings Co., Limited</t>
  </si>
  <si>
    <t>3.01Y</t>
  </si>
  <si>
    <t>项目开发和补充营运资金</t>
  </si>
  <si>
    <t>YZLLAM</t>
  </si>
  <si>
    <t>Raising International Securities Limited;Shenwan Hongyuan Securities (H.K.) Limited;China Industrial Securities International Brokerage Limited;Hua Xia Bank Co., Limited Hong Kong Branch;Industrial Bank Co., Ltd. Hong Kong Branch;Huatai Financial Holdings (Hong Kong) Limited;China Zheshang Bank Co., Ltd. Hong Kong Branch;RIME Capital Limited;Shanghai Pudong Development Bank Hong Kong Branch;Wilson Securities Limited;CMB Wing Lung Bank Limited;Guotai Junan Securities (Hong Kong) Limited;Sigma Capital Management Limited</t>
  </si>
  <si>
    <t>Raising International Securities Limited;Shenwan Hongyuan Securities (H.K.) Limited;Zheshang International Financial Holdings Co., Limited;China Industrial Securities International Brokerage Limited;Hua Xia Bank Co., Limited Hong Kong Branch;Industrial Bank Co., Ltd. Hong Kong Branch;Huatai Financial Holdings (Hong Kong) Limited;China Zheshang Bank Co., Ltd. Hong Kong Branch;RIME Capital Limited;Guotai Junan Securities (Hong Kong) Limited;Shanghai Pudong Development Bank Hong Kong Branch;Wilson Securities Limited;CMB Wing Lung Bank Limited;Sigma Capital Management Limited</t>
  </si>
  <si>
    <t>240112HK0000979499</t>
  </si>
  <si>
    <t>Bank of Changsha</t>
  </si>
  <si>
    <t>DJYCAA 4.7 01/19/27</t>
  </si>
  <si>
    <t>都江堰城建集团 4.7 2027-01-19</t>
  </si>
  <si>
    <t>4.7</t>
  </si>
  <si>
    <t>4.8% 区域</t>
  </si>
  <si>
    <t>4.7%</t>
  </si>
  <si>
    <t>成都市</t>
  </si>
  <si>
    <t>China International Capital Corporation Hong Kong Securities Limited;HUNG SING SECURITIES LIMITED</t>
  </si>
  <si>
    <t>农业综合</t>
  </si>
  <si>
    <t>项目开发和补充营运资本</t>
  </si>
  <si>
    <t>DJYCAA</t>
  </si>
  <si>
    <t>ChangJiang Securities Brokerage (HK) Limited;BOSC International Securities Limited;Shenwan Hongyuan Securities (H.K.) Limited;Zheshang International Financial Holdings Co.,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CITIC Bank International Limited;Huatai Financial Holdings (Hong Kong) Limited;SunRiver International Securities Group Limited;Donghai International Securities (Hong Kong) Limited;JA Securities Limited;Haitong International Securities Company Limited;Sigma Capital Management Limited;CCB International Capital Limited</t>
  </si>
  <si>
    <t>ChangJiang Securities Brokerage (HK) Limited;BOSC International Securities Limited;Shenwan Hongyuan Securities (H.K.) Limited;Zheshang International Financial Holdings Co., Limited;CCB International Capital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International Capital Corporation Hong Kong Securities Limited;China CITIC Bank International Limited;Huatai Financial Holdings (Hong Kong) Limited;SunRiver International Securities Group Limited;HUNG SING SECURITIES LIMITED;Donghai International Securities (Hong Kong) Limited;JA Securities Limited;Haitong International Securities Company Limited;Sigma Capital Management Limited</t>
  </si>
  <si>
    <t>240112HK0000979580</t>
  </si>
  <si>
    <t>成都东进淮州新城投资集团有限公司</t>
  </si>
  <si>
    <t>CDHXIG 7.6 01/18/26</t>
  </si>
  <si>
    <t>XS2748111452</t>
  </si>
  <si>
    <t>成都东进淮投 7.6 2026-01-18</t>
  </si>
  <si>
    <t>7.6</t>
  </si>
  <si>
    <t>7.6%</t>
  </si>
  <si>
    <t>Yuan Tong Global Securities Limited;Pearl International Securities Limited</t>
  </si>
  <si>
    <t>项目建设和补充营运资金</t>
  </si>
  <si>
    <t>CDHXIG</t>
  </si>
  <si>
    <t>Golden Rich Securities Limited;Shenwan Hongyuan Securities (H.K.) Limited;TFI Securities and Futures Limited;Alpine Securities Limited;CCB International Capital Limited;China Galaxy International Securities (Hong Kong) Company Limited;Cinda International Capital Limited;CF Securities Limited;Sinomax Securities Limited;China Industrial Securities International Brokerage Limited;Fortune Origin Securities Limited;Shanghai Pudong Development Bank Hong Kong Branch;SunRiver International Securities Group Limited;JQ Securities (Hong Kong) Limited;Global Prosperity Financial Company Limited;Donghai International Securities (Hong Kong) Limited;Haitong Bank, Macau Branch;AMC Wanhai Securities Limited;Haitong International Securities Company Limited;Sino Opulence Securities Limited</t>
  </si>
  <si>
    <t>Golden Rich Securities Limited;Shenwan Hongyuan Securities (H.K.) Limited;Yuan Tong Global Securities Limited;TFI Securities and Futures Limited;Alpine Securities Limited;CCB International Capital Limited;China Galaxy International Securities (Hong Kong) Company Limited;Cinda International Capital Limited;CF Securities Limited;Sino Opulence Securities Limited;Sinomax Securities Limited;China Industrial Securities International Brokerage Limited;Fortune Origin Securities Limited;Pearl International Securities Limited;AMC Wanhai Securities Limited;Shanghai Pudong Development Bank Hong Kong Branch;SunRiver International Securities Group Limited;JQ Securities (Hong Kong) Limited;Global Prosperity Financial Company Limited;Donghai International Securities (Hong Kong) Limited;Haitong Bank, Macau Branch;Haitong International Securities Company Limited</t>
  </si>
  <si>
    <t>240112XS2748111452</t>
  </si>
  <si>
    <t>零息</t>
  </si>
  <si>
    <t>浮动利率</t>
  </si>
  <si>
    <t>A1/A</t>
  </si>
  <si>
    <t>西城区</t>
  </si>
  <si>
    <t>中央国有企业</t>
  </si>
  <si>
    <t>BCHINA</t>
  </si>
  <si>
    <t>GREEN</t>
  </si>
  <si>
    <t>都江堰城投</t>
  </si>
  <si>
    <t>永州零陵资产</t>
  </si>
  <si>
    <t>成都东进准投</t>
  </si>
  <si>
    <t>【零息】</t>
  </si>
  <si>
    <t>中国银行</t>
  </si>
  <si>
    <t>3个月</t>
  </si>
  <si>
    <t>GREEN绿色债券</t>
  </si>
  <si>
    <t>CNPC GLOBAL CAPITAL LIMITED</t>
  </si>
  <si>
    <t>CHUANG ZHI RONG TONG INTERNATIONAL INVESTMENT BVI CO., LIMITED</t>
  </si>
  <si>
    <t>CSI MTN LIMITED</t>
  </si>
  <si>
    <t>AGRICULTURAL BANK OF CHINA LTD/NEW YORK</t>
  </si>
  <si>
    <t>龙川海外投资有限公司</t>
  </si>
  <si>
    <t>【】/【】/【】</t>
  </si>
  <si>
    <t>衡阳城投</t>
  </si>
  <si>
    <t>聊城国泰东昌城建</t>
  </si>
  <si>
    <t>债券备注</t>
  </si>
  <si>
    <t>ASIA:100%</t>
  </si>
  <si>
    <t>亚洲:100%</t>
  </si>
  <si>
    <t>Global Advisor*</t>
  </si>
  <si>
    <t>银行/金融机构:87%，政策性银行/养老基金:8%，保险/其他:5%</t>
  </si>
  <si>
    <t>ShowAll</t>
  </si>
  <si>
    <t>BBG</t>
  </si>
  <si>
    <t>CNPCCH 2.6 01/25/26</t>
  </si>
  <si>
    <t>A1/A+</t>
  </si>
  <si>
    <t>2.6</t>
  </si>
  <si>
    <t>3.0% 区域</t>
  </si>
  <si>
    <t>2.60% </t>
  </si>
  <si>
    <t>Bank of Communications Co., Ltd. Hong Kong Branch;The Hongkong and Shanghai Banking Corporation Limited;China Construction Bank (Asia) Corporation Limited;Industrial and Commercial Bank of China (Asia) Limited;Bank of China (Hong Kong) Limited;Citigroup Global Markets Limited</t>
  </si>
  <si>
    <t>石油开采</t>
  </si>
  <si>
    <t>一般公司用途</t>
  </si>
  <si>
    <t>CNPCCH</t>
  </si>
  <si>
    <t>2.60%</t>
  </si>
  <si>
    <t>China International Capital Corporation Hong Kong Securities Limited;Standard Chartered Asia Ltd;ABCI Capital Limited;China Securities (International) Corporate Finance Company Limited;CLSA Limited</t>
  </si>
  <si>
    <t>CLSA Limited;Bank of Communications Co., Ltd. Hong Kong Branch;The Hongkong and Shanghai Banking Corporation Limited;China International Capital Corporation Hong Kong Securities Limited;China Construction Bank (Asia) Corporation Limited;Industrial and Commercial Bank of China (Asia) Limited;Standard Chartered Asia Ltd;ABCI Capital Limited;Bank of China (Hong Kong) Limited;Citigroup Global Markets Limited;China Securities (International) Corporate Finance Company Limited</t>
  </si>
  <si>
    <t>ZJCBIG 1.68 01/24/27</t>
  </si>
  <si>
    <t>1.68</t>
  </si>
  <si>
    <t>1.8% 区域</t>
  </si>
  <si>
    <t>江苏银行股份有限公司镇江分行</t>
  </si>
  <si>
    <t>Central Wealth Securities Investment Limited;China International Capital Corporation Hong Kong Securities Limited;CCB International Capital Limited;Shanghai Pudong Development Bank Hong Kong Branch;SunRiver International Securities Group Limited;CLSA Limited</t>
  </si>
  <si>
    <t>文化传媒</t>
  </si>
  <si>
    <t>销售收益将根据本发行说明书中所述的绿色金融框架使用。</t>
  </si>
  <si>
    <t>ZJCBIG</t>
  </si>
  <si>
    <t>Industrial Bank Co., Ltd. Hong Kong Branch;Carnegie Hill Capital Partners Limited;China Galaxy International Securities (Hong Kong) Company Limited;Essence International Securities (Hong Kong) Limited;JQ Securities (Hong Kong) Limited;CMB Wing Lung Bank Limited;GF Securities (Hong Kong) Brokerage Limited;JA Securities Limited</t>
  </si>
  <si>
    <t>CLSA Limited;Central Wealth Securities Investment Limited;CCB International Capital Limited;China Galaxy International Securities (Hong Kong) Company Limited;Essence International Securities (Hong Kong) Limited;GF Securities (Hong Kong) Brokerage Limited;Industrial Bank Co., Ltd. Hong Kong Branch;China International Capital Corporation Hong Kong Securities Limited;Carnegie Hill Capital Partners Limited;Shanghai Pudong Development Bank Hong Kong Branch;JQ Securities (Hong Kong) Limited;CMB Wing Lung Bank Limited;SunRiver International Securities Group Limited;JA Securities Limited</t>
  </si>
  <si>
    <t>Bank of Jiangsu</t>
  </si>
  <si>
    <t>CZRT 4.05 01/25/27</t>
  </si>
  <si>
    <t>4.05</t>
  </si>
  <si>
    <t>4.5% 区域</t>
  </si>
  <si>
    <t>维好协议+SBLC</t>
  </si>
  <si>
    <t>恒丰银行股份有限公司青岛分行</t>
  </si>
  <si>
    <t>青岛市</t>
  </si>
  <si>
    <t>Orient Securities (Hong Kong) Limited</t>
  </si>
  <si>
    <t>贸易</t>
  </si>
  <si>
    <t>CZRT</t>
  </si>
  <si>
    <t>Industrial Bank Co., Ltd. Hong Kong Branch;Hua Xia Bank Co., Limited Hong Kong Branch;CNCB (Hong Kong) Capital Limited;CEB International Capital Corporation Limited;Shanghai Pudong Development Bank Hong Kong Branch</t>
  </si>
  <si>
    <t>Industrial Bank Co., Ltd. Hong Kong Branch;Hua Xia Bank Co., Limited Hong Kong Branch;CNCB (Hong Kong) Capital Limited;CEB International Capital Corporation Limited;Orient Securities (Hong Kong) Limited;Shanghai Pudong Development Bank Hong Kong Branch</t>
  </si>
  <si>
    <t>Evergrowing Bank</t>
  </si>
  <si>
    <t>CSILTD 1 01/25/27</t>
  </si>
  <si>
    <t>东京证券交易所</t>
  </si>
  <si>
    <t>深圳市</t>
  </si>
  <si>
    <t>Bank of China Limited;Hua Xia Bank Co., Limited Hong Kong Branch;China Construction Bank (Asia) Corporation Limited;Industrial and Commercial Bank of China (Asia) Limited;Bank of Communications;China CITIC Bank International Limited;CITIC Securities</t>
  </si>
  <si>
    <t>CSILTD</t>
  </si>
  <si>
    <t>1.00%</t>
  </si>
  <si>
    <t>Industrial Bank Co., Ltd. Hong Kong Branch;CMBC Capital Holdings;SMBC Nikko Capital Markets Limited;Mizuho Securities Asia Limited</t>
  </si>
  <si>
    <t>Bank of China Limited;Industrial Bank Co., Ltd. Hong Kong Branch;CMBC Capital Holdings;Hua Xia Bank Co., Limited Hong Kong Branch;China Construction Bank (Asia) Corporation Limited;Industrial and Commercial Bank of China (Asia) Limited;Bank of Communications;China CITIC Bank International Limited;SMBC Nikko Capital Markets Limited;Mizuho Securities Asia Limited;CITIC Securities</t>
  </si>
  <si>
    <t>GFGCHK 6 07/18/24</t>
  </si>
  <si>
    <t>广发控股(香港) 6 2024-07-18</t>
  </si>
  <si>
    <t>GFGCHK 3.6 04/18/24</t>
  </si>
  <si>
    <t>广发控股(香港) 3.6 2024-04-18</t>
  </si>
  <si>
    <t>3.6</t>
  </si>
  <si>
    <t>AGRBK FLOAT 01/24/27</t>
  </si>
  <si>
    <t>5.9851000000000001</t>
  </si>
  <si>
    <t>东城区</t>
  </si>
  <si>
    <t>Agricultural Bank of China Limited Hong Kong Branch;ABCI Capital Limited;Citigroup Global Markets Limited;Crédit Agricole Corporate and Investment Bank;Mizuho Securities Asia Limited;Standard Chartered Bank</t>
  </si>
  <si>
    <t>BANK/FI:87%
POLICYBANK/PENSION:8%
INS/OTHERS:5%</t>
  </si>
  <si>
    <t>General corporate purposes</t>
  </si>
  <si>
    <t>AGRBK</t>
  </si>
  <si>
    <t>O/N SOFR +63.000</t>
  </si>
  <si>
    <t>SOFR Compounded Index+63bps</t>
  </si>
  <si>
    <t>Bank of China Limited, London Branch;Bank of China (Hong Kong) Limited;Bank of Communications Co., Ltd. Hong Kong Branch;BNP Paribas;BofA Securities;China Construction Bank (Europe) S.A.;China Everbright Bank Hong Kong Branch;China International Capital Corporation Hong Kong Securities Limited;China Minsheng Banking Corp., Ltd., Hong Kong Branch;China Securities (International) Corporate Finance Company Limited;CLSA Limited;CMB Wing Lung Bank Limited;CNCB (Hong Kong) Capital Limited;DBS Bank Ltd;The Hongkong and Shanghai Banking Corporation Limited;Huatai Financial Holdings (Hong Kong) Limited;Industrial and Commercial Bank of China (Asia) Limited;Industrial Bank Co., Ltd. Hong Kong Branch;J.P. Morgan Securities plc;Shanghai Pudong Development Bank Hong Kong Branch</t>
  </si>
  <si>
    <t>J.P. Morgan Securities plc;China Construction Bank (Europe) S.A.;Crédit Agricole Corporate and Investment Bank;China Everbright Bank Hong Kong Branch;BofA Securities;Bank of Communications Co., Ltd. Hong Kong Branch;Industrial Bank Co., Ltd. Hong Kong Branch;Bank of China Limited, London Branch;DBS Bank Ltd;China International Capital Corporation Hong Kong Securities Limited;CNCB (Hong Kong) Capital Limited;Huatai Financial Holdings (Hong Kong) Limited;Industrial and Commercial Bank of China (Asia) Limited;Bank of China (Hong Kong) Limited;Mizuho Securities Asia Limited;China Securities (International) Corporate Finance Company Limited;CLSA Limited;China Minsheng Banking Corp., Ltd., Hong Kong Branch;Standard Chartered Bank;The Hongkong and Shanghai Banking Corporation Limited;Shanghai Pudong Development Bank Hong Kong Branch;Agricultural Bank of China Limited Hong Kong Branch;CMB Wing Lung Bank Limited;ABCI Capital Limited;Citigroup Global Markets Limited;BNP Paribas</t>
  </si>
  <si>
    <t>SOFRIX +63.000</t>
  </si>
  <si>
    <t>HEURBA 4.86 01/24/27</t>
  </si>
  <si>
    <t>4.8600000000000003</t>
  </si>
  <si>
    <t>5.00% 区域</t>
  </si>
  <si>
    <t>4.86 %</t>
  </si>
  <si>
    <t>China Securities (International) Corporate Finance Company Limited</t>
  </si>
  <si>
    <t>国有企业</t>
  </si>
  <si>
    <t>根据中华人民共和国国家发展和改革委员会于2023年9月5日颁发的预发行登记证书，用于一般企业目的。</t>
  </si>
  <si>
    <t>HEURBA</t>
  </si>
  <si>
    <t>Shenwan Hongyuan Securities (H.K.) Limited;CEB International Capital Corporation Limited;China Galaxy International Securities (Hong Kong) Company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Limited;CMBC Capital Holdings;Essence International Securities (Hong Kong) Limited</t>
  </si>
  <si>
    <t>Shenwan Hongyuan Securities (H.K.) Limited;CMBC Capital Holdings;CEB International Capital Corporation Limited;China Galaxy International Securities (Hong Kong) Company Limited;Essence International Securities (Hong Kong)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Limited;China Securities (International) Corporate Finance Company Limited</t>
  </si>
  <si>
    <t>Y1</t>
  </si>
  <si>
    <t>JDIGCL 3.58 01/24/27</t>
  </si>
  <si>
    <t>3.58</t>
  </si>
  <si>
    <t>中国邮政储蓄银行股份有限公司南通分行</t>
  </si>
  <si>
    <t>南通市</t>
  </si>
  <si>
    <t>Central Wealth Securities Investment Limited</t>
  </si>
  <si>
    <t>补充营运资本。</t>
  </si>
  <si>
    <t>JDIGCL</t>
  </si>
  <si>
    <t>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Limited;CLSA Limited</t>
  </si>
  <si>
    <t>CLSA Limited;Central Wealth Securities Investment Limited;CCB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t>
  </si>
  <si>
    <t>LCOSIV 3.58 01/24/27</t>
  </si>
  <si>
    <t>4.0% 区域</t>
  </si>
  <si>
    <t>江苏银行股份有限公司扬州分行</t>
  </si>
  <si>
    <t>扬州市</t>
  </si>
  <si>
    <t>江都区</t>
  </si>
  <si>
    <t>Guotai Junan Securities (Hong Kong) Limited;Haitong International Securities Company Limited;CLSA Limited</t>
  </si>
  <si>
    <t>旅游综合</t>
  </si>
  <si>
    <t>补充营运资金和项目建设。</t>
  </si>
  <si>
    <t>LCOSIV</t>
  </si>
  <si>
    <t>CMB International Capital Limited;Industrial Bank Co., Ltd. Hong Kong Branch;CNCB (Hong Kong) Capital Limited;CEB International Capital Corporation Limited;Huatai Financial Holdings (Hong Kong) Limited;China Securities (International) Corporate Finance Company Limited;China Industrial Securities International Brokerage Limited;Zhongtai International Securities Limited</t>
  </si>
  <si>
    <t>CMB International Capital Limited;CLSA Limited;Industrial Bank Co., Ltd. Hong Kong Branch;CNCB (Hong Kong) Capital Limited;CEB International Capital Corporation Limited;Huatai Financial Holdings (Hong Kong) Limited;Guotai Junan Securities (Hong Kong) Limited;Zhongtai International Securities Limited;China Securities (International) Corporate Finance Company Limited;China Industrial Securities International Brokerage Limited;Haitong International Securities Company Limited</t>
  </si>
  <si>
    <t>HKCGAS 3.9 01/25/27</t>
  </si>
  <si>
    <t>HK0000987450</t>
  </si>
  <si>
    <t>香港中华煤气 3.9 2027-01-25</t>
  </si>
  <si>
    <t>A1/A-</t>
  </si>
  <si>
    <t>3.9</t>
  </si>
  <si>
    <t>The Hongkong and Shanghai Banking Corporation Limited</t>
  </si>
  <si>
    <t>燃气</t>
  </si>
  <si>
    <t>中外合资企业</t>
  </si>
  <si>
    <t>HKCGAS</t>
  </si>
  <si>
    <t>HKCG FINANCE LTD</t>
  </si>
  <si>
    <t>240116HK0000987450</t>
  </si>
  <si>
    <t>A1/A-/--</t>
  </si>
  <si>
    <t>SUNHUN 3 01/23/26</t>
  </si>
  <si>
    <t>HK0000987526</t>
  </si>
  <si>
    <t>新鸿基地产 3 2026-01-23</t>
  </si>
  <si>
    <t>--/A+</t>
  </si>
  <si>
    <t>China Construction Bank (Asia) Corporation Limited</t>
  </si>
  <si>
    <t>外商独资企业</t>
  </si>
  <si>
    <t>SUNHUN</t>
  </si>
  <si>
    <t>SUN HUNG KAI PROPERTIES CAPITAL MARKET LTD</t>
  </si>
  <si>
    <t>240116HK0000987526</t>
  </si>
  <si>
    <t>KY</t>
  </si>
  <si>
    <t>--/A+/A</t>
  </si>
  <si>
    <t>HKMTGC 4.34 01/24/25</t>
  </si>
  <si>
    <t>BBG01L0L9CV5</t>
  </si>
  <si>
    <t>香港按揭证券 4.34 2025-01-24</t>
  </si>
  <si>
    <t>Aa3/AA+</t>
  </si>
  <si>
    <t>4.34</t>
  </si>
  <si>
    <t>Citigroup Global Markets Limited</t>
  </si>
  <si>
    <t>HKMTGC</t>
  </si>
  <si>
    <t>HONG KONG MORTGAGE CORP LTD/THE</t>
  </si>
  <si>
    <t>240116BBG01L0L9CV5</t>
  </si>
  <si>
    <t>--/AA+/--</t>
  </si>
  <si>
    <t>BCHINA 0 04/23/24</t>
  </si>
  <si>
    <t>XS2753309496</t>
  </si>
  <si>
    <t>中国银行 0 2024-04-23</t>
  </si>
  <si>
    <t>Daiwa Capital Markets Hong Kong Ltd</t>
  </si>
  <si>
    <t>BANK OF CHINA LTD/TOKYO</t>
  </si>
  <si>
    <t>240116XS2753309496</t>
  </si>
  <si>
    <t>TXRJHD 6 01/18/27</t>
  </si>
  <si>
    <t>TXRJHD</t>
  </si>
  <si>
    <t>China Zheshang Bank Co., Ltd. Hong Kong Branch;Donghai International Securities (Hong Kong) Limited;VMI Securities Limited;China Industrial Securities International Financial Group Limited</t>
  </si>
  <si>
    <t>VMI Securities Limited;China Zheshang Bank Co., Ltd. Hong Kong Branch;Donghai International Securities (Hong Kong) Limited;China Industrial Securities International Financial Group Limited</t>
  </si>
  <si>
    <t>2.0Y</t>
  </si>
  <si>
    <t>A2/--/--</t>
  </si>
  <si>
    <t>都江堰市</t>
  </si>
  <si>
    <t>金堂县</t>
  </si>
  <si>
    <t>YUEXIU 4 11/15/26</t>
  </si>
  <si>
    <t>HK0000963139</t>
  </si>
  <si>
    <t>越秀地产 4 2026-11-15</t>
  </si>
  <si>
    <t>Baa3/NR</t>
  </si>
  <si>
    <t>负面/无</t>
  </si>
  <si>
    <t>Baa3/--</t>
  </si>
  <si>
    <t>4%</t>
  </si>
  <si>
    <t>CLSA Limited;CMB International Capital Limited;Chong Hing Bank Limited;Yue Xiu Securities Company Limited</t>
  </si>
  <si>
    <t>对一年内到期的部分海外中长期债务的再融资</t>
  </si>
  <si>
    <t>YUEXIU</t>
  </si>
  <si>
    <t>愉欣国际有限公司</t>
  </si>
  <si>
    <t>4.0%</t>
  </si>
  <si>
    <t>ABCI Capital Limited;Industrial and Commercial Bank of China (Asia) Limited;Luso International Banking Limited;Nanyang Commercial Bank, Limited;Shanghai Pudong Development Bank Co., Ltd., Hong Kong Branch;China Zheshang Bank Co., Ltd. Hong Kong Branch</t>
  </si>
  <si>
    <t>CMB International Capital Limited;Chong Hing Bank Limited;Yue Xiu Securities Company Limited;Bank of Communications Co., Ltd. Hong Kong Branch;Luso International Banking Ltd;Hua Xia Bank Co., Limited Hong Kong Branch;Industrial Bank Co., Ltd. Hong Kong Branch;China Minsheng Banking Corp., Ltd., Hong Kong Branch;China CITIC Bank International Limited;ABCI Capital Limited;CLSA Securities Limited</t>
  </si>
  <si>
    <t>240112HK0000963139</t>
  </si>
  <si>
    <t>Baa3/--/--</t>
  </si>
  <si>
    <t>Baa3/--/BBB-</t>
  </si>
  <si>
    <t>青岛崂山科创</t>
  </si>
  <si>
    <t>中国石油</t>
  </si>
  <si>
    <t>JGC至少3家</t>
  </si>
  <si>
    <t>中信证券国际</t>
  </si>
  <si>
    <t>有FPG</t>
  </si>
  <si>
    <t>江苏东和投资</t>
  </si>
  <si>
    <t>扬州江淮建发</t>
  </si>
  <si>
    <t>农业银行</t>
  </si>
  <si>
    <t>越秀地产</t>
  </si>
  <si>
    <t>镇江分行</t>
  </si>
  <si>
    <t>青岛分行</t>
  </si>
  <si>
    <t>扬州分行</t>
  </si>
  <si>
    <t>T+1</t>
  </si>
  <si>
    <t>纽约分行</t>
  </si>
  <si>
    <t>南通分行</t>
  </si>
  <si>
    <t>审阅筛除主体</t>
  </si>
  <si>
    <t>审阅筛除债券</t>
  </si>
  <si>
    <t>美国上周初请失业金人数降至2022年末以来最低水平，暗示1月就业增长可能保持稳健。初请失业金人数在年初往往波动较大。劳动力市场正在逐渐缓和，在新冠疫情期间和之后，雇主普遍不愿裁员，因为他们很难找到劳动力。初请失业金数据可能促使金融市场进一步缩减对3月降息的押注。</t>
  </si>
  <si>
    <t>https://www.cnfin.com/yw-lb/detail/20240119/4002676_1.html</t>
  </si>
  <si>
    <t>中国国务院总理李强在达沃斯世界经济论坛上表示，估计2023年中国国内生产总值(GDP)增长约5.2%，在不依赖大规模刺激的情况下，超过了政府当年增长目标。中国据悉考虑今年发行1万亿元人民币（合1,390亿美元）超长期特别国债，以提振经济。</t>
  </si>
  <si>
    <t>https://hk.finance.yahoo.com/news/%E4%B8%AD%E5%9B%BD%E6%80%BB%E7%90%86%E6%9D%8E%E5%BC%BA%E5%9C%A8%E8%BE%BE%E6%B2%83%E6%96%AF%E7%A7%B0%E4%BC%B0%E8%AE%A1%E5%8E%BB%E5%B9%B4%E7%BB%8F%E6%B5%8E%E5%A2%9E%E9%95%BF%E7%BA%A65-2-005931170.html</t>
  </si>
  <si>
    <t>中国央行料将于下周一将1年期MLF操作利率调降10个基点至2.4%。若如此，这将是央行去年8月以来的首次MLF降息。接受调查的15位经济学家和分析师中仅有4位预计利率将维持不变。操作规模方面，9位经济学家的预估中值为净投放1210亿元。</t>
  </si>
  <si>
    <t>https://hk.finance.yahoo.com/news/%E4%B8%AD%E5%9C%8B%E5%A4%AE%E8%A1%8C%E6%96%99%E8%AA%BF%E9%99%8Dmlf%E5%88%A9%E7%8E%87-%E5%8A%A0%E7%A2%BC%E5%AF%AC%E9%AC%86%E5%8A%9B%E5%BA%A6%E4%BB%A5%E6%8C%AF%E7%96%B2%E5%BC%B1%E4%BF%A1%E5%BF%83-220000742.html</t>
  </si>
  <si>
    <t>举世瞩目的台湾大选尘埃落定。中央选举委员会公布的结果显示，民进党参选人赖清德以约40%的得票率战胜另外两位候选人，将与萧美琴分别担任下一任正副总统。这一结果创下同一政党连续第三次执政的纪录。</t>
  </si>
  <si>
    <t>https://hk.finance.yahoo.com/news/%E5%8F%B0%E6%B9%BE%E5%A4%A7%E9%80%89%E8%BF%BD%E8%B8%AA-%E6%9E%81%E5%B0%91%E6%95%B0%E7%A5%A8%E5%BC%80%E5%87%BA-%E6%B0%91%E8%BF%9B%E5%85%9A%E8%B5%96%E6%B8%85%E5%BE%B7%E6%9A%82%E9%A2%86%E5%85%88-%E5%82%8D%E6%99%9A%E6%96%99%E6%9C%89%E5%88%9D%E6%AD%A5%E7%BB%93%E6%9E%9C-085749445.html</t>
  </si>
  <si>
    <t>欧洲央行管委霍尔茨曼在达沃斯世界经济论坛接受采访时表示，持续的通胀威胁将阻止欧洲央行今年降低利率，尽管经济衰退的可能性已经无法排除。欧元区经济最近令人失望，一旦公布第四季度表现，可能会证明官员们过于乐观。与此同时，地缘政治冲突——比如中东冲突——有可能扰乱供应链和能源市场，给物价带来压力，这是欧洲央行无法忽视的。</t>
  </si>
  <si>
    <t>https://finance.sina.cn/2024-01-15/detail-inacrmtu5470151.d.html?from=wap</t>
  </si>
  <si>
    <t>山东正方控股集团有限公司</t>
  </si>
  <si>
    <t>SDZFHD 7.8 01/25/26</t>
  </si>
  <si>
    <t>XS2739481393</t>
  </si>
  <si>
    <t>山东正方控股 7.8 2026-01-25</t>
  </si>
  <si>
    <t>7.8</t>
  </si>
  <si>
    <t>济宁市</t>
  </si>
  <si>
    <t>Golden Rich Securities Limited;ChaoShang Securities Ltd;TFI Securities and Futures Limited;Zhonghui International Securities Limited;Essence International Securities (Hong Kong) Limited;Alpine Securities Limited</t>
  </si>
  <si>
    <t>AA</t>
  </si>
  <si>
    <t>为了营运资本和项目融资</t>
  </si>
  <si>
    <t>SDZFHD</t>
  </si>
  <si>
    <t>7.8%</t>
  </si>
  <si>
    <t>Yuan Tong Global Securities Limited;Shanghai Pudong Development Bank Hong Kong Branch;Innovest Securities Investment Ltd;First Fidelity Capital ( International ) Limited;Haitong International Securities Company Limited;Qianxing Capital Limited</t>
  </si>
  <si>
    <t>Golden Rich Securities Limited;Yuan Tong Global Securities Limited;ChaoShang Securities Ltd;TFI Securities and Futures Limited;Qianxing Capital Limited;Alpine Securities Limited;Zhonghui International Securities Limited;Shanghai Pudong Development Bank Hong Kong Branch;Innovest Securities Investment Ltd;Essence International Securities (Hong Kong) Limited;First Fidelity Capital ( International ) Limited;Haitong International Securities Company Limited</t>
  </si>
  <si>
    <t>240119XS2739481393</t>
  </si>
  <si>
    <t>南安市能源工贸投资发展集团有限公司</t>
  </si>
  <si>
    <t>NANCIT 5.15 01/26/27</t>
  </si>
  <si>
    <t>HK0000979937</t>
  </si>
  <si>
    <t>南安工贸 5.15 2027-01-26</t>
  </si>
  <si>
    <t>5.15</t>
  </si>
  <si>
    <t>5.3% 区域</t>
  </si>
  <si>
    <t>5.15%</t>
  </si>
  <si>
    <t>福建省</t>
  </si>
  <si>
    <t>泉州市</t>
  </si>
  <si>
    <t>TFI Securities and Futures Limited;Industrial Bank Co., Ltd. Hong Kong Branch;China Securities (International) Corporate Finance Company Limited</t>
  </si>
  <si>
    <t>2.01Y+1.0Y</t>
  </si>
  <si>
    <t>项目建设和工作资金补充</t>
  </si>
  <si>
    <t>NANCIT</t>
  </si>
  <si>
    <t>Guolian Securities International Capital Co., Limited;China CITIC Bank International Limited;Bank of China Limited, Singapore Branch;Haitong Bank, Macau Branch</t>
  </si>
  <si>
    <t>Guolian Securities International Capital Co., Limited;TFI Securities and Futures Limited;Industrial Bank Co., Ltd. Hong Kong Branch;China CITIC Bank International Limited;Bank of China Limited, Singapore Branch;Haitong Bank, Macau Branch;China Securities (International) Corporate Finance Company Limited</t>
  </si>
  <si>
    <t>可赎回、可回售债</t>
  </si>
  <si>
    <t>240119HK0000979937</t>
  </si>
  <si>
    <t>崂山区</t>
  </si>
  <si>
    <t>178D</t>
  </si>
  <si>
    <t>87D</t>
  </si>
  <si>
    <t>1.0Y</t>
  </si>
  <si>
    <t>92D</t>
  </si>
  <si>
    <t>2.99Y</t>
  </si>
  <si>
    <t>360D</t>
  </si>
  <si>
    <t>1.99Y</t>
  </si>
  <si>
    <t>2.81Y</t>
  </si>
  <si>
    <t>当代置业(中国)有限公司</t>
  </si>
  <si>
    <t>MOLAND 9 12/28/24</t>
  </si>
  <si>
    <t>XS2737638648</t>
  </si>
  <si>
    <t>当代置业 9 2024-12-28</t>
  </si>
  <si>
    <t>WR/--</t>
  </si>
  <si>
    <t>无/--</t>
  </si>
  <si>
    <t>0.9973</t>
  </si>
  <si>
    <t>9</t>
  </si>
  <si>
    <t>新加坡交易所</t>
  </si>
  <si>
    <t>144A</t>
  </si>
  <si>
    <t>341D</t>
  </si>
  <si>
    <t>违约</t>
  </si>
  <si>
    <t>MOLAND</t>
  </si>
  <si>
    <t>MODERN LAND CHINA CO LTD</t>
  </si>
  <si>
    <t>当代置业(中国)有限公司子公司</t>
  </si>
  <si>
    <t>实物支付</t>
  </si>
  <si>
    <t>可赎回债</t>
  </si>
  <si>
    <t>231229XS2737638648</t>
  </si>
  <si>
    <t>XS2737639372</t>
  </si>
  <si>
    <t>231229XS2737639372</t>
  </si>
  <si>
    <t>淄博市张店区国有资产运营有限公司</t>
  </si>
  <si>
    <t>HENGRU 7.8 01/05/27</t>
  </si>
  <si>
    <t>XS2732861104</t>
  </si>
  <si>
    <t>张店国资 7.8 2027-01-05</t>
  </si>
  <si>
    <t>淄博市</t>
  </si>
  <si>
    <t>张店区</t>
  </si>
  <si>
    <t>Haitong Bank, Macau Branch</t>
  </si>
  <si>
    <t>2.95Y</t>
  </si>
  <si>
    <t>用于项目投资和补充营运资金</t>
  </si>
  <si>
    <t>HENGRU</t>
  </si>
  <si>
    <t>HENGRUI INTERNATIONAL BVI CO., LIMITED</t>
  </si>
  <si>
    <t>Shenwan Hongyuan Securities (H.K.) Limited;China CITIC Bank International Limited;Shanghai Pudong Development Bank Hong Kong Branch;Realord Asia Pacific Securities Limited;CF Securities Limited;Far East Horizon International Securities Limited</t>
  </si>
  <si>
    <t>Shenwan Hongyuan Securities (H.K.) Limited;China CITIC Bank International Limited;Shanghai Pudong Development Bank Hong Kong Branch;Realord Asia Pacific Securities Limited;CF Securities Limited;Far East Horizon International Securities Limited;Haitong Bank, Macau Branch</t>
  </si>
  <si>
    <t>231229XS2732861104</t>
  </si>
  <si>
    <t>泸州航空发展投资集团有限公司</t>
  </si>
  <si>
    <t>LZADIG 4.8 01/08/27</t>
  </si>
  <si>
    <t>HK0000979606</t>
  </si>
  <si>
    <t>泸州航空发展投资集团 4.8 2027-01-08</t>
  </si>
  <si>
    <t>4.8</t>
  </si>
  <si>
    <t>4.8%</t>
  </si>
  <si>
    <t>泸州市</t>
  </si>
  <si>
    <t>CNCB (Hong Kong) Capital Limited;SunRiver International Securities Group Limited;TFI Securities and Futures Limited;CLSA Limited</t>
  </si>
  <si>
    <t>2.96Y</t>
  </si>
  <si>
    <t>债券发行的净收益将用于项目建设和工作资金补充。</t>
  </si>
  <si>
    <t>LZADIG</t>
  </si>
  <si>
    <t>China Zheshang Bank Co., Ltd. Hong Kong Branch;Industrial Bank Co., Ltd. Hong Kong Branch;China Industrial Securities International Brokerage Limited;Shenwan Hongyuan Securities (H.K.) Limited;Guoyuan Securities Brokerage (Hong Kong) Limited;Shanghai Pudong Development Bank Co., Ltd., Hong Kong Branch;China Galaxy International Securities (Hong Kong) Co., Limited</t>
  </si>
  <si>
    <t>CLSA Limited;Shenwan Hongyuan Securities (H.K.) Limited;Industrial Bank Co., Ltd. Hong Kong Branch;TFI Securities and Futures Limited;CNCB (Hong Kong) Capital Limited;China Zheshang Bank Co., Ltd. Hong Kong Branch;Guoyuan Securities Brokerage (Hong Kong) Limited;China Galaxy International Securities (Hong Kong) Co., Limited;Shanghai Pudong Development Bank Co., Ltd., Hong Kong Branch;SunRiver International Securities Group Limited;China Industrial Securities International Brokerage Limited</t>
  </si>
  <si>
    <t>231229HK0000979606</t>
  </si>
  <si>
    <t>泰州华信药业投资有限公司</t>
  </si>
  <si>
    <t>TAIHUA 5.6 01/04/27</t>
  </si>
  <si>
    <t>XS2713911886</t>
  </si>
  <si>
    <t>华信药业 5.6 2027-01-04</t>
  </si>
  <si>
    <t>5.6</t>
  </si>
  <si>
    <t>5.9 % 区域</t>
  </si>
  <si>
    <t>5.6%</t>
  </si>
  <si>
    <t>江苏银行股份有限公司泰州分行</t>
  </si>
  <si>
    <t>泰州医药高新技术产业开发区</t>
  </si>
  <si>
    <t>Fosun International Securities Limited;Hua Xia Bank Co., Limited Hong Kong Branch;ICBC International Securities Limited;CMB International Capital Limited</t>
  </si>
  <si>
    <t>医药商业</t>
  </si>
  <si>
    <t>高收益</t>
  </si>
  <si>
    <t>用于偿还一年内到期的现有中长期离岸债务</t>
  </si>
  <si>
    <t>TAIHUA</t>
  </si>
  <si>
    <t>华信药业(香港)有限公司</t>
  </si>
  <si>
    <t>Industrial Bank Co., Ltd. Hong Kong Branch;CLSA Limited;CMBC Securities Company Limited;CCB International Capital Limited;ABCI Capital Limited;CEB International Capital Corporation Limited;CNCB (Hong Kong) Capital Limited;Initial Capital Securities Limited;Guoyuan Securities Brokerage (Hong Kong) Limited;GF Securities (Hong Kong) Brokerage Limited;Gee Hi International Securities (Hong Kong) Limited;China Industrial Securities International Brokerage Limited</t>
  </si>
  <si>
    <t>Fosun International Securities Limited;CLSA Limited;Initial Capital Securities Limited;CCB International Capital Limited;CEB International Capital Corporation Limited;Guoyuan Securities Brokerage (Hong Kong) Limited;ICBC International Securities Limited;GF Securities (Hong Kong) Brokerage Limited;China Industrial Securities International Brokerage Limited;CMB International Capital Limited;Industrial Bank Co., Ltd. Hong Kong Branch;Hua Xia Bank Co., Limited Hong Kong Branch;Gee Hi International Securities (Hong Kong) Limited;CNCB (Hong Kong) Capital Limited;ABCI Capital Limited;CMBC Securities Company Limited</t>
  </si>
  <si>
    <t>231229XS2713911886</t>
  </si>
  <si>
    <t>齐河城投建设集团有限公司</t>
  </si>
  <si>
    <t>QHURGR 7.8 09/27/26</t>
  </si>
  <si>
    <t>XS2742998359</t>
  </si>
  <si>
    <t>齐河城建 7.8 2026-09-27</t>
  </si>
  <si>
    <t>2.7260</t>
  </si>
  <si>
    <t>德州市</t>
  </si>
  <si>
    <t>齐河县</t>
  </si>
  <si>
    <t>Haitong International Securities Company Limited;Interarch Asset Management Limited;Shanggu Asset Management Asia</t>
  </si>
  <si>
    <t>2.68Y</t>
  </si>
  <si>
    <t>QHURGR</t>
  </si>
  <si>
    <t>SHANDONG QIHE INTERNATIONAL SINGAPORE PTE LTD</t>
  </si>
  <si>
    <t>Shanggu Asset Management Asia;Haitong International Securities Company Limited;Interarch Asset Management Limited</t>
  </si>
  <si>
    <t>231229XS2742998359</t>
  </si>
  <si>
    <t>绿景(中国)地产投资有限公司</t>
  </si>
  <si>
    <t>LVGEM 8 01/02/25</t>
  </si>
  <si>
    <t>XS2738064158</t>
  </si>
  <si>
    <t>绿景中国地产 8 2025-01-02</t>
  </si>
  <si>
    <t>8</t>
  </si>
  <si>
    <t>DBS Bank</t>
  </si>
  <si>
    <t>315D+32D</t>
  </si>
  <si>
    <t>LVGEM</t>
  </si>
  <si>
    <t>碧玺国际有限公司</t>
  </si>
  <si>
    <t>KEYSTONE CAPITAL LIMITED (HK)</t>
  </si>
  <si>
    <t>KEYSTONE CAPITAL LIMITED (HK);DBS Bank</t>
  </si>
  <si>
    <t>231229XS2738064158</t>
  </si>
  <si>
    <t>XS2738082218</t>
  </si>
  <si>
    <t>231229XS2738082218</t>
  </si>
  <si>
    <t>XS2738072094</t>
  </si>
  <si>
    <t>231229XS2738072094</t>
  </si>
  <si>
    <t>QHURGR 7.8 01/02/25</t>
  </si>
  <si>
    <t>XS2741758424</t>
  </si>
  <si>
    <t>齐河城建 7.8 2025-01-02</t>
  </si>
  <si>
    <t>346D</t>
  </si>
  <si>
    <t>Golden Rich Securities Limited;Haitong International Securities Company Limited</t>
  </si>
  <si>
    <t>231229XS2741758424</t>
  </si>
  <si>
    <t>中信建投(国际)金融控股有限公司</t>
  </si>
  <si>
    <t>CSCIF 4.55 04/03/24</t>
  </si>
  <si>
    <t>XS2743035904</t>
  </si>
  <si>
    <t>中信建投国际 4.55 2024-04-03</t>
  </si>
  <si>
    <t>4.55</t>
  </si>
  <si>
    <t>14D+59D</t>
  </si>
  <si>
    <t>CSCIF</t>
  </si>
  <si>
    <t>CHINA SECURITIES INTERNATIONAL INVESTMENT CO LTD</t>
  </si>
  <si>
    <t>可回售债</t>
  </si>
  <si>
    <t>231229XS2743035904</t>
  </si>
  <si>
    <t>HKMTGC 4.34 01/08/25</t>
  </si>
  <si>
    <t>HK0000980133</t>
  </si>
  <si>
    <t>香港按揭证券 4.34 2025-01-08</t>
  </si>
  <si>
    <t>352D</t>
  </si>
  <si>
    <t>231228HK0000980133</t>
  </si>
  <si>
    <t>绵阳科技城发展投资(集团)有限公司</t>
  </si>
  <si>
    <t>MYSTCD 4.8 01/08/27</t>
  </si>
  <si>
    <t>XS2736262804</t>
  </si>
  <si>
    <t>科发集团 4.8 2027-01-08</t>
  </si>
  <si>
    <t>绵阳市</t>
  </si>
  <si>
    <t>GF Securities (Hong Kong) Brokerage Limited;Haitong International Securities Company Limited;Orient Securities (Hong Kong) Limited</t>
  </si>
  <si>
    <t>MYSTCD</t>
  </si>
  <si>
    <t>China Zheshang Bank Co., Ltd. Hong Kong Branch</t>
  </si>
  <si>
    <t>China Zheshang Bank Co., Ltd. Hong Kong Branch;Orient Securities (Hong Kong) Limited;GF Securities (Hong Kong) Brokerage Limited;Haitong International Securities Company Limited</t>
  </si>
  <si>
    <t>231228XS2736262804</t>
  </si>
  <si>
    <t>如东县金鑫交通工程建设投资有限公司</t>
  </si>
  <si>
    <t>RUDOTR 5.6 01/03/27</t>
  </si>
  <si>
    <t>XS2740940957</t>
  </si>
  <si>
    <t>金鑫交通 5.6 2027-01-03</t>
  </si>
  <si>
    <t>6.00% 区域</t>
  </si>
  <si>
    <t>如东县</t>
  </si>
  <si>
    <t>Guotai Junan Securities (Hong Kong) Limited;Tensant Securities Limited</t>
  </si>
  <si>
    <t>用于再融资离岸债务</t>
  </si>
  <si>
    <t>RUDOTR</t>
  </si>
  <si>
    <t>5.60%</t>
  </si>
  <si>
    <t>Soochow Securities Company Limited;Industrial Bank Co., Ltd. Hong Kong Branch;BOWLEA SECURITIES LIMITED;CNCB (Hong Kong) Capital Limited;SPDB International Capital Limited;CMBC Securities Company Limited;CLSA Limited;Haitong International Securities Company Limited</t>
  </si>
  <si>
    <t>CLSA Limited;Soochow Securities Company Limited;Industrial Bank Co., Ltd. Hong Kong Branch;BOWLEA SECURITIES LIMITED;CNCB (Hong Kong) Capital Limited;Guotai Junan Securities (Hong Kong) Limited;SPDB International Capital Limited;Tensant Securities Limited;CMBC Securities Company Limited;Haitong International Securities Company Limited</t>
  </si>
  <si>
    <t>231228XS2740940957</t>
  </si>
  <si>
    <t>山东正方</t>
  </si>
  <si>
    <t>城投(DMI)</t>
  </si>
  <si>
    <t>齐河城建</t>
  </si>
  <si>
    <t>地产(DMI)</t>
  </si>
  <si>
    <t>绿景中国地产</t>
  </si>
  <si>
    <t>淄博张店国资</t>
  </si>
  <si>
    <t>泰州医药高新区</t>
  </si>
  <si>
    <t>泰州华信药业</t>
  </si>
  <si>
    <t>当代置业</t>
  </si>
  <si>
    <t>中信建投国际</t>
  </si>
  <si>
    <t>如东交投</t>
  </si>
  <si>
    <t>5.3%a</t>
  </si>
  <si>
    <t>2.7</t>
  </si>
  <si>
    <t>364天</t>
  </si>
  <si>
    <t>5.9%a</t>
  </si>
  <si>
    <t>泰州分行</t>
  </si>
  <si>
    <t>4.55%</t>
  </si>
  <si>
    <t>T+2</t>
  </si>
  <si>
    <t>6%a</t>
  </si>
  <si>
    <t>T+6</t>
  </si>
  <si>
    <t>【实物支付】</t>
  </si>
  <si>
    <t>【定价日晚于违约日期】</t>
  </si>
  <si>
    <t>4.8%a</t>
  </si>
  <si>
    <t xml:space="preserve"> 绿色债券</t>
  </si>
  <si>
    <t>4.4%a</t>
  </si>
  <si>
    <t xml:space="preserve"> 点心债</t>
  </si>
  <si>
    <t>6.05%</t>
  </si>
  <si>
    <t>Bank of Tianjin</t>
  </si>
  <si>
    <t>--/--/BB</t>
  </si>
  <si>
    <t>SG</t>
  </si>
  <si>
    <t>--/BBB+/BBB+</t>
  </si>
  <si>
    <t>科发集团</t>
  </si>
  <si>
    <t>泸州航空</t>
  </si>
  <si>
    <t>南安工贸</t>
  </si>
  <si>
    <t>Tokyo Pro-Bond</t>
  </si>
  <si>
    <t>湖北光谷東國有資本投資運營集團有限公司</t>
  </si>
  <si>
    <t>HK0000984549</t>
  </si>
  <si>
    <t>240119HK0000984549</t>
  </si>
  <si>
    <t>‘--</t>
  </si>
  <si>
    <t>湖北光谷东国有资本投资运营集团有限公司</t>
  </si>
  <si>
    <t>大治市</t>
  </si>
  <si>
    <t>泸州航发</t>
  </si>
  <si>
    <t>南安能工</t>
  </si>
  <si>
    <t>绵阳科技</t>
  </si>
  <si>
    <t>湖北光谷东国投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</si>
</sst>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d;@"/>
    <numFmt numFmtId="165" formatCode="0.000%"/>
    <numFmt numFmtId="166" formatCode="0.0%"/>
  </numFmts>
  <fonts count="79">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0000FF"/>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11"/>
      <color rgb="FF40404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8"/>
      <color rgb="FFE2E2E2"/>
      <name val="Microsoft JhengHei UI"/>
      <family val="2"/>
      <scheme val="minor"/>
    </font>
    <font>
      <sz val="12"/>
      <color rgb="FF993366"/>
      <name val="Microsoft JhengHei UI"/>
      <family val="2"/>
    </font>
    <font>
      <b/>
      <sz val="12"/>
      <color theme="1"/>
      <name val="Microsoft JhengHei UI"/>
      <family val="2"/>
      <scheme val="minor"/>
    </font>
    <font>
      <b/>
      <sz val="11"/>
      <color rgb="FF000080"/>
      <name val="Microsoft JhengHei UI"/>
      <family val="2"/>
    </font>
    <font>
      <sz val="10"/>
      <color rgb="FF0000FF"/>
      <name val="微软雅黑"/>
    </font>
    <font>
      <sz val="10"/>
      <color rgb="FF0000FF"/>
      <name val="Arial"/>
      <family val="2"/>
    </font>
    <font>
      <sz val="10"/>
      <color rgb="FF0000FF"/>
      <name val="Microsoft YaHei"/>
      <family val="2"/>
    </font>
    <font>
      <sz val="9"/>
      <color theme="1"/>
      <name val="Arial"/>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7" tint="0.79998168889431442"/>
        <bgColor indexed="64"/>
      </patternFill>
    </fill>
  </fills>
  <borders count="17">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6" fillId="16" borderId="6" applyNumberFormat="0" applyAlignment="0" applyProtection="0"/>
    <xf numFmtId="0" fontId="49" fillId="0" borderId="0" applyNumberFormat="0" applyFill="0" applyBorder="0" applyAlignment="0" applyProtection="0"/>
  </cellStyleXfs>
  <cellXfs count="203">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5" fillId="3" borderId="0" xfId="0" applyFont="1" applyFill="1" applyAlignment="1">
      <alignmen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1" fillId="3" borderId="0" xfId="0" applyFont="1" applyFill="1" applyAlignment="1">
      <alignment vertical="center"/>
    </xf>
    <xf numFmtId="0" fontId="6" fillId="3" borderId="0" xfId="0" applyFont="1" applyFill="1" applyAlignment="1">
      <alignment horizontal="center" vertical="center"/>
    </xf>
    <xf numFmtId="0" fontId="45"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0" fillId="13" borderId="0" xfId="0" applyFill="1" applyAlignment="1">
      <alignment horizontal="center" wrapText="1"/>
    </xf>
    <xf numFmtId="0" fontId="20" fillId="13" borderId="0" xfId="0" applyFont="1" applyFill="1" applyAlignment="1">
      <alignment wrapText="1"/>
    </xf>
    <xf numFmtId="0" fontId="47" fillId="13" borderId="0" xfId="0" applyFont="1" applyFill="1" applyAlignment="1">
      <alignment wrapText="1"/>
    </xf>
    <xf numFmtId="0" fontId="48" fillId="0" borderId="0" xfId="0" applyFont="1" applyAlignment="1">
      <alignment vertical="center"/>
    </xf>
    <xf numFmtId="0" fontId="0" fillId="0" borderId="0" xfId="0" applyAlignment="1">
      <alignment horizontal="left" vertical="top" wrapText="1"/>
    </xf>
    <xf numFmtId="166" fontId="0" fillId="3" borderId="0" xfId="0" applyNumberFormat="1" applyFill="1" applyAlignment="1" applyProtection="1">
      <alignment horizontal="center" vertical="center"/>
      <protection locked="0"/>
    </xf>
    <xf numFmtId="0" fontId="49"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0" fillId="15" borderId="0" xfId="0" applyFont="1" applyFill="1"/>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51" fillId="3" borderId="0" xfId="0" applyFont="1" applyFill="1" applyAlignment="1" applyProtection="1">
      <alignment horizontal="left" vertical="center"/>
      <protection locked="0"/>
    </xf>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wrapText="1"/>
    </xf>
    <xf numFmtId="0" fontId="20" fillId="3" borderId="0" xfId="0" applyFont="1" applyFill="1" applyAlignment="1" applyProtection="1">
      <alignment vertical="center"/>
      <protection locked="0"/>
    </xf>
    <xf numFmtId="164" fontId="12" fillId="3" borderId="0" xfId="0" applyNumberFormat="1" applyFont="1" applyFill="1" applyAlignment="1" applyProtection="1">
      <alignment horizont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0" fontId="0" fillId="3" borderId="2" xfId="0" applyFill="1" applyBorder="1"/>
    <xf numFmtId="0" fontId="0" fillId="3" borderId="2" xfId="0" applyFill="1" applyBorder="1" applyAlignment="1">
      <alignment horizontal="left"/>
    </xf>
    <xf numFmtId="0" fontId="0" fillId="3" borderId="8" xfId="0" applyFill="1" applyBorder="1" applyAlignment="1">
      <alignment wrapText="1"/>
    </xf>
    <xf numFmtId="0" fontId="0" fillId="3" borderId="8" xfId="0" applyFill="1" applyBorder="1" applyAlignment="1">
      <alignment horizontal="left" wrapText="1"/>
    </xf>
    <xf numFmtId="0" fontId="1" fillId="3" borderId="0" xfId="0" applyFont="1" applyFill="1" applyAlignment="1">
      <alignment horizontal="center" vertical="center"/>
    </xf>
    <xf numFmtId="0" fontId="0" fillId="3" borderId="2" xfId="0" quotePrefix="1" applyFill="1" applyBorder="1"/>
    <xf numFmtId="22" fontId="0" fillId="3" borderId="0" xfId="0" applyNumberFormat="1" applyFill="1"/>
    <xf numFmtId="0" fontId="26" fillId="14" borderId="0" xfId="8" applyFont="1" applyBorder="1" applyAlignment="1" applyProtection="1">
      <alignment horizontal="center" vertical="center"/>
      <protection locked="0"/>
    </xf>
    <xf numFmtId="22" fontId="0" fillId="0" borderId="0" xfId="0" applyNumberFormat="1"/>
    <xf numFmtId="0" fontId="0" fillId="3" borderId="2" xfId="0" applyFill="1" applyBorder="1" applyAlignment="1">
      <alignment horizontal="center"/>
    </xf>
    <xf numFmtId="0" fontId="0" fillId="3" borderId="2" xfId="0" quotePrefix="1" applyFill="1" applyBorder="1" applyAlignment="1">
      <alignment horizontal="center"/>
    </xf>
    <xf numFmtId="164" fontId="0" fillId="3" borderId="2" xfId="0" quotePrefix="1" applyNumberFormat="1" applyFill="1" applyBorder="1" applyAlignment="1">
      <alignment horizontal="center"/>
    </xf>
    <xf numFmtId="0" fontId="0" fillId="3" borderId="9" xfId="0" quotePrefix="1" applyFill="1" applyBorder="1" applyAlignment="1">
      <alignment horizontal="center"/>
    </xf>
    <xf numFmtId="0" fontId="0" fillId="3" borderId="0" xfId="0" quotePrefix="1" applyFill="1" applyAlignment="1">
      <alignment horizontal="center"/>
    </xf>
    <xf numFmtId="0" fontId="53" fillId="17" borderId="7" xfId="9" applyFont="1" applyFill="1" applyBorder="1" applyAlignment="1">
      <alignment horizontal="center" vertical="center"/>
    </xf>
    <xf numFmtId="0" fontId="52" fillId="3" borderId="0" xfId="0" applyFont="1" applyFill="1" applyAlignment="1">
      <alignment horizontal="center" vertical="center"/>
    </xf>
    <xf numFmtId="0" fontId="54" fillId="3" borderId="0" xfId="0" applyFont="1" applyFill="1" applyAlignment="1">
      <alignment horizontal="center" vertical="center"/>
    </xf>
    <xf numFmtId="0" fontId="55" fillId="3" borderId="0" xfId="0" applyFont="1" applyFill="1" applyAlignment="1">
      <alignment horizontal="center" vertical="center"/>
    </xf>
    <xf numFmtId="0" fontId="55" fillId="3" borderId="7" xfId="9" applyFont="1" applyFill="1" applyBorder="1" applyAlignment="1">
      <alignment horizontal="center" vertical="center"/>
    </xf>
    <xf numFmtId="0" fontId="56" fillId="0" borderId="0" xfId="0" applyFont="1" applyAlignment="1">
      <alignment horizontal="left" vertical="top" wrapText="1"/>
    </xf>
    <xf numFmtId="0" fontId="8" fillId="11" borderId="0" xfId="5">
      <alignment horizontal="center" vertical="center" wrapText="1"/>
    </xf>
    <xf numFmtId="0" fontId="57" fillId="3" borderId="0" xfId="0" applyFont="1" applyFill="1" applyAlignment="1">
      <alignment vertical="center"/>
    </xf>
    <xf numFmtId="0" fontId="58" fillId="4" borderId="7" xfId="9" applyFont="1" applyFill="1" applyBorder="1" applyAlignment="1">
      <alignment horizontal="center" vertical="center"/>
    </xf>
    <xf numFmtId="0" fontId="51" fillId="3" borderId="0" xfId="0" applyFont="1" applyFill="1" applyAlignment="1">
      <alignment horizontal="center" vertical="center"/>
    </xf>
    <xf numFmtId="0" fontId="59" fillId="3" borderId="0" xfId="0" applyFont="1" applyFill="1"/>
    <xf numFmtId="0" fontId="60" fillId="3" borderId="0" xfId="0" applyFont="1" applyFill="1"/>
    <xf numFmtId="0" fontId="60" fillId="3" borderId="0" xfId="0" applyFont="1" applyFill="1" applyAlignment="1" applyProtection="1">
      <alignment horizontal="center"/>
      <protection locked="0"/>
    </xf>
    <xf numFmtId="0" fontId="61" fillId="8" borderId="10" xfId="0" applyFont="1" applyFill="1" applyBorder="1"/>
    <xf numFmtId="0" fontId="61" fillId="8" borderId="11" xfId="0" applyFont="1" applyFill="1" applyBorder="1"/>
    <xf numFmtId="0" fontId="61" fillId="8" borderId="12" xfId="0" applyFont="1" applyFill="1" applyBorder="1"/>
    <xf numFmtId="0" fontId="62" fillId="3" borderId="0" xfId="0" applyFont="1" applyFill="1"/>
    <xf numFmtId="0" fontId="61" fillId="8" borderId="11" xfId="0" applyFont="1" applyFill="1" applyBorder="1" applyAlignment="1">
      <alignment horizontal="center"/>
    </xf>
    <xf numFmtId="0" fontId="61" fillId="8" borderId="10" xfId="0" applyFont="1" applyFill="1" applyBorder="1" applyAlignment="1">
      <alignment horizontal="left" vertical="center"/>
    </xf>
    <xf numFmtId="0" fontId="61" fillId="8" borderId="11" xfId="0" applyFont="1" applyFill="1" applyBorder="1" applyAlignment="1">
      <alignment horizontal="left" vertical="center"/>
    </xf>
    <xf numFmtId="0" fontId="61" fillId="8" borderId="11" xfId="0" applyFont="1" applyFill="1" applyBorder="1" applyAlignment="1">
      <alignment horizontal="left"/>
    </xf>
    <xf numFmtId="0" fontId="61" fillId="8" borderId="12" xfId="0" applyFont="1" applyFill="1" applyBorder="1" applyAlignment="1">
      <alignment horizontal="left" vertical="center"/>
    </xf>
    <xf numFmtId="0" fontId="60" fillId="0" borderId="0" xfId="0" applyFont="1"/>
    <xf numFmtId="0" fontId="71" fillId="3" borderId="0" xfId="0" applyFont="1" applyFill="1" applyAlignment="1">
      <alignment vertical="center"/>
    </xf>
    <xf numFmtId="0" fontId="45" fillId="0" borderId="0" xfId="0" applyFont="1" applyAlignment="1">
      <alignment horizontal="center" vertical="center"/>
    </xf>
    <xf numFmtId="22" fontId="45" fillId="0" borderId="0" xfId="0" applyNumberFormat="1" applyFont="1" applyAlignment="1">
      <alignment horizontal="center" vertical="center"/>
    </xf>
    <xf numFmtId="0" fontId="73" fillId="0" borderId="0" xfId="0" applyFont="1" applyAlignment="1">
      <alignment horizontal="center" vertical="center"/>
    </xf>
    <xf numFmtId="0" fontId="0" fillId="3" borderId="13" xfId="0" applyFill="1" applyBorder="1"/>
    <xf numFmtId="14" fontId="0" fillId="3" borderId="2" xfId="0" applyNumberFormat="1" applyFill="1" applyBorder="1"/>
    <xf numFmtId="0" fontId="0" fillId="3" borderId="9" xfId="0" applyFill="1" applyBorder="1"/>
    <xf numFmtId="0" fontId="0" fillId="3" borderId="14" xfId="0" applyFill="1" applyBorder="1"/>
    <xf numFmtId="0" fontId="0" fillId="3" borderId="15" xfId="0" applyFill="1" applyBorder="1" applyAlignment="1">
      <alignment wrapText="1"/>
    </xf>
    <xf numFmtId="0" fontId="0" fillId="3" borderId="15" xfId="0" applyFill="1" applyBorder="1"/>
    <xf numFmtId="14" fontId="0" fillId="3" borderId="15" xfId="0" applyNumberFormat="1" applyFill="1" applyBorder="1"/>
    <xf numFmtId="0" fontId="0" fillId="3" borderId="16" xfId="0" applyFill="1" applyBorder="1"/>
    <xf numFmtId="0" fontId="0" fillId="3" borderId="2" xfId="0" applyFill="1" applyBorder="1" applyAlignment="1">
      <alignment horizontal="left" wrapText="1"/>
    </xf>
    <xf numFmtId="0" fontId="0" fillId="3" borderId="15" xfId="0" applyFill="1" applyBorder="1" applyAlignment="1">
      <alignment horizontal="left" wrapText="1"/>
    </xf>
    <xf numFmtId="0" fontId="0" fillId="3" borderId="9"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3" borderId="14" xfId="0" applyFill="1" applyBorder="1" applyAlignment="1">
      <alignment horizontal="center"/>
    </xf>
    <xf numFmtId="14" fontId="0" fillId="3" borderId="15" xfId="0" applyNumberFormat="1" applyFill="1" applyBorder="1" applyAlignment="1">
      <alignment horizontal="center"/>
    </xf>
    <xf numFmtId="0" fontId="0" fillId="3" borderId="15" xfId="0" quotePrefix="1" applyFill="1" applyBorder="1" applyAlignment="1">
      <alignment horizontal="center"/>
    </xf>
    <xf numFmtId="49" fontId="0" fillId="3" borderId="2" xfId="0" quotePrefix="1" applyNumberFormat="1" applyFill="1" applyBorder="1"/>
    <xf numFmtId="49" fontId="0" fillId="3" borderId="2" xfId="0" applyNumberFormat="1" applyFill="1" applyBorder="1"/>
    <xf numFmtId="49" fontId="0" fillId="3" borderId="15" xfId="0" applyNumberFormat="1" applyFill="1" applyBorder="1"/>
    <xf numFmtId="0" fontId="75" fillId="0" borderId="0" xfId="0" applyFont="1" applyAlignment="1">
      <alignment wrapText="1"/>
    </xf>
    <xf numFmtId="0" fontId="76" fillId="0" borderId="0" xfId="0" applyFont="1" applyAlignment="1">
      <alignment wrapText="1"/>
    </xf>
    <xf numFmtId="0" fontId="77" fillId="0" borderId="0" xfId="0" applyFont="1" applyAlignment="1">
      <alignment wrapText="1"/>
    </xf>
    <xf numFmtId="0" fontId="0" fillId="0" borderId="0" xfId="0" applyNumberFormat="1"/>
    <xf numFmtId="0" fontId="0" fillId="0" borderId="0" xfId="0" applyFont="1" applyFill="1"/>
    <xf numFmtId="0" fontId="0" fillId="0" borderId="0" xfId="0" applyNumberFormat="1" applyFont="1" applyFill="1"/>
    <xf numFmtId="0" fontId="0" fillId="0" borderId="0" xfId="0" applyNumberFormat="1" applyAlignment="1">
      <alignment vertical="center"/>
    </xf>
    <xf numFmtId="14" fontId="0" fillId="0" borderId="0" xfId="0" applyNumberFormat="1" applyFont="1" applyFill="1"/>
    <xf numFmtId="0" fontId="0" fillId="0" borderId="0" xfId="0" quotePrefix="1" applyNumberFormat="1" applyFont="1" applyFill="1"/>
    <xf numFmtId="49" fontId="0" fillId="0" borderId="0" xfId="0" quotePrefix="1" applyNumberFormat="1" applyFont="1" applyFill="1"/>
    <xf numFmtId="49" fontId="0" fillId="0" borderId="0" xfId="0" applyNumberFormat="1" applyFont="1" applyFill="1"/>
    <xf numFmtId="0" fontId="0" fillId="0" borderId="0" xfId="0" applyNumberFormat="1" applyFont="1" applyFill="1" applyAlignment="1">
      <alignment wrapText="1"/>
    </xf>
    <xf numFmtId="0" fontId="0" fillId="0" borderId="0" xfId="0" applyNumberFormat="1" applyFont="1" applyFill="1" applyAlignment="1">
      <alignment horizontal="left"/>
    </xf>
    <xf numFmtId="22" fontId="60" fillId="3" borderId="0" xfId="0" applyNumberFormat="1" applyFont="1" applyFill="1"/>
    <xf numFmtId="0" fontId="78" fillId="0" borderId="0" xfId="0" applyFont="1"/>
    <xf numFmtId="0" fontId="0" fillId="0" borderId="0" xfId="0" applyFont="1" applyFill="1" applyBorder="1" applyAlignment="1">
      <alignment horizontal="left" vertic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pplyProtection="1">
      <alignment horizontal="center"/>
      <protection locked="0"/>
    </xf>
    <xf numFmtId="0" fontId="0" fillId="0" borderId="0" xfId="0" applyNumberFormat="1" applyFont="1" applyFill="1" applyBorder="1"/>
    <xf numFmtId="14" fontId="0" fillId="0" borderId="0" xfId="0" applyNumberFormat="1" applyFont="1" applyFill="1" applyBorder="1" applyAlignment="1" applyProtection="1">
      <alignment horizontal="center"/>
      <protection locked="0"/>
    </xf>
    <xf numFmtId="0" fontId="0" fillId="0" borderId="0" xfId="0" applyFont="1" applyFill="1" applyBorder="1" applyAlignment="1">
      <alignment horizontal="center"/>
    </xf>
    <xf numFmtId="0" fontId="0" fillId="0" borderId="0" xfId="0" quotePrefix="1" applyFont="1" applyFill="1" applyBorder="1" applyAlignment="1">
      <alignment horizontal="center"/>
    </xf>
    <xf numFmtId="0" fontId="0" fillId="0" borderId="0" xfId="0" quotePrefix="1" applyFont="1" applyFill="1" applyBorder="1" applyAlignment="1" applyProtection="1">
      <alignment horizontal="center"/>
      <protection locked="0"/>
    </xf>
    <xf numFmtId="14" fontId="0" fillId="0" borderId="0" xfId="0" applyNumberFormat="1" applyFont="1" applyFill="1" applyBorder="1"/>
    <xf numFmtId="0" fontId="0" fillId="0" borderId="0" xfId="0" applyNumberFormat="1" applyFont="1" applyFill="1" applyBorder="1" applyAlignment="1">
      <alignment wrapText="1"/>
    </xf>
    <xf numFmtId="0" fontId="0" fillId="0" borderId="0" xfId="0" applyNumberFormat="1" applyFont="1" applyFill="1" applyBorder="1" applyAlignment="1">
      <alignment horizontal="left" wrapText="1"/>
    </xf>
    <xf numFmtId="0" fontId="30" fillId="18" borderId="0" xfId="0" applyFont="1" applyFill="1" applyAlignment="1" applyProtection="1">
      <alignment horizontal="center" wrapText="1"/>
      <protection locked="0"/>
    </xf>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576">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alignment horizontal="general" vertical="center" textRotation="0" wrapText="0" indent="0" justifyLastLine="0" shrinkToFit="0" readingOrder="0"/>
    </dxf>
    <dxf>
      <numFmt numFmtId="27" formatCode="m/d/yyyy\ h:mm"/>
    </dxf>
    <dxf>
      <fill>
        <patternFill>
          <bgColor rgb="FFFFFF00"/>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ill>
        <patternFill>
          <bgColor rgb="FFFFFF00"/>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27" formatCode="m/d/yyyy\ h:mm"/>
    </dxf>
    <dxf>
      <numFmt numFmtId="19" formatCode="m/d/yyyy"/>
    </dxf>
    <dxf>
      <numFmt numFmtId="27" formatCode="m/d/yyyy\ h:mm"/>
    </dxf>
    <dxf>
      <numFmt numFmtId="0" formatCode="General"/>
    </dxf>
    <dxf>
      <numFmt numFmtId="19" formatCode="m/d/yyyy"/>
    </dxf>
    <dxf>
      <numFmt numFmtId="0" formatCode="General"/>
    </dxf>
    <dxf>
      <numFmt numFmtId="0" formatCode="General"/>
    </dxf>
    <dxf>
      <numFmt numFmtId="19" formatCode="m/d/yyyy"/>
    </dxf>
    <dxf>
      <numFmt numFmtId="19" formatCode="m/d/yyyy"/>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ill>
        <patternFill>
          <bgColor rgb="FFFFFF00"/>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color theme="9"/>
      </font>
      <fill>
        <patternFill>
          <bgColor theme="8"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575"/>
      <tableStyleElement type="headerRow" dxfId="574"/>
      <tableStyleElement type="totalRow" dxfId="573"/>
    </tableStyle>
    <tableStyle name="BISL_Directory" pivot="0" count="4" xr9:uid="{CF694ADA-B24E-4A9B-A4CF-440A866B1DFE}">
      <tableStyleElement type="wholeTable" dxfId="572"/>
      <tableStyleElement type="headerRow" dxfId="571"/>
      <tableStyleElement type="firstRowStripe" dxfId="570"/>
      <tableStyleElement type="secondRowStripe" dxfId="569"/>
    </tableStyle>
    <tableStyle name="Blank" pivot="0" count="1" xr9:uid="{00000000-0011-0000-FFFF-FFFF00000000}">
      <tableStyleElement type="wholeTable" dxfId="568"/>
    </tableStyle>
    <tableStyle name="DimSum" pivot="0" count="4" xr9:uid="{C064D3B7-4B8F-409A-AB9E-51AC3AD0F8B5}">
      <tableStyleElement type="wholeTable" dxfId="567"/>
      <tableStyleElement type="headerRow" dxfId="566"/>
      <tableStyleElement type="totalRow" dxfId="565"/>
      <tableStyleElement type="secondRowStripe" dxfId="564"/>
    </tableStyle>
    <tableStyle name="ECON" pivot="0" count="2" xr9:uid="{00000000-0011-0000-FFFF-FFFF01000000}">
      <tableStyleElement type="wholeTable" dxfId="563"/>
      <tableStyleElement type="headerRow" dxfId="562"/>
    </tableStyle>
    <tableStyle name="Load Style" pivot="0" count="2" xr9:uid="{00000000-0011-0000-FFFF-FFFF0F000000}">
      <tableStyleElement type="wholeTable" dxfId="561"/>
      <tableStyleElement type="headerRow" dxfId="560"/>
    </tableStyle>
    <tableStyle name="mFTZ" pivot="0" count="4" xr9:uid="{F9D19170-5D53-4CC9-B6DA-01874D40D6CB}">
      <tableStyleElement type="wholeTable" dxfId="559"/>
      <tableStyleElement type="headerRow" dxfId="558"/>
      <tableStyleElement type="totalRow" dxfId="557"/>
      <tableStyleElement type="secondRowStripe" dxfId="556"/>
    </tableStyle>
    <tableStyle name="Named_dd" pivot="0" count="2" xr9:uid="{00000000-0011-0000-FFFF-FFFF02000000}">
      <tableStyleElement type="wholeTable" dxfId="555"/>
      <tableStyleElement type="headerRow" dxfId="554"/>
    </tableStyle>
    <tableStyle name="PRJ Style" pivot="0" count="2" xr9:uid="{00000000-0011-0000-FFFF-FFFF11000000}">
      <tableStyleElement type="wholeTable" dxfId="553"/>
      <tableStyleElement type="headerRow" dxfId="552"/>
    </tableStyle>
    <tableStyle name="Qry Load" pivot="0" count="3" xr9:uid="{00000000-0011-0000-FFFF-FFFF05000000}">
      <tableStyleElement type="wholeTable" dxfId="551"/>
      <tableStyleElement type="headerRow" dxfId="550"/>
      <tableStyleElement type="totalRow" dxfId="549"/>
    </tableStyle>
    <tableStyle name="Qry Load 2" pivot="0" count="3" xr9:uid="{00000000-0011-0000-FFFF-FFFF06000000}">
      <tableStyleElement type="wholeTable" dxfId="548"/>
      <tableStyleElement type="headerRow" dxfId="547"/>
      <tableStyleElement type="totalRow" dxfId="546"/>
    </tableStyle>
    <tableStyle name="Qry Load 3" pivot="0" count="3" xr9:uid="{00000000-0011-0000-FFFF-FFFF07000000}">
      <tableStyleElement type="wholeTable" dxfId="545"/>
      <tableStyleElement type="headerRow" dxfId="544"/>
      <tableStyleElement type="totalRow" dxfId="543"/>
    </tableStyle>
    <tableStyle name="Qry Load 3 2" pivot="0" count="3" xr9:uid="{39E27C42-0E7B-4337-87F7-A7AC3E9F7517}">
      <tableStyleElement type="wholeTable" dxfId="542"/>
      <tableStyleElement type="headerRow" dxfId="541"/>
      <tableStyleElement type="totalRow" dxfId="540"/>
    </tableStyle>
    <tableStyle name="Qry Load 3 3" pivot="0" count="3" xr9:uid="{00000000-0011-0000-FFFF-FFFF08000000}">
      <tableStyleElement type="wholeTable" dxfId="539"/>
      <tableStyleElement type="headerRow" dxfId="538"/>
      <tableStyleElement type="totalRow" dxfId="537"/>
    </tableStyle>
    <tableStyle name="Qry Load 4" pivot="0" count="3" xr9:uid="{00000000-0011-0000-FFFF-FFFF08000000}">
      <tableStyleElement type="wholeTable" dxfId="536"/>
      <tableStyleElement type="headerRow" dxfId="535"/>
      <tableStyleElement type="totalRow" dxfId="534"/>
    </tableStyle>
    <tableStyle name="Qry Load 5" pivot="0" count="3" xr9:uid="{00000000-0011-0000-FFFF-FFFF09000000}">
      <tableStyleElement type="wholeTable" dxfId="533"/>
      <tableStyleElement type="headerRow" dxfId="532"/>
      <tableStyleElement type="totalRow" dxfId="531"/>
    </tableStyle>
    <tableStyle name="Qry Load 6" pivot="0" count="3" xr9:uid="{8540037C-F48A-45D6-B06D-3E416FD50039}">
      <tableStyleElement type="wholeTable" dxfId="530"/>
      <tableStyleElement type="headerRow" dxfId="529"/>
      <tableStyleElement type="totalRow" dxfId="528"/>
    </tableStyle>
    <tableStyle name="Qry Source" pivot="0" count="2" xr9:uid="{00000000-0011-0000-FFFF-FFFF0A000000}">
      <tableStyleElement type="wholeTable" dxfId="527"/>
      <tableStyleElement type="headerRow" dxfId="526"/>
    </tableStyle>
    <tableStyle name="Qry Source 2" pivot="0" count="2" xr9:uid="{00000000-0011-0000-FFFF-FFFF0B000000}">
      <tableStyleElement type="wholeTable" dxfId="525"/>
      <tableStyleElement type="headerRow" dxfId="524"/>
    </tableStyle>
    <tableStyle name="Qry Source 2 2" pivot="0" count="3" xr9:uid="{00000000-0011-0000-FFFF-FFFF0C000000}">
      <tableStyleElement type="wholeTable" dxfId="523"/>
      <tableStyleElement type="headerRow" dxfId="522"/>
      <tableStyleElement type="secondRowStripe" dxfId="521"/>
    </tableStyle>
    <tableStyle name="review" pivot="0" count="3" xr9:uid="{00000000-0011-0000-FFFF-FFFF0C000000}">
      <tableStyleElement type="wholeTable" dxfId="520"/>
      <tableStyleElement type="headerRow" dxfId="519"/>
      <tableStyleElement type="totalRow" dxfId="518"/>
    </tableStyle>
    <tableStyle name="review 2" pivot="0" count="3" xr9:uid="{7E48D373-8BD3-405C-AC0B-582D578C48DF}">
      <tableStyleElement type="wholeTable" dxfId="517"/>
      <tableStyleElement type="headerRow" dxfId="516"/>
      <tableStyleElement type="totalRow" dxfId="515"/>
    </tableStyle>
    <tableStyle name="Table Style 1 2" pivot="0" count="4" xr9:uid="{00000000-0011-0000-FFFF-FFFF10000000}">
      <tableStyleElement type="wholeTable" dxfId="514"/>
      <tableStyleElement type="headerRow" dxfId="513"/>
      <tableStyleElement type="firstRowStripe" dxfId="512"/>
      <tableStyleElement type="secondRowStripe" dxfId="511"/>
    </tableStyle>
  </tableStyles>
  <colors>
    <mruColors>
      <color rgb="FF0000FF"/>
      <color rgb="FF234473"/>
      <color rgb="FF888AA6"/>
      <color rgb="FFC69E62"/>
      <color rgb="FF2A7968"/>
      <color rgb="FFB2B2B2"/>
      <color rgb="FFE1E1E9"/>
      <color rgb="FFF4EBE0"/>
      <color rgb="FFC2B59B"/>
      <color rgb="FF216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209550</xdr:rowOff>
        </xdr:from>
        <xdr:to>
          <xdr:col>1</xdr:col>
          <xdr:colOff>180975</xdr:colOff>
          <xdr:row>2</xdr:row>
          <xdr:rowOff>476250</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2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10</xdr:col>
      <xdr:colOff>700383</xdr:colOff>
      <xdr:row>3</xdr:row>
      <xdr:rowOff>331049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4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95250</xdr:colOff>
      <xdr:row>2</xdr:row>
      <xdr:rowOff>28575</xdr:rowOff>
    </xdr:from>
    <xdr:ext cx="6010275" cy="902277"/>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343525" y="1076325"/>
          <a:ext cx="601027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twoCellAnchor editAs="oneCell">
    <xdr:from>
      <xdr:col>15</xdr:col>
      <xdr:colOff>114300</xdr:colOff>
      <xdr:row>2</xdr:row>
      <xdr:rowOff>28575</xdr:rowOff>
    </xdr:from>
    <xdr:to>
      <xdr:col>17</xdr:col>
      <xdr:colOff>1418299</xdr:colOff>
      <xdr:row>3</xdr:row>
      <xdr:rowOff>400811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963400" y="1076325"/>
          <a:ext cx="3221805"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8</xdr:col>
      <xdr:colOff>0</xdr:colOff>
      <xdr:row>2</xdr:row>
      <xdr:rowOff>447675</xdr:rowOff>
    </xdr:from>
    <xdr:ext cx="6067425" cy="902277"/>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10475" y="1695450"/>
          <a:ext cx="606742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7</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oneCellAnchor>
    <xdr:from>
      <xdr:col>5</xdr:col>
      <xdr:colOff>1666875</xdr:colOff>
      <xdr:row>0</xdr:row>
      <xdr:rowOff>333375</xdr:rowOff>
    </xdr:from>
    <xdr:ext cx="6786443"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5905500" y="333375"/>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9.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1</xdr:row>
          <xdr:rowOff>295275</xdr:rowOff>
        </xdr:from>
        <xdr:to>
          <xdr:col>3</xdr:col>
          <xdr:colOff>304800</xdr:colOff>
          <xdr:row>16</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Ctrl + Alt + F5</a:t>
              </a:r>
            </a:p>
            <a:p>
              <a:pPr algn="ctr" rtl="0">
                <a:defRPr sz="1000"/>
              </a:pPr>
              <a:endParaRPr lang="en-US" sz="2400" b="0" i="0" u="none" strike="noStrike" baseline="0">
                <a:solidFill>
                  <a:srgbClr val="000080"/>
                </a:solidFill>
                <a:latin typeface="Microsoft JhengHei UI"/>
                <a:ea typeface="Microsoft JhengHei UI"/>
              </a:endParaRP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twoCellAnchor>
    <xdr:from>
      <xdr:col>7</xdr:col>
      <xdr:colOff>134471</xdr:colOff>
      <xdr:row>1</xdr:row>
      <xdr:rowOff>141755</xdr:rowOff>
    </xdr:from>
    <xdr:to>
      <xdr:col>13</xdr:col>
      <xdr:colOff>232747</xdr:colOff>
      <xdr:row>3</xdr:row>
      <xdr:rowOff>145677</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6073589" y="433108"/>
          <a:ext cx="7157982" cy="1146922"/>
          <a:chOff x="6107206" y="433108"/>
          <a:chExt cx="6978688" cy="1146922"/>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07206" y="433108"/>
              <a:ext cx="1297306"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6107206"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527551" y="433108"/>
              <a:ext cx="1297306"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7527551"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947897" y="433108"/>
              <a:ext cx="1297306"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8947897"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0368243" y="433108"/>
              <a:ext cx="1297306"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0368243"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1788588" y="433108"/>
              <a:ext cx="1297306"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1788588"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12.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257175</xdr:rowOff>
        </xdr:from>
        <xdr:to>
          <xdr:col>7</xdr:col>
          <xdr:colOff>1457325</xdr:colOff>
          <xdr:row>1</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3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36"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11"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3" connectionId="32" xr16:uid="{23D617A6-3365-4BB3-A850-3143FB5F8B98}" autoFormatId="16" applyNumberFormats="0" applyBorderFormats="0" applyFontFormats="0" applyPatternFormats="0" applyAlignmentFormats="0" applyWidthHeightFormats="0">
  <queryTableRefresh nextId="24">
    <queryTableFields count="17">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4" name="币种" tableColumnId="14"/>
      <queryTableField id="15" name="承销费.原币" tableColumnId="15"/>
      <queryTableField id="16" name="承销费.美元" tableColumnId="16"/>
      <queryTableField id="17" name="QRC汇率因子" tableColumnId="17"/>
      <queryTableField id="11" name="项目状态" tableColumnId="11"/>
      <queryTableField id="12" name="序号" tableColumnId="12"/>
      <queryTableField id="13" name="PRJ对账号"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31"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6" xr16:uid="{9FBC667E-5C84-4152-A3F1-C1070616A265}" autoFormatId="16" applyNumberFormats="0" applyBorderFormats="0" applyFontFormats="0" applyPatternFormats="0" applyAlignmentFormats="0" applyWidthHeightFormats="0">
  <queryTableRefresh nextId="780">
    <queryTableFields count="99">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39" name="债项初始评级" tableColumnId="39"/>
      <queryTableField id="40" name="境内主体评级" tableColumnId="40"/>
      <queryTableField id="41" name="主题债券" tableColumnId="41"/>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5" name="最新票面利率" tableColumnId="55"/>
      <queryTableField id="56" name="计息基准" tableColumnId="56"/>
      <queryTableField id="57" name="首次付息日" tableColumnId="57"/>
      <queryTableField id="58" name="发行人" tableColumnId="58"/>
      <queryTableField id="59" name="担保人" tableColumnId="59"/>
      <queryTableField id="60" name="发行起始日" tableColumnId="60"/>
      <queryTableField id="61" name="定价_DMI" tableColumnId="61"/>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1" name="信用主体简称" tableColumnId="81"/>
      <queryTableField id="82" name="板块" tableColumnId="82"/>
      <queryTableField id="83" name="板块二级" tableColumnId="83"/>
      <queryTableField id="84" name="板块三级" tableColumnId="84"/>
      <queryTableField id="85" name="中资属性" tableColumnId="85"/>
      <queryTableField id="86" name="级别" tableColumnId="86"/>
      <queryTableField id="87" name="DBIndex_Bond" tableColumnId="87"/>
      <queryTableField id="88" name="DBIndex_Issue" tableColumnId="88"/>
    </queryTableFields>
    <queryTableDeletedFields count="3">
      <deletedField name="Index"/>
      <deletedField name="Timestamp"/>
      <deletedField name="Timestamp"/>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3" connectionId="30" xr16:uid="{7AA615C4-B56A-49BC-B714-30FF9DC608FE}" autoFormatId="16" applyNumberFormats="0" applyBorderFormats="0" applyFontFormats="0" applyPatternFormats="0" applyAlignmentFormats="0" applyWidthHeightFormats="0">
  <queryTableRefresh nextId="369">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6" name="债项初始评级" tableColumnId="36"/>
      <queryTableField id="37" name="境内主体评级" tableColumnId="37"/>
      <queryTableField id="35" name="主题债券" tableColumnId="35"/>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2" name="最新票面利率" tableColumnId="52"/>
      <queryTableField id="51" name="计息基准" tableColumnId="51"/>
      <queryTableField id="53" name="首次付息日" tableColumnId="53"/>
      <queryTableField id="54" name="发行人" tableColumnId="54"/>
      <queryTableField id="57" name="担保人" tableColumnId="57"/>
      <queryTableField id="55" name="发行起始日" tableColumnId="55"/>
      <queryTableField id="56" name="定价" tableColumnId="56"/>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8" connectionId="39" xr16:uid="{F4EEF8F0-B01E-4530-A99A-64F5FA1E153D}" autoFormatId="16" applyNumberFormats="0" applyBorderFormats="0" applyFontFormats="0" applyPatternFormats="0" applyAlignmentFormats="0" applyWidthHeightFormats="0">
  <queryTableRefresh nextId="33">
    <queryTableFields count="21">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3" name="交割T+n" tableColumnId="21"/>
      <queryTableField id="24" name="交割日" tableColumnId="22"/>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7" connectionId="42" xr16:uid="{98858058-34EC-483F-B740-2B5EE09FE628}" autoFormatId="16" applyNumberFormats="0" applyBorderFormats="0" applyFontFormats="0" applyPatternFormats="0" applyAlignmentFormats="0" applyWidthHeightFormats="0">
  <queryTableRefresh nextId="26">
    <queryTableFields count="16">
      <queryTableField id="1" name="Index" tableColumnId="1"/>
      <queryTableField id="17" name="删除及隐藏" tableColumnId="17"/>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16" name="Check" tableColumnId="16"/>
      <queryTableField id="22" name="信用主体"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43" xr16:uid="{6AE72B63-C780-4E13-AFD4-70F47902106C}" autoFormatId="16" applyNumberFormats="0" applyBorderFormats="0" applyFontFormats="0" applyPatternFormats="0" applyAlignmentFormats="0" applyWidthHeightFormats="0">
  <queryTableRefresh nextId="12">
    <queryTableFields count="10">
      <queryTableField id="1" name="Index" tableColumnId="1"/>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8"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41"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40"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38" xr16:uid="{00000000-0016-0000-0200-000004000000}" autoFormatId="16" applyNumberFormats="0" applyBorderFormats="0" applyFontFormats="0" applyPatternFormats="0" applyAlignmentFormats="0" applyWidthHeightFormats="0">
  <queryTableRefresh nextId="105">
    <queryTableFields count="18">
      <queryTableField id="97" name="Index" tableColumnId="17"/>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37" xr16:uid="{DA651C0B-1AA1-4B27-BFBB-86C9DA354EA2}" autoFormatId="16" applyNumberFormats="0" applyBorderFormats="0" applyFontFormats="0" applyPatternFormats="0" applyAlignmentFormats="0" applyWidthHeightFormats="0">
  <queryTableRefresh nextId="376">
    <queryTableFields count="132">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0" name="板块" tableColumnId="40"/>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101" name="期限备注" tableColumnId="101"/>
      <queryTableField id="103" name="BISL_ROLE" tableColumnId="103"/>
      <queryTableField id="104" name="信用主体简称" tableColumnId="104"/>
      <queryTableField id="105" name="板块二级" tableColumnId="105"/>
      <queryTableField id="106" name="板块三级" tableColumnId="106"/>
      <queryTableField id="245" name="交割天数" tableColumnId="129"/>
      <queryTableField id="246" name="交割T+n" tableColumnId="130"/>
      <queryTableField id="247" name="交割日" tableColumnId="131"/>
      <queryTableField id="102" name="备证行分行" tableColumnId="102"/>
      <queryTableField id="107" name="中资属性" tableColumnId="107"/>
      <queryTableField id="108" name="级别" tableColumnId="108"/>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1" xr16:uid="{902DE114-C6DA-43B0-BA02-B7E12B185B20}" autoFormatId="16" applyNumberFormats="0" applyBorderFormats="0" applyFontFormats="0" applyPatternFormats="0" applyAlignmentFormats="0" applyWidthHeightFormats="0">
  <queryTableRefresh nextId="491">
    <queryTableFields count="71">
      <queryTableField id="440" name="Index" tableColumnId="41"/>
      <queryTableField id="445" name="mBond" tableColumnId="37"/>
      <queryTableField id="4" name="ISIN" tableColumnId="4"/>
      <queryTableField id="3" name="信用主体" tableColumnId="3"/>
      <queryTableField id="5" name="定价日" tableColumnId="5"/>
      <queryTableField id="6" name="发行评级" tableColumnId="6"/>
      <queryTableField id="330" name="主体评级" tableColumnId="7"/>
      <queryTableField id="331" name="境内主体评级" tableColumnId="8"/>
      <queryTableField id="11" name="年期" tableColumnId="11"/>
      <queryTableField id="332" name="票息" tableColumnId="12"/>
      <queryTableField id="9" name="货币" tableColumnId="9"/>
      <queryTableField id="333" name="结构" tableColumnId="13"/>
      <queryTableField id="334" name="上市" tableColumnId="14"/>
      <queryTableField id="341" name="ESG" tableColumnId="21"/>
      <queryTableField id="342" name="品种主题" tableColumnId="22"/>
      <queryTableField id="340" name="备证行全称" tableColumnId="20"/>
      <queryTableField id="336" name="通过分行" tableColumnId="16"/>
      <queryTableField id="337" name="发行人" tableColumnId="17"/>
      <queryTableField id="338" name="担保人" tableColumnId="18"/>
      <queryTableField id="339" name="维好协议提供者" tableColumnId="19"/>
      <queryTableField id="343" name="期限备注" tableColumnId="23"/>
      <queryTableField id="335" name="兑付日" tableColumnId="15"/>
      <queryTableField id="485" name="债券备注" tableColumnId="34"/>
      <queryTableField id="446" name="mIssue" tableColumnId="38"/>
      <queryTableField id="2" name="删除及隐藏" tableColumnId="2"/>
      <queryTableField id="256" name="债券简称" tableColumnId="79"/>
      <queryTableField id="346" name="增发判定" tableColumnId="26"/>
      <queryTableField id="10" name="发行规模(亿)" tableColumnId="10"/>
      <queryTableField id="347" name="IPG" tableColumnId="27"/>
      <queryTableField id="348" name="FPG" tableColumnId="28"/>
      <queryTableField id="349" name="定价" tableColumnId="29"/>
      <queryTableField id="350" name="收窄基点" tableColumnId="30"/>
      <queryTableField id="351" name="发行价" tableColumnId="31"/>
      <queryTableField id="352" name="港分_ROLE" tableColumnId="32"/>
      <queryTableField id="353" name="澳分_ROLE" tableColumnId="33"/>
      <queryTableField id="486" name="交割T+n" tableColumnId="53"/>
      <queryTableField id="487" name="交割日" tableColumnId="54"/>
      <queryTableField id="355" name="ISIN_TEMP" tableColumnId="35"/>
      <queryTableField id="51" name="Check" tableColumnId="51"/>
      <queryTableField id="447" name="mStats" tableColumnId="39"/>
      <queryTableField id="257" name="最终账簿(亿)" tableColumnId="80"/>
      <queryTableField id="258" name="账户数" tableColumnId="81"/>
      <queryTableField id="259" name="地区分布" tableColumnId="83"/>
      <queryTableField id="260" name="类型分布" tableColumnId="84"/>
      <queryTableField id="451" name="mBISL" tableColumnId="40"/>
      <queryTableField id="455" name="PROJECT_CODE" tableColumnId="46"/>
      <queryTableField id="456" name="期数" tableColumnId="47"/>
      <queryTableField id="457" name="BISL_ROLE" tableColumnId="48"/>
      <queryTableField id="458" name="IS_B&amp;D" tableColumnId="49"/>
      <queryTableField id="459" name="IS_LEAD" tableColumnId="50"/>
      <queryTableField id="460" name="是否合名" tableColumnId="52"/>
      <queryTableField id="452" name="mEXE" tableColumnId="45"/>
      <queryTableField id="390" name="台账序号" tableColumnId="1"/>
      <queryTableField id="391" name="EXE" tableColumnId="24"/>
      <queryTableField id="392" name="新规角色" tableColumnId="25"/>
      <queryTableField id="393" name="COVERAGE" tableColumnId="36"/>
      <queryTableField id="78" name="mCredit" tableColumnId="7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441" name="Updator" tableColumnId="42"/>
      <queryTableField id="442" name="Timestamp" tableColumnId="43"/>
      <queryTableField id="443" name="PRJ对账号" tableColumnId="4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3" connectionId="74" xr16:uid="{798BC05D-E2B4-4D0C-B3C7-69CE5F31C1C1}" autoFormatId="16" applyNumberFormats="0" applyBorderFormats="0" applyFontFormats="0" applyPatternFormats="0" applyAlignmentFormats="0" applyWidthHeightFormats="0">
  <queryTableRefresh nextId="12">
    <queryTableFields count="11">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Maker_DD" tableColumnId="10"/>
      <queryTableField id="11" name="Checker_DD" tableColumnId="1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1"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9" xr16:uid="{9C2F7955-BCCD-428B-AD7B-252CCB02224B}" autoFormatId="16" applyNumberFormats="0" applyBorderFormats="0" applyFontFormats="0" applyPatternFormats="0" applyAlignmentFormats="0" applyWidthHeightFormats="0">
  <queryTableRefresh nextId="4">
    <queryTableFields count="2">
      <queryTableField id="1" name="Column1" tableColumnId="23"/>
      <queryTableField id="2" name="Column2" tableColumnId="2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5"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2"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connectionId="68"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7"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9"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8"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80"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0" connectionId="16" xr16:uid="{FE569CA9-74BD-4077-94C4-9DED6F655009}" autoFormatId="16" applyNumberFormats="0" applyBorderFormats="0" applyFontFormats="0" applyPatternFormats="0" applyAlignmentFormats="0" applyWidthHeightFormats="0">
  <queryTableRefresh nextId="4">
    <queryTableFields count="2">
      <queryTableField id="2" name="备证行全称" tableColumnId="1"/>
      <queryTableField id="3" name="SortValu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6"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24"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7"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8" connectionId="18"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9" connectionId="19"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0" connectionId="20"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1" connectionId="14"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2" connectionId="15"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2" connectionId="35"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2" xr16:uid="{1E9EFAFB-7E86-4740-B98B-6C2189720EBA}" autoFormatId="16" applyNumberFormats="0" applyBorderFormats="0" applyFontFormats="0" applyPatternFormats="0" applyAlignmentFormats="0" applyWidthHeightFormats="0">
  <queryTableRefresh nextId="5">
    <queryTableFields count="2">
      <queryTableField id="3" name="上市" tableColumnId="1"/>
      <queryTableField id="2" name="SortValue"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3" connectionId="13" xr16:uid="{A0D21EF6-C53A-4676-92E6-0D4FCB7D8746}" autoFormatId="16" applyNumberFormats="0" applyBorderFormats="0" applyFontFormats="0" applyPatternFormats="0" applyAlignmentFormats="0" applyWidthHeightFormats="0">
  <queryTableRefresh nextId="3">
    <queryTableFields count="2">
      <queryTableField id="1" name="品种主题" tableColumnId="1"/>
      <queryTableField id="2" name="SortValu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3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3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3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4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7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ond" xr10:uid="{E484A803-0D9C-44CD-90D5-7E2C31458163}" cache="Slicer_mBond" caption="mBond" rowHeight="257175"/>
  <slicer name="mIssue" xr10:uid="{818D7613-C425-4329-87D6-7F8684CB8252}" cache="Slicer_mIssue" caption="mIssue" rowHeight="257175"/>
  <slicer name="mStats" xr10:uid="{02CE362A-D505-4938-AD99-5C556EDF8EFF}" cache="Slicer_mStats" caption="mStats" rowHeight="257175"/>
  <slicer name="mEXE" xr10:uid="{B6E1E834-E13A-4A70-9BED-34D11A27D593}" cache="Slicer_mEXE" caption="mEXE" rowHeight="257175"/>
  <slicer name="mCredit" xr10:uid="{E3733D2C-B7CC-4A75-91AD-83A3AD1915D8}" cache="Slicer_mCredit" caption="mCredit"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498" dataDxfId="497">
  <autoFilter ref="B3:C7" xr:uid="{0886B0FE-C80C-4F28-89AD-E6CF9C299703}">
    <filterColumn colId="0" hiddenButton="1"/>
    <filterColumn colId="1" hiddenButton="1"/>
  </autoFilter>
  <tableColumns count="2">
    <tableColumn id="4" xr3:uid="{01BB5857-C8A7-4203-A587-04BFC8573813}" name="Column1" dataDxfId="496"/>
    <tableColumn id="5" xr3:uid="{D010838C-EEEF-40BF-9135-662BB9B0DB52}" name="Column2" dataDxfId="495"/>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3:D14" tableType="queryTable" totalsRowShown="0" headerRowDxfId="494" dataDxfId="493">
  <autoFilter ref="B13:D14"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492"/>
    <tableColumn id="2" xr3:uid="{7B2F5EE6-7EE8-439C-A6C3-A7BAA914C84E}" uniqueName="2" name="状态" queryTableFieldId="2" dataDxfId="491"/>
    <tableColumn id="3" xr3:uid="{DAAC9984-B01A-445F-9C96-EBCCBE03A5F2}" uniqueName="3" name="Timestamp" queryTableFieldId="3" dataDxfId="490"/>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489" dataDxfId="488">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487"/>
    <tableColumn id="2" xr3:uid="{269F7F85-48D4-4FA2-BD46-1E3032E98961}" uniqueName="2" name="ISIN.Weekly.Count" queryTableFieldId="2" dataDxfId="486"/>
    <tableColumn id="3" xr3:uid="{2D2DAF4B-CB5F-4C52-B28F-1DCA0011D6D3}" uniqueName="3" name="Timestamp" queryTableFieldId="3" dataDxfId="485"/>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Q7" tableType="queryTable" totalsRowShown="0">
  <autoFilter ref="A1:Q7" xr:uid="{8EE9EEE1-0C70-4D3B-9742-DD33651E1506}"/>
  <tableColumns count="17">
    <tableColumn id="1" xr3:uid="{E0AE6DCD-40C5-468D-9078-C1CBA9FBFA84}" uniqueName="1" name="Index" queryTableFieldId="1" dataDxfId="484"/>
    <tableColumn id="2" xr3:uid="{22270A99-54FD-412B-BC46-4CB9AD72385A}" uniqueName="2" name="定价日" queryTableFieldId="22" dataDxfId="483"/>
    <tableColumn id="3" xr3:uid="{C4F1531F-30C5-4D39-87B1-F0F89EBC5AC1}" uniqueName="3" name="ISIN" queryTableFieldId="3" dataDxfId="482"/>
    <tableColumn id="4" xr3:uid="{EEA3ED41-051E-4CB7-9965-7F8811D75E70}" uniqueName="4" name="Project Name" queryTableFieldId="4" dataDxfId="481"/>
    <tableColumn id="5" xr3:uid="{4EF33EA8-678A-4A36-9AFA-0145612CC1B4}" uniqueName="5" name="项目名称(集团全称)" queryTableFieldId="5" dataDxfId="480"/>
    <tableColumn id="6" xr3:uid="{65D2E8D0-CEEF-4409-98F4-7478CF96ADA8}" uniqueName="6" name="团队" queryTableFieldId="6" dataDxfId="479"/>
    <tableColumn id="7" xr3:uid="{911F10C9-C00D-4CA8-AFB2-AE0B619AAF17}" uniqueName="7" name="IS_JGC" queryTableFieldId="7" dataDxfId="478"/>
    <tableColumn id="8" xr3:uid="{8C4E60C9-9198-486D-B3D6-CC1C0809F9F9}" uniqueName="8" name="IS_BnD" queryTableFieldId="8" dataDxfId="477"/>
    <tableColumn id="9" xr3:uid="{13237977-9592-4A1B-87DF-99D80CA86D71}" uniqueName="9" name="IS_LEAD" queryTableFieldId="9" dataDxfId="476"/>
    <tableColumn id="10" xr3:uid="{B0DB5AA7-0E79-4D90-AA3A-62D8EAC6F147}" uniqueName="10" name="新规角色" queryTableFieldId="10" dataDxfId="475"/>
    <tableColumn id="14" xr3:uid="{561F2CD8-065D-4B15-8516-69DB90A60016}" uniqueName="14" name="币种" queryTableFieldId="14" dataDxfId="474"/>
    <tableColumn id="15" xr3:uid="{573F315F-650C-4931-8A2E-A8AE33E9F2FF}" uniqueName="15" name="承销费.原币" queryTableFieldId="15"/>
    <tableColumn id="16" xr3:uid="{7A680DEC-EAC4-40FF-9D1E-DF276516E40E}" uniqueName="16" name="承销费.美元" queryTableFieldId="16"/>
    <tableColumn id="17" xr3:uid="{8DFF6E3E-5D29-4BF0-ACE0-4633E34735AA}" uniqueName="17" name="QRC汇率因子" queryTableFieldId="17"/>
    <tableColumn id="11" xr3:uid="{844C45FD-714E-4361-922A-2369555262F9}" uniqueName="11" name="项目状态" queryTableFieldId="11" dataDxfId="473"/>
    <tableColumn id="12" xr3:uid="{D1D9B71E-6D4B-40D6-AD7E-7E4DE3D562D3}" uniqueName="12" name="序号" queryTableFieldId="12" dataDxfId="472"/>
    <tableColumn id="13" xr3:uid="{9BA24CB1-08DB-41E3-AFC6-C813C724354E}" uniqueName="13" name="PRJ对账号" queryTableFieldId="13" dataDxfId="471"/>
  </tableColumns>
  <tableStyleInfo name="Load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9" tableType="queryTable" totalsRowShown="0">
  <autoFilter ref="C5:E9" xr:uid="{F9DBAAC3-EFB9-475E-B234-EEE945DCD3D3}"/>
  <tableColumns count="3">
    <tableColumn id="4" xr3:uid="{61B2B2B6-0F6F-4FB8-9679-FBCDDCB8E175}" uniqueName="4" name="Filter_Credit" queryTableFieldId="4" dataDxfId="466"/>
    <tableColumn id="2" xr3:uid="{2FA58783-8393-4D45-8086-3670144C2F63}" uniqueName="2" name="信用主体" queryTableFieldId="2" dataDxfId="465"/>
    <tableColumn id="3" xr3:uid="{BDAD1081-0976-4C1F-B6C0-9FC86ADEC5FF}" uniqueName="3" name="省份" queryTableFieldId="3" dataDxfId="464"/>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A39" tableType="queryTable" totalsRowShown="0">
  <autoFilter ref="G5:DA39" xr:uid="{9215223E-DCC9-4A79-889F-E48A4601BE3B}"/>
  <tableColumns count="99">
    <tableColumn id="96" xr3:uid="{3D0FD569-8B9D-411D-BF7B-DCDEB8301440}" uniqueName="96" name="Timestamp" queryTableFieldId="481" dataDxfId="114"/>
    <tableColumn id="95" xr3:uid="{DE73B471-D43D-4A80-A497-18D08665CCA1}" uniqueName="95" name="Index" queryTableFieldId="478" dataDxfId="113"/>
    <tableColumn id="1" xr3:uid="{21D3D172-8A23-4F15-932E-CA1ED7CFE243}" uniqueName="1" name="Filter_Bond" queryTableFieldId="1"/>
    <tableColumn id="3" xr3:uid="{8420203C-09DD-4658-9F73-6FFF938DA7B4}" uniqueName="3" name="Filter_Exch" queryTableFieldId="3"/>
    <tableColumn id="2" xr3:uid="{5AA4EF8D-5C23-4512-93E4-DABC8ECFB006}" uniqueName="2" name="IS_FIMTN" queryTableFieldId="2"/>
    <tableColumn id="4" xr3:uid="{D6B50225-399C-4C66-8BCA-0704909B826F}" uniqueName="4" name="ISIN" queryTableFieldId="4"/>
    <tableColumn id="5" xr3:uid="{285B08C7-2C77-4B91-8202-215E10B8B4CD}" uniqueName="5" name="定价日" queryTableFieldId="5" dataDxfId="112"/>
    <tableColumn id="6" xr3:uid="{68491BF8-D876-41C4-8BE7-7D12F7AA10F4}" uniqueName="6" name="债券简称" queryTableFieldId="6"/>
    <tableColumn id="7" xr3:uid="{0ED22E15-E6FC-4B71-85E5-54E22843E4C6}" uniqueName="7" name="货币" queryTableFieldId="7"/>
    <tableColumn id="8" xr3:uid="{26E5546D-724B-49DD-8B63-6FAB23C3E896}" uniqueName="8" name="发行规模(亿)" queryTableFieldId="8"/>
    <tableColumn id="75" xr3:uid="{6E5D40BC-0087-49E2-9904-60C828BCF115}" uniqueName="75" name="mIssue" queryTableFieldId="151"/>
    <tableColumn id="89" xr3:uid="{11994894-F1C2-4213-82F0-251C19592955}" uniqueName="89" name="mBond" queryTableFieldId="152"/>
    <tableColumn id="90" xr3:uid="{B2482D67-4843-41CC-B46F-F1ED958C5B2D}" uniqueName="90" name="mCredit" queryTableFieldId="153"/>
    <tableColumn id="9" xr3:uid="{C61498B3-B05A-4A4E-B352-9233B78D60BC}" uniqueName="9" name="Filter_Credit" queryTableFieldId="9"/>
    <tableColumn id="11" xr3:uid="{14BFDB8E-5AB7-448D-9446-1622BC2AC032}" uniqueName="11" name="信用主体" queryTableFieldId="11"/>
    <tableColumn id="12" xr3:uid="{A2F75C97-5829-464F-A787-34F99D97A114}" uniqueName="12" name="英文简称" queryTableFieldId="12"/>
    <tableColumn id="13" xr3:uid="{1B0791D4-A49D-45E6-A7A9-008A106A2792}" uniqueName="13" name="穆迪/标普" queryTableFieldId="13"/>
    <tableColumn id="14" xr3:uid="{7D391D9A-6113-4F1A-9426-1F4A204D44D4}" uniqueName="14" name="主体评级展望" queryTableFieldId="14"/>
    <tableColumn id="15" xr3:uid="{4C1620C7-2B23-4BA2-99A2-2D051AA3AC01}" uniqueName="15" name="债项评级" queryTableFieldId="15"/>
    <tableColumn id="16" xr3:uid="{407F505A-F2C4-4BB3-BB4C-03919F592640}" uniqueName="16" name="发行期限(年)" queryTableFieldId="16"/>
    <tableColumn id="17" xr3:uid="{947794D9-4951-481F-B674-90A9D23AC525}" uniqueName="17" name="票息_DMI" queryTableFieldId="17"/>
    <tableColumn id="18" xr3:uid="{FC2C2F03-AF20-4576-92CA-436E1B76FE38}" uniqueName="18" name="兑付日" queryTableFieldId="18" dataDxfId="111"/>
    <tableColumn id="19" xr3:uid="{5A48CA2F-2B01-433A-8D09-68A5001FFCC0}" uniqueName="19" name="发行场所" queryTableFieldId="19"/>
    <tableColumn id="20" xr3:uid="{913347E1-B106-4E0E-9C06-463B5EBA5E12}" uniqueName="20" name="IPT_DMI" queryTableFieldId="20"/>
    <tableColumn id="21" xr3:uid="{83233995-1369-477F-9D14-62AD016744F9}" uniqueName="21" name="FPG_DMI" queryTableFieldId="21"/>
    <tableColumn id="22" xr3:uid="{B58C06C6-DF8C-47AD-8D3C-B035BD7A36F7}" uniqueName="22" name="收窄幅度(bp)" queryTableFieldId="22"/>
    <tableColumn id="23" xr3:uid="{F08CF6F8-6C36-4ED8-BE3C-D6A28ACC09A9}" uniqueName="23" name="发行规则" queryTableFieldId="23"/>
    <tableColumn id="24" xr3:uid="{7D25C779-F8E6-49E2-B6F0-9C00118F3425}" uniqueName="24" name="发行架构" queryTableFieldId="24"/>
    <tableColumn id="25" xr3:uid="{C0C078E3-83CC-48C5-81B3-9D1AC84AAD0E}" uniqueName="25" name="SBLC提供者" queryTableFieldId="25"/>
    <tableColumn id="26" xr3:uid="{FADBE912-1049-4462-B968-251782D40526}" uniqueName="26" name="偿还顺位" queryTableFieldId="26"/>
    <tableColumn id="27" xr3:uid="{82D22C66-431F-4A2F-ABB9-C5FBB58D2AAB}" uniqueName="27" name="发行价" queryTableFieldId="27"/>
    <tableColumn id="28" xr3:uid="{2B89D1B9-012E-48AB-8E0E-198CA59F919D}" uniqueName="28" name="首日涨跌" queryTableFieldId="28"/>
    <tableColumn id="29" xr3:uid="{DFA7C254-3AB9-4602-9A37-AF484FA15B6A}" uniqueName="29" name="省份" queryTableFieldId="29"/>
    <tableColumn id="30" xr3:uid="{EE2A358C-5116-478F-B7E0-385179E5AAFA}" uniqueName="30" name="城市" queryTableFieldId="30"/>
    <tableColumn id="31" xr3:uid="{2A1C4137-C439-46AA-A284-FBF58C6037EF}" uniqueName="31" name="区县" queryTableFieldId="31"/>
    <tableColumn id="32" xr3:uid="{22D7D923-9D60-45EF-9C3F-95FCDAD9B23D}" uniqueName="32" name="认购额(亿)" queryTableFieldId="32"/>
    <tableColumn id="33" xr3:uid="{F0AD0BBC-5897-4981-AECF-F5D7D52C20DA}" uniqueName="33" name="认购倍数" queryTableFieldId="33"/>
    <tableColumn id="34" xr3:uid="{38CBACBF-3FE3-4803-8CEA-2746FF1BF539}" uniqueName="34" name="亚洲占比" queryTableFieldId="34"/>
    <tableColumn id="35" xr3:uid="{7D2B5C02-A893-4D18-9B05-609BCE7D13B3}" uniqueName="35" name="基金占比" queryTableFieldId="35"/>
    <tableColumn id="36" xr3:uid="{C6556D3C-1380-4654-B255-A120CF0B1ED2}" uniqueName="36" name="联席全球协调人" queryTableFieldId="36"/>
    <tableColumn id="37" xr3:uid="{B6DE7B5D-8CB4-4D3B-A230-3EC9A49B66DC}" uniqueName="37" name="发行方式" queryTableFieldId="37"/>
    <tableColumn id="38" xr3:uid="{BC6B59B3-5349-46A7-A204-A73D56B7F4D5}" uniqueName="38" name="细分行业" queryTableFieldId="38"/>
    <tableColumn id="39" xr3:uid="{A6F6599F-280E-472F-8942-6FEDF543C5E7}" uniqueName="39" name="债项初始评级" queryTableFieldId="39"/>
    <tableColumn id="40" xr3:uid="{9D73DADF-EE45-430E-A84F-6C959304E134}" uniqueName="40" name="境内主体评级" queryTableFieldId="40"/>
    <tableColumn id="41" xr3:uid="{6AA52F5D-273A-43E8-8AB7-B1C517377954}" uniqueName="41" name="主题债券" queryTableFieldId="41"/>
    <tableColumn id="42" xr3:uid="{60968CFD-F95D-47A1-969F-F397137325CC}" uniqueName="42" name="DMI行业" queryTableFieldId="42"/>
    <tableColumn id="43" xr3:uid="{E9E5B5FF-D0AC-40AF-8A5D-3832DDD3A2C4}" uniqueName="43" name="剩余期限" queryTableFieldId="43"/>
    <tableColumn id="44" xr3:uid="{79D5A262-E07E-4904-A2E6-F040AF6A9861}" uniqueName="44" name="公司类型" queryTableFieldId="44"/>
    <tableColumn id="45" xr3:uid="{8F037EAB-9534-4331-8ED4-22EF11EF741B}" uniqueName="45" name="评级类型" queryTableFieldId="45"/>
    <tableColumn id="46" xr3:uid="{8624E3D0-E88F-4992-BECD-2C8217CE1D97}" uniqueName="46" name="投资者账户数" queryTableFieldId="46"/>
    <tableColumn id="47" xr3:uid="{9DB70FFD-7570-4D28-B8B7-1F6F26F437B9}" uniqueName="47" name="投资者类型" queryTableFieldId="47"/>
    <tableColumn id="48" xr3:uid="{A2FB1093-8B25-499F-9E66-45802099E06B}" uniqueName="48" name="投资者分布" queryTableFieldId="48"/>
    <tableColumn id="49" xr3:uid="{AE64C71B-6433-4C40-B817-F92FD05A504D}" uniqueName="49" name="筹款用途" queryTableFieldId="49"/>
    <tableColumn id="50" xr3:uid="{E6EA1ACB-B0C9-4D6D-9197-5EB793644A90}" uniqueName="50" name="TICKER" queryTableFieldId="50"/>
    <tableColumn id="51" xr3:uid="{645DC147-1681-4C95-99B1-CB929F47F8DA}" uniqueName="51" name="债券最新面值" queryTableFieldId="51"/>
    <tableColumn id="52" xr3:uid="{8DFFCC09-F66B-401B-B70C-D1633F97CEBB}" uniqueName="52" name="债券余额" queryTableFieldId="52"/>
    <tableColumn id="53" xr3:uid="{1B71FE3E-B371-4389-83B8-6CEF67F13964}" uniqueName="53" name="起息日期" queryTableFieldId="53" dataDxfId="110"/>
    <tableColumn id="54" xr3:uid="{F2A930E5-E939-4519-8813-FADD50B8F597}" uniqueName="54" name="行权兑付日" queryTableFieldId="54" dataDxfId="109"/>
    <tableColumn id="55" xr3:uid="{DDCC61CF-00B8-402A-BBE2-08F66B47392D}" uniqueName="55" name="最新票面利率" queryTableFieldId="55"/>
    <tableColumn id="56" xr3:uid="{98870475-BB08-4A05-9E3D-77812AF5B7D0}" uniqueName="56" name="计息基准" queryTableFieldId="56"/>
    <tableColumn id="57" xr3:uid="{BDBACCE0-7ED5-4CE5-A2E8-731767C722A6}" uniqueName="57" name="首次付息日" queryTableFieldId="57" dataDxfId="108"/>
    <tableColumn id="58" xr3:uid="{7CF231D4-52AA-4C30-8D7D-AF1FB8739A15}" uniqueName="58" name="发行人" queryTableFieldId="58"/>
    <tableColumn id="59" xr3:uid="{C8E11B12-397E-43EB-84C8-567F3AB96BFB}" uniqueName="59" name="担保人" queryTableFieldId="59"/>
    <tableColumn id="60" xr3:uid="{1B6789C2-F6DF-4287-BFCA-381F77EC5A5F}" uniqueName="60" name="发行起始日" queryTableFieldId="60" dataDxfId="107"/>
    <tableColumn id="61" xr3:uid="{2727DAF0-C0E5-4A19-A9B2-68BD981F822A}" uniqueName="61" name="定价_DMI" queryTableFieldId="61"/>
    <tableColumn id="62" xr3:uid="{E5E1D714-6851-4F70-92C9-8DE96C3C3D57}" uniqueName="62" name="上市日期" queryTableFieldId="62" dataDxfId="106"/>
    <tableColumn id="63" xr3:uid="{D1A744F0-D58A-4909-A361-40B280F8F0CB}" uniqueName="63" name="特殊条款说明" queryTableFieldId="63"/>
    <tableColumn id="64" xr3:uid="{55DA68D8-4B8F-4259-8119-7EDB5232B969}" uniqueName="64" name="牵头经办人" queryTableFieldId="64"/>
    <tableColumn id="65" xr3:uid="{3EF338B1-F9DD-46C6-AC2F-9F4033E78160}" uniqueName="65" name="联席账簿管理人" queryTableFieldId="65"/>
    <tableColumn id="66" xr3:uid="{FE3D4B8A-51B7-4C2A-A11B-509F70B736E3}" uniqueName="66" name="是否永续债" queryTableFieldId="66"/>
    <tableColumn id="67" xr3:uid="{E6B118B9-3CF1-4744-8AE3-489460C7A26A}" uniqueName="67" name="是否存单" queryTableFieldId="67"/>
    <tableColumn id="68" xr3:uid="{55C4F79E-5E93-4FF4-A3C8-33B17E46A960}" uniqueName="68" name="利率类型" queryTableFieldId="68"/>
    <tableColumn id="69" xr3:uid="{A1C07673-EC16-4FEC-AF90-D271CE60D91D}" uniqueName="69" name="交易状态" queryTableFieldId="69"/>
    <tableColumn id="70" xr3:uid="{EC779849-744B-4E30-9167-A3FE7249BB6D}" uniqueName="70" name="债券类型" queryTableFieldId="70"/>
    <tableColumn id="71" xr3:uid="{B8EC7669-EE90-4B14-B903-5336EC05A17D}" uniqueName="71" name="特殊条款" queryTableFieldId="71"/>
    <tableColumn id="72" xr3:uid="{FE7653C7-0332-4CAB-AD36-0ABBF681762A}" uniqueName="72" name="付息频率" queryTableFieldId="72"/>
    <tableColumn id="73" xr3:uid="{16C8738C-6EC0-41DD-BFC3-AD1F0295F184}" uniqueName="73" name="维好协议提供者" queryTableFieldId="73"/>
    <tableColumn id="74" xr3:uid="{B99BF59A-FF76-4268-AFA6-E02D135B96F7}" uniqueName="74" name="ISIN_TEMP" queryTableFieldId="74"/>
    <tableColumn id="91" xr3:uid="{D68E6849-9EEE-4FFB-8925-4B37AF904712}" uniqueName="91" name="DataSource" queryTableFieldId="164"/>
    <tableColumn id="10" xr3:uid="{8A6D5891-6029-46F0-9895-AEAAB390EDA6}" uniqueName="10" name="发行人成立地" queryTableFieldId="483"/>
    <tableColumn id="92" xr3:uid="{AF55128F-BE0F-4A82-9A8C-3E5D67433B16}" uniqueName="92" name="发行人主上市地" queryTableFieldId="484"/>
    <tableColumn id="93" xr3:uid="{A1BBA1BE-22A0-4AF2-9B0A-8CB96B70551B}" uniqueName="93" name="补充OMAS updates" queryTableFieldId="485" dataDxfId="105"/>
    <tableColumn id="94" xr3:uid="{C27E8816-65B1-4A83-BE6D-7602D2E60DF7}" uniqueName="94" name="定价息差" queryTableFieldId="486"/>
    <tableColumn id="97" xr3:uid="{DD35A760-4C77-40BE-B86C-ECBFA0D0B477}" uniqueName="97" name="发行评级" queryTableFieldId="487"/>
    <tableColumn id="98" xr3:uid="{06851DDA-2C38-4CF0-B324-DEAACF3AD5ED}" uniqueName="98" name="主体评级" queryTableFieldId="488"/>
    <tableColumn id="99" xr3:uid="{9847FE99-2D76-45C8-89CE-04822DDC4B63}" uniqueName="99" name="ESG_Indicator" queryTableFieldId="489"/>
    <tableColumn id="76" xr3:uid="{EF724735-0E7B-4AE9-895B-22C9F3A66206}" uniqueName="76" name="地区" queryTableFieldId="76"/>
    <tableColumn id="77" xr3:uid="{1BD8D8B6-A747-4FC1-8378-DF61E5C08EBE}" uniqueName="77" name="Check" queryTableFieldId="77"/>
    <tableColumn id="78" xr3:uid="{8A78FC20-4D92-4F23-B02B-05F81E2EB964}" uniqueName="78" name="是否中资主体" queryTableFieldId="78"/>
    <tableColumn id="79" xr3:uid="{4C285B2A-5D81-4CBD-A4B7-985FFE1DC695}" uniqueName="79" name="首次违约日" queryTableFieldId="79" dataDxfId="104"/>
    <tableColumn id="80" xr3:uid="{B447592A-3A0C-4B93-8A0A-2DCF5764957D}" uniqueName="80" name="DBIndex_Credit" queryTableFieldId="80"/>
    <tableColumn id="81" xr3:uid="{17AB0ABD-FE6C-4575-A0CB-ABD79681CBD9}" uniqueName="81" name="信用主体简称" queryTableFieldId="81"/>
    <tableColumn id="82" xr3:uid="{BFD0E02A-F036-470B-A5CA-7A8E833A3514}" uniqueName="82" name="板块" queryTableFieldId="82"/>
    <tableColumn id="83" xr3:uid="{2EC46473-58CB-4569-80A5-3A62CEC82884}" uniqueName="83" name="板块二级" queryTableFieldId="83"/>
    <tableColumn id="84" xr3:uid="{78CBA41D-1A24-48B0-BA8A-B6293FB6AD82}" uniqueName="84" name="板块三级" queryTableFieldId="84"/>
    <tableColumn id="85" xr3:uid="{63AB781E-D19E-4B9E-AE3E-F5A0E3662404}" uniqueName="85" name="中资属性" queryTableFieldId="85"/>
    <tableColumn id="86" xr3:uid="{925CE51B-2AD3-4627-9947-DC5580FB6E03}" uniqueName="86" name="级别" queryTableFieldId="86"/>
    <tableColumn id="87" xr3:uid="{744A62F0-31AB-4442-AFDB-F74B196A7723}" uniqueName="87" name="DBIndex_Bond" queryTableFieldId="87"/>
    <tableColumn id="88" xr3:uid="{D646F7A7-AB3E-4CEE-B98A-682170411272}" uniqueName="88" name="DBIndex_Issue" queryTableFieldId="88"/>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40" tableType="queryTable" totalsRowShown="0">
  <autoFilter ref="A1:CC40" xr:uid="{D78AF57E-8B0A-4B8F-9B73-E8E8E040DAFC}"/>
  <tableColumns count="81">
    <tableColumn id="1" xr3:uid="{96AB7BD2-3809-4CD6-8F77-C4500747B0F3}" uniqueName="1" name="Timestamp" queryTableFieldId="1" dataDxfId="463"/>
    <tableColumn id="2" xr3:uid="{919754D9-8E93-4275-B21C-7A30CA4984C8}" uniqueName="2" name="信用主体" queryTableFieldId="2" dataDxfId="462"/>
    <tableColumn id="3" xr3:uid="{A1BB4241-7167-4A3A-A7E6-6CE1BCDAC66B}" uniqueName="3" name="英文简称" queryTableFieldId="3" dataDxfId="461"/>
    <tableColumn id="4" xr3:uid="{E47F02FA-140D-4B87-B1E1-9F2B44290FC4}" uniqueName="4" name="ISIN" queryTableFieldId="4" dataDxfId="460"/>
    <tableColumn id="5" xr3:uid="{7C9188FA-6DDB-467B-834A-33EC7EC1CA84}" uniqueName="5" name="定价日" queryTableFieldId="5" dataDxfId="459"/>
    <tableColumn id="6" xr3:uid="{C30C5563-BE4A-42F1-BA08-3994D19645A5}" uniqueName="6" name="债券简称" queryTableFieldId="6" dataDxfId="458"/>
    <tableColumn id="7" xr3:uid="{1EA2B32D-2C04-454A-97D3-63B22D3668F6}" uniqueName="7" name="穆迪/标普" queryTableFieldId="7" dataDxfId="457"/>
    <tableColumn id="8" xr3:uid="{3078105E-D8FA-414C-9761-E74FBFBE3EB0}" uniqueName="8" name="主体评级展望" queryTableFieldId="8" dataDxfId="456"/>
    <tableColumn id="9" xr3:uid="{E873CE58-446C-4D79-80E0-8B4EDB8F6BE5}" uniqueName="9" name="债项评级" queryTableFieldId="9" dataDxfId="455"/>
    <tableColumn id="10" xr3:uid="{4F731016-612D-450E-AADD-B95489D6E62A}" uniqueName="10" name="发行规模(亿)" queryTableFieldId="10"/>
    <tableColumn id="11" xr3:uid="{D9F4D760-8799-4684-B23F-DBE20F4080C3}" uniqueName="11" name="货币" queryTableFieldId="11" dataDxfId="454"/>
    <tableColumn id="12" xr3:uid="{B8A7A7D7-880E-42E4-971A-0E899301C24E}" uniqueName="12" name="发行期限(年)" queryTableFieldId="12" dataDxfId="453"/>
    <tableColumn id="13" xr3:uid="{EC599493-C8D0-4286-825F-36A585EF8CAA}" uniqueName="13" name="票息" queryTableFieldId="13" dataDxfId="452"/>
    <tableColumn id="14" xr3:uid="{CBACCDA3-9AC1-410E-9DB2-A2C98A307CA4}" uniqueName="14" name="兑付日" queryTableFieldId="14" dataDxfId="451"/>
    <tableColumn id="15" xr3:uid="{C256822A-C652-4ECF-B0F5-BE9F15DE30E3}" uniqueName="15" name="发行场所" queryTableFieldId="15" dataDxfId="450"/>
    <tableColumn id="16" xr3:uid="{9D11D1B2-DCC5-4E05-B6D1-14C4FA303368}" uniqueName="16" name="IPT" queryTableFieldId="16" dataDxfId="449"/>
    <tableColumn id="17" xr3:uid="{91A15D1B-BB23-403A-877A-99FB2CA5F323}" uniqueName="17" name="FPG" queryTableFieldId="17" dataDxfId="448"/>
    <tableColumn id="18" xr3:uid="{362091F3-6B1F-4A1D-BE00-98E27BDCD8B1}" uniqueName="18" name="收窄幅度(bp)" queryTableFieldId="18"/>
    <tableColumn id="19" xr3:uid="{8330335B-D421-44A5-84B9-51D6111FDE5F}" uniqueName="19" name="发行规则" queryTableFieldId="19" dataDxfId="447"/>
    <tableColumn id="20" xr3:uid="{AB630CDB-9AE5-4BA8-B40D-141B26B85C65}" uniqueName="20" name="发行架构" queryTableFieldId="20" dataDxfId="446"/>
    <tableColumn id="21" xr3:uid="{3D5F6C9D-1F12-4A75-AB31-264F74ED1F03}" uniqueName="21" name="SBLC提供者" queryTableFieldId="21" dataDxfId="445"/>
    <tableColumn id="22" xr3:uid="{85A06DED-27F5-4315-AD5E-95762311AF43}" uniqueName="22" name="偿还顺位" queryTableFieldId="22" dataDxfId="444"/>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443"/>
    <tableColumn id="26" xr3:uid="{A9772D0D-1D3D-4C56-942F-4F7E8EFFC042}" uniqueName="26" name="城市" queryTableFieldId="26" dataDxfId="442"/>
    <tableColumn id="27" xr3:uid="{F1D1B7E4-B7F2-44BA-B71B-408B39AB25C0}" uniqueName="27" name="区县" queryTableFieldId="27" dataDxfId="441"/>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440"/>
    <tableColumn id="33" xr3:uid="{F64E5A06-9DA9-43D0-8F8A-E6A4F5E3EBC5}" uniqueName="33" name="发行方式" queryTableFieldId="33" dataDxfId="439"/>
    <tableColumn id="34" xr3:uid="{EB3CAF7E-A98C-4DF2-8963-378532DEBFFA}" uniqueName="34" name="细分行业" queryTableFieldId="34" dataDxfId="438"/>
    <tableColumn id="36" xr3:uid="{BF444463-B9CA-4138-ADAA-E8917A51D896}" uniqueName="36" name="债项初始评级" queryTableFieldId="36" dataDxfId="437"/>
    <tableColumn id="37" xr3:uid="{A2361643-33C2-43FD-BA8D-EBCC9A467174}" uniqueName="37" name="境内主体评级" queryTableFieldId="37" dataDxfId="436"/>
    <tableColumn id="35" xr3:uid="{73F66D87-F8EC-4FD6-A462-FB357359C6E3}" uniqueName="35" name="主题债券" queryTableFieldId="35" dataDxfId="435"/>
    <tableColumn id="38" xr3:uid="{CF5D0E4D-3775-4FC0-B31E-9824A46E5519}" uniqueName="38" name="行业" queryTableFieldId="38" dataDxfId="434"/>
    <tableColumn id="39" xr3:uid="{1B9B4CBB-90C9-4916-8BD4-8816121B06BA}" uniqueName="39" name="剩余期限" queryTableFieldId="39" dataDxfId="433"/>
    <tableColumn id="40" xr3:uid="{8B7DAD95-2F83-4F2E-9020-8D7B9F092271}" uniqueName="40" name="公司类型" queryTableFieldId="40" dataDxfId="432"/>
    <tableColumn id="41" xr3:uid="{A1EE0E46-380E-4D0B-80C7-2FB69177FE17}" uniqueName="41" name="评级类型" queryTableFieldId="41" dataDxfId="431"/>
    <tableColumn id="42" xr3:uid="{BC7BD5D9-DDC0-4672-9462-941469F06EFA}" uniqueName="42" name="投资者账户数" queryTableFieldId="42"/>
    <tableColumn id="43" xr3:uid="{0DAF7449-48FD-43E0-9AEC-E78ADB281732}" uniqueName="43" name="投资者类型" queryTableFieldId="43" dataDxfId="430"/>
    <tableColumn id="44" xr3:uid="{1AB7B5A4-6410-4055-919A-C1EB66E37C36}" uniqueName="44" name="投资者分布" queryTableFieldId="44" dataDxfId="429"/>
    <tableColumn id="45" xr3:uid="{DFF0E812-6098-40EB-A38C-552E4066909C}" uniqueName="45" name="筹款用途" queryTableFieldId="45" dataDxfId="428"/>
    <tableColumn id="46" xr3:uid="{E49DF0CC-6628-4D1D-A78F-F5374481B4A9}" uniqueName="46" name="TICKER" queryTableFieldId="46" dataDxfId="427"/>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426"/>
    <tableColumn id="50" xr3:uid="{0AD5E537-95C6-42D6-A67F-2AE7BFA9D564}" uniqueName="50" name="行权兑付日" queryTableFieldId="50" dataDxfId="425"/>
    <tableColumn id="52" xr3:uid="{C9CD23D2-6C60-40E2-9AD6-6C4B71FA22B6}" uniqueName="52" name="最新票面利率" queryTableFieldId="52"/>
    <tableColumn id="51" xr3:uid="{BA9160C9-E5FF-4226-B0EC-789573047511}" uniqueName="51" name="计息基准" queryTableFieldId="51" dataDxfId="424"/>
    <tableColumn id="53" xr3:uid="{A1831E21-A7C5-4686-93F3-C2CF293D50B0}" uniqueName="53" name="首次付息日" queryTableFieldId="53" dataDxfId="423"/>
    <tableColumn id="54" xr3:uid="{B67ED8F1-91D7-4657-9F5F-32362A0BE0B6}" uniqueName="54" name="发行人" queryTableFieldId="54" dataDxfId="422"/>
    <tableColumn id="57" xr3:uid="{015B3F28-227F-4495-BEAC-D9591790DCA0}" uniqueName="57" name="担保人" queryTableFieldId="57" dataDxfId="421"/>
    <tableColumn id="55" xr3:uid="{615B16A3-F8F1-49A8-9A2B-F28CA4E565DF}" uniqueName="55" name="发行起始日" queryTableFieldId="55" dataDxfId="420"/>
    <tableColumn id="56" xr3:uid="{D45E3CA0-8FCE-4072-883E-85252341B11E}" uniqueName="56" name="定价" queryTableFieldId="56" dataDxfId="419"/>
    <tableColumn id="58" xr3:uid="{E4A2E34C-9F9C-4B56-9B85-E02715EE76CD}" uniqueName="58" name="上市日期" queryTableFieldId="58" dataDxfId="418"/>
    <tableColumn id="59" xr3:uid="{B936A329-F686-41F8-9414-EC097124F35D}" uniqueName="59" name="特殊条款说明" queryTableFieldId="59" dataDxfId="417"/>
    <tableColumn id="60" xr3:uid="{615A8591-330D-4380-8B8F-DFEE8FDA7C40}" uniqueName="60" name="牵头经办人" queryTableFieldId="60" dataDxfId="416"/>
    <tableColumn id="61" xr3:uid="{DC0813C9-5F46-4BAE-8EBF-7E070447A046}" uniqueName="61" name="联席账簿管理人" queryTableFieldId="61" dataDxfId="415"/>
    <tableColumn id="62" xr3:uid="{F4B701BC-1CDC-4EFB-9849-18A9A09DEEC8}" uniqueName="62" name="是否永续债" queryTableFieldId="62" dataDxfId="414"/>
    <tableColumn id="63" xr3:uid="{ACEABB7F-057C-4F1D-9297-41715C2D960C}" uniqueName="63" name="是否存单" queryTableFieldId="63" dataDxfId="413"/>
    <tableColumn id="64" xr3:uid="{649C6718-7B96-4BCB-9547-DF5DD03B3246}" uniqueName="64" name="利率类型" queryTableFieldId="64" dataDxfId="412"/>
    <tableColumn id="65" xr3:uid="{8030E568-1A54-4B46-BE39-89EE58E6CE4B}" uniqueName="65" name="交易状态" queryTableFieldId="65" dataDxfId="411"/>
    <tableColumn id="66" xr3:uid="{73A09F31-D1C9-4A5D-9FA8-C67E1017E7BA}" uniqueName="66" name="债券类型" queryTableFieldId="66" dataDxfId="410"/>
    <tableColumn id="67" xr3:uid="{DC0D58FE-270B-4F56-A85A-90B3B8C22E4A}" uniqueName="67" name="特殊条款" queryTableFieldId="67" dataDxfId="409"/>
    <tableColumn id="68" xr3:uid="{C033FDE0-32AD-4ACA-837D-5BF5DB84147C}" uniqueName="68" name="付息频率" queryTableFieldId="68" dataDxfId="408"/>
    <tableColumn id="69" xr3:uid="{2B422265-B3A0-4509-8785-307FDB83B7DF}" uniqueName="69" name="维好协议提供者" queryTableFieldId="69" dataDxfId="407"/>
    <tableColumn id="70" xr3:uid="{EED4912A-FF06-43E7-903B-FD726064C766}" uniqueName="70" name="ISIN_TEMP" queryTableFieldId="70" dataDxfId="406"/>
    <tableColumn id="71" xr3:uid="{066F593B-8F63-4C90-82C5-92D7760C3681}" uniqueName="71" name="DataSource" queryTableFieldId="71" dataDxfId="405"/>
    <tableColumn id="72" xr3:uid="{A963ED92-226E-4BC6-98F3-605A12589637}" uniqueName="72" name="Check" queryTableFieldId="72" dataDxfId="404"/>
    <tableColumn id="75" xr3:uid="{D3F78BF4-703E-4386-9D03-6871E9EE36E6}" uniqueName="75" name="发行人成立地" queryTableFieldId="75" dataDxfId="403"/>
    <tableColumn id="76" xr3:uid="{8ECEBD9F-DF6B-43D4-9B4B-A66520D01EB0}" uniqueName="76" name="发行人主上市地" queryTableFieldId="76" dataDxfId="402"/>
    <tableColumn id="73" xr3:uid="{7FAF236D-7155-4E8D-85D7-2F086ECD620C}" uniqueName="73" name="补充OMAS updates" queryTableFieldId="73" dataDxfId="401"/>
    <tableColumn id="78" xr3:uid="{3FF90F88-5492-438F-A337-FFB83D4A92AD}" uniqueName="78" name="定价息差" queryTableFieldId="78"/>
    <tableColumn id="74" xr3:uid="{3C2796D0-7424-41D0-A10F-B7F11E06B34F}" uniqueName="74" name="发行评级" queryTableFieldId="74" dataDxfId="400"/>
    <tableColumn id="77" xr3:uid="{976041F8-0EC8-46E7-A482-5D17397BF21D}" uniqueName="77" name="主体评级" queryTableFieldId="77" dataDxfId="399"/>
    <tableColumn id="81" xr3:uid="{80C1E870-8230-499A-A209-C34231271266}" uniqueName="81" name="ESG_Indicator" queryTableFieldId="81" dataDxfId="398"/>
    <tableColumn id="83" xr3:uid="{8224A1F5-8A2E-4237-A874-4D1FEC9D070B}" uniqueName="83" name="Dummy计息基准" queryTableFieldId="83" dataDxfId="397"/>
    <tableColumn id="84" xr3:uid="{71A65DC6-4D32-468C-A3B2-8751258D90A6}" uniqueName="84" name="DummySBLC提供者" queryTableFieldId="84" dataDxfId="39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X32" tableType="queryTable" totalsRowShown="0">
  <autoFilter ref="D5:X32" xr:uid="{2BCE8B9C-6D8F-4E9C-8538-09C3352C1863}"/>
  <tableColumns count="21">
    <tableColumn id="1" xr3:uid="{46173B41-342F-4E1F-8AF9-1CE34FF013A5}" uniqueName="1" name="Index" queryTableFieldId="1" dataDxfId="392"/>
    <tableColumn id="16" xr3:uid="{BD354814-BFD9-48E0-871E-5C0DEE6718D1}" uniqueName="16" name="mBond" queryTableFieldId="16" dataDxfId="391"/>
    <tableColumn id="2" xr3:uid="{B4E0D624-6AC7-4F57-AA5E-A3AA9D3036CD}" uniqueName="2" name="ISIN" queryTableFieldId="2" dataDxfId="390"/>
    <tableColumn id="3" xr3:uid="{544233FA-5EEE-41E6-B586-9115E4E844B5}" uniqueName="3" name="定价日" queryTableFieldId="3" dataDxfId="389"/>
    <tableColumn id="4" xr3:uid="{7F016620-6EC8-4B37-9B27-4460EDDC2543}" uniqueName="4" name="信用主体" queryTableFieldId="4" dataDxfId="388"/>
    <tableColumn id="5" xr3:uid="{2E51E331-832D-4898-AEB0-F4A3553F2B18}" uniqueName="5" name="发行评级" queryTableFieldId="5" dataDxfId="387"/>
    <tableColumn id="6" xr3:uid="{78E19CC4-5508-4D05-875C-3299D52F1023}" uniqueName="6" name="主体评级" queryTableFieldId="6" dataDxfId="386"/>
    <tableColumn id="7" xr3:uid="{D9A3A472-6158-4369-84B5-A246A674F123}" uniqueName="7" name="结构" queryTableFieldId="7" dataDxfId="385"/>
    <tableColumn id="8" xr3:uid="{CEA48AAA-CA00-4F2F-A802-C535DD356FF7}" uniqueName="8" name="备证行全称" queryTableFieldId="8" dataDxfId="384"/>
    <tableColumn id="9" xr3:uid="{E6122E1D-8103-4466-99BF-B357F1372A5F}" uniqueName="9" name="ESG" queryTableFieldId="9" dataDxfId="383"/>
    <tableColumn id="10" xr3:uid="{1CD06D40-53AB-4870-9682-26285C016DB0}" uniqueName="10" name="货币" queryTableFieldId="10" dataDxfId="382"/>
    <tableColumn id="11" xr3:uid="{95FA2208-3A19-4979-9D57-B415CF490E5B}" uniqueName="11" name="年期" queryTableFieldId="11" dataDxfId="381"/>
    <tableColumn id="12" xr3:uid="{4ECC069F-36BB-4E24-8424-C05CFA68C560}" uniqueName="12" name="票息" queryTableFieldId="12" dataDxfId="380"/>
    <tableColumn id="13" xr3:uid="{EA044925-6446-4D9B-8AAD-944C60DC9EC6}" uniqueName="13" name="品种主题" queryTableFieldId="13" dataDxfId="379"/>
    <tableColumn id="14" xr3:uid="{419F9918-D55E-41AD-BC3A-0C462219FAD4}" uniqueName="14" name="上市" queryTableFieldId="14" dataDxfId="378"/>
    <tableColumn id="21" xr3:uid="{493FF267-3F2F-4386-AAB5-21E0DBB7E224}" uniqueName="21" name="交割T+n" queryTableFieldId="23" dataDxfId="377"/>
    <tableColumn id="22" xr3:uid="{E53817E6-458F-49B6-A3C4-993E09156DBA}" uniqueName="22" name="交割日" queryTableFieldId="24" dataDxfId="376"/>
    <tableColumn id="26" xr3:uid="{ADE33D5F-3993-4582-A969-258A483F39BF}" uniqueName="26" name="发行人" queryTableFieldId="28" dataDxfId="375"/>
    <tableColumn id="27" xr3:uid="{F9AE1456-FF13-4EDC-96B3-E6321E341DF7}" uniqueName="27" name="担保人" queryTableFieldId="29" dataDxfId="374"/>
    <tableColumn id="28" xr3:uid="{D89DF63D-9E8F-49D6-B9D8-EB15CFA4E475}" uniqueName="28" name="维好协议提供者" queryTableFieldId="30" dataDxfId="373"/>
    <tableColumn id="17" xr3:uid="{C92EECF3-8718-497C-A9F0-381D6C9BB042}" uniqueName="17" name="债券备注" queryTableFieldId="32" dataDxfId="372"/>
  </tableColumns>
  <tableStyleInfo name="review"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S32" tableType="queryTable" totalsRowShown="0" dataDxfId="366">
  <autoFilter ref="D5:S32" xr:uid="{FDDEBB85-E2E9-4DB8-BCEF-195D084AC2CC}"/>
  <tableColumns count="16">
    <tableColumn id="1" xr3:uid="{FE2D7A74-DE65-438B-B89C-8DD198D32F04}" uniqueName="1" name="Index" queryTableFieldId="1" dataDxfId="365"/>
    <tableColumn id="17" xr3:uid="{BADC648A-3246-4DFA-ACF4-DBC8E3E82C8D}" uniqueName="17" name="删除及隐藏" queryTableFieldId="17" dataDxfId="364"/>
    <tableColumn id="18" xr3:uid="{C91CF245-59E5-4F79-9728-7D60C4C5F468}" uniqueName="18" name="债券简称" queryTableFieldId="19" dataDxfId="363"/>
    <tableColumn id="3" xr3:uid="{6C67D90D-02FC-40BB-8A17-E10783007C3E}" uniqueName="3" name="ISIN" queryTableFieldId="3" dataDxfId="362"/>
    <tableColumn id="4" xr3:uid="{1DD09802-AABB-4DA6-8668-9A2441274368}" uniqueName="4" name="定价日" queryTableFieldId="4" dataDxfId="361"/>
    <tableColumn id="5" xr3:uid="{9CE21701-668F-4580-ADF6-1F01C2EF57F4}" uniqueName="5" name="增发判定" queryTableFieldId="5" dataDxfId="360"/>
    <tableColumn id="11" xr3:uid="{3A00D03F-2DFB-45C4-8E0F-4BD1F38ACA35}" uniqueName="11" name="ISIN_TEMP" queryTableFieldId="23" dataDxfId="359"/>
    <tableColumn id="6" xr3:uid="{6D75BC34-A16F-4356-B201-0982CBB23845}" uniqueName="6" name="发行规模(亿)" queryTableFieldId="6" dataDxfId="358"/>
    <tableColumn id="7" xr3:uid="{3071C991-88B7-4050-85D7-B9A06FA92BC3}" uniqueName="7" name="IPG" queryTableFieldId="7" dataDxfId="357"/>
    <tableColumn id="8" xr3:uid="{4A70F759-20E6-44B7-A0C4-F500A3270790}" uniqueName="8" name="FPG" queryTableFieldId="8" dataDxfId="356"/>
    <tableColumn id="9" xr3:uid="{85C445B4-F868-4924-A647-1F79B93ECBD2}" uniqueName="9" name="定价" queryTableFieldId="9" dataDxfId="355"/>
    <tableColumn id="10" xr3:uid="{91A16C5E-4E6F-4CF9-9F44-7881715D7ADF}" uniqueName="10" name="收窄基点" queryTableFieldId="10" dataDxfId="354"/>
    <tableColumn id="12" xr3:uid="{010458D1-A0B2-4FC8-9F90-0A0A5BA65EAE}" uniqueName="12" name="港分_ROLE" queryTableFieldId="12" dataDxfId="353"/>
    <tableColumn id="13" xr3:uid="{A1119AAA-8622-413D-AACD-F105726CD0DE}" uniqueName="13" name="澳分_ROLE" queryTableFieldId="13" dataDxfId="352"/>
    <tableColumn id="16" xr3:uid="{C134D666-1F60-4DBE-981A-263B08C1C5C2}" uniqueName="16" name="Check" queryTableFieldId="16" dataDxfId="351"/>
    <tableColumn id="2" xr3:uid="{19A70B1B-2866-4A65-B51F-AE9859AA8B38}" uniqueName="2" name="信用主体" queryTableFieldId="22" dataDxfId="350"/>
  </tableColumns>
  <tableStyleInfo name="review"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M32" tableType="queryTable" totalsRowShown="0">
  <autoFilter ref="D5:M32" xr:uid="{4E879ECD-BBF5-4C33-8549-867C50F4C8EF}"/>
  <tableColumns count="10">
    <tableColumn id="1" xr3:uid="{99A3AAE8-4021-449F-BD97-76597417EC3A}" uniqueName="1" name="Index" queryTableFieldId="1"/>
    <tableColumn id="10" xr3:uid="{B0039644-4394-4870-9363-8255C104E3C8}" uniqueName="10" name="mStats" queryTableFieldId="10"/>
    <tableColumn id="2" xr3:uid="{FE165226-57FC-4B57-8D5D-70076DB2424B}" uniqueName="2" name="定价日" queryTableFieldId="2"/>
    <tableColumn id="3" xr3:uid="{014CDC62-4400-49FE-B807-AA1C4946F7BC}" uniqueName="3" name="ISIN" queryTableFieldId="3"/>
    <tableColumn id="4" xr3:uid="{1ED4ADE2-ECBE-47F0-892B-F05DA8EA79EC}" uniqueName="4" name="债券简称" queryTableFieldId="4"/>
    <tableColumn id="5" xr3:uid="{09E23086-15B6-408E-A837-574CCA5489D6}" uniqueName="5" name="最终账簿(亿)" queryTableFieldId="5"/>
    <tableColumn id="6" xr3:uid="{FCCD1CA2-A38B-4740-93B1-9018C069D0FE}" uniqueName="6" name="账户数" queryTableFieldId="6"/>
    <tableColumn id="7" xr3:uid="{ABC5E3C2-EEC0-454F-85CD-5F8AEA52AFED}" uniqueName="7" name="地区分布" queryTableFieldId="7"/>
    <tableColumn id="8" xr3:uid="{FF57C61A-31BC-4ABB-828C-8D2F20079265}" uniqueName="8" name="类型分布" queryTableFieldId="8"/>
    <tableColumn id="9" xr3:uid="{47C04EF0-4281-4534-9B29-D39F8370C9FA}" uniqueName="9" name="Check" queryTableFieldId="9"/>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2" tableType="queryTable" totalsRowShown="0">
  <autoFilter ref="A5:B102" xr:uid="{9E986145-72E7-4F12-91C8-2EF1FE25B67D}"/>
  <tableColumns count="2">
    <tableColumn id="1" xr3:uid="{137209D8-484F-4750-A804-82A38820308A}" uniqueName="1" name="Index" queryTableFieldId="1"/>
    <tableColumn id="2" xr3:uid="{017CA49A-F4C1-4023-A8CE-48349C47548A}" uniqueName="2" name="企业(集团)名称" queryTableFieldId="2" dataDxfId="339"/>
  </tableColumns>
  <tableStyleInfo name="Qry Sourc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13" tableType="queryTable" totalsRowShown="0">
  <autoFilter ref="D5:O13" xr:uid="{DC1E0D90-40B9-4E55-B53D-CDE69B029A61}"/>
  <tableColumns count="12">
    <tableColumn id="1" xr3:uid="{BA8B41A1-809A-4CDE-9387-1CD302931982}" uniqueName="1" name="Index" queryTableFieldId="1"/>
    <tableColumn id="2" xr3:uid="{EE608253-F811-4E2C-8661-136690662177}" uniqueName="2" name="mCredit" queryTableFieldId="2"/>
    <tableColumn id="3" xr3:uid="{EBA9E6E7-E55F-4A58-85FA-772D33009C45}" uniqueName="3" name="信用主体" queryTableFieldId="3"/>
    <tableColumn id="12" xr3:uid="{9118BD3B-2047-47F1-9BE8-5ADB0A760455}" uniqueName="12" name="信用主体简称" queryTableFieldId="12"/>
    <tableColumn id="4" xr3:uid="{25C0677B-D3E9-4D4D-AB45-B2B3802C3405}" uniqueName="4" name="板块" queryTableFieldId="4" dataDxfId="338"/>
    <tableColumn id="5" xr3:uid="{EA6754A9-4100-4AFD-A4BF-C3B11BAD409E}" uniqueName="5" name="板块二级" queryTableFieldId="5" dataDxfId="337"/>
    <tableColumn id="6" xr3:uid="{C700DCCE-0D92-4B10-85C9-0C8DD0B46210}" uniqueName="6" name="板块三级" queryTableFieldId="6" dataDxfId="336"/>
    <tableColumn id="7" xr3:uid="{5B76C6B6-DA9E-45B7-A677-BD7838B7D30F}" uniqueName="7" name="中资属性" queryTableFieldId="7" dataDxfId="335"/>
    <tableColumn id="8" xr3:uid="{4BA83566-9322-4CE7-9A6B-F5C1902D6A6E}" uniqueName="8" name="级别" queryTableFieldId="8" dataDxfId="334"/>
    <tableColumn id="9" xr3:uid="{8BD7EA9C-E18F-4570-844E-6FD8B4325448}" uniqueName="9" name="地区" queryTableFieldId="9" dataDxfId="333"/>
    <tableColumn id="10" xr3:uid="{9C805C31-99EC-4252-AEE4-2AB4FC3DF709}" uniqueName="10" name="城市" queryTableFieldId="10" dataDxfId="332"/>
    <tableColumn id="11" xr3:uid="{83858853-4146-48FD-B051-2219E9C4BC2A}" uniqueName="11" name="区县" queryTableFieldId="11" dataDxfId="33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9" tableType="queryTable" totalsRowShown="0">
  <autoFilter ref="D5:N9" xr:uid="{0929954B-29C3-4504-9EDC-67D1EAAC0BE8}"/>
  <tableColumns count="11">
    <tableColumn id="1" xr3:uid="{00A1FE7B-CB1B-450B-96D4-A7C2A44816C1}" uniqueName="1" name="Index" queryTableFieldId="1"/>
    <tableColumn id="2" xr3:uid="{6D843772-2F42-4B9B-8361-6FE369712A82}" uniqueName="2" name="删除及隐藏" queryTableFieldId="2" dataDxfId="330"/>
    <tableColumn id="3" xr3:uid="{DC7C4A45-AE89-46C2-B5CC-263D46714208}" uniqueName="3" name="定价日" queryTableFieldId="3" dataDxfId="329"/>
    <tableColumn id="4" xr3:uid="{56972BF7-D0A2-45BE-85AF-42CD4BC0C07C}" uniqueName="4" name="ISIN" queryTableFieldId="4"/>
    <tableColumn id="5" xr3:uid="{3EE9FE56-784A-465A-8A3D-D0760F10D723}" uniqueName="5" name="信用主体" queryTableFieldId="5"/>
    <tableColumn id="6" xr3:uid="{7A9DB1E3-9384-4768-92D0-2D5E02A96521}" uniqueName="6" name="发行评级" queryTableFieldId="14" dataDxfId="328"/>
    <tableColumn id="7" xr3:uid="{388B22D6-7275-4674-9DBA-38C93EED0C40}" uniqueName="7" name="货币" queryTableFieldId="7" dataDxfId="327"/>
    <tableColumn id="8" xr3:uid="{48A8B314-ED6E-4C50-B982-A04C001710A3}" uniqueName="8" name="发行规模(亿)" queryTableFieldId="8" dataDxfId="326"/>
    <tableColumn id="9" xr3:uid="{335788BE-7BFF-41DE-AFCF-0E82BFB2D3A5}" uniqueName="9" name="年期" queryTableFieldId="16" dataDxfId="325"/>
    <tableColumn id="10" xr3:uid="{35BA5543-20F0-44A9-B97B-177F78D3FFCB}" uniqueName="10" name="Check" queryTableFieldId="18" dataDxfId="324"/>
    <tableColumn id="12" xr3:uid="{BB656818-0EBD-4E1B-A4BF-8E4CC6793ED8}" uniqueName="12" name="mChart" queryTableFieldId="12" dataDxfId="323"/>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U8" tableType="queryTable" totalsRowShown="0">
  <autoFilter ref="D5:U8" xr:uid="{00000000-0009-0000-0100-000013000000}"/>
  <tableColumns count="18">
    <tableColumn id="17" xr3:uid="{0A14EE22-C8AB-4C17-A5FE-5DFE70391F28}" uniqueName="17" name="Index" queryTableFieldId="97"/>
    <tableColumn id="7" xr3:uid="{35A1CF4A-A450-4843-AC76-66BB4488B74D}" uniqueName="7" name="mBISL" queryTableFieldId="100"/>
    <tableColumn id="21" xr3:uid="{E83EBFC1-872A-45DC-A91E-BAC510804834}" uniqueName="21" name="mEXE" queryTableFieldId="103"/>
    <tableColumn id="16" xr3:uid="{A029B7F7-D0D6-4B90-ADAE-6996DA1A54B6}" uniqueName="16" name="债券简称" queryTableFieldId="81"/>
    <tableColumn id="2" xr3:uid="{00000000-0010-0000-1800-000002000000}" uniqueName="2" name="ISIN" queryTableFieldId="2"/>
    <tableColumn id="3" xr3:uid="{00000000-0010-0000-1800-000003000000}" uniqueName="3" name="定价日" queryTableFieldId="3"/>
    <tableColumn id="18" xr3:uid="{CE8319FC-590C-4EDF-A68D-FBC91063B4F2}" uniqueName="18" name="台账序号" queryTableFieldId="38"/>
    <tableColumn id="10" xr3:uid="{00000000-0010-0000-1800-00000A000000}" uniqueName="10" name="Project Name" queryTableFieldId="22"/>
    <tableColumn id="6" xr3:uid="{C97C7999-7946-4BA8-B939-62252A2FA544}" uniqueName="6" name="EXE" queryTableFieldId="72"/>
    <tableColumn id="8" xr3:uid="{00000000-0010-0000-1800-000008000000}" uniqueName="8" name="COVERAGE" queryTableFieldId="16"/>
    <tableColumn id="12" xr3:uid="{00000000-0010-0000-1800-00000C000000}" uniqueName="12" name="新规角色" queryTableFieldId="12"/>
    <tableColumn id="9" xr3:uid="{00000000-0010-0000-1800-000009000000}" uniqueName="9" name="PROJECT_CODE" queryTableFieldId="17"/>
    <tableColumn id="15" xr3:uid="{00000000-0010-0000-1800-00000F000000}" uniqueName="15" name="期数" queryTableFieldId="15"/>
    <tableColumn id="5" xr3:uid="{00000000-0010-0000-1800-000005000000}" uniqueName="5" name="BISL_ROLE" queryTableFieldId="5"/>
    <tableColumn id="11" xr3:uid="{00000000-0010-0000-1800-00000B000000}" uniqueName="11" name="IS_LEAD" queryTableFieldId="30"/>
    <tableColumn id="13" xr3:uid="{00000000-0010-0000-1800-00000D000000}" uniqueName="13" name="IS_B&amp;D" queryTableFieldId="31"/>
    <tableColumn id="14" xr3:uid="{00000000-0010-0000-1800-00000E000000}" uniqueName="14" name="是否合名" queryTableFieldId="32"/>
    <tableColumn id="1" xr3:uid="{00000000-0010-0000-1800-000001000000}" uniqueName="1" name="Check" queryTableFieldId="1"/>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priceNstats" displayName="DLD_priceNstats" ref="C5:R11" totalsRowShown="0">
  <autoFilter ref="C5:R11" xr:uid="{5DE10983-7C13-4202-A573-C7FB31CAD2C7}"/>
  <tableColumns count="16">
    <tableColumn id="1" xr3:uid="{5B4AC918-37BD-4D6A-A9AA-A522558D3C7F}" name="Index" dataDxfId="312"/>
    <tableColumn id="4" xr3:uid="{15D8E7BD-A6E4-4077-9FA4-1897827C2FE7}" name="ISIN" dataDxfId="311"/>
    <tableColumn id="5" xr3:uid="{FFF01188-D1AE-44AD-95AE-6D825003F05E}" name="定价日" dataDxfId="310"/>
    <tableColumn id="6" xr3:uid="{0FBA8581-A83A-4B8F-B5C1-A951016C3E9C}" name="债券简称" dataDxfId="309"/>
    <tableColumn id="76" xr3:uid="{C9706E1F-31DB-4045-B1A2-67AAE7A771D1}" name="IPG" dataDxfId="308"/>
    <tableColumn id="85" xr3:uid="{0ECDC8B5-50F9-4580-96E7-4BC14BC16761}" name="FPG" dataDxfId="307"/>
    <tableColumn id="17" xr3:uid="{DEDF0D21-A61E-4774-8FD6-AD7B716AF8CD}" name="定价" dataDxfId="306"/>
    <tableColumn id="28" xr3:uid="{A87B1779-023D-4CC2-9A6F-BAB908ADCD6B}" name="认购额(亿)" dataDxfId="305"/>
    <tableColumn id="42" xr3:uid="{15491A7B-A9A5-4CED-AFBA-3EFA6233958D}" name="投资者账户数" dataDxfId="304"/>
    <tableColumn id="43" xr3:uid="{EF53E3CC-3554-4228-A921-22389DAF4C7C}" name="投资者类型" dataDxfId="303"/>
    <tableColumn id="44" xr3:uid="{9DFCAC18-897D-4074-B4C6-E42FF6325ED5}" name="投资者分布" dataDxfId="302"/>
    <tableColumn id="11" xr3:uid="{748D9A80-AB13-407D-AB06-7DDE3F86CA00}" name="货币" dataDxfId="301"/>
    <tableColumn id="16" xr3:uid="{716F152D-D0E1-449B-94AC-B2BC79CCF2D5}" name="浮息定价" dataDxfId="300"/>
    <tableColumn id="86" xr3:uid="{F07B94EC-688B-41CB-B546-EF824090C66F}" name="IPT_DMI" dataDxfId="299"/>
    <tableColumn id="87" xr3:uid="{AD5B8A8C-11B9-4440-8F65-01EF12953B99}" name="FPG_DMI" dataDxfId="298"/>
    <tableColumn id="84" xr3:uid="{B399C842-C243-4CF1-AA5D-4BA4EB279093}" name="Check" dataDxfId="297"/>
  </tableColumns>
  <tableStyleInfo name="Qry Load"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295"/>
    <tableColumn id="2" xr3:uid="{00000000-0010-0000-1700-000002000000}" name="信用主体" dataDxfId="294"/>
    <tableColumn id="15" xr3:uid="{E24E777A-D49C-4B3E-93AA-DFAEBA57F42B}" name="ESG" dataDxfId="293"/>
    <tableColumn id="12" xr3:uid="{00000000-0010-0000-1700-00000C000000}" name="IPG" dataDxfId="292"/>
    <tableColumn id="13" xr3:uid="{00000000-0010-0000-1700-00000D000000}" name="FPG" dataDxfId="291"/>
    <tableColumn id="4" xr3:uid="{438BA276-4BFD-4A06-B4A0-8B08B1F680C9}" name="定价" dataDxfId="290"/>
    <tableColumn id="14" xr3:uid="{00000000-0010-0000-1700-00000E000000}" name="收窄基点" dataDxfId="289"/>
    <tableColumn id="31" xr3:uid="{FFCE47EB-D5CF-4D34-81FA-065EDA65F5D5}" name="增发判定" dataDxfId="288"/>
    <tableColumn id="8" xr3:uid="{00000000-0010-0000-1700-000008000000}" name="货币" dataDxfId="287"/>
    <tableColumn id="9" xr3:uid="{00000000-0010-0000-1700-000009000000}" name="发行规模(亿)" dataDxfId="286"/>
    <tableColumn id="5" xr3:uid="{A465A109-439B-46CC-B8D9-8536815366D7}" name="年期" dataDxfId="285"/>
    <tableColumn id="11" xr3:uid="{00000000-0010-0000-1700-00000B000000}" name="票息" dataDxfId="284"/>
    <tableColumn id="3" xr3:uid="{24F0DFD7-9531-4CB3-A79F-E21707EF0921}" name="品种主题" dataDxfId="283"/>
    <tableColumn id="33" xr3:uid="{F7F8C15B-103F-4121-B909-0AA998B5A268}" name="上市" dataDxfId="282"/>
    <tableColumn id="23" xr3:uid="{00000000-0010-0000-1700-000017000000}" name="亿美元" dataDxfId="281"/>
    <tableColumn id="24" xr3:uid="{00000000-0010-0000-1700-000018000000}" name="亿元" dataDxfId="280"/>
    <tableColumn id="21" xr3:uid="{02205151-A1BC-4641-96CA-0A9C736A8B39}" name="亿港币" dataDxfId="279"/>
    <tableColumn id="35" xr3:uid="{00000000-0010-0000-1700-000023000000}" name="ISIN" dataDxfId="278"/>
    <tableColumn id="19" xr3:uid="{00000000-0010-0000-1700-000013000000}" name="Check" dataDxfId="277"/>
  </tableColumns>
  <tableStyleInfo name="BISL_Direc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276"/>
    <tableColumn id="2" xr3:uid="{2989A5DB-032C-4A61-9F1B-232A1392CB59}" name="ISIN" dataDxfId="275"/>
    <tableColumn id="3" xr3:uid="{54C99E76-3C90-4DC7-B18C-794479F768ED}" name="定价日" dataDxfId="274"/>
    <tableColumn id="4" xr3:uid="{505BB7FB-E263-483A-AC0A-0AE9317B9D8F}" name="信用主体" dataDxfId="273"/>
    <tableColumn id="5" xr3:uid="{315B6BA9-3BCB-45C2-9A6C-9FBD75E934D6}" name="发行评级" dataDxfId="272"/>
    <tableColumn id="6" xr3:uid="{ACB704AC-62D4-40E7-A2F0-002B6341CEAF}" name="主体评级" dataDxfId="271"/>
    <tableColumn id="7" xr3:uid="{D73EE109-D3A9-4E56-A56C-D8807776759C}" name="结构" dataDxfId="270"/>
    <tableColumn id="8" xr3:uid="{EBA5E71C-883A-47C5-BE9D-DE2534C5C933}" name="备证行全称" dataDxfId="269"/>
    <tableColumn id="9" xr3:uid="{0B451F54-19BB-415D-8E9F-1F0685BB9AD2}" name="港分_ROLE" dataDxfId="268"/>
    <tableColumn id="10" xr3:uid="{26B4736D-076D-4E30-9954-6491DC39F40B}" name="澳分_ROLE" dataDxfId="267"/>
    <tableColumn id="11" xr3:uid="{A1D5D74A-E135-4039-9984-BA315ECFEBA2}" name="Check" dataDxfId="266"/>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258" dataDxfId="257">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56"/>
    <tableColumn id="2" xr3:uid="{00000000-0010-0000-1A00-000002000000}" name="信用主体" dataDxfId="255"/>
    <tableColumn id="3" xr3:uid="{00000000-0010-0000-1A00-000003000000}" name="ESG" dataDxfId="254"/>
    <tableColumn id="4" xr3:uid="{00000000-0010-0000-1A00-000004000000}" name="IPG" dataDxfId="253"/>
    <tableColumn id="6" xr3:uid="{00000000-0010-0000-1A00-000006000000}" name="FPG" dataDxfId="252"/>
    <tableColumn id="12" xr3:uid="{00000000-0010-0000-1A00-00000C000000}" name="定价" dataDxfId="251"/>
    <tableColumn id="16" xr3:uid="{00000000-0010-0000-1A00-000010000000}" name="收窄基点" dataDxfId="250"/>
    <tableColumn id="13" xr3:uid="{00000000-0010-0000-1A00-00000D000000}" name="增发判定" dataDxfId="249"/>
    <tableColumn id="14" xr3:uid="{00000000-0010-0000-1A00-00000E000000}" name="货币" dataDxfId="248"/>
    <tableColumn id="19" xr3:uid="{00000000-0010-0000-1A00-000013000000}" name="发行规模(亿)" dataDxfId="247"/>
    <tableColumn id="5" xr3:uid="{00000000-0010-0000-1A00-000005000000}" name="年期" dataDxfId="246"/>
    <tableColumn id="7" xr3:uid="{00000000-0010-0000-1A00-000007000000}" name="票息" dataDxfId="245"/>
    <tableColumn id="8" xr3:uid="{00000000-0010-0000-1A00-000008000000}" name="品种主题" dataDxfId="244"/>
    <tableColumn id="9" xr3:uid="{00000000-0010-0000-1A00-000009000000}" name="上市" dataDxfId="243"/>
    <tableColumn id="10" xr3:uid="{00000000-0010-0000-1A00-00000A000000}" name="亿美元" dataDxfId="242"/>
    <tableColumn id="17" xr3:uid="{00000000-0010-0000-1A00-000011000000}" name="亿元" dataDxfId="241"/>
    <tableColumn id="18" xr3:uid="{00000000-0010-0000-1A00-000012000000}" name="亿港币" dataDxfId="240"/>
    <tableColumn id="15" xr3:uid="{00000000-0010-0000-1A00-00000F000000}" name="ISIN" dataDxfId="239"/>
    <tableColumn id="20" xr3:uid="{00000000-0010-0000-1A00-000014000000}" name="Check" dataDxfId="238"/>
  </tableColumns>
  <tableStyleInfo name="review"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37" dataDxfId="236">
  <tableColumns count="15">
    <tableColumn id="1" xr3:uid="{00000000-0010-0000-1B00-000001000000}" name="信用主体" dataDxfId="235"/>
    <tableColumn id="2" xr3:uid="{00000000-0010-0000-1B00-000002000000}" name="Check" dataDxfId="234"/>
    <tableColumn id="3" xr3:uid="{00000000-0010-0000-1B00-000003000000}" name="ISIN" dataDxfId="233"/>
    <tableColumn id="4" xr3:uid="{00000000-0010-0000-1B00-000004000000}" name="定价日" dataDxfId="232"/>
    <tableColumn id="5" xr3:uid="{00000000-0010-0000-1B00-000005000000}" name="台账序号" dataDxfId="231"/>
    <tableColumn id="6" xr3:uid="{00000000-0010-0000-1B00-000006000000}" name="Project Name" dataDxfId="230"/>
    <tableColumn id="15" xr3:uid="{BECA38D8-2DF3-4ECC-82ED-1396C2EE9C70}" name="EXE" dataDxfId="229"/>
    <tableColumn id="7" xr3:uid="{00000000-0010-0000-1B00-000007000000}" name="COVERAGE" dataDxfId="228"/>
    <tableColumn id="8" xr3:uid="{00000000-0010-0000-1B00-000008000000}" name="新规角色" dataDxfId="227"/>
    <tableColumn id="9" xr3:uid="{00000000-0010-0000-1B00-000009000000}" name="PROJECT_CODE" dataDxfId="226"/>
    <tableColumn id="10" xr3:uid="{00000000-0010-0000-1B00-00000A000000}" name="期数" dataDxfId="225"/>
    <tableColumn id="11" xr3:uid="{00000000-0010-0000-1B00-00000B000000}" name="BISL_ROLE" dataDxfId="224"/>
    <tableColumn id="12" xr3:uid="{00000000-0010-0000-1B00-00000C000000}" name="IS_LEAD" dataDxfId="223"/>
    <tableColumn id="13" xr3:uid="{00000000-0010-0000-1B00-00000D000000}" name="IS_B&amp;D" dataDxfId="222"/>
    <tableColumn id="14" xr3:uid="{00000000-0010-0000-1B00-00000E000000}" name="是否合名" dataDxfId="221"/>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20" dataDxfId="219">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18"/>
    <tableColumn id="2" xr3:uid="{00000000-0010-0000-1C00-000002000000}" name="SHORTNAMER" dataDxfId="217"/>
    <tableColumn id="4" xr3:uid="{00000000-0010-0000-1C00-000004000000}" name="板块" dataDxfId="216"/>
    <tableColumn id="8" xr3:uid="{E8CD06B3-E62E-4FF9-AF10-BB24D4EF76D4}" name="板块二级" dataDxfId="215"/>
    <tableColumn id="7" xr3:uid="{8D15ACAE-2815-40D2-9E27-91C4692416F1}" name="板块三级" dataDxfId="214"/>
    <tableColumn id="3" xr3:uid="{00000000-0010-0000-1C00-000003000000}" name="中资属性" dataDxfId="213"/>
    <tableColumn id="9" xr3:uid="{EAEB71EA-4450-47B8-AB31-76AE2DBE446C}" name="级别" dataDxfId="212"/>
    <tableColumn id="10" xr3:uid="{6C513D7C-FDEF-42E3-8EE7-E039B70D041E}" name="地区" dataDxfId="211"/>
    <tableColumn id="11" xr3:uid="{B8FCD552-27E4-4C66-9FB7-771E2AB04DE8}" name="城市" dataDxfId="210"/>
    <tableColumn id="12" xr3:uid="{DB69F4A0-3BC6-4E89-AB21-CE02354F84CD}" name="区县" dataDxfId="209"/>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08"/>
    <tableColumn id="4" xr3:uid="{0C203217-F646-4D3C-BCC1-CB5D146D778A}" name="信用主体" dataDxfId="207"/>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B32" tableType="queryTable" totalsRowShown="0">
  <autoFilter ref="A1:EB32" xr:uid="{03A54792-EE90-4799-B6CB-EF163BE1DD9C}"/>
  <tableColumns count="132">
    <tableColumn id="1" xr3:uid="{70763F67-B2AC-4698-9E71-5AA2F4112270}" uniqueName="1" name="Index" queryTableFieldId="1"/>
    <tableColumn id="2" xr3:uid="{FD80108B-0F47-400A-AFCE-0A05E650B2A1}" uniqueName="2" name="债券简称" queryTableFieldId="2" dataDxfId="103"/>
    <tableColumn id="8" xr3:uid="{BD8B01AD-7A1A-4DA1-9473-386E0523E002}" uniqueName="8" name="删除及隐藏" queryTableFieldId="8" dataDxfId="102"/>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101"/>
    <tableColumn id="5" xr3:uid="{5786E467-44C8-42CC-A714-875078860813}" uniqueName="5" name="mBISL" queryTableFieldId="5" dataDxfId="100"/>
    <tableColumn id="6" xr3:uid="{CEFFC412-7FD0-4071-9CFB-62076A15C982}" uniqueName="6" name="mEXE" queryTableFieldId="6" dataDxfId="99"/>
    <tableColumn id="7" xr3:uid="{26C82FB7-D998-49C7-850D-91E1D808EE2F}" uniqueName="7" name="mCredit" queryTableFieldId="7" dataDxfId="98"/>
    <tableColumn id="14" xr3:uid="{0AF7A62B-B7D9-46C3-BFE9-6792444E0CE4}" uniqueName="14" name="定价日" queryTableFieldId="14" dataDxfId="97"/>
    <tableColumn id="16" xr3:uid="{3C27779F-B769-4743-A59C-836E239B0BC5}" uniqueName="16" name="ISIN" queryTableFieldId="16" dataDxfId="96"/>
    <tableColumn id="17" xr3:uid="{7B0D9ADF-6558-43E0-B002-74041ABC9E45}" uniqueName="17" name="发行评级" queryTableFieldId="17" dataDxfId="95"/>
    <tableColumn id="21" xr3:uid="{85048A94-62D1-4683-AC7C-C63D7E14D954}" uniqueName="21" name="货币" queryTableFieldId="21" dataDxfId="94"/>
    <tableColumn id="30" xr3:uid="{8CA8AA83-942D-4D82-B834-5477793060B7}" uniqueName="30" name="发行规模(亿)" queryTableFieldId="30"/>
    <tableColumn id="15" xr3:uid="{68758507-2B33-4E6B-AB21-729F33A95C29}" uniqueName="15" name="英文简称" queryTableFieldId="15" dataDxfId="93"/>
    <tableColumn id="76" xr3:uid="{56964FA7-B746-47ED-A975-99CD84FA5850}" uniqueName="76" name="穆迪/标普" queryTableFieldId="76" dataDxfId="92"/>
    <tableColumn id="75" xr3:uid="{40B9DB43-D5F5-4F52-9F1E-624F633CAB90}" uniqueName="75" name="主体评级展望" queryTableFieldId="75" dataDxfId="91"/>
    <tableColumn id="74" xr3:uid="{ED29B208-279C-4E26-A3D5-2419A4364DAD}" uniqueName="74" name="债项评级" queryTableFieldId="74" dataDxfId="90"/>
    <tableColumn id="73" xr3:uid="{863141F3-FBB8-491D-9A8D-05B50582CC38}" uniqueName="73" name="发行期限(年)" queryTableFieldId="73" dataDxfId="89"/>
    <tableColumn id="72" xr3:uid="{51816766-B0DD-487C-930F-446BBD8FBA34}" uniqueName="72" name="票息_DMI" queryTableFieldId="72"/>
    <tableColumn id="31" xr3:uid="{A5D859B5-DB9B-4374-99F1-6E6C2C020C63}" uniqueName="31" name="年期" queryTableFieldId="31" dataDxfId="88"/>
    <tableColumn id="70" xr3:uid="{8A1F4005-4F90-41B7-A1D0-D02C55F095CA}" uniqueName="70" name="发行场所" queryTableFieldId="70" dataDxfId="87"/>
    <tableColumn id="69" xr3:uid="{976B4DFF-F635-479E-8C44-7B55B3AB369A}" uniqueName="69" name="IPT_DMI" queryTableFieldId="69" dataDxfId="86"/>
    <tableColumn id="68" xr3:uid="{0F0AE233-4DDA-4D3E-AA15-39D917BD41DF}" uniqueName="68" name="FPG_DMI" queryTableFieldId="68" dataDxfId="85"/>
    <tableColumn id="67" xr3:uid="{E5FCBE56-480A-4250-8AB6-6F8E2B9D8619}" uniqueName="67" name="收窄幅度(bp)" queryTableFieldId="67"/>
    <tableColumn id="66" xr3:uid="{6156F039-80D8-453C-B8DA-2339FC10C1B8}" uniqueName="66" name="发行规则" queryTableFieldId="66" dataDxfId="84"/>
    <tableColumn id="65" xr3:uid="{68B9C98D-546A-4453-83B6-3B936F5A5B84}" uniqueName="65" name="发行架构" queryTableFieldId="65" dataDxfId="83"/>
    <tableColumn id="64" xr3:uid="{CB67705A-F1BF-4D80-B7C5-3D7005C29FB6}" uniqueName="64" name="SBLC提供者" queryTableFieldId="64" dataDxfId="82"/>
    <tableColumn id="63" xr3:uid="{51BB9042-6520-4E2C-A00C-3B185FCB7819}" uniqueName="63" name="偿还顺位" queryTableFieldId="63" dataDxfId="81"/>
    <tableColumn id="32" xr3:uid="{F81B222B-CBD5-4646-894A-4237EA1F6A48}" uniqueName="32" name="票息" queryTableFieldId="32" dataDxfId="80"/>
    <tableColumn id="61" xr3:uid="{DF3042BF-C8CF-4713-B321-0BC8C6A72888}" uniqueName="61" name="首日涨跌" queryTableFieldId="61"/>
    <tableColumn id="60" xr3:uid="{A7421A99-ADFD-456B-85E9-445F7B1FB2FE}" uniqueName="60" name="省份" queryTableFieldId="60" dataDxfId="79"/>
    <tableColumn id="36" xr3:uid="{94C8CAE4-223A-4D5E-89C3-FA94AB8CFFE2}" uniqueName="36" name="IPG" queryTableFieldId="36" dataDxfId="78"/>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77"/>
    <tableColumn id="52" xr3:uid="{99C0FA60-5BD9-48BF-8005-633A42B19D38}" uniqueName="52" name="发行方式" queryTableFieldId="52" dataDxfId="76"/>
    <tableColumn id="51" xr3:uid="{BBDF8E94-0D99-47DC-98F6-3711FCA0D71B}" uniqueName="51" name="细分行业" queryTableFieldId="51" dataDxfId="75"/>
    <tableColumn id="50" xr3:uid="{5A23D55D-1536-43F9-8B25-44BDFF3EA805}" uniqueName="50" name="ESG_Source" queryTableFieldId="50" dataDxfId="74"/>
    <tableColumn id="49" xr3:uid="{416B0BB0-95FD-4294-A22B-B5B576C82F47}" uniqueName="49" name="债项初始评级" queryTableFieldId="49" dataDxfId="73"/>
    <tableColumn id="39" xr3:uid="{190FBF04-4CCD-48A3-B614-DE13C6AB2593}" uniqueName="39" name="结构" queryTableFieldId="39" dataDxfId="72"/>
    <tableColumn id="40" xr3:uid="{F48CAC05-4042-4861-B99C-D9EC6185B0F8}" uniqueName="40" name="板块" queryTableFieldId="40" dataDxfId="71"/>
    <tableColumn id="46" xr3:uid="{3427CD68-0055-464D-892A-B317F45DFF5B}" uniqueName="46" name="剩余期限" queryTableFieldId="46"/>
    <tableColumn id="45" xr3:uid="{FD400CA0-A434-484C-9E11-FE557E878323}" uniqueName="45" name="公司类型" queryTableFieldId="45" dataDxfId="70"/>
    <tableColumn id="44" xr3:uid="{1EC5C38E-4C77-41D4-9EF7-1870DFFEDB22}" uniqueName="44" name="评级类型" queryTableFieldId="44" dataDxfId="69"/>
    <tableColumn id="43" xr3:uid="{D2C64194-97E2-42FB-9CA4-716DAEEB02B0}" uniqueName="43" name="投资者账户数" queryTableFieldId="43"/>
    <tableColumn id="42" xr3:uid="{252C7A94-32DE-45B8-BA26-B89B2ABBBCF3}" uniqueName="42" name="投资者类型" queryTableFieldId="42" dataDxfId="68"/>
    <tableColumn id="41" xr3:uid="{48F5EC18-6A20-4F4C-AB86-FEF86F733F5D}" uniqueName="41" name="投资者分布" queryTableFieldId="41" dataDxfId="67"/>
    <tableColumn id="47" xr3:uid="{C6EBB4A1-8E86-4E4F-834F-2F0BB69F21A7}" uniqueName="47" name="地区" queryTableFieldId="47" dataDxfId="66"/>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65"/>
    <tableColumn id="59" xr3:uid="{566DE109-3C24-4575-8346-E4563012CE55}" uniqueName="59" name="FPG" queryTableFieldId="59" dataDxfId="64"/>
    <tableColumn id="35" xr3:uid="{C9EBB101-521E-446B-A95F-82BAC737666A}" uniqueName="35" name="行权兑付日" queryTableFieldId="35" dataDxfId="63"/>
    <tableColumn id="33" xr3:uid="{6F7B8318-18BA-4D78-B494-3D31CDB54122}" uniqueName="33" name="计息基准" queryTableFieldId="33" dataDxfId="62"/>
    <tableColumn id="34" xr3:uid="{94042B10-06A5-419B-9DB0-4C92C3B35ED3}" uniqueName="34" name="最新票面利率" queryTableFieldId="34"/>
    <tableColumn id="62" xr3:uid="{C038B705-C65B-47BD-B0C3-92714C911608}" uniqueName="62" name="定价" queryTableFieldId="62" dataDxfId="61"/>
    <tableColumn id="71" xr3:uid="{5764C1CD-DD1D-4572-914E-A17348475053}" uniqueName="71" name="发行价" queryTableFieldId="71" dataDxfId="60"/>
    <tableColumn id="29" xr3:uid="{1ECCA695-D38A-4BCC-8F17-498F33B40770}" uniqueName="29" name="发行起始日" queryTableFieldId="29" dataDxfId="59"/>
    <tableColumn id="28" xr3:uid="{FE9094D9-2A1D-441A-87AD-51E404AC2434}" uniqueName="28" name="定价_DMI" queryTableFieldId="28" dataDxfId="58"/>
    <tableColumn id="78" xr3:uid="{6C8683EF-86F6-434C-9872-4567A193B8D5}" uniqueName="78" name="港分_ROLE" queryTableFieldId="78" dataDxfId="57"/>
    <tableColumn id="27" xr3:uid="{86AF150F-0D7E-43DC-932B-889EB5FCE7BC}" uniqueName="27" name="上市日期" queryTableFieldId="27" dataDxfId="56"/>
    <tableColumn id="26" xr3:uid="{D4689DFE-7E7E-4B10-8E8D-1D6C2791E452}" uniqueName="26" name="特殊条款说明" queryTableFieldId="26" dataDxfId="55"/>
    <tableColumn id="25" xr3:uid="{99F8F317-5F50-4174-A06F-5BE01D3BE49E}" uniqueName="25" name="牵头经办人" queryTableFieldId="25" dataDxfId="54"/>
    <tableColumn id="24" xr3:uid="{4916E904-D33C-4E4E-B4E9-28198304BAEA}" uniqueName="24" name="联席账簿管理人" queryTableFieldId="24" dataDxfId="53"/>
    <tableColumn id="23" xr3:uid="{B6A94514-2717-4348-8E85-654C21B024AE}" uniqueName="23" name="是否永续债" queryTableFieldId="23" dataDxfId="52"/>
    <tableColumn id="22" xr3:uid="{881B2316-41C0-4E76-B55C-E866E747CCDD}" uniqueName="22" name="是否存单" queryTableFieldId="22" dataDxfId="51"/>
    <tableColumn id="79" xr3:uid="{C3D915C1-98DF-4457-8B75-1EFE7710FD2D}" uniqueName="79" name="澳分_ROLE" queryTableFieldId="79" dataDxfId="50"/>
    <tableColumn id="20" xr3:uid="{1E6312E5-1DB8-4791-A0E1-57434DCCC5AC}" uniqueName="20" name="交易状态" queryTableFieldId="20" dataDxfId="49"/>
    <tableColumn id="19" xr3:uid="{DF01F1DF-7613-4CA1-9EDF-6CFF68E4DA02}" uniqueName="19" name="债券类型" queryTableFieldId="19" dataDxfId="48"/>
    <tableColumn id="18" xr3:uid="{C96C36C2-9E58-4BBC-847F-B3E2E0BBD3B6}" uniqueName="18" name="特殊条款" queryTableFieldId="18" dataDxfId="47"/>
    <tableColumn id="81" xr3:uid="{285C6C43-FADF-4C42-944A-5CA65E77AA26}" uniqueName="81" name="起息日期" queryTableFieldId="81" dataDxfId="46"/>
    <tableColumn id="83" xr3:uid="{C7ED8A6E-1EBB-4474-81FC-AB28A78983B8}" uniqueName="83" name="信用主体" queryTableFieldId="83" dataDxfId="45"/>
    <tableColumn id="77" xr3:uid="{8DEC9F59-2BCC-4CBA-A984-783168957A85}" uniqueName="77" name="DataSource" queryTableFieldId="77" dataDxfId="44"/>
    <tableColumn id="84" xr3:uid="{0C0BDF96-929F-46E2-99E2-06BE92832E56}" uniqueName="84" name="主体评级" queryTableFieldId="84" dataDxfId="43"/>
    <tableColumn id="85" xr3:uid="{F531EFAB-68A2-499B-A3E3-9F395AE72736}" uniqueName="85" name="境内主体评级" queryTableFieldId="85" dataDxfId="42"/>
    <tableColumn id="80" xr3:uid="{4A4A5070-D54B-460A-80F5-BCD66F9F5AC7}" uniqueName="80" name="是否中资主体" queryTableFieldId="80" dataDxfId="41"/>
    <tableColumn id="86" xr3:uid="{88F7BF84-C769-4618-B372-9255AF4D49BC}" uniqueName="86" name="上市" queryTableFieldId="86" dataDxfId="40"/>
    <tableColumn id="82" xr3:uid="{943674B0-F057-4183-A1A3-B931249B7E49}" uniqueName="82" name="DBIndex_Credit" queryTableFieldId="82"/>
    <tableColumn id="87" xr3:uid="{D4234FE9-4B94-40BA-8186-15888E811DEE}" uniqueName="87" name="兑付日" queryTableFieldId="87" dataDxfId="39"/>
    <tableColumn id="88" xr3:uid="{665C3EB9-2BAC-451B-8695-17607520204A}" uniqueName="88" name="通过分行" queryTableFieldId="88" dataDxfId="38"/>
    <tableColumn id="91" xr3:uid="{BB7A7E9E-07AD-41EA-9E75-77AEEADE5114}" uniqueName="91" name="发行人" queryTableFieldId="91" dataDxfId="37"/>
    <tableColumn id="92" xr3:uid="{6E9C9295-8572-4258-AF87-53D17C05F655}" uniqueName="92" name="担保人" queryTableFieldId="92" dataDxfId="36"/>
    <tableColumn id="97" xr3:uid="{FBCD82E4-5D4F-423D-B31B-3445FA094AD6}" uniqueName="97" name="维好协议提供者" queryTableFieldId="97" dataDxfId="35"/>
    <tableColumn id="98" xr3:uid="{31874947-D373-4AC6-9238-F064A68A4614}" uniqueName="98" name="备证行全称" queryTableFieldId="98" dataDxfId="34"/>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33"/>
    <tableColumn id="100" xr3:uid="{81948DF1-7362-485D-9E3B-EF506D9F6D3D}" uniqueName="100" name="品种主题" queryTableFieldId="100" dataDxfId="32"/>
    <tableColumn id="93" xr3:uid="{92B1C9F1-7FCE-4E19-B6BD-D0EF409E5487}" uniqueName="93" name="发行人成立地" queryTableFieldId="93" dataDxfId="31"/>
    <tableColumn id="94" xr3:uid="{1EAB91C5-9709-4E84-8DAA-343ACABE81DD}" uniqueName="94" name="发行人主上市地" queryTableFieldId="94" dataDxfId="30"/>
    <tableColumn id="95" xr3:uid="{6AD821B7-5444-42F3-BA02-4FF3675D40EF}" uniqueName="95" name="补充OMAS updates" queryTableFieldId="95" dataDxfId="29"/>
    <tableColumn id="96" xr3:uid="{0D5431E8-5A23-4D2C-8DE0-94F359491BAB}" uniqueName="96" name="定价息差" queryTableFieldId="96"/>
    <tableColumn id="101" xr3:uid="{1B9DE075-42C5-46C7-857D-BBE0332C31AD}" uniqueName="101" name="期限备注" queryTableFieldId="101" dataDxfId="28"/>
    <tableColumn id="103" xr3:uid="{76834D97-9D79-4418-86C0-849DB332F4AD}" uniqueName="103" name="BISL_ROLE" queryTableFieldId="103" dataDxfId="27"/>
    <tableColumn id="104" xr3:uid="{17DE3D30-7A5E-42DC-ADFD-585910C3A0B1}" uniqueName="104" name="信用主体简称" queryTableFieldId="104" dataDxfId="26"/>
    <tableColumn id="105" xr3:uid="{4306B95F-FA2B-4450-9C31-AEF183407692}" uniqueName="105" name="板块二级" queryTableFieldId="105" dataDxfId="25"/>
    <tableColumn id="106" xr3:uid="{B53F2615-4CDF-479E-A23B-DC145EB07178}" uniqueName="106" name="板块三级" queryTableFieldId="106" dataDxfId="24"/>
    <tableColumn id="129" xr3:uid="{E9B9D460-009D-404F-8F9F-2B8A1B3476E9}" uniqueName="129" name="交割天数" queryTableFieldId="245"/>
    <tableColumn id="130" xr3:uid="{77664357-9078-4B33-97AF-E4D47E977384}" uniqueName="130" name="交割T+n" queryTableFieldId="246" dataDxfId="23"/>
    <tableColumn id="131" xr3:uid="{6D614D4D-3BC5-49D6-AE7B-52CF187F3561}" uniqueName="131" name="交割日" queryTableFieldId="247" dataDxfId="22"/>
    <tableColumn id="102" xr3:uid="{BD2E8E95-473A-4D43-8F62-FC3FF121F51A}" uniqueName="102" name="备证行分行" queryTableFieldId="102" dataDxfId="21"/>
    <tableColumn id="107" xr3:uid="{02F7E681-4BD4-4616-BB02-CC8C64D89D2D}" uniqueName="107" name="中资属性" queryTableFieldId="107" dataDxfId="20"/>
    <tableColumn id="108" xr3:uid="{2EDF3CF3-D868-471C-9002-223FF98D264B}" uniqueName="108" name="级别" queryTableFieldId="108" dataDxfId="19"/>
    <tableColumn id="109" xr3:uid="{C9979B92-2B12-47B1-920F-A3FAA3CEB516}" uniqueName="109" name="城市" queryTableFieldId="109" dataDxfId="18"/>
    <tableColumn id="110" xr3:uid="{0729F8FE-7D01-4985-84FC-E63ECF4B98BB}" uniqueName="110" name="区县" queryTableFieldId="110" dataDxfId="17"/>
    <tableColumn id="111" xr3:uid="{882BF5A6-B0B2-42E7-94FC-197F3F4BC06F}" uniqueName="111" name="首次违约日" queryTableFieldId="111" dataDxfId="16"/>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5"/>
    <tableColumn id="117" xr3:uid="{7B497CCD-DD88-49E8-A103-2F4F3F0D2EDB}" uniqueName="117" name="类型分布" queryTableFieldId="117" dataDxfId="14"/>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3"/>
    <tableColumn id="120" xr3:uid="{B2202743-B5F2-4A9A-B3BA-6DFED5DEAB68}" uniqueName="120" name="首次付息日" queryTableFieldId="120" dataDxfId="12"/>
    <tableColumn id="121" xr3:uid="{F43609F3-A937-43F2-A275-EF191DDDFACC}" uniqueName="121" name="TICKER" queryTableFieldId="121" dataDxfId="11"/>
    <tableColumn id="122" xr3:uid="{9CAD0984-9569-43B9-9D2D-8CF1B1E6D618}" uniqueName="122" name="付息频率" queryTableFieldId="122" dataDxfId="10"/>
    <tableColumn id="123" xr3:uid="{78AC6ADD-B625-40FF-965C-9D683BE46FBA}" uniqueName="123" name="利率类型" queryTableFieldId="123" dataDxfId="9"/>
    <tableColumn id="124" xr3:uid="{4D16B13B-E05E-4E3D-A3B0-6ADED6D017D2}" uniqueName="124" name="筹款用途" queryTableFieldId="124" dataDxfId="8"/>
    <tableColumn id="125" xr3:uid="{E74C38AE-1313-4A22-876D-B6F9CC4A10AB}" uniqueName="125" name="债券余额" queryTableFieldId="125"/>
    <tableColumn id="126" xr3:uid="{B51A451B-D451-41FB-9990-17EE95E016AC}" uniqueName="126" name="ISIN_TEMP" queryTableFieldId="126" dataDxfId="7"/>
    <tableColumn id="9" xr3:uid="{2EECD14D-4BAF-4010-A05E-0F7B88307184}" uniqueName="9" name="Filter_Credit" queryTableFieldId="9" dataDxfId="6"/>
    <tableColumn id="10" xr3:uid="{122219B3-17F6-4F77-BE5C-AB27CD355E00}" uniqueName="10" name="Filter_Bond" queryTableFieldId="10" dataDxfId="5"/>
    <tableColumn id="12" xr3:uid="{2849B60C-FA92-45BC-812D-83178479943B}" uniqueName="12" name="Filter_Exch" queryTableFieldId="12" dataDxfId="4"/>
    <tableColumn id="13" xr3:uid="{3491AA43-BA84-47A9-9118-28BF00B6330B}" uniqueName="13" name="IS_FIMTN" queryTableFieldId="13" dataDxfId="3"/>
    <tableColumn id="132" xr3:uid="{091C581E-B9DF-46A2-BE04-177B139129A1}" uniqueName="132" name="债券备注" queryTableFieldId="374" dataDxfId="2"/>
    <tableColumn id="127" xr3:uid="{8757D5E4-6BE4-4C3B-8984-6A36CF0603AC}" uniqueName="127" name="Check" queryTableFieldId="127" dataDxfId="1"/>
    <tableColumn id="128" xr3:uid="{BA2C334C-F6D1-490E-B6FF-F82E3A159DC0}" uniqueName="128" name="Timestamp" queryTableFieldId="243" dataDxfId="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E5:BW36" tableType="queryTable" totalsRowShown="0">
  <autoFilter ref="E5:BW36" xr:uid="{11C6B267-9841-4AFA-84D0-7B04A87D3DA9}"/>
  <tableColumns count="71">
    <tableColumn id="41" xr3:uid="{43E23572-9A8F-4132-A965-D0EA4FDDF456}" uniqueName="41" name="Index" queryTableFieldId="440"/>
    <tableColumn id="37" xr3:uid="{F89A12A2-DCA4-4066-9DF1-C1E6430E8742}" uniqueName="37" name="mBond" queryTableFieldId="445"/>
    <tableColumn id="4" xr3:uid="{E4016D6D-F47F-44C4-BE9A-6B665A4B3B74}" uniqueName="4" name="ISIN" queryTableFieldId="4"/>
    <tableColumn id="3" xr3:uid="{30AEE88C-F7D8-4915-9C60-E7FB9D2B6B0A}" uniqueName="3" name="信用主体" queryTableFieldId="3"/>
    <tableColumn id="5" xr3:uid="{C5F3905A-7503-4C09-8BC2-F8F75FB787E2}" uniqueName="5" name="定价日" queryTableFieldId="5" dataDxfId="206"/>
    <tableColumn id="6" xr3:uid="{56423A97-32F1-4BA5-8F25-D70A4FA34F74}" uniqueName="6" name="发行评级" queryTableFieldId="6"/>
    <tableColumn id="7" xr3:uid="{C1CE8942-2BE8-484E-8F15-D8032B94A348}" uniqueName="7" name="主体评级" queryTableFieldId="330"/>
    <tableColumn id="8" xr3:uid="{BD6A8BEE-7415-4823-AF56-DC51DE530096}" uniqueName="8" name="境内主体评级" queryTableFieldId="331"/>
    <tableColumn id="11" xr3:uid="{EB439C5C-BAB2-4AFF-A57D-0318D4B8B590}" uniqueName="11" name="年期" queryTableFieldId="11"/>
    <tableColumn id="12" xr3:uid="{D35B9FE5-88FE-403A-A723-C485043D6AC3}" uniqueName="12" name="票息" queryTableFieldId="332"/>
    <tableColumn id="9" xr3:uid="{A650CF03-5030-46F2-82E5-B6F54676C743}" uniqueName="9" name="货币" queryTableFieldId="9"/>
    <tableColumn id="13" xr3:uid="{D0797124-893A-4769-AFD6-23CA1FCAA4EE}" uniqueName="13" name="结构" queryTableFieldId="333"/>
    <tableColumn id="14" xr3:uid="{3C7EB56C-28E5-4198-8095-9C1A2533D239}" uniqueName="14" name="上市" queryTableFieldId="334"/>
    <tableColumn id="21" xr3:uid="{4D9651C2-9848-462B-BBBC-5233A87229B5}" uniqueName="21" name="ESG" queryTableFieldId="341"/>
    <tableColumn id="22" xr3:uid="{6F38F4B7-97F4-4800-B82E-C7F3A5139F34}" uniqueName="22" name="品种主题" queryTableFieldId="342"/>
    <tableColumn id="20" xr3:uid="{EA6D1294-4C3A-4E64-B596-89CB3C268101}" uniqueName="20" name="备证行全称" queryTableFieldId="340"/>
    <tableColumn id="16" xr3:uid="{3A2292C2-6775-4030-9E18-E3554AA3AADE}" uniqueName="16" name="通过分行" queryTableFieldId="336"/>
    <tableColumn id="17" xr3:uid="{88CDDB2C-411F-4480-B655-CFB2709CAD4E}" uniqueName="17" name="发行人" queryTableFieldId="337"/>
    <tableColumn id="18" xr3:uid="{C9CAFE73-D093-4E2D-8BBA-204B6822C0CC}" uniqueName="18" name="担保人" queryTableFieldId="338"/>
    <tableColumn id="19" xr3:uid="{C7CD8DCC-C9E4-4F95-BFAA-03F5358BF7E7}" uniqueName="19" name="维好协议提供者" queryTableFieldId="339"/>
    <tableColumn id="23" xr3:uid="{588210C6-AF41-4B6D-800C-A4F88F72332B}" uniqueName="23" name="期限备注" queryTableFieldId="343"/>
    <tableColumn id="15" xr3:uid="{38A57F27-64B7-42DE-BEF6-07D3F4AEDBAC}" uniqueName="15" name="兑付日" queryTableFieldId="335" dataDxfId="205"/>
    <tableColumn id="34" xr3:uid="{7883C71C-8374-42A0-9535-1443A074011F}" uniqueName="34" name="债券备注" queryTableFieldId="485" dataDxfId="204"/>
    <tableColumn id="38" xr3:uid="{2D95B4F4-159A-49D3-8C09-13C98B5DC36A}" uniqueName="38" name="mIssue" queryTableFieldId="446"/>
    <tableColumn id="2" xr3:uid="{5391C6C1-694E-4B38-B0E7-1D036FC97B80}" uniqueName="2" name="删除及隐藏" queryTableFieldId="2"/>
    <tableColumn id="79" xr3:uid="{3CD3AA12-CE99-402A-8C81-2CBE5FE7D3CD}" uniqueName="79" name="债券简称" queryTableFieldId="256"/>
    <tableColumn id="26" xr3:uid="{EE7D7F66-4C50-41D5-B9F7-BE52F06E561D}" uniqueName="26" name="增发判定" queryTableFieldId="346"/>
    <tableColumn id="10" xr3:uid="{21E51DCC-7040-45E3-A2B9-978FB679C460}" uniqueName="10" name="发行规模(亿)" queryTableFieldId="10"/>
    <tableColumn id="27" xr3:uid="{1D379E17-B97C-4FBA-8939-8696E894161A}" uniqueName="27" name="IPG" queryTableFieldId="347"/>
    <tableColumn id="28" xr3:uid="{4862F77F-FDBA-4D1B-9D6D-B462944D8B0C}" uniqueName="28" name="FPG" queryTableFieldId="348"/>
    <tableColumn id="29" xr3:uid="{C7C0AD56-0DE0-4CA0-9507-2F33B9525BE0}" uniqueName="29" name="定价" queryTableFieldId="349"/>
    <tableColumn id="30" xr3:uid="{AD6B46F6-4C0C-4483-B008-3DAF6F10D21C}" uniqueName="30" name="收窄基点" queryTableFieldId="350"/>
    <tableColumn id="31" xr3:uid="{281B92CF-9EDF-418C-809E-737736C60DA0}" uniqueName="31" name="发行价" queryTableFieldId="351"/>
    <tableColumn id="32" xr3:uid="{ED508D2B-EAF3-4565-AC79-D1F10425C707}" uniqueName="32" name="港分_ROLE" queryTableFieldId="352"/>
    <tableColumn id="33" xr3:uid="{C4FC4C54-4C8F-4919-9206-D677098A40C2}" uniqueName="33" name="澳分_ROLE" queryTableFieldId="353"/>
    <tableColumn id="53" xr3:uid="{E14BB02E-B969-47F0-BC70-5E6DD02B73C7}" uniqueName="53" name="交割T+n" queryTableFieldId="486" dataDxfId="203"/>
    <tableColumn id="54" xr3:uid="{E44881B3-0020-4767-A641-C372B3A15782}" uniqueName="54" name="交割日" queryTableFieldId="487" dataDxfId="202"/>
    <tableColumn id="35" xr3:uid="{6FB4E5F9-C758-4C3C-BA61-0DE89DECBA13}" uniqueName="35" name="ISIN_TEMP" queryTableFieldId="355"/>
    <tableColumn id="51" xr3:uid="{A1C8DF4C-5627-413A-9669-A64708A1B7E0}" uniqueName="51" name="Check" queryTableFieldId="51"/>
    <tableColumn id="39" xr3:uid="{D9231CD8-0647-447B-BCEE-C2A4B5AA9DDF}" uniqueName="39" name="mStats" queryTableFieldId="447"/>
    <tableColumn id="80" xr3:uid="{D8552456-B544-496E-A4ED-07E8A939BE2E}" uniqueName="80" name="最终账簿(亿)" queryTableFieldId="257"/>
    <tableColumn id="81" xr3:uid="{68AA850B-778F-4D55-BBCD-145B46327180}" uniqueName="81" name="账户数" queryTableFieldId="258"/>
    <tableColumn id="83" xr3:uid="{99848A2F-ADB4-4680-A34F-F501974CF0EA}" uniqueName="83" name="地区分布" queryTableFieldId="259"/>
    <tableColumn id="84" xr3:uid="{000ABE03-71AF-481D-BDB5-5D82F9CC114B}" uniqueName="84" name="类型分布" queryTableFieldId="260"/>
    <tableColumn id="40" xr3:uid="{189CC8B5-96B1-4356-A634-86942174F934}" uniqueName="40" name="mBISL" queryTableFieldId="451"/>
    <tableColumn id="46" xr3:uid="{F8635660-1414-418A-9888-9A13A57409B0}" uniqueName="46" name="PROJECT_CODE" queryTableFieldId="455"/>
    <tableColumn id="47" xr3:uid="{7845EB77-5A78-4E17-A17E-6ACD4073FE2F}" uniqueName="47" name="期数" queryTableFieldId="456"/>
    <tableColumn id="48" xr3:uid="{CD8AD325-F271-44C5-9622-7EA7D079AFDA}" uniqueName="48" name="BISL_ROLE" queryTableFieldId="457"/>
    <tableColumn id="49" xr3:uid="{A558B94D-621D-4929-A6C3-29EB6E2EEAC2}" uniqueName="49" name="IS_B&amp;D" queryTableFieldId="458"/>
    <tableColumn id="50" xr3:uid="{BE67BB9E-2D34-4804-AC9C-A5EF64490B5D}" uniqueName="50" name="IS_LEAD" queryTableFieldId="459"/>
    <tableColumn id="52" xr3:uid="{A220456C-5D63-444A-9106-9BDC165BE1DB}" uniqueName="52" name="是否合名" queryTableFieldId="460"/>
    <tableColumn id="45" xr3:uid="{0BF86C66-A829-4BF3-A661-4CF387AEE964}" uniqueName="45" name="mEXE" queryTableFieldId="452" dataDxfId="201"/>
    <tableColumn id="1" xr3:uid="{7697DC0E-609B-4CB8-A4C0-D9504A1D1547}" uniqueName="1" name="台账序号" queryTableFieldId="390"/>
    <tableColumn id="24" xr3:uid="{33929568-0738-4A93-91A9-71F87FF23CBE}" uniqueName="24" name="EXE" queryTableFieldId="391"/>
    <tableColumn id="25" xr3:uid="{A25CEBC6-7429-419C-BF8C-12F02A55356E}" uniqueName="25" name="新规角色" queryTableFieldId="392"/>
    <tableColumn id="36" xr3:uid="{5C6B1518-AA17-4044-8E85-7AD05AE6A090}" uniqueName="36" name="COVERAGE" queryTableFieldId="393"/>
    <tableColumn id="78" xr3:uid="{E9C5B3D7-1F65-42A2-B490-4540C81D2036}" uniqueName="78" name="mCredit" queryTableFieldId="78"/>
    <tableColumn id="62" xr3:uid="{C65C4076-7CEF-49F4-82D6-A7F72AF0162E}" uniqueName="62" name="信用主体简称" queryTableFieldId="157"/>
    <tableColumn id="70" xr3:uid="{EE9EE208-9F60-4444-B350-6176976954DF}" uniqueName="70" name="板块" queryTableFieldId="70"/>
    <tableColumn id="63" xr3:uid="{AEC83FCF-C394-4B60-B872-839B8A88BD6E}" uniqueName="63" name="板块二级" queryTableFieldId="151"/>
    <tableColumn id="64" xr3:uid="{A3B017AB-49B2-4786-85B1-086473B55973}" uniqueName="64" name="板块三级" queryTableFieldId="152"/>
    <tableColumn id="71" xr3:uid="{E7031E0E-77AC-458C-B331-6C7CCE830EBB}" uniqueName="71" name="中资属性" queryTableFieldId="71"/>
    <tableColumn id="77" xr3:uid="{6BB25898-2A9D-418A-8251-7057A6B851A3}" uniqueName="77" name="级别" queryTableFieldId="153"/>
    <tableColumn id="72" xr3:uid="{4C278638-5A20-41A0-9C40-A873B957F011}" uniqueName="72" name="地区" queryTableFieldId="110"/>
    <tableColumn id="73" xr3:uid="{798741A1-F625-432A-BC2E-9E1B244BBDA1}" uniqueName="73" name="城市" queryTableFieldId="111"/>
    <tableColumn id="74" xr3:uid="{C4C97C64-1B22-48CA-965F-674CD3E6D746}" uniqueName="74" name="区县" queryTableFieldId="112"/>
    <tableColumn id="69" xr3:uid="{5360A332-E8EB-43A6-A6A8-A18F32AC864E}" uniqueName="69" name="首次违约日" queryTableFieldId="158" dataDxfId="200"/>
    <tableColumn id="75" xr3:uid="{D8F064BE-E5FC-4FAB-8305-D3D50066C00B}" uniqueName="75" name="DEBUT_DATE" queryTableFieldId="159" dataDxfId="199"/>
    <tableColumn id="42" xr3:uid="{B7867D93-CC98-4F98-9C4C-3F2191A10015}" uniqueName="42" name="Updator" queryTableFieldId="441"/>
    <tableColumn id="43" xr3:uid="{F8E4DC62-9E59-4DC8-948D-36CB62731BCB}" uniqueName="43" name="Timestamp" queryTableFieldId="442" dataDxfId="198"/>
    <tableColumn id="44" xr3:uid="{3D23BBA5-1FA8-471B-84F8-279FCB0489A1}" uniqueName="44" name="PRJ对账号" queryTableFieldId="443"/>
  </tableColumns>
  <tableStyleInfo name="Table Style 1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dataDxfId="197">
  <tableColumns count="3">
    <tableColumn id="1" xr3:uid="{D2575DE4-269F-4959-A577-39811CF1BAA4}" name="Index" dataDxfId="196"/>
    <tableColumn id="3" xr3:uid="{7AC0BB8C-CC34-429C-8AF1-376F90827DC0}" name="新闻" dataDxfId="195"/>
    <tableColumn id="4" xr3:uid="{08C05BDA-0D65-4471-B3AB-B4ACFF300E8B}" name="来源" dataDxfId="194"/>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852EF01-66C6-4B4A-B6F3-065F2B92EB92}" name="WeeklyRoster24" displayName="WeeklyRoster24" ref="A1:K53" tableType="queryTable" totalsRowShown="0">
  <autoFilter ref="A1:K53" xr:uid="{6C6F3A24-EE62-494C-B856-15D61C74871A}"/>
  <tableColumns count="11">
    <tableColumn id="1" xr3:uid="{B80CE611-03D1-47C2-B0A6-063DAA1ECC4B}" uniqueName="1" name="Index" queryTableFieldId="1" dataDxfId="193"/>
    <tableColumn id="2" xr3:uid="{04BD9825-152E-4BFF-9772-770D41D18397}" uniqueName="2" name="MondayText" queryTableFieldId="2" dataDxfId="192"/>
    <tableColumn id="3" xr3:uid="{C1B0E2FC-0950-40BC-9015-C4095BD25201}" uniqueName="3" name="Start_date" queryTableFieldId="3" dataDxfId="191"/>
    <tableColumn id="4" xr3:uid="{F67225A8-ADBD-491E-AF03-36CF843F5A0B}" uniqueName="4" name="Due_date" queryTableFieldId="4" dataDxfId="190"/>
    <tableColumn id="5" xr3:uid="{5B5C7D71-6138-43A9-A147-4452B86FC2A4}" uniqueName="5" name="Due_DayName" queryTableFieldId="5" dataDxfId="189"/>
    <tableColumn id="6" xr3:uid="{4236B027-D220-40DC-84D0-B460EECBD4AE}" uniqueName="6" name="Name" queryTableFieldId="6" dataDxfId="188"/>
    <tableColumn id="7" xr3:uid="{E0FC81BA-6CA3-4A5C-8CDE-2A269371D254}" uniqueName="7" name="Template" queryTableFieldId="7" dataDxfId="187"/>
    <tableColumn id="8" xr3:uid="{E14A84C3-0A4B-49E4-AFFE-13A4039955CB}" uniqueName="8" name="TaskName" queryTableFieldId="8" dataDxfId="186"/>
    <tableColumn id="9" xr3:uid="{E94EC62D-CA21-4098-8F52-6898F74EE869}" uniqueName="9" name="Description" queryTableFieldId="9" dataDxfId="185"/>
    <tableColumn id="10" xr3:uid="{403F9D42-5B84-492B-83FE-35588AE58E65}" uniqueName="10" name="Maker_DD" queryTableFieldId="10" dataDxfId="184"/>
    <tableColumn id="11" xr3:uid="{3CA37970-96D7-482A-9EF8-6A6FDD0DEDE7}" uniqueName="11" name="Checker_DD" queryTableFieldId="11" dataDxfId="183"/>
  </tableColumns>
  <tableStyleInfo name="Load Styl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CDA9CB78-FDE1-4CDD-A325-34FEC2A58B59}"/>
  <tableColumns count="10">
    <tableColumn id="1" xr3:uid="{138A80FD-54F9-4C89-B507-9D991A55E595}" uniqueName="1" name="输入原始ISIN" queryTableFieldId="1"/>
    <tableColumn id="2" xr3:uid="{669F2C01-E0B7-45A9-A769-80EC5FF1A266}" uniqueName="2" name="信用主体(备证行)" queryTableFieldId="2"/>
    <tableColumn id="3" xr3:uid="{45B413B9-42AC-431E-A35B-1DF7EBE6C07E}" uniqueName="3" name="定价日" queryTableFieldId="3" dataDxfId="180"/>
    <tableColumn id="4" xr3:uid="{8A3AC0D2-746D-44EE-8DE6-6FED15D95E6D}" uniqueName="4" name="发行评级" queryTableFieldId="4"/>
    <tableColumn id="5" xr3:uid="{285118B3-8BBF-439B-9415-5BC1495ECB1C}" uniqueName="5" name="货币" queryTableFieldId="5"/>
    <tableColumn id="6" xr3:uid="{425DC2BD-5960-4D6A-9C99-5B9FF7AF6397}" uniqueName="6" name="发行规模(亿)" queryTableFieldId="6"/>
    <tableColumn id="7" xr3:uid="{929D97F3-CC1F-478A-B1BE-9AE6D55C5F26}" uniqueName="7" name="年期" queryTableFieldId="7"/>
    <tableColumn id="8" xr3:uid="{77E6FBBD-5D5D-4B32-B965-C9E073A7C557}" uniqueName="8" name="票息" queryTableFieldId="8"/>
    <tableColumn id="9" xr3:uid="{88DCD27E-BBBF-4B04-815A-A6F91FB3E350}" uniqueName="9" name="ESG" queryTableFieldId="9"/>
    <tableColumn id="10" xr3:uid="{EA270588-812A-47B3-813C-8F83CE60F07E}" uniqueName="10" name="品种主题" queryTableFieldId="10"/>
  </tableColumns>
  <tableStyleInfo name="Qry Load"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179">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78"/>
    <tableColumn id="10" xr3:uid="{C2C4EF50-FD6F-4B1E-A545-2ECC96F9A905}" name="添加增发方式" dataDxfId="177"/>
    <tableColumn id="11" xr3:uid="{79B76218-E0E4-4A89-BE76-301D01940875}" name="增发判定" dataDxfId="176"/>
    <tableColumn id="12" xr3:uid="{EDA4F6FC-E9AF-428D-8455-7CAE58E2C730}" name="增发ISIN" dataDxfId="175"/>
    <tableColumn id="2" xr3:uid="{27B5EFE8-4072-49BD-B6A9-5FF970467B1C}" name="定价日" dataDxfId="174"/>
    <tableColumn id="3" xr3:uid="{AD0350DC-2C22-4D91-9AA2-3F091B8A9FED}" name="发行规模(亿)" dataDxfId="173"/>
    <tableColumn id="4" xr3:uid="{C498A0CC-CED1-41FB-877E-641A32287CEF}" name="IPT" dataDxfId="172"/>
    <tableColumn id="5" xr3:uid="{EDF855A7-BA7A-40AF-8D1C-50F6E2692F36}" name="FPG" dataDxfId="171"/>
    <tableColumn id="6" xr3:uid="{19553095-3CC0-4C17-9C9F-D62F43223F22}" name="BOCOM_JGC" dataDxfId="170"/>
    <tableColumn id="8" xr3:uid="{2ABEAA2D-F8C8-4F6E-BB0B-5ED3A2C55235}" name="BOCOM_JBR" dataDxfId="169"/>
  </tableColumns>
  <tableStyleInfo name="review"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8" tableType="queryTable" totalsRowShown="0">
  <autoFilter ref="B15:C48" xr:uid="{13E57BC5-5381-4B21-915A-56BB1155E16E}"/>
  <tableColumns count="2">
    <tableColumn id="23" xr3:uid="{2B4F470D-5393-407C-81AA-C0830E8F96A1}" uniqueName="23" name="Column1" queryTableFieldId="1" dataDxfId="168"/>
    <tableColumn id="24" xr3:uid="{EAD53C83-0843-49F8-80DF-27B7042770D9}" uniqueName="24" name="Column2" queryTableFieldId="2" dataDxfId="167"/>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19" tableType="queryTable" totalsRowShown="0">
  <autoFilter ref="I13:J19" xr:uid="{468C1FBA-82A3-4DD0-AF71-D0CA0ACFFFD2}">
    <filterColumn colId="0" hiddenButton="1"/>
  </autoFilter>
  <tableColumns count="2">
    <tableColumn id="1" xr3:uid="{E46ED5D9-5689-449D-A1E6-5A3A303F856D}" uniqueName="1" name="中资属性" queryTableFieldId="1" dataDxfId="163"/>
    <tableColumn id="2" xr3:uid="{E93A5C7A-B5A8-4188-9788-24754CAEF09E}"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L6:M12" tableType="queryTable" totalsRowShown="0">
  <autoFilter ref="L6:M12" xr:uid="{FF208760-EA58-4FEC-8BFC-A2D10CC56FD3}">
    <filterColumn colId="0" hiddenButton="1"/>
  </autoFilter>
  <tableColumns count="2">
    <tableColumn id="1" xr3:uid="{E8A08C19-4FDD-411B-A6E1-3AEE07FBDDD9}" uniqueName="1" name="BISL_ROLE" queryTableFieldId="1" dataDxfId="162"/>
    <tableColumn id="2" xr3:uid="{B911249C-31C6-41A0-80D4-BBD6898CECAB}" uniqueName="2" name="SortValue" queryTableFieldId="2"/>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161"/>
    <tableColumn id="2" xr3:uid="{0219E8DB-E4B8-4848-A5DB-8CDC9DBDA325}" uniqueName="2" name="Name" queryTableFieldId="2"/>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L27:M33" tableType="queryTable" totalsRowShown="0">
  <autoFilter ref="L27:M33" xr:uid="{E5A823B0-99ED-4119-B539-A98E411D1243}">
    <filterColumn colId="0" hiddenButton="1"/>
  </autoFilter>
  <tableColumns count="2">
    <tableColumn id="1" xr3:uid="{13497FA3-5E2B-4299-AA74-AB8C753D2866}" uniqueName="1" name="新规角色" queryTableFieldId="1" dataDxfId="160"/>
    <tableColumn id="2" xr3:uid="{48DB0258-5155-48AF-8825-EE1050573BFC}" uniqueName="2" name="SortValue" queryTableFieldId="2"/>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42:D51" tableType="queryTable" totalsRowShown="0">
  <autoFilter ref="D42:D51" xr:uid="{C59B98D9-DE6D-4FBE-945C-51BABF760B41}"/>
  <tableColumns count="1">
    <tableColumn id="1" xr3:uid="{A6F299EA-476D-4DD5-BED2-A486CAE02C36}" uniqueName="1" name="dd_结构" queryTableFieldId="2" dataDxfId="159"/>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1:J26" tableType="queryTable" totalsRowShown="0">
  <autoFilter ref="I21:J26" xr:uid="{26FE236B-2A97-45BE-82BB-C1AD85E2DB46}">
    <filterColumn colId="0" hiddenButton="1"/>
    <filterColumn colId="1" hiddenButton="1"/>
  </autoFilter>
  <tableColumns count="2">
    <tableColumn id="1" xr3:uid="{DE820937-D9CF-434A-8A46-AEA8816786C6}" uniqueName="1" name="板块" queryTableFieldId="1" dataDxfId="158"/>
    <tableColumn id="2" xr3:uid="{0349388C-4B60-43A7-B72C-E63E6C570115}" uniqueName="2" name="SortValue" queryTableFieldId="2"/>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L14:M25" tableType="queryTable" totalsRowShown="0">
  <autoFilter ref="L14:M25" xr:uid="{AF8038FA-F5FD-4B93-A069-021973B2B269}"/>
  <tableColumns count="2">
    <tableColumn id="1" xr3:uid="{DD06F972-EA09-468A-B735-0CEFD18E493E}" uniqueName="1" name="货币" queryTableFieldId="1" dataDxfId="157"/>
    <tableColumn id="2" xr3:uid="{6DB657FB-E1F1-4EA3-83FA-7AC2169895B1}" uniqueName="2" name="SortValue" queryTableFieldId="2" dataDxfId="156"/>
  </tableColumns>
  <tableStyleInfo name="Named_dd"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155"/>
    <tableColumn id="1" xr3:uid="{FFDAFF75-50D1-41BB-9E49-2BB8B082E04A}" name="Replac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dd_备证行全称" displayName="dd_备证行全称" ref="I77:J129" tableType="queryTable" totalsRowShown="0">
  <autoFilter ref="I77:J129" xr:uid="{3D15E97E-A96B-46C8-8F14-CDD4B9B5EBE7}"/>
  <tableColumns count="2">
    <tableColumn id="1" xr3:uid="{0D22FE4A-EE51-441D-9EA1-1C403407ED0B}" uniqueName="1" name="备证行全称" queryTableFieldId="2" dataDxfId="154"/>
    <tableColumn id="2" xr3:uid="{7EEC4CFD-C981-4F06-9B6E-F5021419A440}" uniqueName="2" name="SortValue" queryTableFieldId="3"/>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53"/>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W6:X10" totalsRowShown="0">
  <autoFilter ref="W6:X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53:D61" tableType="queryTable" totalsRowShown="0">
  <autoFilter ref="D53:D61" xr:uid="{1DC51F1B-1F4F-4981-99A0-790DB39684D9}">
    <filterColumn colId="0" hiddenButton="1"/>
  </autoFilter>
  <tableColumns count="1">
    <tableColumn id="1" xr3:uid="{80691C07-9984-443C-A245-A32A722F8460}" uniqueName="1" name="DimMonday" queryTableFieldId="1" dataDxfId="152"/>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O6:P125" totalsRowShown="0">
  <autoFilter ref="O6:P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28:J33" totalsRowShown="0">
  <autoFilter ref="I28:J33" xr:uid="{111DFADF-F3AE-49D9-BC2B-5E6AD4CE759F}"/>
  <tableColumns count="2">
    <tableColumn id="1" xr3:uid="{F689DC6D-5E70-49EB-A51C-BB9EF30556B5}" name="ESG" dataDxfId="151"/>
    <tableColumn id="2" xr3:uid="{6D7F5D52-78BC-4D49-A292-F6AF87AE5339}" name="SortValue" dataDxfId="150"/>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63:D70" totalsRowShown="0">
  <autoFilter ref="D63:D70" xr:uid="{2CCC43E2-BC45-47E5-B24A-579E315DAFB4}"/>
  <tableColumns count="1">
    <tableColumn id="1" xr3:uid="{C6821DF5-A99A-432D-93A6-E8A1E26A9881}" name="新闻分类"/>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72:D75" totalsRowShown="0">
  <autoFilter ref="D72:D75" xr:uid="{9E8E6DC3-51E5-47C4-9340-B324AE8AB7F6}"/>
  <tableColumns count="1">
    <tableColumn id="1" xr3:uid="{41C07ED1-0B41-4718-A93D-5AA15F4B6E7B}" name="新闻地区"/>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L36:M41" tableType="queryTable" totalsRowShown="0">
  <autoFilter ref="L36:M41"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36:J39" tableType="queryTable" totalsRowShown="0">
  <autoFilter ref="I36:J39" xr:uid="{B96CDCA4-F775-4C94-B48D-5B8C029D19DC}"/>
  <tableColumns count="2">
    <tableColumn id="1" xr3:uid="{38F2EBF6-953C-4322-9270-C39CF960874E}" uniqueName="1" name="金融机构" queryTableFieldId="1" dataDxfId="149"/>
    <tableColumn id="2" xr3:uid="{0177D021-4B5C-41CB-BF55-D7BDCC537CC7}" uniqueName="2" name="SortValue" queryTableFieldId="2" dataDxfId="148"/>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41:J48" tableType="queryTable" totalsRowShown="0">
  <autoFilter ref="I41:J48" xr:uid="{895F477F-5398-4905-B711-9D08A0AE63F2}"/>
  <tableColumns count="2">
    <tableColumn id="1" xr3:uid="{CBD54E84-4C92-4EAE-970C-3C1316817AF7}" uniqueName="1" name="银行" queryTableFieldId="1" dataDxfId="147"/>
    <tableColumn id="2" xr3:uid="{701EE089-E5FF-4453-88E0-3FD1862F322B}" uniqueName="2" name="SortValue" queryTableFieldId="2" dataDxfId="146"/>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50:J57" tableType="queryTable" totalsRowShown="0">
  <autoFilter ref="I50:J57" xr:uid="{4B56C168-E314-4D78-9AE6-782588FC9B3F}"/>
  <tableColumns count="2">
    <tableColumn id="1" xr3:uid="{43766378-2A24-4FC2-889F-92EC3A5F8D1B}" uniqueName="1" name="非银" queryTableFieldId="1" dataDxfId="145"/>
    <tableColumn id="2" xr3:uid="{F6459280-4FCD-49BB-8F50-3807E8480254}" uniqueName="2" name="SortValue" queryTableFieldId="2" dataDxfId="144"/>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59:J66" tableType="queryTable" totalsRowShown="0">
  <autoFilter ref="I59:J66" xr:uid="{DD985421-3214-4F7B-9909-C193B2759E4A}"/>
  <tableColumns count="2">
    <tableColumn id="1" xr3:uid="{0074168B-68EC-4B98-AA66-F0CA7BFC3BB8}" uniqueName="1" name="地方国企" queryTableFieldId="1" dataDxfId="143"/>
    <tableColumn id="2" xr3:uid="{279DD6A2-1C35-438C-B8D1-ACA1F06BE526}" uniqueName="2" name="SortValue" queryTableFieldId="2" dataDxfId="142"/>
  </tableColumns>
  <tableStyleInfo name="Named_d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68:J74" tableType="queryTable" totalsRowShown="0">
  <autoFilter ref="I68:J74" xr:uid="{9663CCD6-FC26-4C72-9829-E352207CE37F}"/>
  <tableColumns count="2">
    <tableColumn id="1" xr3:uid="{927233F5-7BF1-4B1B-AAAC-9EF5E718B6DE}" uniqueName="1" name="地方平台" queryTableFieldId="1" dataDxfId="141"/>
    <tableColumn id="2" xr3:uid="{C9C4447F-F30F-41BD-8CDD-83D83F16DBA0}" uniqueName="2" name="SortValue" queryTableFieldId="2" dataDxfId="140"/>
  </tableColumns>
  <tableStyleInfo name="Named_dd"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F39:F41" totalsRowShown="0">
  <autoFilter ref="F39:F41" xr:uid="{553E085C-0E15-40BA-B4B6-590F1A721115}"/>
  <tableColumns count="1">
    <tableColumn id="1" xr3:uid="{BA3C3EDE-47FE-4293-A7AF-D4F2BC824B6F}" name="Filter"/>
  </tableColumns>
  <tableStyleInfo name="Qry Source"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R6:S75" tableType="queryTable" totalsRowShown="0">
  <autoFilter ref="R6:S75" xr:uid="{BB3BDBFA-9693-4861-BDCC-46A584F1F674}"/>
  <tableColumns count="2">
    <tableColumn id="1" xr3:uid="{8E061D3E-00CA-4D54-AE0C-5418C3F844F3}" uniqueName="1" name="DMI字段" queryTableFieldId="5" dataDxfId="139"/>
    <tableColumn id="2" xr3:uid="{7927E5F6-6540-4E6C-9666-3516583E806C}" uniqueName="2" name="状态" queryTableFieldId="6" dataDxfId="138"/>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dd_上市" displayName="dd_上市" ref="L43:M53" tableType="queryTable" totalsRowShown="0">
  <autoFilter ref="L43:M53" xr:uid="{6603B9A1-E294-40E5-AD4D-4E9927CD4CAF}"/>
  <tableColumns count="2">
    <tableColumn id="1" xr3:uid="{137B60EC-824E-43B5-B0A8-9F47954B1B31}" uniqueName="1" name="上市" queryTableFieldId="3" dataDxfId="137"/>
    <tableColumn id="2" xr3:uid="{C1D12E41-5DFD-4B2B-90E5-92838B701E0D}" uniqueName="2" name="SortValue" queryTableFieldId="2" dataDxfId="136"/>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D49B4F-A12B-4021-93AA-469D8344EAD8}" name="dd_品种主题" displayName="dd_品种主题" ref="L55:M65" tableType="queryTable" totalsRowShown="0">
  <autoFilter ref="L55:M65" xr:uid="{3DD49B4F-A12B-4021-93AA-469D8344EAD8}"/>
  <tableColumns count="2">
    <tableColumn id="1" xr3:uid="{17D1585A-3540-4F71-B578-9CA2FD8857D4}" uniqueName="1" name="品种主题" queryTableFieldId="1" dataDxfId="135"/>
    <tableColumn id="2" xr3:uid="{A9B1E58F-78D3-46E8-A2C0-120F34D7CCA1}" uniqueName="2" name="SortValue" queryTableFieldId="2"/>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8.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5.vml"/><Relationship Id="rId7" Type="http://schemas.openxmlformats.org/officeDocument/2006/relationships/table" Target="../tables/table20.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1.xml"/><Relationship Id="rId5" Type="http://schemas.microsoft.com/office/2007/relationships/slicer" Target="../slicers/slicer1.xml"/><Relationship Id="rId4" Type="http://schemas.openxmlformats.org/officeDocument/2006/relationships/table" Target="../tables/table2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9" Type="http://schemas.openxmlformats.org/officeDocument/2006/relationships/table" Target="../tables/table66.xml"/><Relationship Id="rId21" Type="http://schemas.openxmlformats.org/officeDocument/2006/relationships/table" Target="../tables/table48.xml"/><Relationship Id="rId34" Type="http://schemas.openxmlformats.org/officeDocument/2006/relationships/table" Target="../tables/table61.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33" Type="http://schemas.openxmlformats.org/officeDocument/2006/relationships/table" Target="../tables/table60.xml"/><Relationship Id="rId38" Type="http://schemas.openxmlformats.org/officeDocument/2006/relationships/table" Target="../tables/table65.xml"/><Relationship Id="rId2" Type="http://schemas.openxmlformats.org/officeDocument/2006/relationships/table" Target="../tables/table29.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10.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37" Type="http://schemas.openxmlformats.org/officeDocument/2006/relationships/table" Target="../tables/table64.xml"/><Relationship Id="rId40" Type="http://schemas.openxmlformats.org/officeDocument/2006/relationships/table" Target="../tables/table67.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36" Type="http://schemas.openxmlformats.org/officeDocument/2006/relationships/table" Target="../tables/table63.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 Id="rId35" Type="http://schemas.openxmlformats.org/officeDocument/2006/relationships/table" Target="../tables/table62.xml"/><Relationship Id="rId8" Type="http://schemas.openxmlformats.org/officeDocument/2006/relationships/table" Target="../tables/table35.xml"/><Relationship Id="rId3" Type="http://schemas.openxmlformats.org/officeDocument/2006/relationships/table" Target="../tables/table30.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zoomScale="85" zoomScaleNormal="85" workbookViewId="0">
      <selection activeCell="D9" sqref="B9:D14"/>
    </sheetView>
  </sheetViews>
  <sheetFormatPr defaultColWidth="8.88671875" defaultRowHeight="18" customHeight="1"/>
  <cols>
    <col min="1" max="1" width="4" style="2" customWidth="1"/>
    <col min="2" max="3" width="28.77734375" style="2" customWidth="1"/>
    <col min="4" max="4" width="26.44140625" style="92" customWidth="1"/>
    <col min="5" max="9" width="6.6640625" style="2" customWidth="1"/>
    <col min="10" max="11" width="22.44140625" style="2" customWidth="1"/>
    <col min="12" max="16384" width="8.88671875" style="2"/>
  </cols>
  <sheetData>
    <row r="1" spans="1:11" ht="64.5" customHeight="1">
      <c r="B1" s="25" t="s">
        <v>164</v>
      </c>
    </row>
    <row r="2" spans="1:11" ht="64.5" customHeight="1">
      <c r="B2" s="26" t="s">
        <v>103</v>
      </c>
    </row>
    <row r="3" spans="1:11" ht="24.75" customHeight="1" thickBot="1">
      <c r="B3" s="130" t="s">
        <v>220</v>
      </c>
      <c r="C3" s="130" t="s">
        <v>221</v>
      </c>
      <c r="J3" s="131" t="s">
        <v>1086</v>
      </c>
      <c r="K3" s="132"/>
    </row>
    <row r="4" spans="1:11" ht="64.5" customHeight="1" thickTop="1" thickBot="1">
      <c r="B4" s="138" t="s">
        <v>229</v>
      </c>
      <c r="C4" s="137" t="s">
        <v>1036</v>
      </c>
      <c r="J4" s="131" t="s">
        <v>1313</v>
      </c>
      <c r="K4" s="133" t="s">
        <v>272</v>
      </c>
    </row>
    <row r="5" spans="1:11" ht="64.5" customHeight="1" thickTop="1" thickBot="1">
      <c r="B5" s="138" t="s">
        <v>133</v>
      </c>
      <c r="C5" s="129" t="s">
        <v>185</v>
      </c>
      <c r="J5" s="131" t="s">
        <v>271</v>
      </c>
      <c r="K5" s="133" t="s">
        <v>715</v>
      </c>
    </row>
    <row r="6" spans="1:11" ht="64.5" customHeight="1" thickTop="1" thickBot="1">
      <c r="B6" s="138" t="s">
        <v>817</v>
      </c>
      <c r="C6" s="137" t="s">
        <v>940</v>
      </c>
      <c r="J6" s="131" t="s">
        <v>273</v>
      </c>
      <c r="K6" s="133" t="s">
        <v>272</v>
      </c>
    </row>
    <row r="7" spans="1:11" ht="64.5" customHeight="1" thickTop="1" thickBot="1">
      <c r="B7" s="138" t="s">
        <v>935</v>
      </c>
      <c r="C7" s="137" t="s">
        <v>941</v>
      </c>
      <c r="J7" s="131" t="s">
        <v>492</v>
      </c>
      <c r="K7" s="133" t="s">
        <v>715</v>
      </c>
    </row>
    <row r="8" spans="1:11" ht="24.75" customHeight="1" thickTop="1">
      <c r="D8" s="2"/>
    </row>
    <row r="9" spans="1:11" ht="24.75" customHeight="1">
      <c r="B9" s="153" t="s">
        <v>1225</v>
      </c>
      <c r="C9" s="153" t="s">
        <v>1226</v>
      </c>
      <c r="D9" s="153" t="s">
        <v>174</v>
      </c>
    </row>
    <row r="10" spans="1:11" ht="24.75" customHeight="1">
      <c r="A10" s="152">
        <v>18</v>
      </c>
      <c r="B10" s="153" t="s">
        <v>1227</v>
      </c>
      <c r="C10" s="155">
        <v>19</v>
      </c>
      <c r="D10" s="154">
        <v>45313.423653692131</v>
      </c>
    </row>
    <row r="11" spans="1:11" ht="24.75" customHeight="1">
      <c r="A11" s="152">
        <v>1</v>
      </c>
      <c r="B11" s="153" t="s">
        <v>1228</v>
      </c>
      <c r="C11" s="155">
        <v>2</v>
      </c>
      <c r="D11" s="154">
        <v>45313.423653692131</v>
      </c>
      <c r="F11" s="26"/>
    </row>
    <row r="12" spans="1:11" ht="24.75" customHeight="1">
      <c r="A12" s="152">
        <v>0</v>
      </c>
      <c r="B12" s="153" t="s">
        <v>1229</v>
      </c>
      <c r="C12" s="155">
        <v>0</v>
      </c>
      <c r="D12" s="154">
        <v>45313.423653692131</v>
      </c>
    </row>
    <row r="13" spans="1:11" ht="24.75" customHeight="1">
      <c r="B13" s="153" t="s">
        <v>256</v>
      </c>
      <c r="C13" s="153" t="s">
        <v>257</v>
      </c>
      <c r="D13" s="153" t="s">
        <v>174</v>
      </c>
    </row>
    <row r="14" spans="1:11" ht="24.75" customHeight="1">
      <c r="B14" s="153" t="s">
        <v>1087</v>
      </c>
      <c r="C14" s="153" t="s">
        <v>1088</v>
      </c>
      <c r="D14" s="154">
        <v>45313.423699143517</v>
      </c>
    </row>
    <row r="15" spans="1:11" ht="11.25"/>
    <row r="16" spans="1:11" ht="11.25"/>
    <row r="17" spans="1:6" ht="11.25"/>
    <row r="18" spans="1:6" ht="11.25"/>
    <row r="19" spans="1:6" ht="15.75">
      <c r="A19" s="93"/>
      <c r="E19" s="93"/>
    </row>
    <row r="20" spans="1:6" ht="11.25"/>
    <row r="21" spans="1:6" ht="11.25"/>
    <row r="22" spans="1:6" ht="15.75">
      <c r="F22" s="90"/>
    </row>
    <row r="23" spans="1:6" ht="15.75">
      <c r="A23" s="90"/>
      <c r="D23" s="90"/>
      <c r="E23" s="90"/>
      <c r="F23" s="90"/>
    </row>
    <row r="24" spans="1:6" ht="15.75">
      <c r="A24" s="90"/>
      <c r="D24" s="90"/>
      <c r="E24" s="90"/>
      <c r="F24" s="90"/>
    </row>
    <row r="25" spans="1:6" ht="15.75">
      <c r="A25" s="90"/>
      <c r="D25" s="90"/>
      <c r="E25" s="90"/>
      <c r="F25" s="90"/>
    </row>
    <row r="26" spans="1:6" ht="15.75">
      <c r="A26" s="90"/>
      <c r="D26" s="90"/>
      <c r="E26" s="90"/>
      <c r="F26" s="90"/>
    </row>
    <row r="27" spans="1:6" ht="15.75">
      <c r="A27" s="90"/>
      <c r="D27" s="90"/>
      <c r="E27" s="90"/>
      <c r="F27" s="90"/>
    </row>
    <row r="28" spans="1:6" ht="15.75">
      <c r="A28" s="90"/>
      <c r="D28" s="90"/>
      <c r="E28" s="90"/>
    </row>
    <row r="29" spans="1:6" ht="11.25"/>
    <row r="30" spans="1:6" ht="11.25"/>
    <row r="31" spans="1:6" ht="11.25"/>
    <row r="32" spans="1:6" ht="11.25"/>
    <row r="33" ht="11.25"/>
    <row r="34" ht="11.25"/>
    <row r="35" ht="11.25"/>
    <row r="36" ht="11.25"/>
    <row r="37" ht="11.25"/>
    <row r="38" ht="11.25"/>
    <row r="39" ht="11.25"/>
    <row r="40" ht="11.25"/>
    <row r="41" ht="11.25"/>
    <row r="42" ht="11.25"/>
    <row r="43" ht="11.25"/>
    <row r="44" ht="11.25"/>
    <row r="45" ht="11.25"/>
    <row r="46" ht="11.25"/>
    <row r="47" ht="11.25"/>
    <row r="48" ht="11.25"/>
    <row r="49" ht="11.25"/>
    <row r="50" ht="11.25"/>
    <row r="51" ht="11.25"/>
    <row r="52" ht="11.25"/>
    <row r="53" ht="11.25"/>
    <row r="54" ht="11.25"/>
    <row r="55" ht="11.25"/>
    <row r="56" ht="11.25"/>
    <row r="57" ht="11.25"/>
    <row r="58" ht="11.25"/>
    <row r="59" ht="11.25"/>
    <row r="60" ht="11.25"/>
    <row r="61" ht="11.25"/>
    <row r="62" ht="11.25"/>
    <row r="63" ht="11.25"/>
    <row r="64" ht="11.25"/>
    <row r="65" ht="11.25"/>
    <row r="66" ht="11.25"/>
    <row r="67" ht="11.25"/>
    <row r="68" ht="11.25"/>
    <row r="69" ht="11.25"/>
    <row r="70" ht="11.25"/>
    <row r="71" ht="11.25"/>
    <row r="72" ht="11.25"/>
    <row r="73" ht="11.25"/>
    <row r="74" ht="11.25"/>
    <row r="75" ht="11.25"/>
    <row r="76" ht="11.25"/>
    <row r="77" ht="11.25"/>
    <row r="78" ht="11.25"/>
    <row r="79" ht="11.25"/>
    <row r="80" ht="11.25"/>
    <row r="81" ht="11.25"/>
    <row r="82" ht="11.25"/>
    <row r="83" ht="11.25"/>
    <row r="84" ht="11.25"/>
    <row r="85" ht="11.25"/>
    <row r="86" ht="11.25"/>
    <row r="87" ht="11.25"/>
    <row r="88" ht="11.25"/>
    <row r="89" ht="11.25"/>
    <row r="90" ht="11.25"/>
    <row r="91" ht="11.25"/>
    <row r="92" ht="11.25"/>
    <row r="93" ht="11.25"/>
    <row r="94" ht="11.25"/>
    <row r="95" ht="11.25"/>
    <row r="96" ht="11.25"/>
    <row r="97" ht="11.25"/>
    <row r="98" ht="11.25"/>
    <row r="99" ht="11.25"/>
    <row r="100" ht="11.25"/>
    <row r="101" ht="11.25"/>
    <row r="102" ht="11.25"/>
    <row r="103" ht="11.25"/>
    <row r="104" ht="11.25"/>
    <row r="105" ht="11.25"/>
    <row r="106" ht="11.25"/>
    <row r="107" ht="11.25"/>
    <row r="108" ht="11.25"/>
    <row r="109" ht="11.25"/>
    <row r="110" ht="11.25"/>
    <row r="111" ht="11.25"/>
    <row r="112" ht="11.25"/>
    <row r="113" ht="11.25"/>
    <row r="114" ht="11.25"/>
    <row r="115" ht="11.25"/>
    <row r="116" ht="11.25"/>
    <row r="117" ht="11.25"/>
    <row r="118" ht="11.25"/>
    <row r="119" ht="11.25"/>
    <row r="120" ht="11.25"/>
    <row r="121" ht="11.25"/>
    <row r="122" ht="11.25"/>
    <row r="123" ht="11.25"/>
    <row r="124" ht="11.25"/>
    <row r="125" ht="11.25"/>
    <row r="126" ht="11.25"/>
    <row r="127" ht="11.25"/>
    <row r="128" ht="11.25"/>
    <row r="129" ht="11.25"/>
    <row r="130" ht="11.25"/>
    <row r="131" ht="11.25"/>
    <row r="132" ht="11.25"/>
    <row r="133" ht="11.25"/>
    <row r="134" ht="11.25"/>
    <row r="135" ht="11.25"/>
    <row r="136" ht="11.25"/>
    <row r="137" ht="11.25"/>
    <row r="138" ht="11.25"/>
    <row r="139" ht="11.25"/>
    <row r="140" ht="11.25"/>
    <row r="141" ht="11.25"/>
    <row r="142" ht="11.25"/>
    <row r="143" ht="11.25"/>
    <row r="144"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0" ht="11.25"/>
    <row r="171" ht="11.25"/>
    <row r="172" ht="11.25"/>
    <row r="173" ht="11.25"/>
    <row r="174" ht="11.25"/>
    <row r="175" ht="11.25"/>
    <row r="176" ht="11.25"/>
    <row r="177" ht="11.25"/>
    <row r="178" ht="11.25"/>
    <row r="179" ht="11.25"/>
    <row r="180" ht="11.25"/>
    <row r="181" ht="11.25"/>
    <row r="182" ht="11.25"/>
    <row r="183" ht="11.25"/>
    <row r="184" ht="11.25"/>
    <row r="185" ht="11.25"/>
    <row r="186" ht="11.25"/>
    <row r="187" ht="11.25"/>
    <row r="188" ht="11.25"/>
    <row r="189" ht="11.25"/>
    <row r="190" ht="11.25"/>
    <row r="191" ht="11.25"/>
    <row r="192" ht="11.25"/>
    <row r="193" ht="11.25"/>
    <row r="194" ht="11.25"/>
    <row r="195" ht="11.25"/>
    <row r="196" ht="11.25"/>
    <row r="197" ht="11.25"/>
    <row r="198" ht="11.25"/>
    <row r="199" ht="11.25"/>
    <row r="200" ht="11.25"/>
    <row r="201" ht="11.25"/>
    <row r="202" ht="11.25"/>
    <row r="203" ht="11.25"/>
    <row r="204" ht="11.25"/>
    <row r="205" ht="11.25"/>
    <row r="206" ht="11.25"/>
    <row r="207" ht="11.25"/>
    <row r="208" ht="11.25"/>
    <row r="209" ht="11.25"/>
    <row r="210" ht="11.25"/>
    <row r="211" ht="11.25"/>
    <row r="212" ht="11.25"/>
    <row r="213" ht="11.25"/>
    <row r="214" ht="11.25"/>
    <row r="215" ht="11.25"/>
    <row r="216" ht="11.25"/>
    <row r="217" ht="11.25"/>
    <row r="218" ht="11.25"/>
    <row r="219" ht="11.25"/>
    <row r="220" ht="11.25"/>
    <row r="221" ht="11.25"/>
    <row r="222" ht="11.25"/>
    <row r="223" ht="11.25"/>
    <row r="224" ht="11.25"/>
    <row r="225" ht="11.25"/>
    <row r="226" ht="11.25"/>
    <row r="227" ht="11.25"/>
    <row r="228" ht="11.25"/>
    <row r="229" ht="11.25"/>
    <row r="230" ht="11.25"/>
    <row r="231" ht="11.25"/>
    <row r="232" ht="11.25"/>
    <row r="233" ht="11.25"/>
    <row r="234" ht="11.25"/>
    <row r="235" ht="11.25"/>
    <row r="236" ht="11.25"/>
    <row r="237" ht="11.25"/>
    <row r="238" ht="11.25"/>
    <row r="239" ht="11.25"/>
    <row r="240" ht="11.25"/>
    <row r="241" ht="11.25"/>
    <row r="242" ht="11.25"/>
    <row r="243" ht="11.25"/>
    <row r="244" ht="11.25"/>
    <row r="245" ht="11.25"/>
    <row r="246" ht="11.25"/>
    <row r="247" ht="11.25"/>
    <row r="248" ht="11.25"/>
    <row r="249" ht="11.25"/>
    <row r="250" ht="11.25"/>
    <row r="251" ht="11.25"/>
    <row r="252" ht="11.25"/>
    <row r="253" ht="11.25"/>
    <row r="254" ht="11.25"/>
    <row r="255" ht="11.25"/>
    <row r="256" ht="11.25"/>
    <row r="257" ht="11.25"/>
    <row r="258" ht="11.25"/>
    <row r="259" ht="11.25"/>
    <row r="260" ht="11.25"/>
    <row r="261" ht="11.25"/>
    <row r="262" ht="11.25"/>
    <row r="263" ht="11.25"/>
    <row r="264" ht="11.25"/>
    <row r="265" ht="11.25"/>
    <row r="266" ht="11.25"/>
    <row r="267" ht="11.25"/>
    <row r="268" ht="11.25"/>
    <row r="269" ht="11.25"/>
    <row r="270" ht="11.25"/>
    <row r="271" ht="11.25"/>
    <row r="272" ht="11.25"/>
    <row r="273" ht="11.25"/>
    <row r="274" ht="11.25"/>
    <row r="275" ht="11.25"/>
    <row r="276" ht="11.25"/>
    <row r="277" ht="11.25"/>
    <row r="278" ht="11.25"/>
    <row r="279" ht="11.25"/>
    <row r="280" ht="11.25"/>
    <row r="281" ht="11.25"/>
    <row r="282" ht="11.25"/>
    <row r="283" ht="11.25"/>
    <row r="284" ht="11.25"/>
    <row r="285" ht="11.25"/>
    <row r="286" ht="11.25"/>
    <row r="287" ht="11.25"/>
    <row r="288" ht="11.25"/>
    <row r="289" ht="11.25"/>
    <row r="290" ht="11.25"/>
    <row r="291" ht="11.25"/>
    <row r="292" ht="11.25"/>
    <row r="293" ht="11.25"/>
    <row r="294" ht="11.25"/>
    <row r="295" ht="11.25"/>
    <row r="296" ht="11.25"/>
    <row r="297" ht="11.25"/>
    <row r="298" ht="11.25"/>
    <row r="299" ht="11.25"/>
    <row r="300" ht="11.25"/>
    <row r="301" ht="11.25"/>
    <row r="302" ht="11.25"/>
    <row r="303" ht="11.25"/>
    <row r="304" ht="11.25"/>
    <row r="305" ht="11.25"/>
    <row r="306" ht="11.25"/>
    <row r="307" ht="11.25"/>
    <row r="308" ht="11.25"/>
    <row r="309" ht="11.25"/>
    <row r="310" ht="11.25"/>
    <row r="311" ht="11.25"/>
    <row r="312" ht="11.25"/>
    <row r="313" ht="11.25"/>
    <row r="314" ht="11.25"/>
    <row r="315" ht="11.25"/>
    <row r="316" ht="11.25"/>
    <row r="317" ht="11.25"/>
    <row r="318" ht="11.25"/>
    <row r="319" ht="11.25"/>
    <row r="320" ht="11.25"/>
    <row r="321" ht="11.25"/>
    <row r="322" ht="11.25"/>
    <row r="323" ht="11.25"/>
    <row r="324" ht="11.25"/>
    <row r="325" ht="11.25"/>
    <row r="326" ht="11.25"/>
    <row r="327" ht="11.25"/>
    <row r="328" ht="11.25"/>
    <row r="329" ht="11.25"/>
    <row r="330" ht="11.25"/>
    <row r="331" ht="11.25"/>
    <row r="332" ht="11.25"/>
    <row r="333" ht="11.25"/>
    <row r="334" ht="11.25"/>
    <row r="335" ht="11.25"/>
    <row r="336" ht="11.25"/>
    <row r="337" ht="11.25"/>
    <row r="338" ht="11.25"/>
    <row r="339" ht="11.25"/>
    <row r="340" ht="11.25"/>
    <row r="341" ht="11.25"/>
    <row r="342" ht="11.25"/>
    <row r="343" ht="11.25"/>
    <row r="344" ht="11.25"/>
    <row r="345" ht="11.25"/>
    <row r="346" ht="11.25"/>
    <row r="347" ht="11.25"/>
    <row r="348" ht="11.25"/>
    <row r="349" ht="11.25"/>
    <row r="350" ht="11.25"/>
    <row r="351" ht="11.25"/>
    <row r="352" ht="11.25"/>
    <row r="353" ht="11.25"/>
    <row r="354" ht="11.25"/>
    <row r="355" ht="11.25"/>
    <row r="356" ht="11.25"/>
    <row r="357" ht="11.25"/>
    <row r="358" ht="11.25"/>
    <row r="359" ht="11.25"/>
    <row r="360" ht="11.25"/>
    <row r="361" ht="11.25"/>
    <row r="362" ht="11.25"/>
    <row r="363" ht="11.25"/>
    <row r="364" ht="11.25"/>
    <row r="365" ht="11.25"/>
    <row r="366" ht="11.25"/>
    <row r="367" ht="11.25"/>
    <row r="368" ht="11.25"/>
    <row r="369" ht="11.25"/>
    <row r="370" ht="11.25"/>
    <row r="371" ht="11.25"/>
    <row r="372" ht="11.25"/>
    <row r="373" ht="11.25"/>
    <row r="374" ht="11.25"/>
    <row r="375" ht="11.25"/>
    <row r="376" ht="11.25"/>
    <row r="377" ht="11.25"/>
    <row r="378" ht="11.25"/>
    <row r="379" ht="11.25"/>
    <row r="380" ht="11.25"/>
    <row r="381" ht="11.25"/>
    <row r="382" ht="11.25"/>
    <row r="383" ht="11.25"/>
    <row r="384" ht="11.25"/>
    <row r="385" ht="11.25"/>
    <row r="386" ht="11.25"/>
    <row r="387" ht="11.25"/>
    <row r="388" ht="11.25"/>
    <row r="389" ht="11.25"/>
    <row r="390" ht="11.25"/>
    <row r="391" ht="11.25"/>
    <row r="392" ht="11.25"/>
    <row r="393" ht="11.25"/>
    <row r="394" ht="11.25"/>
    <row r="395" ht="11.25"/>
    <row r="396" ht="11.25"/>
    <row r="397" ht="11.25"/>
    <row r="398" ht="11.25"/>
    <row r="399" ht="11.25"/>
    <row r="400" ht="11.25"/>
    <row r="401" ht="11.25"/>
    <row r="402" ht="11.25"/>
    <row r="403" ht="11.25"/>
    <row r="404" ht="11.25"/>
    <row r="405" ht="11.25"/>
    <row r="406" ht="11.25"/>
    <row r="407" ht="11.25"/>
    <row r="408" ht="11.25"/>
    <row r="409" ht="11.25"/>
    <row r="410" ht="11.25"/>
    <row r="411" ht="11.25"/>
    <row r="412" ht="11.25"/>
    <row r="413" ht="11.25"/>
    <row r="414" ht="11.25"/>
    <row r="415" ht="11.25"/>
    <row r="416" ht="11.25"/>
    <row r="417" ht="11.25"/>
    <row r="418" ht="11.25"/>
    <row r="419" ht="11.25"/>
    <row r="420" ht="11.25"/>
    <row r="421" ht="11.25"/>
    <row r="422" ht="11.25"/>
    <row r="423" ht="11.25"/>
    <row r="424" ht="11.25"/>
    <row r="425" ht="11.25"/>
    <row r="426" ht="11.25"/>
    <row r="427" ht="11.25"/>
    <row r="428" ht="11.25"/>
    <row r="429" ht="11.25"/>
    <row r="430" ht="11.25"/>
    <row r="431" ht="11.25"/>
    <row r="432" ht="11.25"/>
    <row r="433" ht="11.25"/>
    <row r="434" ht="11.25"/>
    <row r="435" ht="11.25"/>
    <row r="436" ht="11.25"/>
    <row r="437" ht="11.25"/>
    <row r="438" ht="11.25"/>
    <row r="439" ht="11.25"/>
    <row r="440" ht="11.25"/>
    <row r="441" ht="11.25"/>
    <row r="442" ht="11.25"/>
    <row r="443" ht="11.25"/>
    <row r="444" ht="11.25"/>
    <row r="445" ht="11.25"/>
    <row r="446" ht="11.25"/>
    <row r="447" ht="11.25"/>
    <row r="448" ht="11.25"/>
    <row r="449" ht="11.25"/>
    <row r="450" ht="11.25"/>
    <row r="451" ht="11.25"/>
    <row r="452" ht="11.25"/>
    <row r="453" ht="11.25"/>
    <row r="454" ht="11.25"/>
    <row r="455" ht="11.25"/>
    <row r="456" ht="11.25"/>
    <row r="457" ht="11.25"/>
    <row r="458" ht="11.25"/>
    <row r="459" ht="11.25"/>
    <row r="460" ht="11.25"/>
    <row r="461" ht="11.25"/>
    <row r="462" ht="11.25"/>
    <row r="463" ht="11.25"/>
    <row r="464" ht="11.25"/>
    <row r="465" ht="11.25"/>
    <row r="466" ht="11.25"/>
    <row r="467" ht="11.25"/>
    <row r="468" ht="11.25"/>
    <row r="469" ht="11.25"/>
    <row r="470" ht="11.25"/>
    <row r="471" ht="11.25"/>
    <row r="472" ht="11.25"/>
    <row r="473" ht="11.25"/>
    <row r="474" ht="11.25"/>
    <row r="475" ht="11.25"/>
    <row r="476" ht="11.25"/>
    <row r="477" ht="11.25"/>
    <row r="478" ht="11.25"/>
    <row r="479" ht="11.25"/>
    <row r="480" ht="11.25"/>
    <row r="481" ht="11.25"/>
    <row r="482" ht="11.25"/>
    <row r="483" ht="11.25"/>
    <row r="484" ht="11.25"/>
    <row r="485" ht="11.25"/>
    <row r="486" ht="11.25"/>
    <row r="487" ht="11.25"/>
    <row r="488" ht="11.25"/>
    <row r="489" ht="11.25"/>
    <row r="490" ht="11.25"/>
    <row r="491" ht="11.25"/>
    <row r="492" ht="11.25"/>
    <row r="493" ht="11.25"/>
    <row r="494" ht="11.25"/>
    <row r="495" ht="11.25"/>
    <row r="496" ht="11.25"/>
    <row r="497" ht="11.25"/>
    <row r="498" ht="11.25"/>
    <row r="499" ht="11.25"/>
    <row r="500" ht="11.25"/>
    <row r="501" ht="11.25"/>
    <row r="502" ht="11.25"/>
    <row r="503" ht="11.25"/>
    <row r="504" ht="11.25"/>
    <row r="505" ht="11.25"/>
    <row r="506" ht="11.25"/>
    <row r="507" ht="11.25"/>
    <row r="508" ht="11.25"/>
    <row r="509" ht="11.25"/>
    <row r="510" ht="11.25"/>
    <row r="511" ht="11.25"/>
    <row r="512" ht="11.25"/>
    <row r="513" ht="11.25"/>
    <row r="514" ht="11.25"/>
    <row r="515" ht="11.25"/>
    <row r="516" ht="11.25"/>
    <row r="517" ht="11.25"/>
    <row r="518" ht="11.25"/>
    <row r="519" ht="11.25"/>
    <row r="520" ht="11.25"/>
    <row r="521" ht="11.25"/>
    <row r="522" ht="11.25"/>
    <row r="523" ht="11.25"/>
    <row r="524" ht="11.25"/>
    <row r="525" ht="11.25"/>
    <row r="526" ht="11.25"/>
    <row r="527" ht="11.25"/>
    <row r="528" ht="11.25"/>
    <row r="529" ht="11.25"/>
    <row r="530" ht="11.25"/>
    <row r="531" ht="11.25"/>
    <row r="532" ht="11.25"/>
    <row r="533" ht="11.25"/>
    <row r="534" ht="11.25"/>
    <row r="535" ht="11.25"/>
    <row r="536" ht="11.25"/>
    <row r="537" ht="11.25"/>
    <row r="538" ht="11.25"/>
    <row r="539" ht="11.25"/>
    <row r="540" ht="11.25"/>
    <row r="541" ht="11.25"/>
    <row r="542" ht="11.25"/>
    <row r="543" ht="11.25"/>
    <row r="544" ht="11.25"/>
    <row r="545" ht="11.25"/>
    <row r="546" ht="11.25"/>
    <row r="547" ht="11.25"/>
    <row r="548" ht="11.25"/>
    <row r="549" ht="11.25"/>
    <row r="550" ht="11.25"/>
    <row r="551" ht="11.25"/>
    <row r="552" ht="11.25"/>
    <row r="553" ht="11.25"/>
    <row r="554" ht="11.25"/>
    <row r="555" ht="11.25"/>
    <row r="556" ht="11.25"/>
    <row r="557" ht="11.25"/>
    <row r="558" ht="11.25"/>
    <row r="559" ht="11.25"/>
    <row r="560" ht="11.25"/>
    <row r="561" ht="11.25"/>
    <row r="562" ht="11.25"/>
    <row r="563" ht="11.25"/>
    <row r="564" ht="11.25"/>
    <row r="565" ht="11.25"/>
    <row r="566" ht="11.25"/>
    <row r="567" ht="11.25"/>
    <row r="568" ht="11.25"/>
    <row r="569" ht="11.25"/>
    <row r="570" ht="11.25"/>
    <row r="571" ht="11.25"/>
    <row r="572" ht="11.25"/>
    <row r="573" ht="11.25"/>
    <row r="574" ht="11.25"/>
    <row r="575" ht="11.25"/>
    <row r="576" ht="11.25"/>
    <row r="577" ht="11.25"/>
    <row r="578" ht="11.25"/>
    <row r="579" ht="11.25"/>
    <row r="580" ht="11.25"/>
    <row r="581" ht="11.25"/>
    <row r="582" ht="11.25"/>
    <row r="583" ht="11.25"/>
    <row r="584" ht="11.25"/>
    <row r="585" ht="11.25"/>
    <row r="586" ht="11.25"/>
    <row r="587" ht="11.25"/>
    <row r="588" ht="11.25"/>
    <row r="589" ht="11.25"/>
    <row r="590" ht="11.25"/>
    <row r="591" ht="11.25"/>
    <row r="592" ht="11.25"/>
    <row r="593" ht="11.25"/>
    <row r="594" ht="11.25"/>
    <row r="595" ht="11.25"/>
    <row r="596" ht="11.25"/>
    <row r="597" ht="11.25"/>
    <row r="598" ht="11.25"/>
    <row r="599" ht="11.25"/>
    <row r="600" ht="11.25"/>
    <row r="601" ht="11.25"/>
    <row r="602" ht="11.25"/>
    <row r="603" ht="11.25"/>
    <row r="604" ht="11.25"/>
    <row r="605" ht="11.25"/>
    <row r="606" ht="11.25"/>
    <row r="607" ht="11.25"/>
    <row r="608" ht="11.25"/>
    <row r="609" ht="11.25"/>
    <row r="610" ht="11.25"/>
    <row r="611" ht="11.25"/>
    <row r="612" ht="11.25"/>
    <row r="613" ht="11.25"/>
    <row r="614" ht="11.25"/>
    <row r="615" ht="11.25"/>
    <row r="616" ht="11.25"/>
    <row r="617" ht="11.25"/>
    <row r="618" ht="11.25"/>
    <row r="619" ht="11.25"/>
    <row r="620" ht="11.25"/>
    <row r="621" ht="11.25"/>
    <row r="622" ht="11.25"/>
    <row r="623" ht="11.25"/>
    <row r="624" ht="11.25"/>
    <row r="625" ht="11.25"/>
    <row r="626" ht="11.25"/>
    <row r="627" ht="11.25"/>
    <row r="628" ht="11.25"/>
    <row r="629" ht="11.25"/>
    <row r="630" ht="11.25"/>
    <row r="631" ht="11.25"/>
    <row r="632" ht="11.25"/>
    <row r="633" ht="11.25"/>
    <row r="634" ht="11.25"/>
    <row r="635" ht="11.25"/>
    <row r="636" ht="11.25"/>
    <row r="637" ht="11.25"/>
    <row r="638" ht="11.25"/>
    <row r="639" ht="11.25"/>
    <row r="640" ht="11.25"/>
    <row r="641" ht="11.25"/>
    <row r="642" ht="11.25"/>
    <row r="643" ht="11.25"/>
    <row r="644" ht="11.25"/>
    <row r="645" ht="11.25"/>
    <row r="646" ht="11.25"/>
    <row r="647" ht="11.25"/>
    <row r="648" ht="11.25"/>
    <row r="649" ht="11.25"/>
    <row r="650" ht="11.25"/>
    <row r="651" ht="11.25"/>
    <row r="652" ht="11.25"/>
    <row r="653" ht="11.25"/>
    <row r="654" ht="11.25"/>
    <row r="655" ht="11.25"/>
    <row r="656" ht="11.25"/>
    <row r="657" ht="11.25"/>
    <row r="658" ht="11.25"/>
    <row r="659" ht="11.25"/>
    <row r="660" ht="11.25"/>
    <row r="661" ht="11.25"/>
    <row r="662" ht="11.25"/>
    <row r="663" ht="11.25"/>
    <row r="664" ht="11.25"/>
    <row r="665" ht="11.25"/>
    <row r="666" ht="11.25"/>
    <row r="667" ht="11.25"/>
    <row r="668" ht="11.25"/>
    <row r="669" ht="11.25"/>
    <row r="670" ht="11.25"/>
    <row r="671" ht="11.25"/>
    <row r="672" ht="11.25"/>
    <row r="673" ht="11.25"/>
    <row r="674" ht="11.25"/>
    <row r="675" ht="11.25"/>
    <row r="676" ht="11.25"/>
    <row r="677" ht="11.25"/>
    <row r="678" ht="11.25"/>
    <row r="679" ht="11.25"/>
    <row r="680" ht="11.25"/>
    <row r="681" ht="11.25"/>
    <row r="682" ht="11.25"/>
    <row r="683" ht="11.25"/>
    <row r="684" ht="11.25"/>
    <row r="685" ht="11.25"/>
    <row r="686" ht="11.25"/>
    <row r="687" ht="11.25"/>
    <row r="688" ht="11.25"/>
    <row r="689" ht="11.25"/>
    <row r="690" ht="11.25"/>
    <row r="691" ht="11.25"/>
    <row r="692" ht="11.25"/>
    <row r="693" ht="11.25"/>
    <row r="694" ht="11.25"/>
    <row r="695" ht="11.25"/>
    <row r="696" ht="11.25"/>
    <row r="697" ht="11.25"/>
    <row r="698" ht="11.25"/>
    <row r="699" ht="11.25"/>
    <row r="700" ht="11.25"/>
    <row r="701" ht="11.25"/>
    <row r="702" ht="11.25"/>
    <row r="703" ht="11.25"/>
    <row r="704" ht="11.25"/>
    <row r="705" ht="11.25"/>
    <row r="706" ht="11.25"/>
    <row r="707" ht="11.25"/>
    <row r="708" ht="11.25"/>
    <row r="709" ht="11.25"/>
    <row r="710" ht="11.25"/>
    <row r="711" ht="11.25"/>
    <row r="712" ht="11.25"/>
    <row r="713" ht="11.25"/>
    <row r="714" ht="11.25"/>
    <row r="715" ht="11.25"/>
    <row r="716" ht="11.25"/>
    <row r="717" ht="11.25"/>
    <row r="718" ht="11.25"/>
    <row r="719" ht="11.25"/>
    <row r="720" ht="11.25"/>
    <row r="721" ht="11.25"/>
    <row r="722" ht="11.25"/>
    <row r="723" ht="11.25"/>
    <row r="724" ht="11.25"/>
    <row r="725" ht="11.25"/>
    <row r="726" ht="11.25"/>
    <row r="727" ht="11.25"/>
    <row r="728" ht="11.25"/>
    <row r="729" ht="11.25"/>
    <row r="730" ht="11.25"/>
    <row r="731" ht="11.25"/>
    <row r="732" ht="11.25"/>
    <row r="733" ht="11.25"/>
    <row r="734" ht="11.25"/>
    <row r="735" ht="11.25"/>
    <row r="736" ht="11.25"/>
    <row r="737" ht="11.25"/>
    <row r="738" ht="11.25"/>
    <row r="739" ht="11.25"/>
    <row r="740" ht="11.25"/>
    <row r="741" ht="11.25"/>
    <row r="742" ht="11.25"/>
    <row r="743" ht="11.25"/>
    <row r="744" ht="11.25"/>
    <row r="745" ht="11.25"/>
    <row r="746" ht="11.25"/>
    <row r="747" ht="11.25"/>
    <row r="748" ht="11.25"/>
    <row r="749" ht="11.25"/>
    <row r="750" ht="11.25"/>
    <row r="751" ht="11.25"/>
    <row r="752" ht="11.25"/>
    <row r="753" ht="11.25"/>
    <row r="754" ht="11.25"/>
    <row r="755" ht="11.25"/>
    <row r="756" ht="11.25"/>
    <row r="757" ht="11.25"/>
    <row r="758" ht="11.25"/>
    <row r="759" ht="11.25"/>
    <row r="760" ht="11.25"/>
    <row r="761" ht="11.25"/>
    <row r="762" ht="11.25"/>
    <row r="763" ht="11.25"/>
    <row r="764" ht="11.25"/>
    <row r="765" ht="11.25"/>
    <row r="766" ht="11.25"/>
    <row r="767" ht="11.25"/>
    <row r="768" ht="11.25"/>
    <row r="769" ht="11.25"/>
    <row r="770" ht="11.25"/>
    <row r="771" ht="11.25"/>
    <row r="772" ht="11.25"/>
    <row r="773" ht="11.25"/>
    <row r="774" ht="11.25"/>
    <row r="775" ht="11.25"/>
    <row r="776" ht="11.25"/>
    <row r="777" ht="11.25"/>
    <row r="778" ht="11.25"/>
    <row r="779" ht="11.25"/>
    <row r="780" ht="11.25"/>
    <row r="781" ht="11.25"/>
    <row r="782" ht="11.25"/>
    <row r="783" ht="11.25"/>
    <row r="784" ht="11.25"/>
    <row r="785" ht="11.25"/>
    <row r="786" ht="11.25"/>
    <row r="787" ht="11.25"/>
    <row r="788" ht="11.25"/>
    <row r="789" ht="11.25"/>
    <row r="790" ht="11.25"/>
    <row r="791" ht="11.25"/>
    <row r="792" ht="11.25"/>
    <row r="793" ht="11.25"/>
    <row r="794" ht="11.25"/>
    <row r="795" ht="11.25"/>
    <row r="796" ht="11.25"/>
    <row r="797" ht="11.25"/>
    <row r="798" ht="11.25"/>
    <row r="799" ht="11.25"/>
    <row r="800" ht="11.25"/>
    <row r="801" ht="11.25"/>
    <row r="802" ht="11.25"/>
    <row r="803" ht="11.25"/>
    <row r="804" ht="11.25"/>
    <row r="805" ht="11.25"/>
    <row r="806" ht="11.25"/>
    <row r="807" ht="11.25"/>
    <row r="808" ht="11.25"/>
    <row r="809" ht="11.25"/>
    <row r="810" ht="11.25"/>
    <row r="811" ht="11.25"/>
    <row r="812" ht="11.25"/>
    <row r="813" ht="11.25"/>
    <row r="814" ht="11.25"/>
    <row r="815" ht="11.25"/>
    <row r="816" ht="11.25"/>
    <row r="817" ht="11.25"/>
    <row r="818" ht="11.25"/>
    <row r="819" ht="11.25"/>
    <row r="820" ht="11.25"/>
    <row r="821" ht="11.25"/>
    <row r="822" ht="11.25"/>
    <row r="823" ht="11.25"/>
    <row r="824" ht="11.25"/>
    <row r="825" ht="11.25"/>
    <row r="826" ht="11.25"/>
    <row r="827" ht="11.25"/>
    <row r="828" ht="11.25"/>
    <row r="829" ht="11.25"/>
    <row r="830" ht="11.25"/>
    <row r="831" ht="11.25"/>
    <row r="832" ht="11.25"/>
    <row r="833" ht="11.25"/>
    <row r="834" ht="11.25"/>
    <row r="835" ht="11.25"/>
    <row r="836" ht="11.25"/>
    <row r="837" ht="11.25"/>
    <row r="838" ht="11.25"/>
    <row r="839" ht="11.25"/>
    <row r="840" ht="11.25"/>
    <row r="841" ht="11.25"/>
    <row r="842" ht="11.25"/>
    <row r="843" ht="11.25"/>
    <row r="844" ht="11.25"/>
    <row r="845" ht="11.25"/>
    <row r="846" ht="11.25"/>
    <row r="847" ht="11.25"/>
    <row r="848" ht="11.25"/>
    <row r="849" ht="11.25"/>
    <row r="850" ht="11.25"/>
    <row r="851" ht="11.25"/>
    <row r="852" ht="11.25"/>
    <row r="853" ht="11.25"/>
    <row r="854" ht="11.25"/>
    <row r="855" ht="11.25"/>
    <row r="856" ht="11.25"/>
    <row r="857" ht="11.25"/>
    <row r="858" ht="11.25"/>
    <row r="859" ht="11.25"/>
    <row r="860" ht="11.25"/>
    <row r="861" ht="11.25"/>
    <row r="862" ht="11.25"/>
    <row r="863" ht="11.25"/>
    <row r="864" ht="11.25"/>
    <row r="865" ht="11.25"/>
    <row r="866" ht="11.25"/>
    <row r="867" ht="11.25"/>
    <row r="868" ht="11.25"/>
    <row r="869" ht="11.25"/>
    <row r="870" ht="11.25"/>
    <row r="871" ht="11.25"/>
    <row r="872" ht="11.25"/>
    <row r="873" ht="11.25"/>
    <row r="874" ht="11.25"/>
    <row r="875" ht="11.25"/>
    <row r="876" ht="11.25"/>
    <row r="877" ht="11.25"/>
    <row r="878" ht="11.25"/>
    <row r="879" ht="11.25"/>
    <row r="880" ht="11.25"/>
    <row r="881" ht="11.25"/>
    <row r="882" ht="11.25"/>
    <row r="883" ht="11.25"/>
    <row r="884" ht="11.25"/>
    <row r="885" ht="11.25"/>
    <row r="886" ht="11.25"/>
    <row r="887" ht="11.25"/>
    <row r="888" ht="11.25"/>
    <row r="889" ht="11.25"/>
    <row r="890" ht="11.25"/>
    <row r="891" ht="11.25"/>
    <row r="892" ht="11.25"/>
    <row r="893" ht="11.25"/>
    <row r="894" ht="11.25"/>
    <row r="895" ht="11.25"/>
    <row r="896" ht="11.25"/>
    <row r="897" ht="11.25"/>
    <row r="898" ht="11.25"/>
    <row r="899" ht="11.25"/>
    <row r="900" ht="11.25"/>
    <row r="901" ht="11.25"/>
    <row r="902" ht="11.25"/>
    <row r="903" ht="11.25"/>
    <row r="904" ht="11.25"/>
    <row r="905" ht="11.25"/>
    <row r="906" ht="11.25"/>
    <row r="907" ht="11.25"/>
    <row r="908" ht="11.25"/>
    <row r="909" ht="11.25"/>
    <row r="910" ht="11.25"/>
    <row r="911" ht="11.25"/>
    <row r="912" ht="11.25"/>
    <row r="913" ht="11.25"/>
    <row r="914" ht="11.25"/>
    <row r="915" ht="11.25"/>
    <row r="916" ht="11.25"/>
    <row r="917" ht="11.25"/>
    <row r="918" ht="11.25"/>
    <row r="919" ht="11.25"/>
    <row r="920" ht="11.25"/>
    <row r="921" ht="11.25"/>
    <row r="922" ht="11.25"/>
    <row r="923" ht="11.25"/>
    <row r="924" ht="11.25"/>
    <row r="925" ht="11.25"/>
    <row r="926" ht="11.25"/>
    <row r="927" ht="11.25"/>
    <row r="928" ht="11.25"/>
    <row r="929" ht="11.25"/>
    <row r="930" ht="11.25"/>
    <row r="931" ht="11.25"/>
    <row r="932" ht="11.25"/>
    <row r="933" ht="11.25"/>
    <row r="934" ht="11.25"/>
    <row r="935" ht="11.25"/>
    <row r="936" ht="11.25"/>
    <row r="937" ht="11.25"/>
    <row r="938" ht="11.25"/>
    <row r="939" ht="11.25"/>
    <row r="940" ht="11.25"/>
    <row r="941" ht="11.25"/>
    <row r="942" ht="11.25"/>
    <row r="943" ht="11.25"/>
    <row r="944" ht="11.25"/>
    <row r="945" ht="11.25"/>
    <row r="946" ht="11.25"/>
    <row r="947" ht="11.25"/>
    <row r="948" ht="11.25"/>
    <row r="949" ht="11.25"/>
    <row r="950" ht="11.25"/>
    <row r="951" ht="11.25"/>
    <row r="952" ht="11.25"/>
    <row r="953" ht="11.25"/>
    <row r="954" ht="11.25"/>
    <row r="955" ht="11.25"/>
    <row r="956" ht="11.25"/>
    <row r="957" ht="11.25"/>
    <row r="958" ht="11.25"/>
    <row r="959" ht="11.25"/>
    <row r="960" ht="11.25"/>
    <row r="961" ht="11.25"/>
    <row r="962" ht="11.25"/>
    <row r="963" ht="11.25"/>
    <row r="964" ht="11.25"/>
    <row r="965" ht="11.25"/>
    <row r="966" ht="11.25"/>
    <row r="967" ht="11.25"/>
    <row r="968" ht="11.25"/>
    <row r="969" ht="11.25"/>
    <row r="970" ht="11.25"/>
    <row r="971" ht="11.25"/>
    <row r="972" ht="11.25"/>
    <row r="973" ht="11.25"/>
    <row r="974" ht="11.25"/>
    <row r="975" ht="11.25"/>
    <row r="976" ht="11.25"/>
    <row r="977" ht="11.25"/>
    <row r="978" ht="11.25"/>
    <row r="979" ht="11.25"/>
    <row r="980" ht="11.25"/>
    <row r="981" ht="11.25"/>
    <row r="982" ht="11.25"/>
    <row r="983" ht="11.25"/>
    <row r="984" ht="11.25"/>
    <row r="985" ht="11.25"/>
    <row r="986" ht="11.25"/>
    <row r="987" ht="11.25"/>
    <row r="988" ht="11.25"/>
    <row r="989" ht="11.25"/>
    <row r="990" ht="11.25"/>
    <row r="991" ht="11.25"/>
    <row r="992" ht="11.25"/>
    <row r="993" ht="11.25"/>
    <row r="994" ht="11.25"/>
    <row r="995" ht="11.25"/>
    <row r="996" ht="11.25"/>
    <row r="997" ht="11.25"/>
    <row r="998" ht="11.25"/>
    <row r="999" ht="11.25"/>
    <row r="1000" ht="11.25"/>
    <row r="1001" ht="11.25"/>
    <row r="1002" ht="11.25"/>
    <row r="1003" ht="11.25"/>
    <row r="1004" ht="11.25"/>
    <row r="1005" ht="11.25"/>
    <row r="1006" ht="11.25"/>
    <row r="1007" ht="11.25"/>
    <row r="1008" ht="11.25"/>
    <row r="1009" ht="11.25"/>
    <row r="1010" ht="11.25"/>
    <row r="1011" ht="11.25"/>
    <row r="1012" ht="11.25"/>
    <row r="1013" ht="11.25"/>
    <row r="1014" ht="11.25"/>
    <row r="1015" ht="11.25"/>
    <row r="1016" ht="11.25"/>
    <row r="1017" ht="11.25"/>
    <row r="1018" ht="11.25"/>
    <row r="1019" ht="11.25"/>
    <row r="1020" ht="11.25"/>
    <row r="1021" ht="11.25"/>
    <row r="1022" ht="11.25"/>
    <row r="1023" ht="11.25"/>
    <row r="1024" ht="11.25"/>
    <row r="1025" ht="11.25"/>
    <row r="1026" ht="11.25"/>
    <row r="1027" ht="11.25"/>
    <row r="1028" ht="11.25"/>
    <row r="1029" ht="11.25"/>
    <row r="1030" ht="11.25"/>
    <row r="1031" ht="11.25"/>
    <row r="1032" ht="11.25"/>
    <row r="1033" ht="11.25"/>
    <row r="1034" ht="11.25"/>
    <row r="1035" ht="11.25"/>
    <row r="1036" ht="11.25"/>
    <row r="1037" ht="11.25"/>
    <row r="1038" ht="11.25"/>
    <row r="1039" ht="11.25"/>
    <row r="1040" ht="11.25"/>
    <row r="1041" ht="11.25"/>
    <row r="1042" ht="11.25"/>
    <row r="1043" ht="11.25"/>
    <row r="1044" ht="11.25"/>
    <row r="1045" ht="11.25"/>
    <row r="1046" ht="11.25"/>
    <row r="1047" ht="11.25"/>
    <row r="1048" ht="11.25"/>
    <row r="1049" ht="11.25"/>
    <row r="1050" ht="11.25"/>
    <row r="1051" ht="11.25"/>
    <row r="1052" ht="11.25"/>
    <row r="1053" ht="11.25"/>
    <row r="1054" ht="11.25"/>
    <row r="1055" ht="11.25"/>
    <row r="1056" ht="11.25"/>
    <row r="1057" ht="11.25"/>
    <row r="1058" ht="11.25"/>
    <row r="1059" ht="11.25"/>
    <row r="1060" ht="11.25"/>
    <row r="1061" ht="11.25"/>
    <row r="1062" ht="11.25"/>
    <row r="1063" ht="11.25"/>
    <row r="1064" ht="11.25"/>
    <row r="1065" ht="11.25"/>
    <row r="1066" ht="11.25"/>
    <row r="1067" ht="11.25"/>
    <row r="1068" ht="11.25"/>
    <row r="1069" ht="11.25"/>
    <row r="1070" ht="11.25"/>
    <row r="1071" ht="11.25"/>
    <row r="1072" ht="11.25"/>
    <row r="1073" ht="11.25"/>
    <row r="1074" ht="11.25"/>
    <row r="1075" ht="11.25"/>
    <row r="1076" ht="11.25"/>
    <row r="1077" ht="11.25"/>
    <row r="1078" ht="11.25"/>
    <row r="1079" ht="11.25"/>
    <row r="1080" ht="11.25"/>
    <row r="1081" ht="11.25"/>
    <row r="1082" ht="11.25"/>
    <row r="1083" ht="11.25"/>
    <row r="1084" ht="11.25"/>
    <row r="1085" ht="11.25"/>
    <row r="1086" ht="11.25"/>
    <row r="1087" ht="11.25"/>
    <row r="1088" ht="11.25"/>
    <row r="1089" ht="11.25"/>
    <row r="1090" ht="11.25"/>
    <row r="1091" ht="11.25"/>
    <row r="1092" ht="11.25"/>
    <row r="1093" ht="11.25"/>
    <row r="1094" ht="11.25"/>
    <row r="1095" ht="11.25"/>
    <row r="1096" ht="11.25"/>
    <row r="1097" ht="11.25"/>
    <row r="1098" ht="11.25"/>
    <row r="1099" ht="11.25"/>
    <row r="1100" ht="11.25"/>
    <row r="1101" ht="11.25"/>
    <row r="1102" ht="11.25"/>
    <row r="1103" ht="11.25"/>
    <row r="1104" ht="11.25"/>
    <row r="1105" ht="11.25"/>
    <row r="1106" ht="11.25"/>
    <row r="1107" ht="11.25"/>
    <row r="1108" ht="11.25"/>
    <row r="1109" ht="11.25"/>
    <row r="1110" ht="11.25"/>
    <row r="1111" ht="11.25"/>
    <row r="1112" ht="11.25"/>
    <row r="1113" ht="11.25"/>
    <row r="1114" ht="11.25"/>
    <row r="1115" ht="11.25"/>
    <row r="1116" ht="11.25"/>
    <row r="1117" ht="11.25"/>
    <row r="1118" ht="11.25"/>
    <row r="1119" ht="11.25"/>
    <row r="1120" ht="11.25"/>
    <row r="1121" ht="11.25"/>
    <row r="1122" ht="11.25"/>
    <row r="1123" ht="11.25"/>
    <row r="1124" ht="11.25"/>
    <row r="1125" ht="11.25"/>
    <row r="1126" ht="11.25"/>
    <row r="1127" ht="11.25"/>
    <row r="1128" ht="11.25"/>
    <row r="1129" ht="11.25"/>
    <row r="1130" ht="11.25"/>
    <row r="1131" ht="11.25"/>
    <row r="1132" ht="11.25"/>
    <row r="1133" ht="11.25"/>
    <row r="1134" ht="11.25"/>
    <row r="1135" ht="11.25"/>
    <row r="1136" ht="11.25"/>
    <row r="1137" ht="11.25"/>
    <row r="1138" ht="11.25"/>
    <row r="1139" ht="11.25"/>
    <row r="1140" ht="11.25"/>
    <row r="1141" ht="11.25"/>
    <row r="1142" ht="11.25"/>
    <row r="1143" ht="11.25"/>
    <row r="1144" ht="11.25"/>
    <row r="1145" ht="11.25"/>
    <row r="1146" ht="11.25"/>
    <row r="1147" ht="11.25"/>
    <row r="1148" ht="11.25"/>
    <row r="1149" ht="11.25"/>
    <row r="1150" ht="11.25"/>
    <row r="1151" ht="11.25"/>
    <row r="1152" ht="11.25"/>
    <row r="1153" ht="11.25"/>
    <row r="1154" ht="11.25"/>
    <row r="1155" ht="11.25"/>
    <row r="1156" ht="11.25"/>
    <row r="1157" ht="11.25"/>
    <row r="1158" ht="11.25"/>
    <row r="1159" ht="11.25"/>
    <row r="1160" ht="11.25"/>
    <row r="1161" ht="11.25"/>
    <row r="1162" ht="11.25"/>
    <row r="1163" ht="11.25"/>
    <row r="1164" ht="11.25"/>
    <row r="1165" ht="11.25"/>
    <row r="1166" ht="11.25"/>
    <row r="1167" ht="11.25"/>
    <row r="1168" ht="11.25"/>
    <row r="1169" ht="11.25"/>
    <row r="1170" ht="11.25"/>
    <row r="1171" ht="11.25"/>
    <row r="1172" ht="11.25"/>
    <row r="1173" ht="11.25"/>
    <row r="1174" ht="11.25"/>
    <row r="1175" ht="11.25"/>
    <row r="1176" ht="11.25"/>
    <row r="1177" ht="11.25"/>
    <row r="1178" ht="11.25"/>
    <row r="1179" ht="11.25"/>
    <row r="1180" ht="11.25"/>
    <row r="1181" ht="11.25"/>
    <row r="1182" ht="11.25"/>
    <row r="1183" ht="11.25"/>
    <row r="1184" ht="11.25"/>
    <row r="1185" ht="11.25"/>
    <row r="1186" ht="11.25"/>
    <row r="1187" ht="11.25"/>
    <row r="1188" ht="11.25"/>
    <row r="1189" ht="11.25"/>
    <row r="1190" ht="11.25"/>
    <row r="1191" ht="11.25"/>
    <row r="1192" ht="11.25"/>
    <row r="1193" ht="11.25"/>
    <row r="1194" ht="11.25"/>
    <row r="1195" ht="11.25"/>
    <row r="1196" ht="11.25"/>
    <row r="1197" ht="11.25"/>
    <row r="1198" ht="11.25"/>
    <row r="1199" ht="11.25"/>
    <row r="1200" ht="11.25"/>
    <row r="1201" ht="11.25"/>
    <row r="1202" ht="11.25"/>
    <row r="1203" ht="11.25"/>
    <row r="1204" ht="11.25"/>
    <row r="1205" ht="11.25"/>
    <row r="1206" ht="11.25"/>
    <row r="1207" ht="11.25"/>
    <row r="1208" ht="11.25"/>
    <row r="1209" ht="11.25"/>
    <row r="1210" ht="11.25"/>
    <row r="1211" ht="11.25"/>
    <row r="1212" ht="11.25"/>
    <row r="1213" ht="11.25"/>
    <row r="1214" ht="11.25"/>
    <row r="1215" ht="11.25"/>
    <row r="1216" ht="11.25"/>
    <row r="1217" ht="11.25"/>
    <row r="1218" ht="11.25"/>
    <row r="1219" ht="11.25"/>
    <row r="1220" ht="11.25"/>
    <row r="1221" ht="11.25"/>
    <row r="1222" ht="11.25"/>
    <row r="1223" ht="11.25"/>
    <row r="1224" ht="11.25"/>
    <row r="1225" ht="11.25"/>
    <row r="1226" ht="11.25"/>
    <row r="1227" ht="11.25"/>
    <row r="1228" ht="11.25"/>
    <row r="1229" ht="11.25"/>
    <row r="1230" ht="11.25"/>
    <row r="1231" ht="11.25"/>
    <row r="1232" ht="11.25"/>
    <row r="1233" ht="11.25"/>
    <row r="1234" ht="11.25"/>
    <row r="1235" ht="11.25"/>
    <row r="1236" ht="11.25"/>
    <row r="1237" ht="11.25"/>
    <row r="1238" ht="11.25"/>
    <row r="1239" ht="11.25"/>
    <row r="1240" ht="11.25"/>
    <row r="1241" ht="11.25"/>
    <row r="1242" ht="11.25"/>
    <row r="1243" ht="11.25"/>
    <row r="1244" ht="11.25"/>
    <row r="1245" ht="11.25"/>
    <row r="1246" ht="11.25"/>
    <row r="1247" ht="11.25"/>
    <row r="1248" ht="11.25"/>
    <row r="1249" ht="11.25"/>
    <row r="1250" ht="11.25"/>
    <row r="1251" ht="11.25"/>
    <row r="1252" ht="11.25"/>
    <row r="1253" ht="11.25"/>
    <row r="1254" ht="11.25"/>
    <row r="1255" ht="11.25"/>
    <row r="1256" ht="11.25"/>
    <row r="1257" ht="11.25"/>
    <row r="1258" ht="11.25"/>
    <row r="1259" ht="11.25"/>
    <row r="1260" ht="11.25"/>
    <row r="1261" ht="11.25"/>
    <row r="1262" ht="11.25"/>
    <row r="1263" ht="11.25"/>
    <row r="1264" ht="11.25"/>
    <row r="1265" ht="11.25"/>
    <row r="1266" ht="11.25"/>
    <row r="1267" ht="11.25"/>
    <row r="1268" ht="11.25"/>
    <row r="1269" ht="11.25"/>
    <row r="1270" ht="11.25"/>
    <row r="1271" ht="11.25"/>
    <row r="1272" ht="11.25"/>
    <row r="1273" ht="11.25"/>
    <row r="1274" ht="11.25"/>
    <row r="1275" ht="11.25"/>
    <row r="1276" ht="11.25"/>
    <row r="1277" ht="11.25"/>
    <row r="1278" ht="11.25"/>
    <row r="1279" ht="11.25"/>
    <row r="1280" ht="11.25"/>
    <row r="1281" ht="11.25"/>
    <row r="1282" ht="11.25"/>
    <row r="1283" ht="11.25"/>
    <row r="1284" ht="11.25"/>
    <row r="1285" ht="11.25"/>
    <row r="1286" ht="11.25"/>
    <row r="1287" ht="11.25"/>
    <row r="1288" ht="11.25"/>
    <row r="1289" ht="11.25"/>
    <row r="1290" ht="11.25"/>
    <row r="1291" ht="11.25"/>
    <row r="1292" ht="11.25"/>
    <row r="1293" ht="11.25"/>
    <row r="1294" ht="11.25"/>
    <row r="1295" ht="11.25"/>
    <row r="1296" ht="11.25"/>
    <row r="1297" ht="11.25"/>
    <row r="1298" ht="11.25"/>
    <row r="1299" ht="11.25"/>
    <row r="1300" ht="11.25"/>
    <row r="1301" ht="11.25"/>
    <row r="1302" ht="11.25"/>
    <row r="1303" ht="11.25"/>
    <row r="1304" ht="11.25"/>
    <row r="1305" ht="11.25"/>
    <row r="1306" ht="11.25"/>
    <row r="1307" ht="11.25"/>
    <row r="1308" ht="11.25"/>
    <row r="1309" ht="11.25"/>
    <row r="1310" ht="11.25"/>
    <row r="1311" ht="11.25"/>
    <row r="1312" ht="11.25"/>
    <row r="1313" ht="11.25"/>
    <row r="1314" ht="11.25"/>
    <row r="1315" ht="11.25"/>
    <row r="1316" ht="11.25"/>
    <row r="1317" ht="11.25"/>
    <row r="1318" ht="11.25"/>
    <row r="1319" ht="11.25"/>
    <row r="1320" ht="11.25"/>
    <row r="1321" ht="11.25"/>
    <row r="1322" ht="11.25"/>
    <row r="1323" ht="11.25"/>
    <row r="1324" ht="11.25"/>
    <row r="1325" ht="11.25"/>
    <row r="1326" ht="11.25"/>
    <row r="1327" ht="11.25"/>
    <row r="1328" ht="11.25"/>
    <row r="1329" ht="11.25"/>
    <row r="1330" ht="11.25"/>
    <row r="1331" ht="11.25"/>
    <row r="1332" ht="11.25"/>
    <row r="1333" ht="11.25"/>
    <row r="1334" ht="11.25"/>
    <row r="1335" ht="11.25"/>
    <row r="1336" ht="11.25"/>
    <row r="1337" ht="11.25"/>
    <row r="1338" ht="11.25"/>
    <row r="1339" ht="11.25"/>
    <row r="1340" ht="11.25"/>
    <row r="1341" ht="11.25"/>
    <row r="1342" ht="11.25"/>
    <row r="1343" ht="11.25"/>
    <row r="1344" ht="11.25"/>
    <row r="1345" ht="11.25"/>
    <row r="1346" ht="11.25"/>
    <row r="1347" ht="11.25"/>
    <row r="1348" ht="11.25"/>
    <row r="1349" ht="11.25"/>
    <row r="1350" ht="11.25"/>
    <row r="1351" ht="11.25"/>
    <row r="1352" ht="11.25"/>
    <row r="1353" ht="11.25"/>
    <row r="1354" ht="11.25"/>
    <row r="1355" ht="11.25"/>
    <row r="1356" ht="11.25"/>
    <row r="1357" ht="11.25"/>
    <row r="1358" ht="11.25"/>
    <row r="1359" ht="11.25"/>
    <row r="1360" ht="11.25"/>
    <row r="1361" ht="11.25"/>
    <row r="1362" ht="11.25"/>
    <row r="1363" ht="11.25"/>
    <row r="1364" ht="11.25"/>
    <row r="1365" ht="11.25"/>
    <row r="1366" ht="11.25"/>
    <row r="1367" ht="11.25"/>
    <row r="1368" ht="11.25"/>
    <row r="1369" ht="11.25"/>
    <row r="1370" ht="11.25"/>
    <row r="1371" ht="11.25"/>
    <row r="1372" ht="11.25"/>
    <row r="1373" ht="11.25"/>
    <row r="1374" ht="11.25"/>
    <row r="1375" ht="11.25"/>
    <row r="1376" ht="11.25"/>
    <row r="1377" ht="11.25"/>
    <row r="1378" ht="11.25"/>
    <row r="1379" ht="11.25"/>
    <row r="1380" ht="11.25"/>
    <row r="1381" ht="11.25"/>
    <row r="1382" ht="11.25"/>
    <row r="1383" ht="11.25"/>
    <row r="1384" ht="11.25"/>
    <row r="1385" ht="11.25"/>
    <row r="1386" ht="11.25"/>
    <row r="1387" ht="11.25"/>
    <row r="1388" ht="11.25"/>
    <row r="1389" ht="11.25"/>
    <row r="1390" ht="11.25"/>
    <row r="1391" ht="11.25"/>
    <row r="1392" ht="11.25"/>
    <row r="1393" ht="11.25"/>
    <row r="1394" ht="11.25"/>
    <row r="1395" ht="11.25"/>
    <row r="1396" ht="11.25"/>
    <row r="1397" ht="11.25"/>
    <row r="1398" ht="11.25"/>
    <row r="1399" ht="11.25"/>
    <row r="1400" ht="11.25"/>
    <row r="1401" ht="11.25"/>
    <row r="1402" ht="11.25"/>
    <row r="1403" ht="11.25"/>
    <row r="1404" ht="11.25"/>
    <row r="1405" ht="11.25"/>
    <row r="1406" ht="11.25"/>
    <row r="1407" ht="11.25"/>
    <row r="1408" ht="11.25"/>
    <row r="1409" ht="11.25"/>
    <row r="1410" ht="11.25"/>
    <row r="1411" ht="11.25"/>
    <row r="1412" ht="11.25"/>
    <row r="1413" ht="11.25"/>
    <row r="1414" ht="11.25"/>
    <row r="1415" ht="11.25"/>
    <row r="1416" ht="11.25"/>
    <row r="1417" ht="11.25"/>
    <row r="1418" ht="11.25"/>
    <row r="1419" ht="11.25"/>
    <row r="1420" ht="11.25"/>
    <row r="1421" ht="11.25"/>
    <row r="1422" ht="11.25"/>
    <row r="1423" ht="11.25"/>
    <row r="1424" ht="11.25"/>
    <row r="1425" ht="11.25"/>
    <row r="1426" ht="11.25"/>
    <row r="1427" ht="11.25"/>
    <row r="1428" ht="11.25"/>
    <row r="1429" ht="11.25"/>
    <row r="1430" ht="11.25"/>
    <row r="1431" ht="11.25"/>
    <row r="1432" ht="11.25"/>
    <row r="1433" ht="11.25"/>
    <row r="1434" ht="11.25"/>
    <row r="1435" ht="11.25"/>
    <row r="1436" ht="11.25"/>
    <row r="1437" ht="11.25"/>
    <row r="1438" ht="11.25"/>
    <row r="1439" ht="11.25"/>
    <row r="1440" ht="11.25"/>
    <row r="1441" ht="11.25"/>
    <row r="1442" ht="11.25"/>
    <row r="1443" ht="11.25"/>
    <row r="1444" ht="11.25"/>
    <row r="1445" ht="11.25"/>
    <row r="1446" ht="11.25"/>
    <row r="1447" ht="11.25"/>
    <row r="1448" ht="11.25"/>
    <row r="1449" ht="11.25"/>
    <row r="1450" ht="11.25"/>
    <row r="1451" ht="11.25"/>
    <row r="1452" ht="11.25"/>
    <row r="1453" ht="11.25"/>
    <row r="1454" ht="11.25"/>
    <row r="1455" ht="11.25"/>
    <row r="1456" ht="11.25"/>
    <row r="1457" ht="11.25"/>
    <row r="1458" ht="11.25"/>
    <row r="1459" ht="11.25"/>
    <row r="1460" ht="11.25"/>
    <row r="1461" ht="11.25"/>
    <row r="1462" ht="11.25"/>
    <row r="1463" ht="11.25"/>
    <row r="1464" ht="11.25"/>
    <row r="1465" ht="11.25"/>
    <row r="1466" ht="11.25"/>
    <row r="1467" ht="11.25"/>
    <row r="1468" ht="11.25"/>
    <row r="1469" ht="11.25"/>
    <row r="1470" ht="11.25"/>
    <row r="1471" ht="11.25"/>
    <row r="1472" ht="11.25"/>
    <row r="1473" ht="11.25"/>
    <row r="1474" ht="11.25"/>
    <row r="1475" ht="11.25"/>
    <row r="1476" ht="11.25"/>
    <row r="1477" ht="11.25"/>
    <row r="1478" ht="11.25"/>
    <row r="1479" ht="11.25"/>
    <row r="1480" ht="11.25"/>
    <row r="1481" ht="11.25"/>
    <row r="1482" ht="11.25"/>
    <row r="1483" ht="11.25"/>
    <row r="1484" ht="11.25"/>
    <row r="1485" ht="11.25"/>
    <row r="1486" ht="11.25"/>
    <row r="1487" ht="11.25"/>
    <row r="1488" ht="11.25"/>
    <row r="1489" ht="11.25"/>
    <row r="1490" ht="11.25"/>
    <row r="1491" ht="11.25"/>
    <row r="1492" ht="11.25"/>
    <row r="1493" ht="11.25"/>
    <row r="1494" ht="11.25"/>
    <row r="1495" ht="11.25"/>
    <row r="1496" ht="11.25"/>
    <row r="1497" ht="11.25"/>
    <row r="1498" ht="11.25"/>
    <row r="1499" ht="11.25"/>
    <row r="1500" ht="11.25"/>
    <row r="1501" ht="11.25"/>
    <row r="1502" ht="11.25"/>
    <row r="1503" ht="11.25"/>
    <row r="1504" ht="11.25"/>
    <row r="1505" ht="11.25"/>
    <row r="1506" ht="11.25"/>
    <row r="1507" ht="11.25"/>
    <row r="1508" ht="11.25"/>
    <row r="1509" ht="11.25"/>
    <row r="1510" ht="11.25"/>
    <row r="1511" ht="11.25"/>
    <row r="1512" ht="11.25"/>
    <row r="1513" ht="11.25"/>
    <row r="1514" ht="11.25"/>
    <row r="1515" ht="11.25"/>
    <row r="1516" ht="11.25"/>
    <row r="1517" ht="11.25"/>
    <row r="1518" ht="11.25"/>
    <row r="1519" ht="11.25"/>
    <row r="1520" ht="11.25"/>
    <row r="1521" ht="11.25"/>
    <row r="1522" ht="11.25"/>
    <row r="1523" ht="11.25"/>
    <row r="1524" ht="11.25"/>
    <row r="1525" ht="11.25"/>
    <row r="1526" ht="11.25"/>
    <row r="1527" ht="11.25"/>
    <row r="1528" ht="11.25"/>
    <row r="1529" ht="11.25"/>
    <row r="1530" ht="11.25"/>
    <row r="1531" ht="11.25"/>
    <row r="1532" ht="11.25"/>
    <row r="1533" ht="11.25"/>
    <row r="1534" ht="11.25"/>
    <row r="1535" ht="11.25"/>
    <row r="1536" ht="11.25"/>
    <row r="1537" ht="11.25"/>
    <row r="1538" ht="11.25"/>
    <row r="1539" ht="11.25"/>
    <row r="1540" ht="11.25"/>
    <row r="1541" ht="11.25"/>
    <row r="1542" ht="11.25"/>
    <row r="1543" ht="11.25"/>
    <row r="1544" ht="11.25"/>
    <row r="1545" ht="11.25"/>
    <row r="1546" ht="11.25"/>
    <row r="1547" ht="11.25"/>
    <row r="1548" ht="11.25"/>
    <row r="1549" ht="11.25"/>
    <row r="1550" ht="11.25"/>
    <row r="1551" ht="11.25"/>
    <row r="1552" ht="11.25"/>
    <row r="1553" ht="11.25"/>
    <row r="1554" ht="11.25"/>
    <row r="1555" ht="11.25"/>
    <row r="1556" ht="11.25"/>
    <row r="1557" ht="11.25"/>
    <row r="1558" ht="11.25"/>
    <row r="1559" ht="11.25"/>
    <row r="1560" ht="11.25"/>
    <row r="1561" ht="11.25"/>
    <row r="1562" ht="11.25"/>
    <row r="1563" ht="11.25"/>
    <row r="1564" ht="11.25"/>
    <row r="1565" ht="11.25"/>
    <row r="1566" ht="11.25"/>
    <row r="1567" ht="11.25"/>
    <row r="1568" ht="11.25"/>
    <row r="1569" ht="11.25"/>
    <row r="1570" ht="11.25"/>
    <row r="1571" ht="11.25"/>
    <row r="1572" ht="11.25"/>
    <row r="1573" ht="11.25"/>
    <row r="1574" ht="11.25"/>
    <row r="1575" ht="11.25"/>
    <row r="1576" ht="11.25"/>
    <row r="1577" ht="11.25"/>
    <row r="1578" ht="11.25"/>
    <row r="1579" ht="11.25"/>
    <row r="1580" ht="11.25"/>
    <row r="1581" ht="11.25"/>
    <row r="1582" ht="11.25"/>
    <row r="1583" ht="11.25"/>
    <row r="1584" ht="11.25"/>
    <row r="1585" ht="11.25"/>
    <row r="1586" ht="11.25"/>
    <row r="1587" ht="11.25"/>
    <row r="1588" ht="11.25"/>
    <row r="1589" ht="11.25"/>
    <row r="1590" ht="11.25"/>
    <row r="1591" ht="11.25"/>
    <row r="1592" ht="11.25"/>
    <row r="1593" ht="11.25"/>
    <row r="1594" ht="11.25"/>
    <row r="1595" ht="11.25"/>
    <row r="1596" ht="11.25"/>
    <row r="1597" ht="11.25"/>
    <row r="1598" ht="11.25"/>
    <row r="1599" ht="11.25"/>
    <row r="1600" ht="11.25"/>
    <row r="1601" ht="11.25"/>
    <row r="1602" ht="11.25"/>
    <row r="1603" ht="11.25"/>
    <row r="1604" ht="11.25"/>
    <row r="1605" ht="11.25"/>
    <row r="1606" ht="11.25"/>
    <row r="1607" ht="11.25"/>
    <row r="1608" ht="11.25"/>
    <row r="1609" ht="11.25"/>
    <row r="1610" ht="11.25"/>
    <row r="1611" ht="11.25"/>
    <row r="1612" ht="11.25"/>
    <row r="1613" ht="11.25"/>
    <row r="1614" ht="11.25"/>
    <row r="1615" ht="11.25"/>
    <row r="1616" ht="11.25"/>
    <row r="1617" ht="11.25"/>
    <row r="1618" ht="11.25"/>
    <row r="1619" ht="11.25"/>
    <row r="1620" ht="11.25"/>
    <row r="1621" ht="11.25"/>
    <row r="1622" ht="11.25"/>
    <row r="1623" ht="11.25"/>
    <row r="1624" ht="11.25"/>
    <row r="1625" ht="11.25"/>
    <row r="1626" ht="11.25"/>
    <row r="1627" ht="11.25"/>
    <row r="1628" ht="11.25"/>
    <row r="1629" ht="11.25"/>
    <row r="1630" ht="11.25"/>
    <row r="1631" ht="11.25"/>
    <row r="1632" ht="11.25"/>
    <row r="1633" ht="11.25"/>
    <row r="1634" ht="11.25"/>
    <row r="1635" ht="11.25"/>
    <row r="1636" ht="11.25"/>
    <row r="1637" ht="11.25"/>
    <row r="1638" ht="11.25"/>
    <row r="1639" ht="11.25"/>
    <row r="1640" ht="11.25"/>
    <row r="1641" ht="11.25"/>
    <row r="1642" ht="11.25"/>
    <row r="1643" ht="11.25"/>
    <row r="1644" ht="11.25"/>
    <row r="1645" ht="11.25"/>
    <row r="1646" ht="11.25"/>
    <row r="1647" ht="11.25"/>
    <row r="1648" ht="11.25"/>
    <row r="1649" ht="11.25"/>
    <row r="1650" ht="11.25"/>
    <row r="1651" ht="11.25"/>
    <row r="1652" ht="11.25"/>
    <row r="1653" ht="11.25"/>
    <row r="1654" ht="11.25"/>
    <row r="1655" ht="11.25"/>
    <row r="1656" ht="11.25"/>
    <row r="1657" ht="11.25"/>
    <row r="1658" ht="11.25"/>
    <row r="1659" ht="11.25"/>
    <row r="1660" ht="11.25"/>
    <row r="1661" ht="11.25"/>
    <row r="1662" ht="11.25"/>
    <row r="1663" ht="11.25"/>
    <row r="1664" ht="11.25"/>
    <row r="1665" ht="11.25"/>
    <row r="1666" ht="11.25"/>
    <row r="1667" ht="11.25"/>
    <row r="1668" ht="11.25"/>
    <row r="1669" ht="11.25"/>
    <row r="1670" ht="11.25"/>
    <row r="1671" ht="11.25"/>
    <row r="1672" ht="11.25"/>
    <row r="1673" ht="11.25"/>
    <row r="1674" ht="11.25"/>
    <row r="1675" ht="11.25"/>
    <row r="1676" ht="11.25"/>
    <row r="1677" ht="11.25"/>
    <row r="1678" ht="11.25"/>
    <row r="1679" ht="11.25"/>
    <row r="1680" ht="11.25"/>
    <row r="1681" ht="11.25"/>
    <row r="1682" ht="11.25"/>
    <row r="1683" ht="11.25"/>
    <row r="1684" ht="11.25"/>
    <row r="1685" ht="11.25"/>
    <row r="1686" ht="11.25"/>
    <row r="1687" ht="11.25"/>
    <row r="1688" ht="11.25"/>
    <row r="1689" ht="11.25"/>
    <row r="1690" ht="11.25"/>
    <row r="1691" ht="11.25"/>
    <row r="1692" ht="11.25"/>
    <row r="1693" ht="11.25"/>
    <row r="1694" ht="11.25"/>
    <row r="1695" ht="11.25"/>
    <row r="1696" ht="11.25"/>
    <row r="1697" ht="11.25"/>
    <row r="1698" ht="11.25"/>
    <row r="1699" ht="11.25"/>
    <row r="1700" ht="11.25"/>
    <row r="1701" ht="11.25"/>
    <row r="1702" ht="11.25"/>
    <row r="1703" ht="11.25"/>
    <row r="1704" ht="11.25"/>
    <row r="1705" ht="11.25"/>
    <row r="1706" ht="11.25"/>
    <row r="1707" ht="11.25"/>
    <row r="1708" ht="11.25"/>
    <row r="1709" ht="11.25"/>
    <row r="1710" ht="11.25"/>
    <row r="1711" ht="11.25"/>
    <row r="1712" ht="11.25"/>
    <row r="1713" ht="11.25"/>
    <row r="1714" ht="11.25"/>
    <row r="1715" ht="11.25"/>
    <row r="1716" ht="11.25"/>
    <row r="1717" ht="11.25"/>
    <row r="1718" ht="11.25"/>
    <row r="1719" ht="11.25"/>
    <row r="1720" ht="11.25"/>
    <row r="1721" ht="11.25"/>
    <row r="1722" ht="11.25"/>
    <row r="1723" ht="11.25"/>
    <row r="1724" ht="11.25"/>
    <row r="1725" ht="11.25"/>
    <row r="1726" ht="11.25"/>
    <row r="1727" ht="11.25"/>
    <row r="1728" ht="11.25"/>
    <row r="1729" ht="11.25"/>
    <row r="1730" ht="11.25"/>
    <row r="1731" ht="11.25"/>
    <row r="1732" ht="11.25"/>
    <row r="1733" ht="11.25"/>
    <row r="1734" ht="11.25"/>
    <row r="1735" ht="11.25"/>
    <row r="1736" ht="11.25"/>
    <row r="1737" ht="11.25"/>
    <row r="1738" ht="11.25"/>
    <row r="1739" ht="11.25"/>
    <row r="1740" ht="11.25"/>
    <row r="1741" ht="11.25"/>
    <row r="1742" ht="11.25"/>
    <row r="1743" ht="11.25"/>
    <row r="1744" ht="11.25"/>
    <row r="1745" ht="11.25"/>
    <row r="1746" ht="11.25"/>
    <row r="1747" ht="11.25"/>
    <row r="1748" ht="11.25"/>
    <row r="1749" ht="11.25"/>
    <row r="1750" ht="11.25"/>
    <row r="1751" ht="11.25"/>
    <row r="1752" ht="11.25"/>
    <row r="1753" ht="11.25"/>
    <row r="1754" ht="11.25"/>
    <row r="1755" ht="11.25"/>
    <row r="1756" ht="11.25"/>
    <row r="1757" ht="11.25"/>
    <row r="1758" ht="11.25"/>
    <row r="1759" ht="11.25"/>
    <row r="1760" ht="11.25"/>
    <row r="1761" ht="11.25"/>
    <row r="1762" ht="11.25"/>
    <row r="1763" ht="11.25"/>
    <row r="1764" ht="11.25"/>
    <row r="1765" ht="11.25"/>
    <row r="1766" ht="11.25"/>
    <row r="1767" ht="11.25"/>
    <row r="1768" ht="11.25"/>
    <row r="1769" ht="11.25"/>
    <row r="1770" ht="11.25"/>
    <row r="1771" ht="11.25"/>
    <row r="1772" ht="11.25"/>
    <row r="1773" ht="11.25"/>
    <row r="1774" ht="11.25"/>
    <row r="1775" ht="11.25"/>
    <row r="1776" ht="11.25"/>
    <row r="1777" ht="11.25"/>
    <row r="1778" ht="11.25"/>
    <row r="1779" ht="11.25"/>
    <row r="1780" ht="11.25"/>
    <row r="1781" ht="11.25"/>
    <row r="1782" ht="11.25"/>
    <row r="1783" ht="11.25"/>
    <row r="1784" ht="11.25"/>
    <row r="1785" ht="11.25"/>
    <row r="1786" ht="11.25"/>
    <row r="1787" ht="11.25"/>
    <row r="1788" ht="11.25"/>
    <row r="1789" ht="11.25"/>
    <row r="1790" ht="11.25"/>
    <row r="1791" ht="11.25"/>
    <row r="1792" ht="11.25"/>
    <row r="1793" ht="11.25"/>
    <row r="1794" ht="11.25"/>
    <row r="1795" ht="11.25"/>
    <row r="1796" ht="11.25"/>
    <row r="1797" ht="11.25"/>
    <row r="1798" ht="11.25"/>
    <row r="1799" ht="11.25"/>
    <row r="1800" ht="11.25"/>
    <row r="1801" ht="11.25"/>
    <row r="1802" ht="11.25"/>
    <row r="1803" ht="11.25"/>
    <row r="1804" ht="11.25"/>
    <row r="1805" ht="11.25"/>
    <row r="1806" ht="11.25"/>
    <row r="1807" ht="11.25"/>
    <row r="1808" ht="11.25"/>
    <row r="1809" ht="11.25"/>
    <row r="1810" ht="11.25"/>
    <row r="1811" ht="11.25"/>
    <row r="1812" ht="11.25"/>
    <row r="1813" ht="11.25"/>
    <row r="1814" ht="11.25"/>
    <row r="1815" ht="11.25"/>
    <row r="1816" ht="11.25"/>
    <row r="1817" ht="11.25"/>
    <row r="1818" ht="11.25"/>
    <row r="1819" ht="11.25"/>
    <row r="1820" ht="11.25"/>
    <row r="1821" ht="11.25"/>
    <row r="1822" ht="11.25"/>
    <row r="1823" ht="11.25"/>
    <row r="1824" ht="11.25"/>
    <row r="1825" ht="11.25"/>
    <row r="1826" ht="11.25"/>
    <row r="1827" ht="11.25"/>
    <row r="1828" ht="11.25"/>
    <row r="1829" ht="11.25"/>
    <row r="1830" ht="11.25"/>
    <row r="1831" ht="11.25"/>
    <row r="1832" ht="11.25"/>
    <row r="1833" ht="11.25"/>
    <row r="1834" ht="11.25"/>
    <row r="1835" ht="11.25"/>
    <row r="1836" ht="11.25"/>
    <row r="1837" ht="11.25"/>
    <row r="1838" ht="11.25"/>
    <row r="1839" ht="11.25"/>
    <row r="1840" ht="11.25"/>
    <row r="1841" ht="11.25"/>
    <row r="1842" ht="11.25"/>
    <row r="1843" ht="11.25"/>
    <row r="1844" ht="11.25"/>
    <row r="1845" ht="11.25"/>
    <row r="1846" ht="11.25"/>
    <row r="1847" ht="11.25"/>
    <row r="1848" ht="11.25"/>
    <row r="1849" ht="11.25"/>
    <row r="1850" ht="11.25"/>
    <row r="1851" ht="11.25"/>
    <row r="1852" ht="11.25"/>
    <row r="1853" ht="11.25"/>
    <row r="1854" ht="11.25"/>
    <row r="1855" ht="11.25"/>
    <row r="1856" ht="11.25"/>
    <row r="1857" ht="11.25"/>
    <row r="1858" ht="11.25"/>
    <row r="1859" ht="11.25"/>
    <row r="1860" ht="11.25"/>
    <row r="1861" ht="11.25"/>
    <row r="1862" ht="11.25"/>
    <row r="1863" ht="11.25"/>
    <row r="1864" ht="11.25"/>
    <row r="1865" ht="11.25"/>
    <row r="1866" ht="11.25"/>
    <row r="1867" ht="11.25"/>
    <row r="1868" ht="11.25"/>
    <row r="1869" ht="11.25"/>
    <row r="1870" ht="11.25"/>
    <row r="1871" ht="11.25"/>
    <row r="1872" ht="11.25"/>
    <row r="1873" ht="11.25"/>
    <row r="1874" ht="11.25"/>
    <row r="1875" ht="11.25"/>
    <row r="1876" ht="11.25"/>
    <row r="1877" ht="11.25"/>
    <row r="1878" ht="11.25"/>
    <row r="1879" ht="11.25"/>
    <row r="1880" ht="11.25"/>
    <row r="1881" ht="11.25"/>
    <row r="1882" ht="11.25"/>
    <row r="1883" ht="11.25"/>
    <row r="1884" ht="11.25"/>
    <row r="1885" ht="11.25"/>
    <row r="1886" ht="11.25"/>
    <row r="1887" ht="11.25"/>
    <row r="1888" ht="11.25"/>
    <row r="1889" ht="11.25"/>
    <row r="1890" ht="11.25"/>
    <row r="1891" ht="11.25"/>
    <row r="1892" ht="11.25"/>
    <row r="1893" ht="11.25"/>
    <row r="1894" ht="11.25"/>
    <row r="1895" ht="11.25"/>
    <row r="1896" ht="11.25"/>
    <row r="1897" ht="11.25"/>
    <row r="1898" ht="11.25"/>
    <row r="1899" ht="11.25"/>
    <row r="1900" ht="11.25"/>
    <row r="1901" ht="11.25"/>
    <row r="1902" ht="11.25"/>
    <row r="1903" ht="11.25"/>
    <row r="1904" ht="11.25"/>
    <row r="1905" ht="11.25"/>
    <row r="1906" ht="11.25"/>
    <row r="1907" ht="11.25"/>
    <row r="1908" ht="11.25"/>
    <row r="1909" ht="11.25"/>
    <row r="1910" ht="11.25"/>
    <row r="1911" ht="11.25"/>
    <row r="1912" ht="11.25"/>
    <row r="1913" ht="11.25"/>
    <row r="1914" ht="11.25"/>
    <row r="1915" ht="11.25"/>
    <row r="1916" ht="11.25"/>
    <row r="1917" ht="11.25"/>
    <row r="1918" ht="11.25"/>
    <row r="1919" ht="11.25"/>
    <row r="1920" ht="11.25"/>
    <row r="1921" ht="11.25"/>
    <row r="1922" ht="11.25"/>
    <row r="1923" ht="11.25"/>
    <row r="1924" ht="11.25"/>
    <row r="1925" ht="11.25"/>
    <row r="1926" ht="11.25"/>
    <row r="1927" ht="11.25"/>
    <row r="1928" ht="11.25"/>
    <row r="1929" ht="11.25"/>
    <row r="1930" ht="11.25"/>
    <row r="1931" ht="11.25"/>
    <row r="1932" ht="11.25"/>
    <row r="1933" ht="11.25"/>
    <row r="1934" ht="11.25"/>
    <row r="1935" ht="11.25"/>
    <row r="1936" ht="11.25"/>
    <row r="1937" ht="11.25"/>
    <row r="1938" ht="11.25"/>
    <row r="1939" ht="11.25"/>
    <row r="1940" ht="11.25"/>
    <row r="1941" ht="11.25"/>
    <row r="1942" ht="11.25"/>
    <row r="1943" ht="11.25"/>
    <row r="1944" ht="11.25"/>
    <row r="1945" ht="11.25"/>
    <row r="1946" ht="11.25"/>
    <row r="1947" ht="11.25"/>
    <row r="1948" ht="11.25"/>
    <row r="1949" ht="11.25"/>
    <row r="1950" ht="11.25"/>
    <row r="1951" ht="11.25"/>
    <row r="1952" ht="11.25"/>
    <row r="1953" ht="11.25"/>
    <row r="1954" ht="11.25"/>
    <row r="1955" ht="11.25"/>
    <row r="1956" ht="11.25"/>
    <row r="1957" ht="11.25"/>
    <row r="1958" ht="11.25"/>
    <row r="1959" ht="11.25"/>
    <row r="1960" ht="11.25"/>
    <row r="1961" ht="11.25"/>
    <row r="1962" ht="11.25"/>
    <row r="1963" ht="11.25"/>
    <row r="1964" ht="11.25"/>
    <row r="1965" ht="11.25"/>
    <row r="1966" ht="11.25"/>
    <row r="1967" ht="11.25"/>
    <row r="1968" ht="11.25"/>
    <row r="1969" ht="11.25"/>
    <row r="1970" ht="11.25"/>
    <row r="1971" ht="11.25"/>
    <row r="1972" ht="11.25"/>
    <row r="1973" ht="11.25"/>
    <row r="1974" ht="11.25"/>
    <row r="1975" ht="11.25"/>
    <row r="1976" ht="11.25"/>
    <row r="1977" ht="11.25"/>
    <row r="1978" ht="11.25"/>
    <row r="1979" ht="11.25"/>
    <row r="1980" ht="11.25"/>
    <row r="1981" ht="11.25"/>
    <row r="1982" ht="11.25"/>
    <row r="1983" ht="11.25"/>
    <row r="1984" ht="11.25"/>
    <row r="1985" ht="11.25"/>
    <row r="1986" ht="11.25"/>
    <row r="1987" ht="11.25"/>
    <row r="1988" ht="11.25"/>
    <row r="1989" ht="11.25"/>
    <row r="1990" ht="11.25"/>
    <row r="1991" ht="11.25"/>
    <row r="1992" ht="11.25"/>
    <row r="1993" ht="11.25"/>
    <row r="1994" ht="11.25"/>
    <row r="1995" ht="11.25"/>
    <row r="1996" ht="11.25"/>
    <row r="1997" ht="11.25"/>
    <row r="1998" ht="11.25"/>
    <row r="1999" ht="11.25"/>
    <row r="2000" ht="11.25"/>
    <row r="2001" ht="11.25"/>
    <row r="2002" ht="11.25"/>
    <row r="2003" ht="11.25"/>
    <row r="2004" ht="11.25"/>
    <row r="2005" ht="11.25"/>
    <row r="2006" ht="11.25"/>
    <row r="2007" ht="11.25"/>
    <row r="2008" ht="11.25"/>
    <row r="2009" ht="11.25"/>
    <row r="2010" ht="11.25"/>
    <row r="2011" ht="11.25"/>
    <row r="2012" ht="11.25"/>
    <row r="2013" ht="11.25"/>
    <row r="2014" ht="11.25"/>
    <row r="2015" ht="11.25"/>
    <row r="2016" ht="11.25"/>
    <row r="2017" ht="11.25"/>
    <row r="2018" ht="11.25"/>
    <row r="2019" ht="11.25"/>
    <row r="2020" ht="11.25"/>
    <row r="2021" ht="11.25"/>
    <row r="2022" ht="11.25"/>
    <row r="2023" ht="11.25"/>
    <row r="2024" ht="11.25"/>
    <row r="2025" ht="11.25"/>
    <row r="2026" ht="11.25"/>
    <row r="2027" ht="11.25"/>
    <row r="2028" ht="11.25"/>
    <row r="2029" ht="11.25"/>
    <row r="2030" ht="11.25"/>
    <row r="2031" ht="11.25"/>
    <row r="2032" ht="11.25"/>
    <row r="2033" ht="11.25"/>
    <row r="2034" ht="11.25"/>
    <row r="2035" ht="11.25"/>
    <row r="2036" ht="11.25"/>
    <row r="2037" ht="11.25"/>
    <row r="2038" ht="11.25"/>
    <row r="2039" ht="11.25"/>
    <row r="2040" ht="11.25"/>
    <row r="2041" ht="11.25"/>
    <row r="2042" ht="11.25"/>
    <row r="2043" ht="11.25"/>
    <row r="2044" ht="11.25"/>
    <row r="2045" ht="11.25"/>
    <row r="2046" ht="11.25"/>
    <row r="2047" ht="11.25"/>
    <row r="2048" ht="11.25"/>
    <row r="2049" ht="11.25"/>
    <row r="2050" ht="11.25"/>
    <row r="2051" ht="11.25"/>
    <row r="2052" ht="11.25"/>
    <row r="2053" ht="11.25"/>
    <row r="2054" ht="11.25"/>
    <row r="2055" ht="11.25"/>
    <row r="2056" ht="11.25"/>
    <row r="2057" ht="11.25"/>
    <row r="2058" ht="11.25"/>
    <row r="2059" ht="11.25"/>
    <row r="2060" ht="11.25"/>
    <row r="2061" ht="11.25"/>
    <row r="2062" ht="11.25"/>
    <row r="2063" ht="11.25"/>
    <row r="2064" ht="11.25"/>
    <row r="2065" ht="11.25"/>
    <row r="2066" ht="11.25"/>
    <row r="2067" ht="11.25"/>
    <row r="2068" ht="11.25"/>
    <row r="2069" ht="11.25"/>
    <row r="2070" ht="11.25"/>
    <row r="2071" ht="11.25"/>
    <row r="2072" ht="11.25"/>
    <row r="2073" ht="11.25"/>
    <row r="2074" ht="11.25"/>
    <row r="2075" ht="11.25"/>
    <row r="2076" ht="11.25"/>
    <row r="2077" ht="11.25"/>
    <row r="2078" ht="11.25"/>
    <row r="2079" ht="11.25"/>
    <row r="2080" ht="11.25"/>
    <row r="2081" ht="11.25"/>
    <row r="2082" ht="11.25"/>
    <row r="2083" ht="11.25"/>
    <row r="2084" ht="11.25"/>
    <row r="2085" ht="11.25"/>
    <row r="2086" ht="11.25"/>
    <row r="2087" ht="11.25"/>
    <row r="2088" ht="11.25"/>
    <row r="2089" ht="11.25"/>
    <row r="2090" ht="11.25"/>
    <row r="2091" ht="11.25"/>
    <row r="2092" ht="11.25"/>
    <row r="2093" ht="11.25"/>
    <row r="2094" ht="11.25"/>
    <row r="2095" ht="11.25"/>
    <row r="2096" ht="11.25"/>
    <row r="2097" ht="11.25"/>
    <row r="2098" ht="11.25"/>
    <row r="2099" ht="11.25"/>
    <row r="2100" ht="11.25"/>
    <row r="2101" ht="11.25"/>
    <row r="2102" ht="11.25"/>
    <row r="2103" ht="11.25"/>
    <row r="2104" ht="11.25"/>
    <row r="2105" ht="11.25"/>
    <row r="2106" ht="11.25"/>
    <row r="2107" ht="11.25"/>
    <row r="2108" ht="11.25"/>
    <row r="2109" ht="11.25"/>
    <row r="2110" ht="11.25"/>
    <row r="2111" ht="11.25"/>
    <row r="2112" ht="11.25"/>
    <row r="2113" ht="11.25"/>
    <row r="2114" ht="11.25"/>
    <row r="2115" ht="11.25"/>
    <row r="2116" ht="11.25"/>
    <row r="2117" ht="11.25"/>
    <row r="2118" ht="11.25"/>
    <row r="2119" ht="11.25"/>
    <row r="2120" ht="11.25"/>
    <row r="2121" ht="11.25"/>
    <row r="2122" ht="11.25"/>
    <row r="2123" ht="11.25"/>
    <row r="2124" ht="11.25"/>
    <row r="2125" ht="11.25"/>
    <row r="2126" ht="11.25"/>
    <row r="2127" ht="11.25"/>
    <row r="2128" ht="11.25"/>
    <row r="2129" ht="11.25"/>
    <row r="2130" ht="11.25"/>
    <row r="2131" ht="11.25"/>
    <row r="2132" ht="11.25"/>
    <row r="2133" ht="11.25"/>
    <row r="2134" ht="11.25"/>
    <row r="2135" ht="11.25"/>
    <row r="2136" ht="11.25"/>
    <row r="2137" ht="11.25"/>
    <row r="2138" ht="11.25"/>
    <row r="2139" ht="11.25"/>
    <row r="2140" ht="11.25"/>
    <row r="2141" ht="11.25"/>
    <row r="2142" ht="11.25"/>
    <row r="2143" ht="11.25"/>
    <row r="2144" ht="11.25"/>
    <row r="2145" ht="11.25"/>
    <row r="2146" ht="11.25"/>
    <row r="2147" ht="11.25"/>
    <row r="2148" ht="11.25"/>
    <row r="2149" ht="11.25"/>
    <row r="2150" ht="11.25"/>
    <row r="2151" ht="11.25"/>
    <row r="2152" ht="11.25"/>
    <row r="2153" ht="11.25"/>
    <row r="2154" ht="11.25"/>
    <row r="2155" ht="11.25"/>
    <row r="2156" ht="11.25"/>
    <row r="2157" ht="11.25"/>
    <row r="2158" ht="11.25"/>
    <row r="2159" ht="11.25"/>
    <row r="2160" ht="11.25"/>
    <row r="2161" ht="11.25"/>
    <row r="2162" ht="11.25"/>
    <row r="2163" ht="11.25"/>
    <row r="2164" ht="11.25"/>
    <row r="2165" ht="11.25"/>
    <row r="2166" ht="11.25"/>
    <row r="2167" ht="11.25"/>
    <row r="2168" ht="11.25"/>
    <row r="2169" ht="11.25"/>
    <row r="2170" ht="11.25"/>
    <row r="2171" ht="11.25"/>
    <row r="2172" ht="11.25"/>
    <row r="2173" ht="11.25"/>
    <row r="2174" ht="11.25"/>
    <row r="2175" ht="11.25"/>
    <row r="2176" ht="11.25"/>
    <row r="2177" ht="11.25"/>
    <row r="2178" ht="11.25"/>
    <row r="2179" ht="11.25"/>
    <row r="2180" ht="11.25"/>
    <row r="2181" ht="11.25"/>
    <row r="2182" ht="11.25"/>
    <row r="2183" ht="11.25"/>
    <row r="2184" ht="11.25"/>
    <row r="2185" ht="11.25"/>
    <row r="2186" ht="11.25"/>
    <row r="2187" ht="11.25"/>
    <row r="2188" ht="11.25"/>
    <row r="2189" ht="11.25"/>
    <row r="2190" ht="11.25"/>
    <row r="2191" ht="11.25"/>
    <row r="2192" ht="11.25"/>
    <row r="2193" ht="11.25"/>
    <row r="2194" ht="11.25"/>
    <row r="2195" ht="11.25"/>
    <row r="2196" ht="11.25"/>
    <row r="2197" ht="11.25"/>
    <row r="2198" ht="11.25"/>
    <row r="2199" ht="11.25"/>
    <row r="2200" ht="11.25"/>
    <row r="2201" ht="11.25"/>
    <row r="2202" ht="11.25"/>
    <row r="2203" ht="11.25"/>
    <row r="2204" ht="11.25"/>
    <row r="2205" ht="11.25"/>
    <row r="2206" ht="11.25"/>
    <row r="2207" ht="11.25"/>
    <row r="2208" ht="11.25"/>
    <row r="2209" ht="11.25"/>
    <row r="2210" ht="11.25"/>
    <row r="2211" ht="11.25"/>
    <row r="2212" ht="11.25"/>
    <row r="2213" ht="11.25"/>
    <row r="2214" ht="11.25"/>
    <row r="2215" ht="11.25"/>
    <row r="2216" ht="11.25"/>
    <row r="2217" ht="11.25"/>
    <row r="2218" ht="11.25"/>
    <row r="2219" ht="11.25"/>
    <row r="2220" ht="11.25"/>
    <row r="2221" ht="11.25"/>
    <row r="2222" ht="11.25"/>
    <row r="2223" ht="11.25"/>
    <row r="2224" ht="11.25"/>
    <row r="2225" ht="11.25"/>
    <row r="2226" ht="11.25"/>
    <row r="2227" ht="11.25"/>
    <row r="2228" ht="11.25"/>
    <row r="2229" ht="11.25"/>
    <row r="2230" ht="11.25"/>
    <row r="2231" ht="11.25"/>
    <row r="2232" ht="11.25"/>
    <row r="2233" ht="11.25"/>
    <row r="2234" ht="11.25"/>
    <row r="2235" ht="11.25"/>
    <row r="2236" ht="11.25"/>
    <row r="2237" ht="11.25"/>
    <row r="2238" ht="11.25"/>
    <row r="2239" ht="11.25"/>
    <row r="2240" ht="11.25"/>
    <row r="2241" ht="11.25"/>
    <row r="2242" ht="11.25"/>
    <row r="2243" ht="11.25"/>
    <row r="2244" ht="11.25"/>
    <row r="2245" ht="11.25"/>
    <row r="2246" ht="11.25"/>
    <row r="2247" ht="11.25"/>
    <row r="2248" ht="11.25"/>
    <row r="2249" ht="11.25"/>
    <row r="2250" ht="11.25"/>
    <row r="2251" ht="11.25"/>
    <row r="2252" ht="11.25"/>
    <row r="2253" ht="11.25"/>
    <row r="2254" ht="11.25"/>
    <row r="2255" ht="11.25"/>
    <row r="2256" ht="11.25"/>
    <row r="2257" ht="11.25"/>
    <row r="2258" ht="11.25"/>
    <row r="2259" ht="11.25"/>
    <row r="2260" ht="11.25"/>
    <row r="2261" ht="11.25"/>
    <row r="2262" ht="11.25"/>
    <row r="2263" ht="11.25"/>
    <row r="2264" ht="11.25"/>
    <row r="2265" ht="11.25"/>
    <row r="2266" ht="11.25"/>
    <row r="2267" ht="11.25"/>
    <row r="2268" ht="11.25"/>
    <row r="2269" ht="11.25"/>
    <row r="2270" ht="11.25"/>
    <row r="2271" ht="11.25"/>
    <row r="2272" ht="11.25"/>
    <row r="2273" ht="11.25"/>
    <row r="2274" ht="11.25"/>
    <row r="2275" ht="11.25"/>
    <row r="2276" ht="11.25"/>
    <row r="2277" ht="11.25"/>
    <row r="2278" ht="11.25"/>
    <row r="2279" ht="11.25"/>
    <row r="2280" ht="11.25"/>
    <row r="2281" ht="11.25"/>
    <row r="2282" ht="11.25"/>
    <row r="2283" ht="11.25"/>
    <row r="2284" ht="11.25"/>
    <row r="2285" ht="11.25"/>
    <row r="2286" ht="11.25"/>
    <row r="2287" ht="11.25"/>
    <row r="2288" ht="11.25"/>
    <row r="2289" ht="11.25"/>
    <row r="2290" ht="11.25"/>
    <row r="2291" ht="11.25"/>
    <row r="2292" ht="11.25"/>
    <row r="2293" ht="11.25"/>
    <row r="2294" ht="11.25"/>
    <row r="2295" ht="11.25"/>
    <row r="2296" ht="11.25"/>
    <row r="2297" ht="11.25"/>
    <row r="2298" ht="11.25"/>
    <row r="2299" ht="11.25"/>
    <row r="2300" ht="11.25"/>
    <row r="2301" ht="11.25"/>
    <row r="2302" ht="11.25"/>
    <row r="2303" ht="11.25"/>
    <row r="2304" ht="11.25"/>
    <row r="2305" ht="11.25"/>
    <row r="2306" ht="11.25"/>
    <row r="2307" ht="11.25"/>
    <row r="2308" ht="11.25"/>
    <row r="2309" ht="11.25"/>
    <row r="2310" ht="11.25"/>
    <row r="2311" ht="11.25"/>
    <row r="2312" ht="11.25"/>
    <row r="2313" ht="11.25"/>
    <row r="2314" ht="11.25"/>
    <row r="2315" ht="11.25"/>
    <row r="2316" ht="11.25"/>
    <row r="2317" ht="11.25"/>
    <row r="2318" ht="11.25"/>
    <row r="2319" ht="11.25"/>
    <row r="2320" ht="11.25"/>
    <row r="2321" ht="11.25"/>
    <row r="2322" ht="11.25"/>
    <row r="2323" ht="11.25"/>
    <row r="2324" ht="11.25"/>
    <row r="2325" ht="11.25"/>
    <row r="2326" ht="11.25"/>
    <row r="2327" ht="11.25"/>
    <row r="2328" ht="11.25"/>
    <row r="2329" ht="11.25"/>
    <row r="2330" ht="11.25"/>
    <row r="2331" ht="11.25"/>
    <row r="2332" ht="11.25"/>
    <row r="2333" ht="11.25"/>
    <row r="2334" ht="11.25"/>
    <row r="2335" ht="11.25"/>
    <row r="2336" ht="11.25"/>
    <row r="2337" ht="11.25"/>
    <row r="2338" ht="11.25"/>
    <row r="2339" ht="11.25"/>
    <row r="2340" ht="11.25"/>
    <row r="2341" ht="11.25"/>
    <row r="2342" ht="11.25"/>
    <row r="2343" ht="11.25"/>
    <row r="2344" ht="11.25"/>
    <row r="2345" ht="11.25"/>
    <row r="2346" ht="11.25"/>
    <row r="2347" ht="11.25"/>
    <row r="2348" ht="11.25"/>
    <row r="2349" ht="11.25"/>
    <row r="2350" ht="11.25"/>
    <row r="2351" ht="11.25"/>
    <row r="2352" ht="11.25"/>
    <row r="2353" ht="11.25"/>
    <row r="2354" ht="11.25"/>
    <row r="2355" ht="11.25"/>
    <row r="2356" ht="11.25"/>
    <row r="2357" ht="11.25"/>
    <row r="2358" ht="11.25"/>
    <row r="2359" ht="11.25"/>
    <row r="2360" ht="11.25"/>
    <row r="2361" ht="11.25"/>
    <row r="2362" ht="11.25"/>
    <row r="2363" ht="11.25"/>
    <row r="2364" ht="11.25"/>
    <row r="2365" ht="11.25"/>
    <row r="2366" ht="11.25"/>
    <row r="2367" ht="11.25"/>
    <row r="2368" ht="11.25"/>
    <row r="2369" ht="11.25"/>
    <row r="2370" ht="11.25"/>
    <row r="2371" ht="11.25"/>
    <row r="2372" ht="11.25"/>
    <row r="2373" ht="11.25"/>
    <row r="2374" ht="11.25"/>
    <row r="2375" ht="11.25"/>
    <row r="2376" ht="11.25"/>
    <row r="2377" ht="11.25"/>
    <row r="2378" ht="11.25"/>
    <row r="2379" ht="11.25"/>
    <row r="2380" ht="11.25"/>
    <row r="2381" ht="11.25"/>
    <row r="2382" ht="11.25"/>
    <row r="2383" ht="11.25"/>
    <row r="2384" ht="11.25"/>
    <row r="2385" ht="11.25"/>
    <row r="2386" ht="11.25"/>
    <row r="2387" ht="11.25"/>
    <row r="2388" ht="11.25"/>
    <row r="2389" ht="11.25"/>
    <row r="2390" ht="11.25"/>
    <row r="2391" ht="11.25"/>
    <row r="2392" ht="11.25"/>
    <row r="2393" ht="11.25"/>
    <row r="2394" ht="11.25"/>
    <row r="2395" ht="11.25"/>
    <row r="2396" ht="11.25"/>
    <row r="2397" ht="11.25"/>
    <row r="2398" ht="11.25"/>
    <row r="2399" ht="11.25"/>
    <row r="2400" ht="11.25"/>
    <row r="2401" ht="11.25"/>
    <row r="2402" ht="11.25"/>
    <row r="2403" ht="11.25"/>
    <row r="2404" ht="11.25"/>
    <row r="2405" ht="11.25"/>
    <row r="2406" ht="11.25"/>
    <row r="2407" ht="11.25"/>
    <row r="2408" ht="11.25"/>
    <row r="2409" ht="11.25"/>
    <row r="2410" ht="11.25"/>
    <row r="2411" ht="11.25"/>
    <row r="2412" ht="11.25"/>
    <row r="2413" ht="11.25"/>
    <row r="2414" ht="11.25"/>
    <row r="2415" ht="11.25"/>
    <row r="2416" ht="11.25"/>
    <row r="2417" ht="11.25"/>
    <row r="2418" ht="11.25"/>
    <row r="2419" ht="11.25"/>
    <row r="2420" ht="11.25"/>
    <row r="2421" ht="11.25"/>
    <row r="2422" ht="11.25"/>
    <row r="2423" ht="11.25"/>
    <row r="2424" ht="11.25"/>
    <row r="2425" ht="11.25"/>
    <row r="2426" ht="11.25"/>
    <row r="2427" ht="11.25"/>
    <row r="2428" ht="11.25"/>
    <row r="2429" ht="11.25"/>
    <row r="2430" ht="11.25"/>
    <row r="2431" ht="11.25"/>
    <row r="2432" ht="11.25"/>
    <row r="2433" ht="11.25"/>
    <row r="2434" ht="11.25"/>
    <row r="2435" ht="11.25"/>
    <row r="2436" ht="11.25"/>
    <row r="2437" ht="11.25"/>
    <row r="2438" ht="11.25"/>
    <row r="2439" ht="11.25"/>
    <row r="2440" ht="11.25"/>
    <row r="2441" ht="11.25"/>
    <row r="2442" ht="11.25"/>
    <row r="2443" ht="11.25"/>
    <row r="2444" ht="11.25"/>
    <row r="2445" ht="11.25"/>
    <row r="2446" ht="11.25"/>
    <row r="2447" ht="11.25"/>
    <row r="2448" ht="11.25"/>
    <row r="2449" ht="11.25"/>
    <row r="2450" ht="11.25"/>
    <row r="2451" ht="11.25"/>
    <row r="2452" ht="11.25"/>
    <row r="2453" ht="11.25"/>
    <row r="2454" ht="11.25"/>
    <row r="2455" ht="11.25"/>
    <row r="2456" ht="11.25"/>
    <row r="2457" ht="11.25"/>
    <row r="2458" ht="11.25"/>
    <row r="2459" ht="11.25"/>
    <row r="2460" ht="11.25"/>
    <row r="2461" ht="11.25"/>
    <row r="2462" ht="11.25"/>
    <row r="2463" ht="11.25"/>
    <row r="2464" ht="11.25"/>
    <row r="2465" ht="11.25"/>
    <row r="2466" ht="11.25"/>
    <row r="2467" ht="11.25"/>
    <row r="2468" ht="11.25"/>
    <row r="2469" ht="11.25"/>
    <row r="2470" ht="11.25"/>
    <row r="2471" ht="11.25"/>
    <row r="2472" ht="11.25"/>
    <row r="2473" ht="11.25"/>
    <row r="2474" ht="11.25"/>
    <row r="2475" ht="11.25"/>
    <row r="2476" ht="11.25"/>
    <row r="2477" ht="11.25"/>
    <row r="2478" ht="11.25"/>
    <row r="2479" ht="11.25"/>
    <row r="2480" ht="11.25"/>
    <row r="2481" ht="11.25"/>
    <row r="2482" ht="11.25"/>
    <row r="2483" ht="11.25"/>
    <row r="2484" ht="11.25"/>
    <row r="2485" ht="11.25"/>
    <row r="2486" ht="11.25"/>
    <row r="2487" ht="11.25"/>
    <row r="2488" ht="11.25"/>
    <row r="2489" ht="11.25"/>
    <row r="2490" ht="11.25"/>
    <row r="2491" ht="11.25"/>
    <row r="2492" ht="11.25"/>
    <row r="2493" ht="11.25"/>
    <row r="2494" ht="11.25"/>
    <row r="2495" ht="11.25"/>
    <row r="2496" ht="11.25"/>
    <row r="2497" ht="11.25"/>
    <row r="2498" ht="11.25"/>
    <row r="2499" ht="11.25"/>
    <row r="2500" ht="11.25"/>
    <row r="2501" ht="11.25"/>
    <row r="2502" ht="11.25"/>
    <row r="2503" ht="11.25"/>
    <row r="2504" ht="11.25"/>
    <row r="2505" ht="11.25"/>
    <row r="2506" ht="11.25"/>
    <row r="2507" ht="11.25"/>
    <row r="2508" ht="11.25"/>
    <row r="2509" ht="11.25"/>
    <row r="2510" ht="11.25"/>
    <row r="2511" ht="11.25"/>
    <row r="2512" ht="11.25"/>
    <row r="2513" ht="11.25"/>
    <row r="2514" ht="11.25"/>
    <row r="2515" ht="11.25"/>
    <row r="2516" ht="11.25"/>
    <row r="2517" ht="11.25"/>
    <row r="2518" ht="11.25"/>
    <row r="2519" ht="11.25"/>
    <row r="2520" ht="11.25"/>
    <row r="2521" ht="11.25"/>
    <row r="2522" ht="11.25"/>
    <row r="2523" ht="11.25"/>
    <row r="2524" ht="11.25"/>
    <row r="2525" ht="11.25"/>
    <row r="2526" ht="11.25"/>
    <row r="2527" ht="11.25"/>
    <row r="2528" ht="11.25"/>
    <row r="2529" ht="11.25"/>
    <row r="2530" ht="11.25"/>
    <row r="2531" ht="11.25"/>
    <row r="2532" ht="11.25"/>
    <row r="2533" ht="11.25"/>
    <row r="2534" ht="11.25"/>
    <row r="2535" ht="11.25"/>
    <row r="2536" ht="11.25"/>
    <row r="2537" ht="11.25"/>
    <row r="2538" ht="11.25"/>
    <row r="2539" ht="11.25"/>
    <row r="2540" ht="11.25"/>
    <row r="2541" ht="11.25"/>
    <row r="2542" ht="11.25"/>
    <row r="2543" ht="11.25"/>
    <row r="2544" ht="11.25"/>
    <row r="2545" ht="11.25"/>
    <row r="2546" ht="11.25"/>
    <row r="2547" ht="11.25"/>
    <row r="2548" ht="11.25"/>
    <row r="2549" ht="11.25"/>
    <row r="2550" ht="11.25"/>
    <row r="2551" ht="11.25"/>
    <row r="2552" ht="11.25"/>
    <row r="2553" ht="11.25"/>
    <row r="2554" ht="11.25"/>
    <row r="2555" ht="11.25"/>
    <row r="2556" ht="11.25"/>
    <row r="2557" ht="11.25"/>
    <row r="2558" ht="11.25"/>
    <row r="2559" ht="11.25"/>
    <row r="2560" ht="11.25"/>
    <row r="2561" ht="11.25"/>
    <row r="2562" ht="11.25"/>
    <row r="2563" ht="11.25"/>
    <row r="2564" ht="11.25"/>
    <row r="2565" ht="11.25"/>
    <row r="2566" ht="11.25"/>
    <row r="2567" ht="11.25"/>
    <row r="2568" ht="11.25"/>
    <row r="2569" ht="11.25"/>
    <row r="2570" ht="11.25"/>
    <row r="2571" ht="11.25"/>
    <row r="2572" ht="11.25"/>
    <row r="2573" ht="11.25"/>
    <row r="2574" ht="11.25"/>
    <row r="2575" ht="11.25"/>
    <row r="2576" ht="11.25"/>
    <row r="2577" ht="11.25"/>
    <row r="2578" ht="11.25"/>
    <row r="2579" ht="11.25"/>
    <row r="2580" ht="11.25"/>
    <row r="2581" ht="11.25"/>
    <row r="2582" ht="11.25"/>
    <row r="2583" ht="11.25"/>
    <row r="2584" ht="11.25"/>
    <row r="2585" ht="11.25"/>
    <row r="2586" ht="11.25"/>
    <row r="2587" ht="11.25"/>
    <row r="2588" ht="11.25"/>
    <row r="2589" ht="11.25"/>
    <row r="2590" ht="11.25"/>
    <row r="2591" ht="11.25"/>
    <row r="2592" ht="11.25"/>
    <row r="2593" ht="11.25"/>
    <row r="2594" ht="11.25"/>
    <row r="2595" ht="11.25"/>
    <row r="2596" ht="11.25"/>
    <row r="2597" ht="11.25"/>
    <row r="2598" ht="11.25"/>
    <row r="2599" ht="11.25"/>
    <row r="2600" ht="11.25"/>
    <row r="2601" ht="11.25"/>
    <row r="2602" ht="11.25"/>
    <row r="2603" ht="11.25"/>
    <row r="2604" ht="11.25"/>
    <row r="2605" ht="11.25"/>
    <row r="2606" ht="11.25"/>
    <row r="2607" ht="11.25"/>
    <row r="2608" ht="11.25"/>
    <row r="2609" ht="11.25"/>
    <row r="2610" ht="11.25"/>
    <row r="2611" ht="11.25"/>
    <row r="2612" ht="11.25"/>
    <row r="2613" ht="11.25"/>
    <row r="2614" ht="11.25"/>
    <row r="2615" ht="11.25"/>
    <row r="2616" ht="11.25"/>
    <row r="2617" ht="11.25"/>
    <row r="2618" ht="11.25"/>
    <row r="2619" ht="11.25"/>
    <row r="2620" ht="11.25"/>
    <row r="2621" ht="11.25"/>
    <row r="2622" ht="11.25"/>
    <row r="2623" ht="11.25"/>
    <row r="2624" ht="11.25"/>
    <row r="2625" ht="11.25"/>
    <row r="2626" ht="11.25"/>
    <row r="2627" ht="11.25"/>
    <row r="2628" ht="11.25"/>
    <row r="2629" ht="11.25"/>
    <row r="2630" ht="11.25"/>
    <row r="2631" ht="11.25"/>
    <row r="2632" ht="11.25"/>
    <row r="2633" ht="11.25"/>
    <row r="2634" ht="11.25"/>
    <row r="2635" ht="11.25"/>
    <row r="2636" ht="11.25"/>
    <row r="2637" ht="11.25"/>
    <row r="2638" ht="11.25"/>
    <row r="2639" ht="11.25"/>
    <row r="2640" ht="11.25"/>
    <row r="2641" ht="11.25"/>
    <row r="2642" ht="11.25"/>
    <row r="2643" ht="11.25"/>
    <row r="2644" ht="11.25"/>
    <row r="2645" ht="11.25"/>
    <row r="2646" ht="11.25"/>
    <row r="2647" ht="11.25"/>
    <row r="2648" ht="11.25"/>
    <row r="2649" ht="11.25"/>
    <row r="2650" ht="11.25"/>
    <row r="2651" ht="11.25"/>
    <row r="2652" ht="11.25"/>
    <row r="2653" ht="11.25"/>
    <row r="2654" ht="11.25"/>
    <row r="2655" ht="11.25"/>
    <row r="2656" ht="11.25"/>
    <row r="2657" ht="11.25"/>
    <row r="2658" ht="11.25"/>
    <row r="2659" ht="11.25"/>
    <row r="2660" ht="11.25"/>
    <row r="2661" ht="11.25"/>
    <row r="2662" ht="11.25"/>
    <row r="2663" ht="11.25"/>
    <row r="2664" ht="11.25"/>
    <row r="2665" ht="11.25"/>
    <row r="2666" ht="11.25"/>
    <row r="2667" ht="11.25"/>
    <row r="2668" ht="11.25"/>
    <row r="2669" ht="11.25"/>
    <row r="2670" ht="11.25"/>
    <row r="2671" ht="11.25"/>
    <row r="2672" ht="11.25"/>
    <row r="2673" ht="11.25"/>
    <row r="2674" ht="11.25"/>
    <row r="2675" ht="11.25"/>
    <row r="2676" ht="11.25"/>
    <row r="2677" ht="11.25"/>
    <row r="2678" ht="11.25"/>
    <row r="2679" ht="11.25"/>
    <row r="2680" ht="11.25"/>
    <row r="2681" ht="11.25"/>
    <row r="2682" ht="11.25"/>
    <row r="2683" ht="11.25"/>
    <row r="2684" ht="11.25"/>
    <row r="2685" ht="11.25"/>
    <row r="2686" ht="11.25"/>
    <row r="2687" ht="11.25"/>
    <row r="2688" ht="11.25"/>
    <row r="2689" ht="11.25"/>
    <row r="2690" ht="11.25"/>
    <row r="2691" ht="11.25"/>
    <row r="2692" ht="11.25"/>
    <row r="2693" ht="11.25"/>
    <row r="2694" ht="11.25"/>
    <row r="2695" ht="11.25"/>
    <row r="2696" ht="11.25"/>
    <row r="2697" ht="11.25"/>
    <row r="2698" ht="11.25"/>
    <row r="2699" ht="11.25"/>
    <row r="2700" ht="11.25"/>
    <row r="2701" ht="11.25"/>
    <row r="2702" ht="11.25"/>
    <row r="2703" ht="11.25"/>
    <row r="2704" ht="11.25"/>
    <row r="2705" ht="11.25"/>
    <row r="2706" ht="11.25"/>
    <row r="2707" ht="11.25"/>
    <row r="2708" ht="11.25"/>
    <row r="2709" ht="11.25"/>
    <row r="2710" ht="11.25"/>
    <row r="2711" ht="11.25"/>
    <row r="2712" ht="11.25"/>
    <row r="2713" ht="11.25"/>
    <row r="2714" ht="11.25"/>
    <row r="2715" ht="11.25"/>
    <row r="2716" ht="11.25"/>
    <row r="2717" ht="11.25"/>
    <row r="2718" ht="11.25"/>
    <row r="2719" ht="11.25"/>
    <row r="2720" ht="11.25"/>
    <row r="2721" ht="11.25"/>
    <row r="2722" ht="11.25"/>
    <row r="2723" ht="11.25"/>
    <row r="2724" ht="11.25"/>
    <row r="2725" ht="11.25"/>
    <row r="2726" ht="11.25"/>
    <row r="2727" ht="11.25"/>
    <row r="2728" ht="11.25"/>
    <row r="2729" ht="11.25"/>
    <row r="2730" ht="11.25"/>
    <row r="2731" ht="11.25"/>
    <row r="2732" ht="11.25"/>
    <row r="2733" ht="11.25"/>
    <row r="2734" ht="11.25"/>
    <row r="2735" ht="11.25"/>
    <row r="2736" ht="11.25"/>
    <row r="2737" ht="11.25"/>
    <row r="2738" ht="11.25"/>
    <row r="2739" ht="11.25"/>
    <row r="2740" ht="11.25"/>
    <row r="2741" ht="11.25"/>
    <row r="2742" ht="11.25"/>
    <row r="2743" ht="11.25"/>
    <row r="2744" ht="11.25"/>
    <row r="2745" ht="11.25"/>
    <row r="2746" ht="11.25"/>
    <row r="2747" ht="11.25"/>
    <row r="2748" ht="11.25"/>
    <row r="2749" ht="11.25"/>
    <row r="2750" ht="11.25"/>
    <row r="2751" ht="11.25"/>
    <row r="2752" ht="11.25"/>
    <row r="2753" ht="11.25"/>
    <row r="2754" ht="11.25"/>
    <row r="2755" ht="11.25"/>
    <row r="2756" ht="11.25"/>
    <row r="2757" ht="11.25"/>
    <row r="2758" ht="11.25"/>
    <row r="2759" ht="11.25"/>
    <row r="2760" ht="11.25"/>
    <row r="2761" ht="11.25"/>
    <row r="2762" ht="11.25"/>
    <row r="2763" ht="11.25"/>
    <row r="2764" ht="11.25"/>
    <row r="2765" ht="11.25"/>
    <row r="2766" ht="11.25"/>
    <row r="2767" ht="11.25"/>
    <row r="2768" ht="11.25"/>
    <row r="2769" ht="11.25"/>
    <row r="2770" ht="11.25"/>
    <row r="2771" ht="11.25"/>
    <row r="2772" ht="11.25"/>
    <row r="2773" ht="11.25"/>
    <row r="2774" ht="11.25"/>
    <row r="2775" ht="11.25"/>
    <row r="2776" ht="11.25"/>
    <row r="2777" ht="11.25"/>
    <row r="2778" ht="11.25"/>
    <row r="2779" ht="11.25"/>
    <row r="2780" ht="11.25"/>
    <row r="2781" ht="11.25"/>
    <row r="2782" ht="11.25"/>
    <row r="2783" ht="11.25"/>
    <row r="2784" ht="11.25"/>
    <row r="2785" ht="11.25"/>
    <row r="2786" ht="11.25"/>
    <row r="2787" ht="11.25"/>
    <row r="2788" ht="11.25"/>
    <row r="2789" ht="11.25"/>
    <row r="2790" ht="11.25"/>
    <row r="2791" ht="11.25"/>
    <row r="2792" ht="11.25"/>
    <row r="2793" ht="11.25"/>
    <row r="2794" ht="11.25"/>
    <row r="2795" ht="11.25"/>
    <row r="2796" ht="11.25"/>
    <row r="2797" ht="11.25"/>
    <row r="2798" ht="11.25"/>
    <row r="2799" ht="11.25"/>
    <row r="2800" ht="11.25"/>
    <row r="2801" ht="11.25"/>
    <row r="2802" ht="11.25"/>
    <row r="2803" ht="11.25"/>
    <row r="2804" ht="11.25"/>
    <row r="2805" ht="11.25"/>
    <row r="2806" ht="11.25"/>
    <row r="2807" ht="11.25"/>
    <row r="2808" ht="11.25"/>
    <row r="2809" ht="11.25"/>
    <row r="2810" ht="11.25"/>
    <row r="2811" ht="11.25"/>
    <row r="2812" ht="11.25"/>
    <row r="2813" ht="11.25"/>
    <row r="2814" ht="11.25"/>
    <row r="2815" ht="11.25"/>
    <row r="2816" ht="11.25"/>
    <row r="2817" ht="11.25"/>
    <row r="2818" ht="11.25"/>
    <row r="2819" ht="11.25"/>
    <row r="2820" ht="11.25"/>
    <row r="2821" ht="11.25"/>
    <row r="2822" ht="11.25"/>
    <row r="2823" ht="11.25"/>
    <row r="2824" ht="11.25"/>
    <row r="2825" ht="11.25"/>
    <row r="2826" ht="11.25"/>
    <row r="2827" ht="11.25"/>
    <row r="2828" ht="11.25"/>
    <row r="2829" ht="11.25"/>
    <row r="2830" ht="11.25"/>
    <row r="2831" ht="11.25"/>
    <row r="2832" ht="11.25"/>
    <row r="2833" ht="11.25"/>
    <row r="2834" ht="11.25"/>
    <row r="2835" ht="11.25"/>
    <row r="2836" ht="11.25"/>
    <row r="2837" ht="11.25"/>
    <row r="2838" ht="11.25"/>
    <row r="2839" ht="11.25"/>
    <row r="2840" ht="11.25"/>
    <row r="2841" ht="11.25"/>
    <row r="2842" ht="11.25"/>
    <row r="2843" ht="11.25"/>
    <row r="2844" ht="11.25"/>
    <row r="2845" ht="11.25"/>
    <row r="2846" ht="11.25"/>
    <row r="2847" ht="11.25"/>
    <row r="2848" ht="11.25"/>
    <row r="2849" ht="11.25"/>
    <row r="2850" ht="11.25"/>
    <row r="2851" ht="11.25"/>
    <row r="2852" ht="11.25"/>
    <row r="2853" ht="11.25"/>
    <row r="2854" ht="11.25"/>
    <row r="2855" ht="11.25"/>
    <row r="2856" ht="11.25"/>
    <row r="2857" ht="11.25"/>
    <row r="2858" ht="11.25"/>
    <row r="2859" ht="11.25"/>
    <row r="2860" ht="11.25"/>
    <row r="2861" ht="11.25"/>
    <row r="2862" ht="11.25"/>
    <row r="2863" ht="11.25"/>
    <row r="2864" ht="11.25"/>
    <row r="2865" ht="11.25"/>
    <row r="2866" ht="11.25"/>
    <row r="2867" ht="11.25"/>
    <row r="2868" ht="11.25"/>
    <row r="2869" ht="11.25"/>
    <row r="2870" ht="11.25"/>
    <row r="2871" ht="11.25"/>
    <row r="2872" ht="11.25"/>
    <row r="2873" ht="11.25"/>
    <row r="2874" ht="11.25"/>
    <row r="2875" ht="11.25"/>
    <row r="2876" ht="11.25"/>
    <row r="2877" ht="11.25"/>
    <row r="2878" ht="11.25"/>
    <row r="2879" ht="11.25"/>
    <row r="2880" ht="11.25"/>
    <row r="2881" ht="11.25"/>
    <row r="2882" ht="11.25"/>
    <row r="2883" ht="11.25"/>
    <row r="2884" ht="11.25"/>
    <row r="2885" ht="11.25"/>
    <row r="2886" ht="11.25"/>
    <row r="2887" ht="11.25"/>
    <row r="2888" ht="11.25"/>
    <row r="2889" ht="11.25"/>
    <row r="2890" ht="11.25"/>
    <row r="2891" ht="11.25"/>
    <row r="2892" ht="11.25"/>
    <row r="2893" ht="11.25"/>
    <row r="2894" ht="11.25"/>
    <row r="2895" ht="11.25"/>
    <row r="2896" ht="11.25"/>
    <row r="2897" ht="11.25"/>
    <row r="2898" ht="11.25"/>
    <row r="2899" ht="11.25"/>
    <row r="2900" ht="11.25"/>
    <row r="2901" ht="11.25"/>
    <row r="2902" ht="11.25"/>
    <row r="2903" ht="11.25"/>
    <row r="2904" ht="11.25"/>
    <row r="2905" ht="11.25"/>
    <row r="2906" ht="11.25"/>
    <row r="2907" ht="11.25"/>
    <row r="2908" ht="11.25"/>
    <row r="2909" ht="11.25"/>
    <row r="2910" ht="11.25"/>
    <row r="2911" ht="11.25"/>
    <row r="2912" ht="11.25"/>
    <row r="2913" ht="11.25"/>
    <row r="2914" ht="11.25"/>
    <row r="2915" ht="11.25"/>
    <row r="2916" ht="11.25"/>
    <row r="2917" ht="11.25"/>
    <row r="2918" ht="11.25"/>
    <row r="2919" ht="11.25"/>
    <row r="2920" ht="11.25"/>
    <row r="2921" ht="11.25"/>
    <row r="2922" ht="11.25"/>
    <row r="2923" ht="11.25"/>
    <row r="2924" ht="11.25"/>
    <row r="2925" ht="11.25"/>
    <row r="2926" ht="11.25"/>
    <row r="2927" ht="11.25"/>
    <row r="2928" ht="11.25"/>
    <row r="2929" ht="11.25"/>
    <row r="2930" ht="11.25"/>
    <row r="2931" ht="11.25"/>
    <row r="2932" ht="11.25"/>
    <row r="2933" ht="11.25"/>
    <row r="2934" ht="11.25"/>
    <row r="2935" ht="11.25"/>
    <row r="2936" ht="11.25"/>
    <row r="2937" ht="11.25"/>
    <row r="2938" ht="11.25"/>
    <row r="2939" ht="11.25"/>
    <row r="2940" ht="11.25"/>
    <row r="2941" ht="11.25"/>
    <row r="2942" ht="11.25"/>
    <row r="2943" ht="11.25"/>
    <row r="2944" ht="11.25"/>
    <row r="2945" ht="11.25"/>
    <row r="2946" ht="11.25"/>
    <row r="2947" ht="11.25"/>
    <row r="2948" ht="11.25"/>
    <row r="2949" ht="11.25"/>
    <row r="2950" ht="11.25"/>
    <row r="2951" ht="11.25"/>
    <row r="2952" ht="11.25"/>
    <row r="2953" ht="11.25"/>
    <row r="2954" ht="11.25"/>
    <row r="2955" ht="11.25"/>
    <row r="2956" ht="11.25"/>
    <row r="2957" ht="11.25"/>
    <row r="2958" ht="11.25"/>
    <row r="2959" ht="11.25"/>
    <row r="2960" ht="11.25"/>
    <row r="2961" ht="11.25"/>
    <row r="2962" ht="11.25"/>
    <row r="2963" ht="11.25"/>
    <row r="2964" ht="11.25"/>
    <row r="2965" ht="11.25"/>
    <row r="2966" ht="11.25"/>
    <row r="2967" ht="11.25"/>
    <row r="2968" ht="11.25"/>
    <row r="2969" ht="11.25"/>
    <row r="2970" ht="11.25"/>
    <row r="2971" ht="11.25"/>
    <row r="2972" ht="11.25"/>
    <row r="2973" ht="11.25"/>
    <row r="2974" ht="11.25"/>
    <row r="2975" ht="11.25"/>
    <row r="2976" ht="11.25"/>
    <row r="2977" ht="11.25"/>
    <row r="2978" ht="11.25"/>
    <row r="2979" ht="11.25"/>
    <row r="2980" ht="11.25"/>
    <row r="2981" ht="11.25"/>
    <row r="2982" ht="11.25"/>
    <row r="2983" ht="11.25"/>
    <row r="2984" ht="11.25"/>
    <row r="2985" ht="11.25"/>
    <row r="2986" ht="11.25"/>
    <row r="2987" ht="11.25"/>
    <row r="2988" ht="11.25"/>
    <row r="2989" ht="11.25"/>
    <row r="2990" ht="11.25"/>
    <row r="2991" ht="11.25"/>
    <row r="2992" ht="11.25"/>
    <row r="2993" ht="11.25"/>
    <row r="2994" ht="11.25"/>
    <row r="2995" ht="11.25"/>
    <row r="2996" ht="11.25"/>
    <row r="2997" ht="11.25"/>
    <row r="2998" ht="11.25"/>
    <row r="2999" ht="11.25"/>
    <row r="3000" ht="11.25"/>
    <row r="3001" ht="11.25"/>
    <row r="3002" ht="11.25"/>
    <row r="3003" ht="11.25"/>
    <row r="3004" ht="11.25"/>
    <row r="3005" ht="11.25"/>
    <row r="3006" ht="11.25"/>
    <row r="3007" ht="11.25"/>
    <row r="3008" ht="11.25"/>
    <row r="3009" ht="11.25"/>
    <row r="3010" ht="11.25"/>
    <row r="3011" ht="11.25"/>
    <row r="3012" ht="11.25"/>
    <row r="3013" ht="11.25"/>
    <row r="3014" ht="11.25"/>
    <row r="3015" ht="11.25"/>
    <row r="3016" ht="11.25"/>
    <row r="3017" ht="11.25"/>
    <row r="3018" ht="11.25"/>
    <row r="3019" ht="11.25"/>
    <row r="3020" ht="11.25"/>
    <row r="3021" ht="11.25"/>
    <row r="3022" ht="11.25"/>
    <row r="3023" ht="11.25"/>
    <row r="3024" ht="11.25"/>
    <row r="3025" ht="11.25"/>
    <row r="3026" ht="11.25"/>
    <row r="3027" ht="11.25"/>
    <row r="3028" ht="11.25"/>
    <row r="3029" ht="11.25"/>
    <row r="3030" ht="11.25"/>
    <row r="3031" ht="11.25"/>
    <row r="3032" ht="11.25"/>
    <row r="3033" ht="11.25"/>
    <row r="3034" ht="11.25"/>
    <row r="3035" ht="11.25"/>
    <row r="3036" ht="11.25"/>
    <row r="3037" ht="11.25"/>
    <row r="3038" ht="11.25"/>
    <row r="3039" ht="11.25"/>
    <row r="3040" ht="11.25"/>
    <row r="3041" ht="11.25"/>
    <row r="3042" ht="11.25"/>
    <row r="3043" ht="11.25"/>
    <row r="3044" ht="11.25"/>
    <row r="3045" ht="11.25"/>
    <row r="3046" ht="11.25"/>
    <row r="3047" ht="11.25"/>
    <row r="3048" ht="11.25"/>
    <row r="3049" ht="11.25"/>
    <row r="3050" ht="11.25"/>
    <row r="3051" ht="11.25"/>
    <row r="3052" ht="11.25"/>
    <row r="3053" ht="11.25"/>
    <row r="3054" ht="11.25"/>
    <row r="3055" ht="11.25"/>
    <row r="3056" ht="11.25"/>
    <row r="3057" ht="11.25"/>
    <row r="3058" ht="11.25"/>
    <row r="3059" ht="11.25"/>
    <row r="3060" ht="11.25"/>
    <row r="3061" ht="11.25"/>
    <row r="3062" ht="11.25"/>
    <row r="3063" ht="11.25"/>
    <row r="3064" ht="11.25"/>
    <row r="3065" ht="11.25"/>
    <row r="3066" ht="11.25"/>
    <row r="3067" ht="11.25"/>
    <row r="3068" ht="11.25"/>
    <row r="3069" ht="11.25"/>
    <row r="3070" ht="11.25"/>
    <row r="3071" ht="11.25"/>
    <row r="3072" ht="11.25"/>
    <row r="3073" ht="11.25"/>
    <row r="3074" ht="11.25"/>
    <row r="3075" ht="11.25"/>
    <row r="3076" ht="11.25"/>
    <row r="3077" ht="11.25"/>
    <row r="3078" ht="11.25"/>
    <row r="3079" ht="11.25"/>
    <row r="3080" ht="11.25"/>
    <row r="3081" ht="11.25"/>
    <row r="3082" ht="11.25"/>
    <row r="3083" ht="11.25"/>
    <row r="3084" ht="11.25"/>
    <row r="3085" ht="11.25"/>
    <row r="3086" ht="11.25"/>
    <row r="3087" ht="11.25"/>
    <row r="3088" ht="11.25"/>
    <row r="3089" ht="11.25"/>
    <row r="3090" ht="11.25"/>
    <row r="3091" ht="11.25"/>
    <row r="3092" ht="11.25"/>
    <row r="3093" ht="11.25"/>
    <row r="3094" ht="11.25"/>
    <row r="3095" ht="11.25"/>
    <row r="3096" ht="11.25"/>
    <row r="3097" ht="11.25"/>
    <row r="3098" ht="11.25"/>
    <row r="3099" ht="11.25"/>
    <row r="3100" ht="11.25"/>
    <row r="3101" ht="11.25"/>
    <row r="3102" ht="11.25"/>
    <row r="3103" ht="11.25"/>
    <row r="3104" ht="11.25"/>
    <row r="3105" ht="11.25"/>
    <row r="3106" ht="11.25"/>
    <row r="3107" ht="11.25"/>
    <row r="3108" ht="11.25"/>
    <row r="3109" ht="11.25"/>
    <row r="3110" ht="11.25"/>
    <row r="3111" ht="11.25"/>
    <row r="3112" ht="11.25"/>
    <row r="3113" ht="11.25"/>
    <row r="3114" ht="11.25"/>
    <row r="3115" ht="11.25"/>
    <row r="3116" ht="11.25"/>
    <row r="3117" ht="11.25"/>
    <row r="3118" ht="11.25"/>
    <row r="3119" ht="11.25"/>
    <row r="3120" ht="11.25"/>
    <row r="3121" ht="11.25"/>
    <row r="3122" ht="11.25"/>
    <row r="3123" ht="11.25"/>
    <row r="3124" ht="11.25"/>
    <row r="3125" ht="11.25"/>
    <row r="3126" ht="11.25"/>
    <row r="3127" ht="11.25"/>
    <row r="3128" ht="11.25"/>
    <row r="3129" ht="11.25"/>
    <row r="3130" ht="11.25"/>
    <row r="3131" ht="11.25"/>
    <row r="3132" ht="11.25"/>
    <row r="3133" ht="11.25"/>
    <row r="3134" ht="11.25"/>
    <row r="3135" ht="11.25"/>
    <row r="3136" ht="11.25"/>
    <row r="3137" ht="11.25"/>
    <row r="3138" ht="11.25"/>
    <row r="3139" ht="11.25"/>
    <row r="3140" ht="11.25"/>
    <row r="3141" ht="11.25"/>
    <row r="3142" ht="11.25"/>
    <row r="3143" ht="11.25"/>
    <row r="3144" ht="11.25"/>
    <row r="3145" ht="11.25"/>
    <row r="3146" ht="11.25"/>
    <row r="3147" ht="11.25"/>
    <row r="3148" ht="11.25"/>
    <row r="3149" ht="11.25"/>
    <row r="3150" ht="11.25"/>
    <row r="3151" ht="11.25"/>
    <row r="3152" ht="11.25"/>
    <row r="3153" ht="11.25"/>
    <row r="3154" ht="11.25"/>
    <row r="3155" ht="11.25"/>
    <row r="3156" ht="11.25"/>
    <row r="3157" ht="11.25"/>
    <row r="3158" ht="11.25"/>
    <row r="3159" ht="11.25"/>
    <row r="3160" ht="11.25"/>
    <row r="3161" ht="11.25"/>
    <row r="3162" ht="11.25"/>
    <row r="3163" ht="11.25"/>
    <row r="3164" ht="11.25"/>
    <row r="3165" ht="11.25"/>
    <row r="3166" ht="11.25"/>
    <row r="3167" ht="11.25"/>
    <row r="3168" ht="11.25"/>
    <row r="3169" ht="11.25"/>
    <row r="3170" ht="11.25"/>
    <row r="3171" ht="11.25"/>
    <row r="3172" ht="11.25"/>
    <row r="3173" ht="11.25"/>
    <row r="3174" ht="11.25"/>
    <row r="3175" ht="11.25"/>
    <row r="3176" ht="11.25"/>
    <row r="3177" ht="11.25"/>
    <row r="3178" ht="11.25"/>
    <row r="3179" ht="11.25"/>
    <row r="3180" ht="11.25"/>
    <row r="3181" ht="11.25"/>
    <row r="3182" ht="11.25"/>
    <row r="3183" ht="11.25"/>
    <row r="3184" ht="11.25"/>
    <row r="3185" ht="11.25"/>
    <row r="3186" ht="11.25"/>
    <row r="3187" ht="11.25"/>
    <row r="3188" ht="11.25"/>
    <row r="3189" ht="11.25"/>
    <row r="3190" ht="11.25"/>
    <row r="3191" ht="11.25"/>
    <row r="3192" ht="11.25"/>
    <row r="3193" ht="11.25"/>
    <row r="3194" ht="11.25"/>
    <row r="3195" ht="11.25"/>
    <row r="3196" ht="11.25"/>
    <row r="3197" ht="11.25"/>
    <row r="3198" ht="11.25"/>
    <row r="3199" ht="11.25"/>
    <row r="3200" ht="11.25"/>
    <row r="3201" ht="11.25"/>
    <row r="3202" ht="11.25"/>
    <row r="3203" ht="11.25"/>
    <row r="3204" ht="11.25"/>
    <row r="3205" ht="11.25"/>
    <row r="3206" ht="11.25"/>
    <row r="3207" ht="11.25"/>
    <row r="3208" ht="11.25"/>
    <row r="3209" ht="11.25"/>
    <row r="3210" ht="11.25"/>
    <row r="3211" ht="11.25"/>
    <row r="3212" ht="11.25"/>
    <row r="3213" ht="11.25"/>
    <row r="3214" ht="11.25"/>
    <row r="3215" ht="11.25"/>
    <row r="3216" ht="11.25"/>
    <row r="3217" ht="11.25"/>
    <row r="3218" ht="11.25"/>
    <row r="3219" ht="11.25"/>
    <row r="3220" ht="11.25"/>
    <row r="3221" ht="11.25"/>
    <row r="3222" ht="11.25"/>
    <row r="3223" ht="11.25"/>
    <row r="3224" ht="11.25"/>
    <row r="3225" ht="11.25"/>
    <row r="3226" ht="11.25"/>
    <row r="3227" ht="11.25"/>
    <row r="3228" ht="11.25"/>
    <row r="3229" ht="11.25"/>
    <row r="3230" ht="11.25"/>
    <row r="3231" ht="11.25"/>
    <row r="3232" ht="11.25"/>
    <row r="3233" ht="11.25"/>
    <row r="3234" ht="11.25"/>
    <row r="3235" ht="11.25"/>
    <row r="3236" ht="11.25"/>
    <row r="3237" ht="11.25"/>
    <row r="3238" ht="11.25"/>
    <row r="3239" ht="11.25"/>
    <row r="3240" ht="11.25"/>
    <row r="3241" ht="11.25"/>
    <row r="3242" ht="11.25"/>
    <row r="3243" ht="11.25"/>
    <row r="3244" ht="11.25"/>
    <row r="3245" ht="11.25"/>
    <row r="3246" ht="11.25"/>
    <row r="3247" ht="11.25"/>
    <row r="3248" ht="11.25"/>
    <row r="3249" ht="11.25"/>
    <row r="3250" ht="11.25"/>
    <row r="3251" ht="11.25"/>
    <row r="3252" ht="11.25"/>
    <row r="3253" ht="11.25"/>
    <row r="3254" ht="11.25"/>
    <row r="3255" ht="11.25"/>
    <row r="3256" ht="11.25"/>
    <row r="3257" ht="11.25"/>
    <row r="3258" ht="11.25"/>
    <row r="3259" ht="11.25"/>
    <row r="3260" ht="11.25"/>
    <row r="3261" ht="11.25"/>
    <row r="3262" ht="11.25"/>
    <row r="3263" ht="11.25"/>
    <row r="3264" ht="11.25"/>
    <row r="3265" ht="11.25"/>
    <row r="3266" ht="11.25"/>
    <row r="3267" ht="11.25"/>
    <row r="3268" ht="11.25"/>
    <row r="3269" ht="11.25"/>
    <row r="3270" ht="11.25"/>
    <row r="3271" ht="11.25"/>
    <row r="3272" ht="11.25"/>
    <row r="3273" ht="11.25"/>
    <row r="3274" ht="11.25"/>
    <row r="3275" ht="11.25"/>
    <row r="3276" ht="11.25"/>
    <row r="3277" ht="11.25"/>
    <row r="3278" ht="11.25"/>
    <row r="3279" ht="11.25"/>
    <row r="3280" ht="11.25"/>
    <row r="3281" ht="11.25"/>
    <row r="3282" ht="11.25"/>
    <row r="3283" ht="11.25"/>
    <row r="3284" ht="11.25"/>
    <row r="3285" ht="11.25"/>
    <row r="3286" ht="11.25"/>
    <row r="3287" ht="11.25"/>
    <row r="3288" ht="11.25"/>
    <row r="3289" ht="11.25"/>
    <row r="3290" ht="11.25"/>
    <row r="3291" ht="11.25"/>
    <row r="3292" ht="11.25"/>
    <row r="3293" ht="11.25"/>
    <row r="3294" ht="11.25"/>
    <row r="3295" ht="11.25"/>
    <row r="3296" ht="11.25"/>
    <row r="3297" ht="11.25"/>
    <row r="3298" ht="11.25"/>
    <row r="3299" ht="11.25"/>
    <row r="3300" ht="11.25"/>
    <row r="3301" ht="11.25"/>
    <row r="3302" ht="11.25"/>
    <row r="3303" ht="11.25"/>
    <row r="3304" ht="11.25"/>
    <row r="3305" ht="11.25"/>
    <row r="3306" ht="11.25"/>
    <row r="3307" ht="11.25"/>
    <row r="3308" ht="11.25"/>
    <row r="3309" ht="11.25"/>
    <row r="3310" ht="11.25"/>
    <row r="3311" ht="11.25"/>
    <row r="3312" ht="11.25"/>
    <row r="3313" ht="11.25"/>
    <row r="3314" ht="11.25"/>
    <row r="3315" ht="11.25"/>
    <row r="3316" ht="11.25"/>
    <row r="3317" ht="11.25"/>
    <row r="3318" ht="11.25"/>
    <row r="3319" ht="11.25"/>
    <row r="3320" ht="11.25"/>
    <row r="3321" ht="11.25"/>
    <row r="3322" ht="11.25"/>
    <row r="3323" ht="11.25"/>
    <row r="3324" ht="11.25"/>
    <row r="3325" ht="11.25"/>
    <row r="3326" ht="11.25"/>
    <row r="3327" ht="11.25"/>
    <row r="3328" ht="11.25"/>
    <row r="3329" ht="11.25"/>
    <row r="3330" ht="11.25"/>
    <row r="3331" ht="11.25"/>
    <row r="3332" ht="11.25"/>
    <row r="3333" ht="11.25"/>
    <row r="3334" ht="11.25"/>
    <row r="3335" ht="11.25"/>
    <row r="3336" ht="11.25"/>
    <row r="3337" ht="11.25"/>
    <row r="3338" ht="11.25"/>
    <row r="3339" ht="11.25"/>
    <row r="3340" ht="11.25"/>
    <row r="3341" ht="11.25"/>
    <row r="3342" ht="11.25"/>
    <row r="3343" ht="11.25"/>
    <row r="3344" ht="11.25"/>
    <row r="3345" ht="11.25"/>
    <row r="3346" ht="11.25"/>
    <row r="3347" ht="11.25"/>
    <row r="3348" ht="11.25"/>
    <row r="3349" ht="11.25"/>
    <row r="3350" ht="11.25"/>
    <row r="3351" ht="11.25"/>
    <row r="3352" ht="11.25"/>
    <row r="3353" ht="11.25"/>
    <row r="3354" ht="11.25"/>
    <row r="3355" ht="11.25"/>
    <row r="3356" ht="11.25"/>
    <row r="3357" ht="11.25"/>
    <row r="3358" ht="11.25"/>
    <row r="3359" ht="11.25"/>
    <row r="3360" ht="11.25"/>
    <row r="3361" ht="11.25"/>
    <row r="3362" ht="11.25"/>
    <row r="3363" ht="11.25"/>
    <row r="3364" ht="11.25"/>
    <row r="3365" ht="11.25"/>
    <row r="3366" ht="11.25"/>
    <row r="3367" ht="11.25"/>
    <row r="3368" ht="11.25"/>
    <row r="3369" ht="11.25"/>
    <row r="3370" ht="11.25"/>
    <row r="3371" ht="11.25"/>
    <row r="3372" ht="11.25"/>
    <row r="3373" ht="11.25"/>
    <row r="3374" ht="11.25"/>
    <row r="3375" ht="11.25"/>
    <row r="3376" ht="11.25"/>
    <row r="3377" ht="11.25"/>
    <row r="3378" ht="11.25"/>
    <row r="3379" ht="11.25"/>
    <row r="3380" ht="11.25"/>
    <row r="3381" ht="11.25"/>
    <row r="3382" ht="11.25"/>
    <row r="3383" ht="11.25"/>
    <row r="3384" ht="11.25"/>
    <row r="3385" ht="11.25"/>
    <row r="3386" ht="11.25"/>
    <row r="3387" ht="11.25"/>
    <row r="3388" ht="11.25"/>
    <row r="3389" ht="11.25"/>
    <row r="3390" ht="11.25"/>
    <row r="3391" ht="11.25"/>
    <row r="3392" ht="11.25"/>
    <row r="3393" ht="11.25"/>
    <row r="3394" ht="11.25"/>
    <row r="3395" ht="11.25"/>
    <row r="3396" ht="11.25"/>
    <row r="3397" ht="11.25"/>
    <row r="3398" ht="11.25"/>
    <row r="3399" ht="11.25"/>
    <row r="3400" ht="11.25"/>
    <row r="3401" ht="11.25"/>
    <row r="3402" ht="11.25"/>
    <row r="3403" ht="11.25"/>
    <row r="3404" ht="11.25"/>
    <row r="3405" ht="11.25"/>
    <row r="3406" ht="11.25"/>
    <row r="3407" ht="11.25"/>
    <row r="3408" ht="11.25"/>
    <row r="3409" ht="11.25"/>
    <row r="3410" ht="11.25"/>
    <row r="3411" ht="11.25"/>
    <row r="3412" ht="11.25"/>
    <row r="3413" ht="11.25"/>
    <row r="3414" ht="11.25"/>
    <row r="3415" ht="11.25"/>
    <row r="3416" ht="11.25"/>
    <row r="3417" ht="11.25"/>
    <row r="3418" ht="11.25"/>
    <row r="3419" ht="11.25"/>
    <row r="3420" ht="11.25"/>
    <row r="3421" ht="11.25"/>
    <row r="3422" ht="11.25"/>
    <row r="3423" ht="11.25"/>
    <row r="3424" ht="11.25"/>
    <row r="3425" ht="11.25"/>
    <row r="3426" ht="11.25"/>
    <row r="3427" ht="11.25"/>
    <row r="3428" ht="11.25"/>
    <row r="3429" ht="11.25"/>
    <row r="3430" ht="11.25"/>
    <row r="3431" ht="11.25"/>
    <row r="3432" ht="11.25"/>
    <row r="3433" ht="11.25"/>
    <row r="3434" ht="11.25"/>
    <row r="3435" ht="11.25"/>
    <row r="3436" ht="11.25"/>
    <row r="3437" ht="11.25"/>
    <row r="3438" ht="11.25"/>
    <row r="3439" ht="11.25"/>
    <row r="3440" ht="11.25"/>
    <row r="3441" ht="11.25"/>
    <row r="3442" ht="11.25"/>
    <row r="3443" ht="11.25"/>
    <row r="3444" ht="11.25"/>
    <row r="3445" ht="11.25"/>
    <row r="3446" ht="11.25"/>
    <row r="3447" ht="11.25"/>
    <row r="3448" ht="11.25"/>
    <row r="3449" ht="11.25"/>
    <row r="3450" ht="11.25"/>
    <row r="3451" ht="11.25"/>
    <row r="3452" ht="11.25"/>
    <row r="3453" ht="11.25"/>
    <row r="3454" ht="11.25"/>
    <row r="3455" ht="11.25"/>
    <row r="3456" ht="11.25"/>
    <row r="3457" ht="11.25"/>
    <row r="3458" ht="11.25"/>
    <row r="3459" ht="11.25"/>
    <row r="3460" ht="11.25"/>
    <row r="3461" ht="11.25"/>
    <row r="3462" ht="11.25"/>
    <row r="3463" ht="11.25"/>
    <row r="3464" ht="11.25"/>
    <row r="3465" ht="11.25"/>
    <row r="3466" ht="11.25"/>
    <row r="3467" ht="11.25"/>
    <row r="3468" ht="11.25"/>
    <row r="3469" ht="11.25"/>
    <row r="3470" ht="11.25"/>
    <row r="3471" ht="11.25"/>
    <row r="3472" ht="11.25"/>
    <row r="3473" ht="11.25"/>
    <row r="3474" ht="11.25"/>
    <row r="3475" ht="11.25"/>
    <row r="3476" ht="11.25"/>
    <row r="3477" ht="11.25"/>
    <row r="3478" ht="11.25"/>
    <row r="3479" ht="11.25"/>
    <row r="3480" ht="11.25"/>
    <row r="3481" ht="11.25"/>
    <row r="3482" ht="11.25"/>
    <row r="3483" ht="11.25"/>
    <row r="3484" ht="11.25"/>
    <row r="3485" ht="11.25"/>
    <row r="3486" ht="11.25"/>
    <row r="3487" ht="11.25"/>
    <row r="3488" ht="11.25"/>
    <row r="3489" ht="11.25"/>
    <row r="3490" ht="11.25"/>
    <row r="3491" ht="11.25"/>
    <row r="3492" ht="11.25"/>
    <row r="3493" ht="11.25"/>
    <row r="3494" ht="11.25"/>
    <row r="3495" ht="11.25"/>
    <row r="3496" ht="11.25"/>
    <row r="3497" ht="11.25"/>
    <row r="3498" ht="11.25"/>
    <row r="3499" ht="11.25"/>
    <row r="3500" ht="11.25"/>
    <row r="3501" ht="11.25"/>
    <row r="3502" ht="11.25"/>
    <row r="3503" ht="11.25"/>
    <row r="3504" ht="11.25"/>
    <row r="3505" ht="11.25"/>
    <row r="3506" ht="11.25"/>
    <row r="3507" ht="11.25"/>
    <row r="3508" ht="11.25"/>
    <row r="3509" ht="11.25"/>
    <row r="3510" ht="11.25"/>
    <row r="3511" ht="11.25"/>
    <row r="3512" ht="11.25"/>
    <row r="3513" ht="11.25"/>
    <row r="3514" ht="11.25"/>
    <row r="3515" ht="11.25"/>
    <row r="3516" ht="11.25"/>
    <row r="3517" ht="11.25"/>
    <row r="3518" ht="11.25"/>
    <row r="3519" ht="11.25"/>
    <row r="3520" ht="11.25"/>
    <row r="3521" ht="11.25"/>
    <row r="3522" ht="11.25"/>
    <row r="3523" ht="11.25"/>
    <row r="3524" ht="11.25"/>
    <row r="3525" ht="11.25"/>
    <row r="3526" ht="11.25"/>
    <row r="3527" ht="11.25"/>
    <row r="3528" ht="11.25"/>
    <row r="3529" ht="11.25"/>
    <row r="3530" ht="11.25"/>
    <row r="3531" ht="11.25"/>
    <row r="3532" ht="11.25"/>
    <row r="3533" ht="11.25"/>
    <row r="3534" ht="11.25"/>
    <row r="3535" ht="11.25"/>
    <row r="3536" ht="11.25"/>
    <row r="3537" ht="11.25"/>
    <row r="3538" ht="11.25"/>
    <row r="3539" ht="11.25"/>
    <row r="3540" ht="11.25"/>
    <row r="3541" ht="11.25"/>
    <row r="3542" ht="11.25"/>
    <row r="3543" ht="11.25"/>
    <row r="3544" ht="11.25"/>
    <row r="3545" ht="11.25"/>
    <row r="3546" ht="11.25"/>
    <row r="3547" ht="11.25"/>
    <row r="3548" ht="11.25"/>
    <row r="3549" ht="11.25"/>
    <row r="3550" ht="11.25"/>
    <row r="3551" ht="11.25"/>
    <row r="3552" ht="11.25"/>
    <row r="3553" ht="11.25"/>
    <row r="3554" ht="11.25"/>
    <row r="3555" ht="11.25"/>
    <row r="3556" ht="11.25"/>
    <row r="3557" ht="11.25"/>
    <row r="3558" ht="11.25"/>
    <row r="3559" ht="11.25"/>
    <row r="3560" ht="11.25"/>
    <row r="3561" ht="11.25"/>
    <row r="3562" ht="11.25"/>
    <row r="3563" ht="11.25"/>
    <row r="3564" ht="11.25"/>
    <row r="3565" ht="11.25"/>
    <row r="3566" ht="11.25"/>
    <row r="3567" ht="11.25"/>
    <row r="3568" ht="11.25"/>
    <row r="3569" ht="11.25"/>
    <row r="3570" ht="11.25"/>
    <row r="3571" ht="11.25"/>
    <row r="3572" ht="11.25"/>
    <row r="3573" ht="11.25"/>
    <row r="3574" ht="11.25"/>
    <row r="3575" ht="11.25"/>
    <row r="3576" ht="11.25"/>
    <row r="3577" ht="11.25"/>
    <row r="3578" ht="11.25"/>
    <row r="3579" ht="11.25"/>
    <row r="3580" ht="11.25"/>
    <row r="3581" ht="11.25"/>
    <row r="3582" ht="11.25"/>
    <row r="3583" ht="11.25"/>
    <row r="3584" ht="11.25"/>
    <row r="3585" ht="11.25"/>
    <row r="3586" ht="11.25"/>
    <row r="3587" ht="11.25"/>
    <row r="3588" ht="11.25"/>
    <row r="3589" ht="11.25"/>
    <row r="3590" ht="11.25"/>
    <row r="3591" ht="11.25"/>
    <row r="3592" ht="11.25"/>
    <row r="3593" ht="11.25"/>
    <row r="3594" ht="11.25"/>
    <row r="3595" ht="11.25"/>
    <row r="3596" ht="11.25"/>
    <row r="3597" ht="11.25"/>
    <row r="3598" ht="11.25"/>
    <row r="3599" ht="11.25"/>
    <row r="3600" ht="11.25"/>
    <row r="3601" ht="11.25"/>
    <row r="3602" ht="11.25"/>
    <row r="3603" ht="11.25"/>
    <row r="3604" ht="11.25"/>
    <row r="3605" ht="11.25"/>
    <row r="3606" ht="11.25"/>
    <row r="3607" ht="11.25"/>
    <row r="3608" ht="11.25"/>
    <row r="3609" ht="11.25"/>
    <row r="3610" ht="11.25"/>
    <row r="3611" ht="11.25"/>
    <row r="3612" ht="11.25"/>
    <row r="3613" ht="11.25"/>
    <row r="3614" ht="11.25"/>
    <row r="3615" ht="11.25"/>
    <row r="3616" ht="11.25"/>
    <row r="3617" ht="11.25"/>
    <row r="3618" ht="11.25"/>
    <row r="3619" ht="11.25"/>
    <row r="3620" ht="11.25"/>
    <row r="3621" ht="11.25"/>
    <row r="3622" ht="11.25"/>
    <row r="3623" ht="11.25"/>
    <row r="3624" ht="11.25"/>
    <row r="3625" ht="11.25"/>
    <row r="3626" ht="11.25"/>
    <row r="3627" ht="11.25"/>
    <row r="3628" ht="11.25"/>
    <row r="3629" ht="11.25"/>
    <row r="3630" ht="11.25"/>
    <row r="3631" ht="11.25"/>
    <row r="3632" ht="11.25"/>
    <row r="3633" ht="11.25"/>
    <row r="3634" ht="11.25"/>
    <row r="3635" ht="11.25"/>
    <row r="3636" ht="11.25"/>
    <row r="3637" ht="11.25"/>
    <row r="3638" ht="11.25"/>
    <row r="3639" ht="11.25"/>
    <row r="3640" ht="11.25"/>
    <row r="3641" ht="11.25"/>
    <row r="3642" ht="11.25"/>
    <row r="3643" ht="11.25"/>
    <row r="3644" ht="11.25"/>
    <row r="3645" ht="11.25"/>
    <row r="3646" ht="11.25"/>
    <row r="3647" ht="11.25"/>
    <row r="3648" ht="11.25"/>
    <row r="3649" ht="11.25"/>
    <row r="3650" ht="11.25"/>
    <row r="3651" ht="11.25"/>
    <row r="3652" ht="11.25"/>
    <row r="3653" ht="11.25"/>
    <row r="3654" ht="11.25"/>
    <row r="3655" ht="11.25"/>
    <row r="3656" ht="11.25"/>
    <row r="3657" ht="11.25"/>
    <row r="3658" ht="11.25"/>
    <row r="3659" ht="11.25"/>
    <row r="3660" ht="11.25"/>
    <row r="3661" ht="11.25"/>
    <row r="3662" ht="11.25"/>
    <row r="3663" ht="11.25"/>
    <row r="3664" ht="11.25"/>
    <row r="3665" ht="11.25"/>
    <row r="3666" ht="11.25"/>
    <row r="3667" ht="11.25"/>
    <row r="3668" ht="11.25"/>
    <row r="3669" ht="11.25"/>
    <row r="3670" ht="11.25"/>
    <row r="3671" ht="11.25"/>
    <row r="3672" ht="11.25"/>
    <row r="3673" ht="11.25"/>
    <row r="3674" ht="11.25"/>
    <row r="3675" ht="11.25"/>
    <row r="3676" ht="11.25"/>
    <row r="3677" ht="11.25"/>
    <row r="3678" ht="11.25"/>
    <row r="3679" ht="11.25"/>
    <row r="3680" ht="11.25"/>
    <row r="3681" ht="11.25"/>
    <row r="3682" ht="11.25"/>
    <row r="3683" ht="11.25"/>
    <row r="3684" ht="11.25"/>
    <row r="3685" ht="11.25"/>
    <row r="3686" ht="11.25"/>
    <row r="3687" ht="11.25"/>
    <row r="3688" ht="11.25"/>
    <row r="3689" ht="11.25"/>
    <row r="3690" ht="11.25"/>
    <row r="3691" ht="11.25"/>
    <row r="3692" ht="11.25"/>
    <row r="3693" ht="11.25"/>
    <row r="3694" ht="11.25"/>
    <row r="3695" ht="11.25"/>
    <row r="3696" ht="11.25"/>
    <row r="3697" ht="11.25"/>
    <row r="3698" ht="11.25"/>
    <row r="3699" ht="11.25"/>
    <row r="3700" ht="11.25"/>
    <row r="3701" ht="11.25"/>
    <row r="3702" ht="11.25"/>
    <row r="3703" ht="11.25"/>
    <row r="3704" ht="11.25"/>
    <row r="3705" ht="11.25"/>
    <row r="3706" ht="11.25"/>
    <row r="3707" ht="11.25"/>
    <row r="3708" ht="11.25"/>
    <row r="3709" ht="11.25"/>
    <row r="3710" ht="11.25"/>
    <row r="3711" ht="11.25"/>
    <row r="3712" ht="11.25"/>
    <row r="3713" ht="11.25"/>
    <row r="3714" ht="11.25"/>
    <row r="3715" ht="11.25"/>
    <row r="3716" ht="11.25"/>
    <row r="3717" ht="11.25"/>
    <row r="3718" ht="11.25"/>
    <row r="3719" ht="11.25"/>
    <row r="3720" ht="11.25"/>
    <row r="3721" ht="11.25"/>
    <row r="3722" ht="11.25"/>
    <row r="3723" ht="11.25"/>
    <row r="3724" ht="11.25"/>
    <row r="3725" ht="11.25"/>
    <row r="3726" ht="11.25"/>
    <row r="3727" ht="11.25"/>
    <row r="3728" ht="11.25"/>
    <row r="3729" ht="11.25"/>
    <row r="3730" ht="11.25"/>
    <row r="3731" ht="11.25"/>
    <row r="3732" ht="11.25"/>
    <row r="3733" ht="11.25"/>
    <row r="3734" ht="11.25"/>
    <row r="3735" ht="11.25"/>
    <row r="3736" ht="11.25"/>
    <row r="3737" ht="11.25"/>
    <row r="3738" ht="11.25"/>
    <row r="3739" ht="11.25"/>
    <row r="3740" ht="11.25"/>
    <row r="3741" ht="11.25"/>
    <row r="3742" ht="11.25"/>
    <row r="3743" ht="11.25"/>
    <row r="3744" ht="11.25"/>
    <row r="3745" ht="11.25"/>
    <row r="3746" ht="11.25"/>
    <row r="3747" ht="11.25"/>
    <row r="3748" ht="11.25"/>
    <row r="3749" ht="11.25"/>
    <row r="3750" ht="11.25"/>
    <row r="3751" ht="11.25"/>
    <row r="3752" ht="11.25"/>
    <row r="3753" ht="11.25"/>
    <row r="3754" ht="11.25"/>
    <row r="3755" ht="11.25"/>
    <row r="3756" ht="11.25"/>
    <row r="3757" ht="11.25"/>
    <row r="3758" ht="11.25"/>
    <row r="3759" ht="11.25"/>
    <row r="3760" ht="11.25"/>
    <row r="3761" ht="11.25"/>
    <row r="3762" ht="11.25"/>
    <row r="3763" ht="11.25"/>
    <row r="3764" ht="11.25"/>
    <row r="3765" ht="11.25"/>
    <row r="3766" ht="11.25"/>
    <row r="3767" ht="11.25"/>
    <row r="3768" ht="11.25"/>
    <row r="3769" ht="11.25"/>
    <row r="3770" ht="11.25"/>
    <row r="3771" ht="11.25"/>
    <row r="3772" ht="11.25"/>
    <row r="3773" ht="11.25"/>
    <row r="3774" ht="11.25"/>
    <row r="3775" ht="11.25"/>
    <row r="3776" ht="11.25"/>
    <row r="3777" ht="11.25"/>
    <row r="3778" ht="11.25"/>
    <row r="3779" ht="11.25"/>
    <row r="3780" ht="11.25"/>
    <row r="3781" ht="11.25"/>
    <row r="3782" ht="11.25"/>
    <row r="3783" ht="11.25"/>
    <row r="3784" ht="11.25"/>
    <row r="3785" ht="11.25"/>
    <row r="3786" ht="11.25"/>
    <row r="3787" ht="11.25"/>
    <row r="3788" ht="11.25"/>
    <row r="3789" ht="11.25"/>
    <row r="3790" ht="11.25"/>
    <row r="3791" ht="11.25"/>
    <row r="3792" ht="11.25"/>
    <row r="3793" ht="11.25"/>
    <row r="3794" ht="11.25"/>
    <row r="3795" ht="11.25"/>
    <row r="3796" ht="11.25"/>
    <row r="3797" ht="11.25"/>
    <row r="3798" ht="11.25"/>
    <row r="3799" ht="11.25"/>
    <row r="3800" ht="11.25"/>
    <row r="3801" ht="11.25"/>
    <row r="3802" ht="11.25"/>
    <row r="3803" ht="11.25"/>
    <row r="3804" ht="11.25"/>
    <row r="3805" ht="11.25"/>
    <row r="3806" ht="11.25"/>
    <row r="3807" ht="11.25"/>
    <row r="3808" ht="11.25"/>
    <row r="3809" ht="11.25"/>
    <row r="3810" ht="11.25"/>
    <row r="3811" ht="11.25"/>
    <row r="3812" ht="11.25"/>
    <row r="3813" ht="11.25"/>
    <row r="3814" ht="11.25"/>
    <row r="3815" ht="11.25"/>
    <row r="3816" ht="11.25"/>
    <row r="3817" ht="11.25"/>
    <row r="3818" ht="11.25"/>
    <row r="3819" ht="11.25"/>
    <row r="3820" ht="11.25"/>
    <row r="3821" ht="11.25"/>
    <row r="3822" ht="11.25"/>
    <row r="3823" ht="11.25"/>
    <row r="3824" ht="11.25"/>
    <row r="3825" ht="11.25"/>
    <row r="3826" ht="11.25"/>
    <row r="3827" ht="11.25"/>
    <row r="3828" ht="11.25"/>
    <row r="3829" ht="11.25"/>
    <row r="3830" ht="11.25"/>
    <row r="3831" ht="11.25"/>
    <row r="3832" ht="11.25"/>
    <row r="3833" ht="11.25"/>
    <row r="3834" ht="11.25"/>
    <row r="3835" ht="11.25"/>
    <row r="3836" ht="11.25"/>
    <row r="3837" ht="11.25"/>
    <row r="3838" ht="11.25"/>
    <row r="3839" ht="11.25"/>
    <row r="3840" ht="11.25"/>
    <row r="3841" ht="11.25"/>
    <row r="3842" ht="11.25"/>
    <row r="3843" ht="11.25"/>
    <row r="3844" ht="11.25"/>
    <row r="3845" ht="11.25"/>
    <row r="3846" ht="11.25"/>
    <row r="3847" ht="11.25"/>
    <row r="3848" ht="11.25"/>
    <row r="3849" ht="11.25"/>
    <row r="3850" ht="11.25"/>
    <row r="3851" ht="11.25"/>
    <row r="3852" ht="11.25"/>
    <row r="3853" ht="11.25"/>
    <row r="3854" ht="11.25"/>
    <row r="3855" ht="11.25"/>
    <row r="3856" ht="11.25"/>
    <row r="3857" ht="11.25"/>
    <row r="3858" ht="11.25"/>
    <row r="3859" ht="11.25"/>
    <row r="3860" ht="11.25"/>
    <row r="3861" ht="11.25"/>
    <row r="3862" ht="11.25"/>
    <row r="3863" ht="11.25"/>
    <row r="3864" ht="11.25"/>
    <row r="3865" ht="11.25"/>
    <row r="3866" ht="11.25"/>
    <row r="3867" ht="11.25"/>
    <row r="3868" ht="11.25"/>
    <row r="3869" ht="11.25"/>
    <row r="3870" ht="11.25"/>
    <row r="3871" ht="11.25"/>
    <row r="3872" ht="11.25"/>
    <row r="3873" ht="11.25"/>
    <row r="3874" ht="11.25"/>
    <row r="3875" ht="11.25"/>
    <row r="3876" ht="11.25"/>
    <row r="3877" ht="11.25"/>
    <row r="3878" ht="11.25"/>
    <row r="3879" ht="11.25"/>
    <row r="3880" ht="11.25"/>
    <row r="3881" ht="11.25"/>
    <row r="3882" ht="11.25"/>
    <row r="3883" ht="11.25"/>
    <row r="3884" ht="11.25"/>
    <row r="3885" ht="11.25"/>
    <row r="3886" ht="11.25"/>
    <row r="3887" ht="11.25"/>
    <row r="3888" ht="11.25"/>
    <row r="3889" ht="11.25"/>
    <row r="3890" ht="11.25"/>
    <row r="3891" ht="11.25"/>
    <row r="3892" ht="11.25"/>
    <row r="3893" ht="11.25"/>
    <row r="3894" ht="11.25"/>
    <row r="3895" ht="11.25"/>
    <row r="3896" ht="11.25"/>
    <row r="3897" ht="11.25"/>
    <row r="3898" ht="11.25"/>
    <row r="3899" ht="11.25"/>
    <row r="3900" ht="11.25"/>
    <row r="3901" ht="11.25"/>
    <row r="3902" ht="11.25"/>
    <row r="3903" ht="11.25"/>
    <row r="3904" ht="11.25"/>
    <row r="3905" ht="11.25"/>
    <row r="3906" ht="11.25"/>
    <row r="3907" ht="11.25"/>
    <row r="3908" ht="11.25"/>
    <row r="3909" ht="11.25"/>
    <row r="3910" ht="11.25"/>
    <row r="3911" ht="11.25"/>
    <row r="3912" ht="11.25"/>
    <row r="3913" ht="11.25"/>
    <row r="3914" ht="11.25"/>
    <row r="3915" ht="11.25"/>
    <row r="3916" ht="11.25"/>
    <row r="3917" ht="11.25"/>
    <row r="3918" ht="11.25"/>
    <row r="3919" ht="11.25"/>
    <row r="3920" ht="11.25"/>
    <row r="3921" ht="11.25"/>
    <row r="3922" ht="11.25"/>
    <row r="3923" ht="11.25"/>
    <row r="3924" ht="11.25"/>
    <row r="3925" ht="11.25"/>
    <row r="3926" ht="11.25"/>
    <row r="3927" ht="11.25"/>
    <row r="3928" ht="11.25"/>
    <row r="3929" ht="11.25"/>
    <row r="3930" ht="11.25"/>
    <row r="3931" ht="11.25"/>
    <row r="3932" ht="11.25"/>
    <row r="3933" ht="11.25"/>
    <row r="3934" ht="11.25"/>
    <row r="3935" ht="11.25"/>
    <row r="3936" ht="11.25"/>
    <row r="3937" ht="11.25"/>
    <row r="3938" ht="11.25"/>
    <row r="3939" ht="11.25"/>
    <row r="3940" ht="11.25"/>
    <row r="3941" ht="11.25"/>
    <row r="3942" ht="11.25"/>
    <row r="3943" ht="11.25"/>
    <row r="3944" ht="11.25"/>
    <row r="3945" ht="11.25"/>
    <row r="3946" ht="11.25"/>
    <row r="3947" ht="11.25"/>
    <row r="3948" ht="11.25"/>
    <row r="3949" ht="11.25"/>
    <row r="3950" ht="11.25"/>
    <row r="3951" ht="11.25"/>
    <row r="3952" ht="11.25"/>
    <row r="3953" ht="11.25"/>
    <row r="3954" ht="11.25"/>
    <row r="3955" ht="11.25"/>
    <row r="3956" ht="11.25"/>
    <row r="3957" ht="11.25"/>
    <row r="3958" ht="11.25"/>
    <row r="3959" ht="11.25"/>
    <row r="3960" ht="11.25"/>
    <row r="3961" ht="11.25"/>
    <row r="3962" ht="11.25"/>
    <row r="3963" ht="11.25"/>
    <row r="3964" ht="11.25"/>
    <row r="3965" ht="11.25"/>
    <row r="3966" ht="11.25"/>
    <row r="3967" ht="11.25"/>
    <row r="3968" ht="11.25"/>
    <row r="3969" ht="11.25"/>
    <row r="3970" ht="11.25"/>
    <row r="3971" ht="11.25"/>
    <row r="3972" ht="11.25"/>
    <row r="3973" ht="11.25"/>
    <row r="3974" ht="11.25"/>
    <row r="3975" ht="11.25"/>
    <row r="3976" ht="11.25"/>
    <row r="3977" ht="11.25"/>
    <row r="3978" ht="11.25"/>
    <row r="3979" ht="11.25"/>
    <row r="3980" ht="11.25"/>
    <row r="3981" ht="11.25"/>
    <row r="3982" ht="11.25"/>
    <row r="3983" ht="11.25"/>
    <row r="3984" ht="11.25"/>
    <row r="3985" ht="11.25"/>
    <row r="3986" ht="11.25"/>
    <row r="3987" ht="11.25"/>
    <row r="3988" ht="11.25"/>
    <row r="3989" ht="11.25"/>
    <row r="3990" ht="11.25"/>
    <row r="3991" ht="11.25"/>
    <row r="3992" ht="11.25"/>
    <row r="3993" ht="11.25"/>
    <row r="3994" ht="11.25"/>
    <row r="3995" ht="11.25"/>
    <row r="3996" ht="11.25"/>
    <row r="3997" ht="11.25"/>
    <row r="3998" ht="11.25"/>
    <row r="3999" ht="11.25"/>
    <row r="4000" ht="11.25"/>
    <row r="4001" ht="11.25"/>
    <row r="4002" ht="11.25"/>
    <row r="4003" ht="11.25"/>
    <row r="4004" ht="11.25"/>
    <row r="4005" ht="11.25"/>
    <row r="4006" ht="11.25"/>
    <row r="4007" ht="11.25"/>
    <row r="4008" ht="11.25"/>
    <row r="4009" ht="11.25"/>
    <row r="4010" ht="11.25"/>
    <row r="4011" ht="11.25"/>
    <row r="4012" ht="11.25"/>
    <row r="4013" ht="11.25"/>
    <row r="4014" ht="11.25"/>
    <row r="4015" ht="11.25"/>
    <row r="4016" ht="11.25"/>
    <row r="4017" ht="11.25"/>
    <row r="4018" ht="11.25"/>
    <row r="4019" ht="11.25"/>
    <row r="4020" ht="11.25"/>
    <row r="4021" ht="11.25"/>
    <row r="4022" ht="11.25"/>
    <row r="4023" ht="11.25"/>
    <row r="4024" ht="11.25"/>
    <row r="4025" ht="11.25"/>
    <row r="4026" ht="11.25"/>
    <row r="4027" ht="11.25"/>
    <row r="4028" ht="11.25"/>
    <row r="4029" ht="11.25"/>
    <row r="4030" ht="11.25"/>
    <row r="4031" ht="11.25"/>
    <row r="4032" ht="11.25"/>
    <row r="4033" ht="11.25"/>
    <row r="4034" ht="11.25"/>
    <row r="4035" ht="11.25"/>
    <row r="4036" ht="11.25"/>
    <row r="4037" ht="11.25"/>
    <row r="4038" ht="11.25"/>
    <row r="4039" ht="11.25"/>
    <row r="4040" ht="11.25"/>
    <row r="4041" ht="11.25"/>
    <row r="4042" ht="11.25"/>
    <row r="4043" ht="11.25"/>
    <row r="4044" ht="11.25"/>
    <row r="4045" ht="11.25"/>
    <row r="4046" ht="11.25"/>
    <row r="4047" ht="11.25"/>
    <row r="4048" ht="11.25"/>
    <row r="4049" ht="11.25"/>
    <row r="4050" ht="11.25"/>
    <row r="4051" ht="11.25"/>
    <row r="4052" ht="11.25"/>
    <row r="4053" ht="11.25"/>
    <row r="4054" ht="11.25"/>
    <row r="4055" ht="11.25"/>
    <row r="4056" ht="11.25"/>
    <row r="4057" ht="11.25"/>
    <row r="4058" ht="11.25"/>
    <row r="4059" ht="11.25"/>
    <row r="4060" ht="11.25"/>
    <row r="4061" ht="11.25"/>
    <row r="4062" ht="11.25"/>
    <row r="4063" ht="11.25"/>
    <row r="4064" ht="11.25"/>
    <row r="4065" ht="11.25"/>
    <row r="4066" ht="11.25"/>
    <row r="4067" ht="11.25"/>
    <row r="4068" ht="11.25"/>
    <row r="4069" ht="11.25"/>
    <row r="4070" ht="11.25"/>
    <row r="4071" ht="11.25"/>
    <row r="4072" ht="11.25"/>
    <row r="4073" ht="11.25"/>
    <row r="4074" ht="11.25"/>
    <row r="4075" ht="11.25"/>
    <row r="4076" ht="11.25"/>
    <row r="4077" ht="11.25"/>
    <row r="4078" ht="11.25"/>
    <row r="4079" ht="11.25"/>
    <row r="4080" ht="11.25"/>
    <row r="4081" ht="11.25"/>
    <row r="4082" ht="11.25"/>
    <row r="4083" ht="11.25"/>
    <row r="4084" ht="11.25"/>
    <row r="4085" ht="11.25"/>
    <row r="4086" ht="11.25"/>
    <row r="4087" ht="11.25"/>
    <row r="4088" ht="11.25"/>
    <row r="4089" ht="11.25"/>
    <row r="4090" ht="11.25"/>
    <row r="4091" ht="11.25"/>
    <row r="4092" ht="11.25"/>
    <row r="4093" ht="11.25"/>
    <row r="4094" ht="11.25"/>
    <row r="4095" ht="11.25"/>
    <row r="4096" ht="11.25"/>
    <row r="4097" ht="11.25"/>
    <row r="4098" ht="11.25"/>
    <row r="4099" ht="11.25"/>
    <row r="4100" ht="11.25"/>
    <row r="4101" ht="11.25"/>
    <row r="4102" ht="11.25"/>
    <row r="4103" ht="11.25"/>
    <row r="4104" ht="11.25"/>
    <row r="4105" ht="11.25"/>
    <row r="4106" ht="11.25"/>
    <row r="4107" ht="11.25"/>
    <row r="4108" ht="11.25"/>
    <row r="4109" ht="11.25"/>
    <row r="4110" ht="11.25"/>
    <row r="4111" ht="11.25"/>
    <row r="4112" ht="11.25"/>
    <row r="4113" ht="11.25"/>
    <row r="4114" ht="11.25"/>
    <row r="4115" ht="11.25"/>
    <row r="4116" ht="11.25"/>
    <row r="4117" ht="11.25"/>
    <row r="4118" ht="11.25"/>
    <row r="4119" ht="11.25"/>
    <row r="4120" ht="11.25"/>
    <row r="4121" ht="11.25"/>
    <row r="4122" ht="11.25"/>
    <row r="4123" ht="11.25"/>
    <row r="4124" ht="11.25"/>
    <row r="4125" ht="11.25"/>
    <row r="4126" ht="11.25"/>
    <row r="4127" ht="11.25"/>
    <row r="4128" ht="11.25"/>
    <row r="4129" ht="11.25"/>
    <row r="4130" ht="11.25"/>
    <row r="4131" ht="11.25"/>
    <row r="4132" ht="11.25"/>
    <row r="4133" ht="11.25"/>
    <row r="4134" ht="11.25"/>
    <row r="4135" ht="11.25"/>
    <row r="4136" ht="11.25"/>
    <row r="4137" ht="11.25"/>
    <row r="4138" ht="11.25"/>
    <row r="4139" ht="11.25"/>
    <row r="4140" ht="11.25"/>
    <row r="4141" ht="11.25"/>
    <row r="4142" ht="11.25"/>
    <row r="4143" ht="11.25"/>
    <row r="4144" ht="11.25"/>
    <row r="4145" ht="11.25"/>
    <row r="4146" ht="11.25"/>
    <row r="4147" ht="11.25"/>
    <row r="4148" ht="11.25"/>
    <row r="4149" ht="11.25"/>
    <row r="4150" ht="11.25"/>
    <row r="4151" ht="11.25"/>
    <row r="4152" ht="11.25"/>
    <row r="4153" ht="11.25"/>
    <row r="4154" ht="11.25"/>
    <row r="4155" ht="11.25"/>
    <row r="4156" ht="11.25"/>
    <row r="4157" ht="11.25"/>
    <row r="4158" ht="11.25"/>
    <row r="4159" ht="11.25"/>
    <row r="4160" ht="11.25"/>
    <row r="4161" ht="11.25"/>
    <row r="4162" ht="11.25"/>
    <row r="4163" ht="11.25"/>
    <row r="4164" ht="11.25"/>
    <row r="4165" ht="11.25"/>
    <row r="4166" ht="11.25"/>
    <row r="4167" ht="11.25"/>
    <row r="4168" ht="11.25"/>
    <row r="4169" ht="11.25"/>
    <row r="4170" ht="11.25"/>
    <row r="4171" ht="11.25"/>
    <row r="4172" ht="11.25"/>
    <row r="4173" ht="11.25"/>
    <row r="4174" ht="11.25"/>
    <row r="4175" ht="11.25"/>
    <row r="4176" ht="11.25"/>
    <row r="4177" ht="11.25"/>
    <row r="4178" ht="11.25"/>
    <row r="4179" ht="11.25"/>
    <row r="4180" ht="11.25"/>
    <row r="4181" ht="11.25"/>
    <row r="4182" ht="11.25"/>
    <row r="4183" ht="11.25"/>
    <row r="4184" ht="11.25"/>
    <row r="4185" ht="11.25"/>
    <row r="4186" ht="11.25"/>
    <row r="4187" ht="11.25"/>
    <row r="4188" ht="11.25"/>
    <row r="4189" ht="11.25"/>
    <row r="4190" ht="11.25"/>
    <row r="4191" ht="11.25"/>
    <row r="4192" ht="11.25"/>
    <row r="4193" ht="11.25"/>
    <row r="4194" ht="11.25"/>
    <row r="4195" ht="11.25"/>
    <row r="4196" ht="11.25"/>
    <row r="4197" ht="11.25"/>
    <row r="4198" ht="11.25"/>
    <row r="4199" ht="11.25"/>
    <row r="4200" ht="11.25"/>
    <row r="4201" ht="11.25"/>
    <row r="4202" ht="11.25"/>
    <row r="4203" ht="11.25"/>
    <row r="4204" ht="11.25"/>
    <row r="4205" ht="11.25"/>
    <row r="4206" ht="11.25"/>
    <row r="4207" ht="11.25"/>
    <row r="4208" ht="11.25"/>
    <row r="4209" ht="11.25"/>
    <row r="4210" ht="11.25"/>
    <row r="4211" ht="11.25"/>
    <row r="4212" ht="11.25"/>
    <row r="4213" ht="11.25"/>
    <row r="4214" ht="11.25"/>
    <row r="4215" ht="11.25"/>
    <row r="4216" ht="11.25"/>
    <row r="4217" ht="11.25"/>
    <row r="4218" ht="11.25"/>
    <row r="4219" ht="11.25"/>
    <row r="4220" ht="11.25"/>
    <row r="4221" ht="11.25"/>
    <row r="4222" ht="11.25"/>
    <row r="4223" ht="11.25"/>
    <row r="4224" ht="11.25"/>
    <row r="4225" ht="11.25"/>
    <row r="4226" ht="11.25"/>
    <row r="4227" ht="11.25"/>
    <row r="4228" ht="11.25"/>
    <row r="4229" ht="11.25"/>
    <row r="4230" ht="11.25"/>
    <row r="4231" ht="11.25"/>
    <row r="4232" ht="11.25"/>
    <row r="4233" ht="11.25"/>
    <row r="4234" ht="11.25"/>
    <row r="4235" ht="11.25"/>
    <row r="4236" ht="11.25"/>
    <row r="4237" ht="11.25"/>
    <row r="4238" ht="11.25"/>
    <row r="4239" ht="11.25"/>
    <row r="4240" ht="11.25"/>
    <row r="4241" ht="11.25"/>
    <row r="4242" ht="11.25"/>
    <row r="4243" ht="11.25"/>
    <row r="4244" ht="11.25"/>
    <row r="4245" ht="11.25"/>
    <row r="4246" ht="11.25"/>
    <row r="4247" ht="11.25"/>
    <row r="4248" ht="11.25"/>
    <row r="4249" ht="11.25"/>
    <row r="4250" ht="11.25"/>
    <row r="4251" ht="11.25"/>
    <row r="4252" ht="11.25"/>
    <row r="4253" ht="11.25"/>
    <row r="4254" ht="11.25"/>
    <row r="4255" ht="11.25"/>
    <row r="4256" ht="11.25"/>
    <row r="4257" ht="11.25"/>
    <row r="4258" ht="11.25"/>
    <row r="4259" ht="11.25"/>
    <row r="4260" ht="11.25"/>
    <row r="4261" ht="11.25"/>
    <row r="4262" ht="11.25"/>
    <row r="4263" ht="11.25"/>
    <row r="4264" ht="11.25"/>
    <row r="4265" ht="11.25"/>
    <row r="4266" ht="11.25"/>
    <row r="4267" ht="11.25"/>
    <row r="4268" ht="11.25"/>
    <row r="4269" ht="11.25"/>
    <row r="4270" ht="11.25"/>
    <row r="4271" ht="11.25"/>
    <row r="4272" ht="11.25"/>
    <row r="4273" ht="11.25"/>
    <row r="4274" ht="11.25"/>
    <row r="4275" ht="11.25"/>
    <row r="4276" ht="11.25"/>
    <row r="4277" ht="11.25"/>
    <row r="4278" ht="11.25"/>
    <row r="4279" ht="11.25"/>
    <row r="4280" ht="11.25"/>
    <row r="4281" ht="11.25"/>
    <row r="4282" ht="11.25"/>
    <row r="4283" ht="11.25"/>
    <row r="4284" ht="11.25"/>
    <row r="4285" ht="11.25"/>
    <row r="4286" ht="11.25"/>
    <row r="4287" ht="11.25"/>
    <row r="4288" ht="11.25"/>
    <row r="4289" ht="11.25"/>
    <row r="4290" ht="11.25"/>
    <row r="4291" ht="11.25"/>
    <row r="4292" ht="11.25"/>
    <row r="4293" ht="11.25"/>
    <row r="4294" ht="11.25"/>
    <row r="4295" ht="11.25"/>
    <row r="4296" ht="11.25"/>
    <row r="4297" ht="11.25"/>
    <row r="4298" ht="11.25"/>
    <row r="4299" ht="11.25"/>
    <row r="4300" ht="11.25"/>
    <row r="4301" ht="11.25"/>
    <row r="4302" ht="11.25"/>
    <row r="4303" ht="11.25"/>
    <row r="4304" ht="11.25"/>
    <row r="4305" ht="11.25"/>
    <row r="4306" ht="11.25"/>
    <row r="4307" ht="11.25"/>
    <row r="4308" ht="11.25"/>
    <row r="4309" ht="11.25"/>
    <row r="4310" ht="11.25"/>
    <row r="4311" ht="11.25"/>
    <row r="4312" ht="11.25"/>
    <row r="4313" ht="11.25"/>
    <row r="4314" ht="11.25"/>
    <row r="4315" ht="11.25"/>
    <row r="4316" ht="11.25"/>
    <row r="4317" ht="11.25"/>
    <row r="4318" ht="11.25"/>
    <row r="4319" ht="11.25"/>
    <row r="4320" ht="11.25"/>
    <row r="4321" ht="11.25"/>
    <row r="4322" ht="11.25"/>
    <row r="4323" ht="11.25"/>
    <row r="4324" ht="11.25"/>
    <row r="4325" ht="11.25"/>
    <row r="4326" ht="11.25"/>
    <row r="4327" ht="11.25"/>
    <row r="4328" ht="11.25"/>
    <row r="4329" ht="11.25"/>
    <row r="4330" ht="11.25"/>
    <row r="4331" ht="11.25"/>
    <row r="4332" ht="11.25"/>
    <row r="4333" ht="11.25"/>
    <row r="4334" ht="11.25"/>
    <row r="4335" ht="11.25"/>
    <row r="4336" ht="11.25"/>
    <row r="4337" ht="11.25"/>
    <row r="4338" ht="11.25"/>
    <row r="4339" ht="11.25"/>
    <row r="4340" ht="11.25"/>
    <row r="4341" ht="11.25"/>
    <row r="4342" ht="11.25"/>
    <row r="4343" ht="11.25"/>
    <row r="4344" ht="11.25"/>
    <row r="4345" ht="11.25"/>
    <row r="4346" ht="11.25"/>
    <row r="4347" ht="11.25"/>
    <row r="4348" ht="11.25"/>
    <row r="4349" ht="11.25"/>
    <row r="4350" ht="11.25"/>
    <row r="4351" ht="11.25"/>
    <row r="4352" ht="11.25"/>
    <row r="4353" ht="11.25"/>
    <row r="4354" ht="11.25"/>
    <row r="4355" ht="11.25"/>
    <row r="4356" ht="11.25"/>
    <row r="4357" ht="11.25"/>
    <row r="4358" ht="11.25"/>
    <row r="4359" ht="11.25"/>
    <row r="4360" ht="11.25"/>
    <row r="4361" ht="11.25"/>
    <row r="4362" ht="11.25"/>
    <row r="4363" ht="11.25"/>
    <row r="4364" ht="11.25"/>
    <row r="4365" ht="11.25"/>
    <row r="4366" ht="11.25"/>
    <row r="4367" ht="11.25"/>
    <row r="4368" ht="11.25"/>
    <row r="4369" ht="11.25"/>
    <row r="4370" ht="11.25"/>
    <row r="4371" ht="11.25"/>
    <row r="4372" ht="11.25"/>
    <row r="4373" ht="11.25"/>
    <row r="4374" ht="11.25"/>
    <row r="4375" ht="11.25"/>
    <row r="4376" ht="11.25"/>
    <row r="4377" ht="11.25"/>
    <row r="4378" ht="11.25"/>
    <row r="4379" ht="11.25"/>
    <row r="4380" ht="11.25"/>
    <row r="4381" ht="11.25"/>
    <row r="4382" ht="11.25"/>
    <row r="4383" ht="11.25"/>
    <row r="4384" ht="11.25"/>
    <row r="4385" ht="11.25"/>
    <row r="4386" ht="11.25"/>
    <row r="4387" ht="11.25"/>
    <row r="4388" ht="11.25"/>
    <row r="4389" ht="11.25"/>
    <row r="4390" ht="11.25"/>
    <row r="4391" ht="11.25"/>
    <row r="4392" ht="11.25"/>
    <row r="4393" ht="11.25"/>
    <row r="4394" ht="11.25"/>
    <row r="4395" ht="11.25"/>
    <row r="4396" ht="11.25"/>
    <row r="4397" ht="11.25"/>
    <row r="4398" ht="11.25"/>
    <row r="4399" ht="11.25"/>
    <row r="4400" ht="11.25"/>
    <row r="4401" ht="11.25"/>
    <row r="4402" ht="11.25"/>
    <row r="4403" ht="11.25"/>
    <row r="4404" ht="11.25"/>
    <row r="4405" ht="11.25"/>
    <row r="4406" ht="11.25"/>
    <row r="4407" ht="11.25"/>
    <row r="4408" ht="11.25"/>
    <row r="4409" ht="11.25"/>
    <row r="4410" ht="11.25"/>
    <row r="4411" ht="11.25"/>
    <row r="4412" ht="11.25"/>
    <row r="4413" ht="11.25"/>
    <row r="4414" ht="11.25"/>
    <row r="4415" ht="11.25"/>
    <row r="4416" ht="11.25"/>
    <row r="4417" ht="11.25"/>
    <row r="4418" ht="11.25"/>
    <row r="4419" ht="11.25"/>
    <row r="4420" ht="11.25"/>
    <row r="4421" ht="11.25"/>
    <row r="4422" ht="11.25"/>
    <row r="4423" ht="11.25"/>
    <row r="4424" ht="11.25"/>
    <row r="4425" ht="11.25"/>
    <row r="4426" ht="11.25"/>
    <row r="4427" ht="11.25"/>
    <row r="4428" ht="11.25"/>
    <row r="4429" ht="11.25"/>
    <row r="4430" ht="11.25"/>
    <row r="4431" ht="11.25"/>
    <row r="4432" ht="11.25"/>
    <row r="4433" ht="11.25"/>
    <row r="4434" ht="11.25"/>
    <row r="4435" ht="11.25"/>
    <row r="4436" ht="11.25"/>
    <row r="4437" ht="11.25"/>
    <row r="4438" ht="11.25"/>
    <row r="4439" ht="11.25"/>
    <row r="4440" ht="11.25"/>
    <row r="4441" ht="11.25"/>
    <row r="4442" ht="11.25"/>
    <row r="4443" ht="11.25"/>
    <row r="4444" ht="11.25"/>
    <row r="4445" ht="11.25"/>
    <row r="4446" ht="11.25"/>
    <row r="4447" ht="11.25"/>
    <row r="4448" ht="11.25"/>
    <row r="4449" ht="11.25"/>
    <row r="4450" ht="11.25"/>
    <row r="4451" ht="11.25"/>
    <row r="4452" ht="11.25"/>
    <row r="4453" ht="11.25"/>
    <row r="4454" ht="11.25"/>
    <row r="4455" ht="11.25"/>
    <row r="4456" ht="11.25"/>
    <row r="4457" ht="11.25"/>
    <row r="4458" ht="11.25"/>
    <row r="4459" ht="11.25"/>
    <row r="4460" ht="11.25"/>
    <row r="4461" ht="11.25"/>
    <row r="4462" ht="11.25"/>
    <row r="4463" ht="11.25"/>
    <row r="4464" ht="11.25"/>
    <row r="4465" ht="11.25"/>
    <row r="4466" ht="11.25"/>
    <row r="4467" ht="11.25"/>
    <row r="4468" ht="11.25"/>
    <row r="4469" ht="11.25"/>
    <row r="4470" ht="11.25"/>
    <row r="4471" ht="11.25"/>
    <row r="4472" ht="11.25"/>
    <row r="4473" ht="11.25"/>
    <row r="4474" ht="11.25"/>
    <row r="4475" ht="11.25"/>
    <row r="4476" ht="11.25"/>
    <row r="4477" ht="11.25"/>
    <row r="4478" ht="11.25"/>
    <row r="4479" ht="11.25"/>
    <row r="4480" ht="11.25"/>
    <row r="4481" ht="11.25"/>
    <row r="4482" ht="11.25"/>
    <row r="4483" ht="11.25"/>
    <row r="4484" ht="11.25"/>
    <row r="4485" ht="11.25"/>
    <row r="4486" ht="11.25"/>
    <row r="4487" ht="11.25"/>
    <row r="4488" ht="11.25"/>
    <row r="4489" ht="11.25"/>
    <row r="4490" ht="11.25"/>
    <row r="4491" ht="11.25"/>
    <row r="4492" ht="11.25"/>
    <row r="4493" ht="11.25"/>
    <row r="4494" ht="11.25"/>
    <row r="4495" ht="11.25"/>
    <row r="4496" ht="11.25"/>
    <row r="4497" ht="11.25"/>
    <row r="4498" ht="11.25"/>
    <row r="4499" ht="11.25"/>
    <row r="4500" ht="11.25"/>
    <row r="4501" ht="11.25"/>
    <row r="4502" ht="11.25"/>
    <row r="4503" ht="11.25"/>
    <row r="4504" ht="11.25"/>
    <row r="4505" ht="11.25"/>
    <row r="4506" ht="11.25"/>
    <row r="4507" ht="11.25"/>
    <row r="4508" ht="11.25"/>
    <row r="4509" ht="11.25"/>
    <row r="4510" ht="11.25"/>
    <row r="4511" ht="11.25"/>
    <row r="4512" ht="11.25"/>
    <row r="4513" ht="11.25"/>
    <row r="4514" ht="11.25"/>
    <row r="4515" ht="11.25"/>
    <row r="4516" ht="11.25"/>
    <row r="4517" ht="11.25"/>
    <row r="4518" ht="11.25"/>
    <row r="4519" ht="11.25"/>
    <row r="4520" ht="11.25"/>
    <row r="4521" ht="11.25"/>
    <row r="4522" ht="11.25"/>
    <row r="4523" ht="11.25"/>
    <row r="4524" ht="11.25"/>
    <row r="4525" ht="11.25"/>
    <row r="4526" ht="11.25"/>
    <row r="4527" ht="11.25"/>
    <row r="4528" ht="11.25"/>
    <row r="4529" ht="11.25"/>
    <row r="4530" ht="11.25"/>
    <row r="4531" ht="11.25"/>
    <row r="4532" ht="11.25"/>
    <row r="4533" ht="11.25"/>
    <row r="4534" ht="11.25"/>
    <row r="4535" ht="11.25"/>
    <row r="4536" ht="11.25"/>
    <row r="4537" ht="11.25"/>
    <row r="4538" ht="11.25"/>
    <row r="4539" ht="11.25"/>
    <row r="4540" ht="11.25"/>
    <row r="4541" ht="11.25"/>
    <row r="4542" ht="11.25"/>
    <row r="4543" ht="11.25"/>
    <row r="4544" ht="11.25"/>
    <row r="4545" ht="11.25"/>
    <row r="4546" ht="11.25"/>
    <row r="4547" ht="11.25"/>
    <row r="4548" ht="11.25"/>
    <row r="4549" ht="11.25"/>
    <row r="4550" ht="11.25"/>
    <row r="4551" ht="11.25"/>
    <row r="4552" ht="11.25"/>
    <row r="4553" ht="11.25"/>
    <row r="4554" ht="11.25"/>
    <row r="4555" ht="11.25"/>
    <row r="4556" ht="11.25"/>
    <row r="4557" ht="11.25"/>
    <row r="4558" ht="11.25"/>
    <row r="4559" ht="11.25"/>
    <row r="4560" ht="11.25"/>
    <row r="4561" ht="11.25"/>
    <row r="4562" ht="11.25"/>
    <row r="4563" ht="11.25"/>
    <row r="4564" ht="11.25"/>
    <row r="4565" ht="11.25"/>
    <row r="4566" ht="11.25"/>
    <row r="4567" ht="11.25"/>
    <row r="4568" ht="11.25"/>
    <row r="4569" ht="11.25"/>
    <row r="4570" ht="11.25"/>
    <row r="4571" ht="11.25"/>
    <row r="4572" ht="11.25"/>
    <row r="4573" ht="11.25"/>
    <row r="4574" ht="11.25"/>
    <row r="4575" ht="11.25"/>
    <row r="4576" ht="11.25"/>
    <row r="4577" ht="11.25"/>
    <row r="4578" ht="11.25"/>
    <row r="4579" ht="11.25"/>
    <row r="4580" ht="11.25"/>
    <row r="4581" ht="11.25"/>
    <row r="4582" ht="11.25"/>
    <row r="4583" ht="11.25"/>
    <row r="4584" ht="11.25"/>
    <row r="4585" ht="11.25"/>
    <row r="4586" ht="11.25"/>
    <row r="4587" ht="11.25"/>
    <row r="4588" ht="11.25"/>
    <row r="4589" ht="11.25"/>
    <row r="4590" ht="11.25"/>
    <row r="4591" ht="11.25"/>
    <row r="4592" ht="11.25"/>
    <row r="4593" ht="11.25"/>
    <row r="4594" ht="11.25"/>
    <row r="4595" ht="11.25"/>
    <row r="4596" ht="11.25"/>
    <row r="4597" ht="11.25"/>
    <row r="4598" ht="11.25"/>
    <row r="4599" ht="11.25"/>
    <row r="4600" ht="11.25"/>
    <row r="4601" ht="11.25"/>
    <row r="4602" ht="11.25"/>
    <row r="4603" ht="11.25"/>
    <row r="4604" ht="11.25"/>
    <row r="4605" ht="11.25"/>
    <row r="4606" ht="11.25"/>
    <row r="4607" ht="11.25"/>
    <row r="4608" ht="11.25"/>
    <row r="4609" ht="11.25"/>
    <row r="4610" ht="11.25"/>
    <row r="4611" ht="11.25"/>
    <row r="4612" ht="11.25"/>
    <row r="4613" ht="11.25"/>
    <row r="4614" ht="11.25"/>
    <row r="4615" ht="11.25"/>
    <row r="4616" ht="11.25"/>
    <row r="4617" ht="11.25"/>
    <row r="4618" ht="11.25"/>
    <row r="4619" ht="11.25"/>
    <row r="4620" ht="11.25"/>
    <row r="4621" ht="11.25"/>
    <row r="4622" ht="11.25"/>
    <row r="4623" ht="11.25"/>
    <row r="4624" ht="11.25"/>
    <row r="4625" ht="11.25"/>
    <row r="4626" ht="11.25"/>
    <row r="4627" ht="11.25"/>
    <row r="4628" ht="11.25"/>
    <row r="4629" ht="11.25"/>
    <row r="4630" ht="11.25"/>
    <row r="4631" ht="11.25"/>
    <row r="4632" ht="11.25"/>
    <row r="4633" ht="11.25"/>
    <row r="4634" ht="11.25"/>
    <row r="4635" ht="11.25"/>
    <row r="4636" ht="11.25"/>
    <row r="4637" ht="11.25"/>
    <row r="4638" ht="11.25"/>
    <row r="4639" ht="11.25"/>
    <row r="4640" ht="11.25"/>
    <row r="4641" ht="11.25"/>
    <row r="4642" ht="11.25"/>
    <row r="4643" ht="11.25"/>
    <row r="4644" ht="11.25"/>
    <row r="4645" ht="11.25"/>
    <row r="4646" ht="11.25"/>
    <row r="4647" ht="11.25"/>
    <row r="4648" ht="11.25"/>
    <row r="4649" ht="11.25"/>
    <row r="4650" ht="11.25"/>
    <row r="4651" ht="11.25"/>
    <row r="4652" ht="11.25"/>
    <row r="4653" ht="11.25"/>
    <row r="4654" ht="11.25"/>
    <row r="4655" ht="11.25"/>
    <row r="4656" ht="11.25"/>
    <row r="4657" ht="11.25"/>
    <row r="4658" ht="11.25"/>
    <row r="4659" ht="11.25"/>
    <row r="4660" ht="11.25"/>
    <row r="4661" ht="11.25"/>
    <row r="4662" ht="11.25"/>
    <row r="4663" ht="11.25"/>
    <row r="4664" ht="11.25"/>
    <row r="4665" ht="11.25"/>
    <row r="4666" ht="11.25"/>
    <row r="4667" ht="11.25"/>
    <row r="4668" ht="11.25"/>
    <row r="4669" ht="11.25"/>
    <row r="4670" ht="11.25"/>
    <row r="4671" ht="11.25"/>
    <row r="4672" ht="11.25"/>
    <row r="4673" ht="11.25"/>
    <row r="4674" ht="11.25"/>
    <row r="4675" ht="11.25"/>
    <row r="4676" ht="11.25"/>
    <row r="4677" ht="11.25"/>
    <row r="4678" ht="11.25"/>
    <row r="4679" ht="11.25"/>
    <row r="4680" ht="11.25"/>
    <row r="4681" ht="11.25"/>
    <row r="4682" ht="11.25"/>
    <row r="4683" ht="11.25"/>
    <row r="4684" ht="11.25"/>
    <row r="4685" ht="11.25"/>
    <row r="4686" ht="11.25"/>
    <row r="4687" ht="11.25"/>
    <row r="4688" ht="11.25"/>
    <row r="4689" ht="11.25"/>
    <row r="4690" ht="11.25"/>
    <row r="4691" ht="11.25"/>
    <row r="4692" ht="11.25"/>
    <row r="4693" ht="11.25"/>
    <row r="4694" ht="11.25"/>
    <row r="4695" ht="11.25"/>
    <row r="4696" ht="11.25"/>
    <row r="4697" ht="11.25"/>
    <row r="4698" ht="11.25"/>
    <row r="4699" ht="11.25"/>
    <row r="4700" ht="11.25"/>
    <row r="4701" ht="11.25"/>
    <row r="4702" ht="11.25"/>
    <row r="4703" ht="11.25"/>
    <row r="4704" ht="11.25"/>
    <row r="4705" ht="11.25"/>
    <row r="4706" ht="11.25"/>
    <row r="4707" ht="11.25"/>
    <row r="4708" ht="11.25"/>
    <row r="4709" ht="11.25"/>
    <row r="4710" ht="11.25"/>
    <row r="4711" ht="11.25"/>
    <row r="4712" ht="11.25"/>
    <row r="4713" ht="11.25"/>
    <row r="4714" ht="11.25"/>
    <row r="4715" ht="11.25"/>
    <row r="4716" ht="11.25"/>
    <row r="4717" ht="11.25"/>
    <row r="4718" ht="11.25"/>
    <row r="4719" ht="11.25"/>
    <row r="4720" ht="11.25"/>
    <row r="4721" ht="11.25"/>
    <row r="4722" ht="11.25"/>
    <row r="4723" ht="11.25"/>
    <row r="4724" ht="11.25"/>
    <row r="4725" ht="11.25"/>
    <row r="4726" ht="11.25"/>
    <row r="4727" ht="11.25"/>
    <row r="4728" ht="11.25"/>
    <row r="4729" ht="11.25"/>
    <row r="4730" ht="11.25"/>
    <row r="4731" ht="11.25"/>
    <row r="4732" ht="11.25"/>
    <row r="4733" ht="11.25"/>
    <row r="4734" ht="11.25"/>
    <row r="4735" ht="11.25"/>
    <row r="4736" ht="11.25"/>
    <row r="4737" ht="11.25"/>
    <row r="4738" ht="11.25"/>
    <row r="4739" ht="11.25"/>
    <row r="4740" ht="11.25"/>
    <row r="4741" ht="11.25"/>
    <row r="4742" ht="11.25"/>
    <row r="4743" ht="11.25"/>
    <row r="4744" ht="11.25"/>
    <row r="4745" ht="11.25"/>
    <row r="4746" ht="11.25"/>
    <row r="4747" ht="11.25"/>
    <row r="4748" ht="11.25"/>
    <row r="4749" ht="11.25"/>
    <row r="4750" ht="11.25"/>
    <row r="4751" ht="11.25"/>
    <row r="4752" ht="11.25"/>
    <row r="4753" ht="11.25"/>
    <row r="4754" ht="11.25"/>
    <row r="4755" ht="11.25"/>
    <row r="4756" ht="11.25"/>
    <row r="4757" ht="11.25"/>
    <row r="4758" ht="11.25"/>
    <row r="4759" ht="11.25"/>
    <row r="4760" ht="11.25"/>
    <row r="4761" ht="11.25"/>
    <row r="4762" ht="11.25"/>
    <row r="4763" ht="11.25"/>
    <row r="4764" ht="11.25"/>
    <row r="4765" ht="11.25"/>
    <row r="4766" ht="11.25"/>
    <row r="4767" ht="11.25"/>
    <row r="4768" ht="11.25"/>
    <row r="4769" ht="11.25"/>
    <row r="4770" ht="11.25"/>
    <row r="4771" ht="11.25"/>
    <row r="4772" ht="11.25"/>
    <row r="4773" ht="11.25"/>
    <row r="4774" ht="11.25"/>
    <row r="4775" ht="11.25"/>
    <row r="4776" ht="11.25"/>
    <row r="4777" ht="11.25"/>
    <row r="4778" ht="11.25"/>
    <row r="4779" ht="11.25"/>
    <row r="4780" ht="11.25"/>
    <row r="4781" ht="11.25"/>
    <row r="4782" ht="11.25"/>
    <row r="4783" ht="11.25"/>
    <row r="4784" ht="11.25"/>
    <row r="4785" ht="11.25"/>
    <row r="4786" ht="11.25"/>
    <row r="4787" ht="11.25"/>
    <row r="4788" ht="11.25"/>
    <row r="4789" ht="11.25"/>
    <row r="4790" ht="11.25"/>
    <row r="4791" ht="11.25"/>
    <row r="4792" ht="11.25"/>
    <row r="4793" ht="11.25"/>
    <row r="4794" ht="11.25"/>
    <row r="4795" ht="11.25"/>
    <row r="4796" ht="11.25"/>
    <row r="4797" ht="11.25"/>
    <row r="4798" ht="11.25"/>
    <row r="4799" ht="11.25"/>
    <row r="4800" ht="11.25"/>
    <row r="4801" ht="11.25"/>
    <row r="4802" ht="11.25"/>
    <row r="4803" ht="11.25"/>
    <row r="4804" ht="11.25"/>
    <row r="4805" ht="11.25"/>
    <row r="4806" ht="11.25"/>
    <row r="4807" ht="11.25"/>
    <row r="4808" ht="11.25"/>
    <row r="4809" ht="11.25"/>
    <row r="4810" ht="11.25"/>
    <row r="4811" ht="11.25"/>
    <row r="4812" ht="11.25"/>
    <row r="4813" ht="11.25"/>
    <row r="4814" ht="11.25"/>
    <row r="4815" ht="11.25"/>
    <row r="4816" ht="11.25"/>
    <row r="4817" ht="11.25"/>
    <row r="4818" ht="11.25"/>
    <row r="4819" ht="11.25"/>
    <row r="4820" ht="11.25"/>
    <row r="4821" ht="11.25"/>
    <row r="4822" ht="11.25"/>
    <row r="4823" ht="11.25"/>
    <row r="4824" ht="11.25"/>
    <row r="4825" ht="11.25"/>
    <row r="4826" ht="11.25"/>
    <row r="4827" ht="11.25"/>
    <row r="4828" ht="11.25"/>
    <row r="4829" ht="11.25"/>
    <row r="4830" ht="11.25"/>
    <row r="4831" ht="11.25"/>
    <row r="4832" ht="11.25"/>
    <row r="4833" ht="11.25"/>
    <row r="4834" ht="11.25"/>
    <row r="4835" ht="11.25"/>
    <row r="4836" ht="11.25"/>
    <row r="4837" ht="11.25"/>
    <row r="4838" ht="11.25"/>
    <row r="4839" ht="11.25"/>
    <row r="4840" ht="11.25"/>
    <row r="4841" ht="11.25"/>
    <row r="4842" ht="11.25"/>
    <row r="4843" ht="11.25"/>
    <row r="4844" ht="11.25"/>
    <row r="4845" ht="11.25"/>
    <row r="4846" ht="11.25"/>
    <row r="4847" ht="11.25"/>
    <row r="4848" ht="11.25"/>
    <row r="4849" ht="11.25"/>
    <row r="4850" ht="11.25"/>
    <row r="4851" ht="11.25"/>
    <row r="4852" ht="11.25"/>
    <row r="4853" ht="11.25"/>
    <row r="4854" ht="11.25"/>
    <row r="4855" ht="11.25"/>
    <row r="4856" ht="11.25"/>
    <row r="4857" ht="11.25"/>
    <row r="4858" ht="11.25"/>
    <row r="4859" ht="11.25"/>
    <row r="4860" ht="11.25"/>
    <row r="4861" ht="11.25"/>
    <row r="4862" ht="11.25"/>
    <row r="4863" ht="11.25"/>
    <row r="4864" ht="11.25"/>
    <row r="4865" ht="11.25"/>
    <row r="4866" ht="11.25"/>
    <row r="4867" ht="11.25"/>
    <row r="4868" ht="11.25"/>
    <row r="4869" ht="11.25"/>
    <row r="4870" ht="11.25"/>
    <row r="4871" ht="11.25"/>
    <row r="4872" ht="11.25"/>
    <row r="4873" ht="11.25"/>
    <row r="4874" ht="11.25"/>
    <row r="4875" ht="11.25"/>
    <row r="4876" ht="11.25"/>
    <row r="4877" ht="11.25"/>
    <row r="4878" ht="11.25"/>
    <row r="4879" ht="11.25"/>
    <row r="4880" ht="11.25"/>
    <row r="4881" ht="11.25"/>
    <row r="4882" ht="11.25"/>
    <row r="4883" ht="11.25"/>
    <row r="4884" ht="11.25"/>
    <row r="4885" ht="11.25"/>
    <row r="4886" ht="11.25"/>
    <row r="4887" ht="11.25"/>
    <row r="4888" ht="11.25"/>
    <row r="4889" ht="11.25"/>
    <row r="4890" ht="11.25"/>
    <row r="4891" ht="11.25"/>
    <row r="4892" ht="11.25"/>
    <row r="4893" ht="11.25"/>
    <row r="4894" ht="11.25"/>
    <row r="4895" ht="11.25"/>
    <row r="4896" ht="11.25"/>
    <row r="4897" ht="11.25"/>
    <row r="4898" ht="11.25"/>
    <row r="4899" ht="11.25"/>
    <row r="4900" ht="11.25"/>
    <row r="4901" ht="11.25"/>
    <row r="4902" ht="11.25"/>
    <row r="4903" ht="11.25"/>
    <row r="4904" ht="11.25"/>
    <row r="4905" ht="11.25"/>
    <row r="4906" ht="11.25"/>
    <row r="4907" ht="11.25"/>
    <row r="4908" ht="11.25"/>
    <row r="4909" ht="11.25"/>
    <row r="4910" ht="11.25"/>
    <row r="4911" ht="11.25"/>
    <row r="4912" ht="11.25"/>
    <row r="4913" ht="11.25"/>
    <row r="4914" ht="11.25"/>
    <row r="4915" ht="11.25"/>
    <row r="4916" ht="11.25"/>
    <row r="4917" ht="11.25"/>
    <row r="4918" ht="11.25"/>
    <row r="4919" ht="11.25"/>
    <row r="4920" ht="11.25"/>
    <row r="4921" ht="11.25"/>
    <row r="4922" ht="11.25"/>
    <row r="4923" ht="11.25"/>
    <row r="4924" ht="11.25"/>
    <row r="4925" ht="11.25"/>
    <row r="4926" ht="11.25"/>
    <row r="4927" ht="11.25"/>
    <row r="4928" ht="11.25"/>
    <row r="4929" ht="11.25"/>
    <row r="4930" ht="11.25"/>
    <row r="4931" ht="11.25"/>
    <row r="4932" ht="11.25"/>
    <row r="4933" ht="11.25"/>
    <row r="4934" ht="11.25"/>
    <row r="4935" ht="11.25"/>
    <row r="4936" ht="11.25"/>
    <row r="4937" ht="11.25"/>
    <row r="4938" ht="11.25"/>
    <row r="4939" ht="11.25"/>
    <row r="4940" ht="11.25"/>
    <row r="4941" ht="11.25"/>
    <row r="4942" ht="11.25"/>
    <row r="4943" ht="11.25"/>
    <row r="4944" ht="11.25"/>
    <row r="4945" ht="11.25"/>
    <row r="4946" ht="11.25"/>
    <row r="4947" ht="11.25"/>
    <row r="4948" ht="11.25"/>
    <row r="4949" ht="11.25"/>
    <row r="4950" ht="11.25"/>
    <row r="4951" ht="11.25"/>
    <row r="4952" ht="11.25"/>
    <row r="4953" ht="11.25"/>
    <row r="4954" ht="11.25"/>
    <row r="4955" ht="11.25"/>
    <row r="4956" ht="11.25"/>
    <row r="4957" ht="11.25"/>
    <row r="4958" ht="11.25"/>
    <row r="4959" ht="11.25"/>
    <row r="4960" ht="11.25"/>
    <row r="4961" ht="11.25"/>
    <row r="4962" ht="11.25"/>
    <row r="4963" ht="11.25"/>
    <row r="4964" ht="11.25"/>
    <row r="4965" ht="11.25"/>
    <row r="4966" ht="11.25"/>
    <row r="4967" ht="11.25"/>
    <row r="4968" ht="11.25"/>
    <row r="4969" ht="11.25"/>
    <row r="4970" ht="11.25"/>
    <row r="4971" ht="11.25"/>
    <row r="4972" ht="11.25"/>
    <row r="4973" ht="11.25"/>
    <row r="4974" ht="11.25"/>
    <row r="4975" ht="11.25"/>
    <row r="4976" ht="11.25"/>
    <row r="4977" ht="11.25"/>
    <row r="4978" ht="11.25"/>
    <row r="4979" ht="11.25"/>
    <row r="4980" ht="11.25"/>
    <row r="4981" ht="11.25"/>
    <row r="4982" ht="11.25"/>
    <row r="4983" ht="11.25"/>
    <row r="4984" ht="11.25"/>
    <row r="4985" ht="11.25"/>
    <row r="4986" ht="11.25"/>
    <row r="4987" ht="11.25"/>
    <row r="4988" ht="11.25"/>
    <row r="4989" ht="11.25"/>
    <row r="4990" ht="11.25"/>
    <row r="4991" ht="11.25"/>
    <row r="4992" ht="11.25"/>
    <row r="4993" ht="11.25"/>
    <row r="4994" ht="11.25"/>
    <row r="4995" ht="11.25"/>
    <row r="4996" ht="11.25"/>
    <row r="4997" ht="11.25"/>
    <row r="4998" ht="11.25"/>
    <row r="4999" ht="11.25"/>
    <row r="5000" ht="11.25"/>
    <row r="5001" ht="11.25"/>
    <row r="5002" ht="11.25"/>
    <row r="5003" ht="11.25"/>
    <row r="5004" ht="11.25"/>
    <row r="5005" ht="11.25"/>
    <row r="5006" ht="11.25"/>
    <row r="5007" ht="11.25"/>
    <row r="5008" ht="11.25"/>
    <row r="5009" ht="11.25"/>
    <row r="5010" ht="11.25"/>
    <row r="5011" ht="11.25"/>
    <row r="5012" ht="11.25"/>
    <row r="5013" ht="11.25"/>
    <row r="5014" ht="11.25"/>
    <row r="5015" ht="11.25"/>
    <row r="5016" ht="11.25"/>
    <row r="5017" ht="11.25"/>
    <row r="5018" ht="11.25"/>
    <row r="5019" ht="11.25"/>
    <row r="5020" ht="11.25"/>
    <row r="5021" ht="11.25"/>
    <row r="5022" ht="11.25"/>
    <row r="5023" ht="11.25"/>
    <row r="5024" ht="11.25"/>
    <row r="5025" ht="11.25"/>
    <row r="5026" ht="11.25"/>
    <row r="5027" ht="11.25"/>
    <row r="5028" ht="11.25"/>
    <row r="5029" ht="11.25"/>
    <row r="5030" ht="11.25"/>
    <row r="5031" ht="11.25"/>
    <row r="5032" ht="11.25"/>
    <row r="5033" ht="11.25"/>
    <row r="5034" ht="11.25"/>
    <row r="5035" ht="11.25"/>
    <row r="5036" ht="11.25"/>
    <row r="5037" ht="11.25"/>
    <row r="5038" ht="11.25"/>
    <row r="5039" ht="11.25"/>
    <row r="5040" ht="11.25"/>
    <row r="5041" ht="11.25"/>
    <row r="5042" ht="11.25"/>
    <row r="5043" ht="11.25"/>
    <row r="5044" ht="11.25"/>
    <row r="5045" ht="11.25"/>
    <row r="5046" ht="11.25"/>
    <row r="5047" ht="11.25"/>
    <row r="5048" ht="11.25"/>
    <row r="5049" ht="11.25"/>
    <row r="5050" ht="11.25"/>
    <row r="5051" ht="11.25"/>
    <row r="5052" ht="11.25"/>
    <row r="5053" ht="11.25"/>
    <row r="5054" ht="11.25"/>
    <row r="5055" ht="11.25"/>
    <row r="5056" ht="11.25"/>
    <row r="5057" ht="11.25"/>
    <row r="5058" ht="11.25"/>
    <row r="5059" ht="11.25"/>
    <row r="5060" ht="11.25"/>
    <row r="5061" ht="11.25"/>
    <row r="5062" ht="11.25"/>
    <row r="5063" ht="11.25"/>
    <row r="5064" ht="11.25"/>
    <row r="5065" ht="11.25"/>
    <row r="5066" ht="11.25"/>
    <row r="5067" ht="11.25"/>
    <row r="5068" ht="11.25"/>
    <row r="5069" ht="11.25"/>
    <row r="5070" ht="11.25"/>
    <row r="5071" ht="11.25"/>
    <row r="5072" ht="11.25"/>
    <row r="5073" ht="11.25"/>
    <row r="5074" ht="11.25"/>
    <row r="5075" ht="11.25"/>
    <row r="5076" ht="11.25"/>
    <row r="5077" ht="11.25"/>
    <row r="5078" ht="11.25"/>
    <row r="5079" ht="11.25"/>
    <row r="5080" ht="11.25"/>
    <row r="5081" ht="11.25"/>
    <row r="5082" ht="11.25"/>
    <row r="5083" ht="11.25"/>
    <row r="5084" ht="11.25"/>
    <row r="5085" ht="11.25"/>
    <row r="5086" ht="11.25"/>
    <row r="5087" ht="11.25"/>
    <row r="5088" ht="11.25"/>
    <row r="5089" ht="11.25"/>
    <row r="5090" ht="11.25"/>
    <row r="5091" ht="11.25"/>
    <row r="5092" ht="11.25"/>
    <row r="5093" ht="11.25"/>
    <row r="5094" ht="11.25"/>
    <row r="5095" ht="11.25"/>
    <row r="5096" ht="11.25"/>
    <row r="5097" ht="11.25"/>
    <row r="5098" ht="11.25"/>
    <row r="5099" ht="11.25"/>
    <row r="5100" ht="11.25"/>
    <row r="5101" ht="11.25"/>
    <row r="5102" ht="11.25"/>
    <row r="5103" ht="11.25"/>
    <row r="5104" ht="11.25"/>
    <row r="5105" ht="11.25"/>
    <row r="5106" ht="11.25"/>
    <row r="5107" ht="11.25"/>
    <row r="5108" ht="11.25"/>
    <row r="5109" ht="11.25"/>
    <row r="5110" ht="11.25"/>
    <row r="5111" ht="11.25"/>
    <row r="5112" ht="11.25"/>
    <row r="5113" ht="11.25"/>
    <row r="5114" ht="11.25"/>
    <row r="5115" ht="11.25"/>
    <row r="5116" ht="11.25"/>
    <row r="5117" ht="11.25"/>
    <row r="5118" ht="11.25"/>
    <row r="5119" ht="11.25"/>
    <row r="5120" ht="11.25"/>
    <row r="5121" ht="11.25"/>
    <row r="5122" ht="11.25"/>
    <row r="5123" ht="11.25"/>
    <row r="5124" ht="11.25"/>
    <row r="5125" ht="11.25"/>
    <row r="5126" ht="11.25"/>
    <row r="5127" ht="11.25"/>
    <row r="5128" ht="11.25"/>
    <row r="5129" ht="11.25"/>
    <row r="5130" ht="11.25"/>
    <row r="5131" ht="11.25"/>
    <row r="5132" ht="11.25"/>
    <row r="5133" ht="11.25"/>
    <row r="5134" ht="11.25"/>
    <row r="5135" ht="11.25"/>
    <row r="5136" ht="11.25"/>
    <row r="5137" ht="11.25"/>
    <row r="5138" ht="11.25"/>
    <row r="5139" ht="11.25"/>
    <row r="5140" ht="11.25"/>
    <row r="5141" ht="11.25"/>
    <row r="5142" ht="11.25"/>
    <row r="5143" ht="11.25"/>
    <row r="5144" ht="11.25"/>
    <row r="5145" ht="11.25"/>
    <row r="5146" ht="11.25"/>
    <row r="5147" ht="11.25"/>
    <row r="5148" ht="11.25"/>
    <row r="5149" ht="11.25"/>
    <row r="5150" ht="11.25"/>
    <row r="5151" ht="11.25"/>
    <row r="5152" ht="11.25"/>
    <row r="5153" ht="11.25"/>
    <row r="5154" ht="11.25"/>
    <row r="5155" ht="11.25"/>
    <row r="5156" ht="11.25"/>
    <row r="5157" ht="11.25"/>
    <row r="5158" ht="11.25"/>
    <row r="5159" ht="11.25"/>
    <row r="5160" ht="11.25"/>
    <row r="5161" ht="11.25"/>
    <row r="5162" ht="11.25"/>
    <row r="5163" ht="11.25"/>
    <row r="5164" ht="11.25"/>
    <row r="5165" ht="11.25"/>
    <row r="5166" ht="11.25"/>
    <row r="5167" ht="11.25"/>
    <row r="5168" ht="11.25"/>
    <row r="5169" ht="11.25"/>
    <row r="5170" ht="11.25"/>
    <row r="5171" ht="11.25"/>
    <row r="5172" ht="11.25"/>
    <row r="5173" ht="11.25"/>
    <row r="5174" ht="11.25"/>
    <row r="5175" ht="11.25"/>
    <row r="5176" ht="11.25"/>
    <row r="5177" ht="11.25"/>
    <row r="5178" ht="11.25"/>
    <row r="5179" ht="11.25"/>
    <row r="5180" ht="11.25"/>
    <row r="5181" ht="11.25"/>
    <row r="5182" ht="11.25"/>
    <row r="5183" ht="11.25"/>
    <row r="5184" ht="11.25"/>
    <row r="5185" ht="11.25"/>
    <row r="5186" ht="11.25"/>
    <row r="5187" ht="11.25"/>
    <row r="5188" ht="11.25"/>
    <row r="5189" ht="11.25"/>
    <row r="5190" ht="11.25"/>
    <row r="5191" ht="11.25"/>
    <row r="5192" ht="11.25"/>
    <row r="5193" ht="11.25"/>
    <row r="5194" ht="11.25"/>
    <row r="5195" ht="11.25"/>
    <row r="5196" ht="11.25"/>
    <row r="5197" ht="11.25"/>
    <row r="5198" ht="11.25"/>
    <row r="5199" ht="11.25"/>
    <row r="5200" ht="11.25"/>
    <row r="5201" ht="11.25"/>
    <row r="5202" ht="11.25"/>
    <row r="5203" ht="11.25"/>
    <row r="5204" ht="11.25"/>
    <row r="5205" ht="11.25"/>
    <row r="5206" ht="11.25"/>
    <row r="5207" ht="11.25"/>
    <row r="5208" ht="11.25"/>
    <row r="5209" ht="11.25"/>
    <row r="5210" ht="11.25"/>
    <row r="5211" ht="11.25"/>
    <row r="5212" ht="11.25"/>
    <row r="5213" ht="11.25"/>
    <row r="5214" ht="11.25"/>
    <row r="5215" ht="11.25"/>
    <row r="5216" ht="11.25"/>
    <row r="5217" ht="11.25"/>
    <row r="5218" ht="11.25"/>
    <row r="5219" ht="11.25"/>
    <row r="5220" ht="11.25"/>
    <row r="5221" ht="11.25"/>
    <row r="5222" ht="11.25"/>
    <row r="5223" ht="11.25"/>
    <row r="5224" ht="11.25"/>
    <row r="5225" ht="11.25"/>
    <row r="5226" ht="11.25"/>
    <row r="5227" ht="11.25"/>
    <row r="5228" ht="11.25"/>
    <row r="5229" ht="11.25"/>
    <row r="5230" ht="11.25"/>
    <row r="5231" ht="11.25"/>
    <row r="5232" ht="11.25"/>
    <row r="5233" ht="11.25"/>
    <row r="5234" ht="11.25"/>
    <row r="5235" ht="11.25"/>
    <row r="5236" ht="11.25"/>
    <row r="5237" ht="11.25"/>
    <row r="5238" ht="11.25"/>
    <row r="5239" ht="11.25"/>
    <row r="5240" ht="11.25"/>
    <row r="5241" ht="11.25"/>
    <row r="5242" ht="11.25"/>
    <row r="5243" ht="11.25"/>
    <row r="5244" ht="11.25"/>
    <row r="5245" ht="11.25"/>
    <row r="5246" ht="11.25"/>
    <row r="5247" ht="11.25"/>
    <row r="5248" ht="11.25"/>
    <row r="5249" ht="11.25"/>
    <row r="5250" ht="11.25"/>
    <row r="5251" ht="11.25"/>
    <row r="5252" ht="11.25"/>
    <row r="5253" ht="11.25"/>
    <row r="5254" ht="11.25"/>
    <row r="5255" ht="11.25"/>
    <row r="5256" ht="11.25"/>
    <row r="5257" ht="11.25"/>
    <row r="5258" ht="11.25"/>
    <row r="5259" ht="11.25"/>
    <row r="5260" ht="11.25"/>
    <row r="5261" ht="11.25"/>
    <row r="5262" ht="11.25"/>
    <row r="5263" ht="11.25"/>
    <row r="5264" ht="11.25"/>
    <row r="5265" ht="11.25"/>
    <row r="5266" ht="11.25"/>
    <row r="5267" ht="11.25"/>
    <row r="5268" ht="11.25"/>
    <row r="5269" ht="11.25"/>
    <row r="5270" ht="11.25"/>
    <row r="5271" ht="11.25"/>
    <row r="5272" ht="11.25"/>
    <row r="5273" ht="11.25"/>
    <row r="5274" ht="11.25"/>
    <row r="5275" ht="11.25"/>
    <row r="5276" ht="11.25"/>
    <row r="5277" ht="11.25"/>
    <row r="5278" ht="11.25"/>
    <row r="5279" ht="11.25"/>
    <row r="5280" ht="11.25"/>
    <row r="5281" ht="11.25"/>
    <row r="5282" ht="11.25"/>
    <row r="5283" ht="11.25"/>
    <row r="5284" ht="11.25"/>
    <row r="5285" ht="11.25"/>
    <row r="5286" ht="11.25"/>
    <row r="5287" ht="11.25"/>
    <row r="5288" ht="11.25"/>
    <row r="5289" ht="11.25"/>
    <row r="5290" ht="11.25"/>
    <row r="5291" ht="11.25"/>
    <row r="5292" ht="11.25"/>
    <row r="5293" ht="11.25"/>
    <row r="5294" ht="11.25"/>
    <row r="5295" ht="11.25"/>
    <row r="5296" ht="11.25"/>
    <row r="5297" ht="11.25"/>
    <row r="5298" ht="11.25"/>
    <row r="5299" ht="11.25"/>
    <row r="5300" ht="11.25"/>
    <row r="5301" ht="11.25"/>
    <row r="5302" ht="11.25"/>
    <row r="5303" ht="11.25"/>
    <row r="5304" ht="11.25"/>
    <row r="5305" ht="11.25"/>
    <row r="5306" ht="11.25"/>
    <row r="5307" ht="11.25"/>
    <row r="5308" ht="11.25"/>
    <row r="5309" ht="11.25"/>
    <row r="5310" ht="11.25"/>
    <row r="5311" ht="11.25"/>
    <row r="5312" ht="11.25"/>
    <row r="5313" ht="11.25"/>
    <row r="5314" ht="11.25"/>
    <row r="5315" ht="11.25"/>
    <row r="5316" ht="11.25"/>
    <row r="5317" ht="11.25"/>
    <row r="5318" ht="11.25"/>
    <row r="5319" ht="11.25"/>
    <row r="5320" ht="11.25"/>
    <row r="5321" ht="11.25"/>
    <row r="5322" ht="11.25"/>
    <row r="5323" ht="11.25"/>
    <row r="5324" ht="11.25"/>
    <row r="5325" ht="11.25"/>
    <row r="5326" ht="11.25"/>
    <row r="5327" ht="11.25"/>
    <row r="5328" ht="11.25"/>
    <row r="5329" ht="11.25"/>
    <row r="5330" ht="11.25"/>
    <row r="5331" ht="11.25"/>
    <row r="5332" ht="11.25"/>
    <row r="5333" ht="11.25"/>
    <row r="5334" ht="11.25"/>
    <row r="5335" ht="11.25"/>
    <row r="5336" ht="11.25"/>
    <row r="5337" ht="11.25"/>
    <row r="5338" ht="11.25"/>
    <row r="5339" ht="11.25"/>
    <row r="5340" ht="11.25"/>
    <row r="5341" ht="11.25"/>
    <row r="5342" ht="11.25"/>
    <row r="5343" ht="11.25"/>
    <row r="5344" ht="11.25"/>
    <row r="5345" ht="11.25"/>
    <row r="5346" ht="11.25"/>
    <row r="5347" ht="11.25"/>
    <row r="5348" ht="11.25"/>
    <row r="5349" ht="11.25"/>
    <row r="5350" ht="11.25"/>
    <row r="5351" ht="11.25"/>
    <row r="5352" ht="11.25"/>
    <row r="5353" ht="11.25"/>
    <row r="5354" ht="11.25"/>
    <row r="5355" ht="11.25"/>
    <row r="5356" ht="11.25"/>
    <row r="5357" ht="11.25"/>
    <row r="5358" ht="11.25"/>
    <row r="5359" ht="11.25"/>
    <row r="5360" ht="11.25"/>
    <row r="5361" ht="11.25"/>
    <row r="5362" ht="11.25"/>
    <row r="5363" ht="11.25"/>
    <row r="5364" ht="11.25"/>
    <row r="5365" ht="11.25"/>
    <row r="5366" ht="11.25"/>
    <row r="5367" ht="11.25"/>
    <row r="5368" ht="11.25"/>
    <row r="5369" ht="11.25"/>
    <row r="5370" ht="11.25"/>
    <row r="5371" ht="11.25"/>
    <row r="5372" ht="11.25"/>
    <row r="5373" ht="11.25"/>
    <row r="5374" ht="11.25"/>
    <row r="5375" ht="11.25"/>
    <row r="5376" ht="11.25"/>
    <row r="5377" ht="11.25"/>
    <row r="5378" ht="11.25"/>
    <row r="5379" ht="11.25"/>
    <row r="5380" ht="11.25"/>
    <row r="5381" ht="11.25"/>
    <row r="5382" ht="11.25"/>
    <row r="5383" ht="11.25"/>
    <row r="5384" ht="11.25"/>
    <row r="5385" ht="11.25"/>
    <row r="5386" ht="11.25"/>
    <row r="5387" ht="11.25"/>
    <row r="5388" ht="11.25"/>
    <row r="5389" ht="11.25"/>
    <row r="5390" ht="11.25"/>
    <row r="5391" ht="11.25"/>
    <row r="5392" ht="11.25"/>
    <row r="5393" ht="11.25"/>
    <row r="5394" ht="11.25"/>
    <row r="5395" ht="11.25"/>
    <row r="5396" ht="11.25"/>
    <row r="5397" ht="11.25"/>
    <row r="5398" ht="11.25"/>
    <row r="5399" ht="11.25"/>
    <row r="5400" ht="11.25"/>
    <row r="5401" ht="11.25"/>
    <row r="5402" ht="11.25"/>
    <row r="5403" ht="11.25"/>
    <row r="5404" ht="11.25"/>
    <row r="5405" ht="11.25"/>
    <row r="5406" ht="11.25"/>
    <row r="5407" ht="11.25"/>
    <row r="5408" ht="11.25"/>
    <row r="5409" ht="11.25"/>
    <row r="5410" ht="11.25"/>
    <row r="5411" ht="11.25"/>
    <row r="5412" ht="11.25"/>
    <row r="5413" ht="11.25"/>
    <row r="5414" ht="11.25"/>
    <row r="5415" ht="11.25"/>
    <row r="5416" ht="11.25"/>
    <row r="5417" ht="11.25"/>
  </sheetData>
  <phoneticPr fontId="14" type="noConversion"/>
  <conditionalFormatting sqref="C5">
    <cfRule type="containsText" dxfId="510" priority="12" operator="containsText" text="KT">
      <formula>NOT(ISERROR(SEARCH("KT",C5)))</formula>
    </cfRule>
    <cfRule type="containsText" dxfId="509" priority="13" operator="containsText" text="JH">
      <formula>NOT(ISERROR(SEARCH("JH",C5)))</formula>
    </cfRule>
    <cfRule type="containsText" dxfId="508" priority="14" operator="containsText" text="CL">
      <formula>NOT(ISERROR(SEARCH("CL",C5)))</formula>
    </cfRule>
    <cfRule type="containsText" dxfId="507" priority="15" operator="containsText" text="CY">
      <formula>NOT(ISERROR(SEARCH("CY",C5)))</formula>
    </cfRule>
    <cfRule type="containsText" dxfId="506" priority="16" operator="containsText" text="ES">
      <formula>NOT(ISERROR(SEARCH("ES",C5)))</formula>
    </cfRule>
  </conditionalFormatting>
  <conditionalFormatting sqref="K7">
    <cfRule type="containsText" dxfId="505" priority="30" operator="containsText" text="ON">
      <formula>NOT(ISERROR(SEARCH("ON",K7)))</formula>
    </cfRule>
  </conditionalFormatting>
  <conditionalFormatting sqref="C14">
    <cfRule type="containsText" dxfId="504" priority="9" operator="containsText" text="OK">
      <formula>NOT(ISERROR(SEARCH("OK",C14)))</formula>
    </cfRule>
  </conditionalFormatting>
  <conditionalFormatting sqref="C4:C7">
    <cfRule type="containsBlanks" dxfId="503" priority="8">
      <formula>LEN(TRIM(C4))=0</formula>
    </cfRule>
  </conditionalFormatting>
  <conditionalFormatting sqref="C10:C12">
    <cfRule type="expression" dxfId="502" priority="6">
      <formula>0</formula>
    </cfRule>
  </conditionalFormatting>
  <conditionalFormatting sqref="C10 C12">
    <cfRule type="cellIs" dxfId="501" priority="5" operator="notEqual">
      <formula>$A10</formula>
    </cfRule>
  </conditionalFormatting>
  <conditionalFormatting sqref="C11">
    <cfRule type="iconSet" priority="4">
      <iconSet iconSet="3Signs" reverse="1">
        <cfvo type="percent" val="0"/>
        <cfvo type="num" val="0" gte="0"/>
        <cfvo type="num" val="2" gte="0"/>
      </iconSet>
    </cfRule>
  </conditionalFormatting>
  <conditionalFormatting sqref="B14">
    <cfRule type="containsText" dxfId="500" priority="2" operator="containsText" text="【">
      <formula>NOT(ISERROR(SEARCH("【",B14)))</formula>
    </cfRule>
  </conditionalFormatting>
  <conditionalFormatting sqref="K4:K6">
    <cfRule type="containsText" dxfId="499" priority="1" operator="containsText" text="OFF">
      <formula>NOT(ISERROR(SEARCH("OFF",K4)))</formula>
    </cfRule>
  </conditionalFormatting>
  <dataValidations count="5">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RefreshSource">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3">
    <tablePart r:id="rId5"/>
    <tablePart r:id="rId6"/>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r:uid="{AA459B49-CD04-48C7-87C9-7B28A856ED8F}">
          <x14:formula1>
            <xm:f xml:space="preserve"> INDEX(Roster!$C$2:$C$53,MATCH(Monday,Roster!$B$2:$B$53,0))</xm:f>
          </x14:formula1>
          <xm:sqref>C6</xm:sqref>
        </x14:dataValidation>
        <x14:dataValidation type="list" allowBlank="1" showInputMessage="1" showErrorMessage="1" promptTitle="请周报发送日填写" prompt="Selection will auto update data source" xr:uid="{54273CC3-5DFC-4C47-9099-C4C3AB553C07}">
          <x14:formula1>
            <xm:f xml:space="preserve"> INDEX(Roster!$D$2:$D$53,MATCH(Monday,Roster!$B$2:$B$53,0))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Q7"/>
  <sheetViews>
    <sheetView topLeftCell="D1" workbookViewId="0">
      <selection activeCell="E5" sqref="E5"/>
    </sheetView>
  </sheetViews>
  <sheetFormatPr defaultRowHeight="15"/>
  <cols>
    <col min="1" max="1" width="7.33203125" bestFit="1" customWidth="1"/>
    <col min="2" max="2" width="9.33203125" bestFit="1" customWidth="1"/>
    <col min="3" max="3" width="13.33203125" bestFit="1" customWidth="1"/>
    <col min="4" max="4" width="13.77734375" bestFit="1" customWidth="1"/>
    <col min="5" max="5" width="50.44140625" bestFit="1" customWidth="1"/>
    <col min="6" max="6" width="6.109375" bestFit="1" customWidth="1"/>
    <col min="7" max="7" width="8.6640625" bestFit="1" customWidth="1"/>
    <col min="8" max="8" width="8.5546875" bestFit="1" customWidth="1"/>
    <col min="9" max="10" width="9.44140625" bestFit="1" customWidth="1"/>
    <col min="11" max="11" width="6.109375" bestFit="1" customWidth="1"/>
    <col min="12" max="13" width="11.5546875" bestFit="1" customWidth="1"/>
    <col min="14" max="14" width="13" bestFit="1" customWidth="1"/>
    <col min="15" max="15" width="12.77734375" bestFit="1" customWidth="1"/>
    <col min="16" max="16" width="6.109375" bestFit="1" customWidth="1"/>
    <col min="17" max="18" width="10.5546875" bestFit="1" customWidth="1"/>
  </cols>
  <sheetData>
    <row r="1" spans="1:17">
      <c r="A1" t="s">
        <v>82</v>
      </c>
      <c r="B1" t="s">
        <v>46</v>
      </c>
      <c r="C1" t="s">
        <v>45</v>
      </c>
      <c r="D1" t="s">
        <v>150</v>
      </c>
      <c r="E1" t="s">
        <v>1161</v>
      </c>
      <c r="F1" t="s">
        <v>1162</v>
      </c>
      <c r="G1" t="s">
        <v>1163</v>
      </c>
      <c r="H1" t="s">
        <v>1164</v>
      </c>
      <c r="I1" t="s">
        <v>161</v>
      </c>
      <c r="J1" t="s">
        <v>135</v>
      </c>
      <c r="K1" t="s">
        <v>1195</v>
      </c>
      <c r="L1" t="s">
        <v>1196</v>
      </c>
      <c r="M1" t="s">
        <v>1197</v>
      </c>
      <c r="N1" t="s">
        <v>1198</v>
      </c>
      <c r="O1" t="s">
        <v>1165</v>
      </c>
      <c r="P1" t="s">
        <v>1166</v>
      </c>
      <c r="Q1" t="s">
        <v>768</v>
      </c>
    </row>
    <row r="2" spans="1:17">
      <c r="A2">
        <v>285</v>
      </c>
      <c r="B2" s="30">
        <v>45303</v>
      </c>
      <c r="C2" t="s">
        <v>793</v>
      </c>
      <c r="D2" t="s">
        <v>1171</v>
      </c>
      <c r="E2" t="s">
        <v>794</v>
      </c>
      <c r="F2" t="s">
        <v>1167</v>
      </c>
      <c r="G2" t="s">
        <v>1168</v>
      </c>
      <c r="H2" t="s">
        <v>6</v>
      </c>
      <c r="I2" t="s">
        <v>6</v>
      </c>
      <c r="J2" t="s">
        <v>143</v>
      </c>
      <c r="K2" t="s">
        <v>102</v>
      </c>
      <c r="L2">
        <v>10000</v>
      </c>
      <c r="M2">
        <v>1407</v>
      </c>
      <c r="N2">
        <v>0.14074999999999999</v>
      </c>
      <c r="O2" t="s">
        <v>1169</v>
      </c>
      <c r="P2" t="s">
        <v>805</v>
      </c>
      <c r="Q2">
        <v>24006</v>
      </c>
    </row>
    <row r="3" spans="1:17">
      <c r="A3">
        <v>284</v>
      </c>
      <c r="B3" s="30">
        <v>45301</v>
      </c>
      <c r="C3" t="s">
        <v>1172</v>
      </c>
      <c r="D3" t="s">
        <v>1173</v>
      </c>
      <c r="E3" t="s">
        <v>1174</v>
      </c>
      <c r="F3" t="s">
        <v>1175</v>
      </c>
      <c r="G3" t="s">
        <v>1168</v>
      </c>
      <c r="H3" t="s">
        <v>6</v>
      </c>
      <c r="I3" t="s">
        <v>6</v>
      </c>
      <c r="J3" t="s">
        <v>143</v>
      </c>
      <c r="K3" t="s">
        <v>81</v>
      </c>
      <c r="L3">
        <v>500</v>
      </c>
      <c r="M3">
        <v>500</v>
      </c>
      <c r="N3">
        <v>1</v>
      </c>
      <c r="O3" t="s">
        <v>1169</v>
      </c>
      <c r="P3" t="s">
        <v>1176</v>
      </c>
      <c r="Q3">
        <v>24005</v>
      </c>
    </row>
    <row r="4" spans="1:17">
      <c r="A4">
        <v>283</v>
      </c>
      <c r="B4" s="30">
        <v>45301</v>
      </c>
      <c r="C4" t="s">
        <v>1177</v>
      </c>
      <c r="D4" t="s">
        <v>1173</v>
      </c>
      <c r="E4" t="s">
        <v>1174</v>
      </c>
      <c r="F4" t="s">
        <v>1175</v>
      </c>
      <c r="G4" t="s">
        <v>1168</v>
      </c>
      <c r="H4" t="s">
        <v>6</v>
      </c>
      <c r="I4" t="s">
        <v>6</v>
      </c>
      <c r="J4" t="s">
        <v>143</v>
      </c>
      <c r="K4" t="s">
        <v>81</v>
      </c>
      <c r="L4">
        <v>500</v>
      </c>
      <c r="M4">
        <v>500</v>
      </c>
      <c r="N4">
        <v>1</v>
      </c>
      <c r="O4" t="s">
        <v>1169</v>
      </c>
      <c r="P4" t="s">
        <v>1147</v>
      </c>
      <c r="Q4">
        <v>24004</v>
      </c>
    </row>
    <row r="5" spans="1:17">
      <c r="A5">
        <v>282</v>
      </c>
      <c r="B5" s="30">
        <v>45300</v>
      </c>
      <c r="C5" t="s">
        <v>1178</v>
      </c>
      <c r="D5" t="s">
        <v>1179</v>
      </c>
      <c r="E5" t="s">
        <v>1180</v>
      </c>
      <c r="F5" t="s">
        <v>1181</v>
      </c>
      <c r="G5" t="s">
        <v>1168</v>
      </c>
      <c r="H5" t="s">
        <v>6</v>
      </c>
      <c r="I5" t="s">
        <v>6</v>
      </c>
      <c r="J5" t="s">
        <v>143</v>
      </c>
      <c r="K5" t="s">
        <v>81</v>
      </c>
      <c r="L5">
        <v>0</v>
      </c>
      <c r="M5">
        <v>0</v>
      </c>
      <c r="N5">
        <v>1</v>
      </c>
      <c r="O5" t="s">
        <v>1169</v>
      </c>
      <c r="P5" t="s">
        <v>129</v>
      </c>
      <c r="Q5">
        <v>24003</v>
      </c>
    </row>
    <row r="6" spans="1:17">
      <c r="A6">
        <v>281</v>
      </c>
      <c r="B6" s="30">
        <v>45295</v>
      </c>
      <c r="C6" t="s">
        <v>743</v>
      </c>
      <c r="D6" t="s">
        <v>1182</v>
      </c>
      <c r="E6" t="s">
        <v>1183</v>
      </c>
      <c r="F6" t="s">
        <v>1181</v>
      </c>
      <c r="G6" t="s">
        <v>128</v>
      </c>
      <c r="H6" t="s">
        <v>1184</v>
      </c>
      <c r="I6" t="s">
        <v>6</v>
      </c>
      <c r="J6" t="s">
        <v>143</v>
      </c>
      <c r="K6" t="s">
        <v>81</v>
      </c>
      <c r="L6">
        <v>8000</v>
      </c>
      <c r="M6">
        <v>8000</v>
      </c>
      <c r="N6">
        <v>1</v>
      </c>
      <c r="O6" t="s">
        <v>1185</v>
      </c>
      <c r="P6" t="s">
        <v>801</v>
      </c>
      <c r="Q6">
        <v>24002</v>
      </c>
    </row>
    <row r="7" spans="1:17">
      <c r="A7">
        <v>280</v>
      </c>
      <c r="B7" s="30">
        <v>45293</v>
      </c>
      <c r="C7" t="s">
        <v>760</v>
      </c>
      <c r="D7" t="s">
        <v>1186</v>
      </c>
      <c r="E7" t="s">
        <v>1187</v>
      </c>
      <c r="F7" t="s">
        <v>1167</v>
      </c>
      <c r="G7" t="s">
        <v>128</v>
      </c>
      <c r="H7" t="s">
        <v>6</v>
      </c>
      <c r="I7" t="s">
        <v>6</v>
      </c>
      <c r="J7" t="s">
        <v>143</v>
      </c>
      <c r="K7" t="s">
        <v>81</v>
      </c>
      <c r="L7">
        <v>59600</v>
      </c>
      <c r="M7">
        <v>59600</v>
      </c>
      <c r="N7">
        <v>1</v>
      </c>
      <c r="O7" t="s">
        <v>1188</v>
      </c>
      <c r="P7" t="s">
        <v>1145</v>
      </c>
      <c r="Q7">
        <v>24001</v>
      </c>
    </row>
  </sheetData>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34473"/>
  </sheetPr>
  <dimension ref="A1:DI43"/>
  <sheetViews>
    <sheetView topLeftCell="F5" workbookViewId="0">
      <selection activeCell="P36" sqref="P36"/>
    </sheetView>
  </sheetViews>
  <sheetFormatPr defaultRowHeight="15" outlineLevelRow="1"/>
  <cols>
    <col min="1" max="1" width="25.77734375" style="1" customWidth="1"/>
    <col min="2" max="2" width="5.6640625" style="2" customWidth="1"/>
    <col min="3" max="3" width="12.44140625" style="2" bestFit="1" customWidth="1"/>
    <col min="4" max="4" width="19.6640625" style="2" bestFit="1" customWidth="1"/>
    <col min="5" max="5" width="12.77734375" style="2" bestFit="1" customWidth="1"/>
    <col min="6" max="6" width="5.6640625" style="2" customWidth="1"/>
    <col min="7" max="7" width="14.33203125" style="2" bestFit="1" customWidth="1"/>
    <col min="8" max="8" width="7.109375" style="2" bestFit="1" customWidth="1"/>
    <col min="9" max="9" width="11.77734375" style="2" bestFit="1" customWidth="1"/>
    <col min="10" max="10" width="19.6640625" style="2" bestFit="1" customWidth="1"/>
    <col min="11" max="11" width="10.33203125" style="2" bestFit="1" customWidth="1"/>
    <col min="12" max="12" width="13.44140625" style="2" bestFit="1" customWidth="1"/>
    <col min="13" max="13" width="10.44140625" style="2" bestFit="1" customWidth="1"/>
    <col min="14" max="14" width="33.33203125" style="2" bestFit="1" customWidth="1"/>
    <col min="15" max="15" width="5.88671875" style="2" bestFit="1" customWidth="1"/>
    <col min="16" max="16" width="12" style="1" bestFit="1" customWidth="1"/>
    <col min="17" max="17" width="8.21875" style="1" bestFit="1" customWidth="1"/>
    <col min="18" max="18" width="8.44140625" style="1" bestFit="1" customWidth="1"/>
    <col min="19" max="19" width="9.109375" style="1" bestFit="1" customWidth="1"/>
    <col min="20" max="20" width="12.44140625" style="1" bestFit="1" customWidth="1"/>
    <col min="21" max="21" width="33.33203125" style="1" bestFit="1" customWidth="1"/>
    <col min="22" max="22" width="20.109375" style="1" bestFit="1" customWidth="1"/>
    <col min="23" max="23" width="10" style="1" bestFit="1" customWidth="1"/>
    <col min="24" max="24" width="12.5546875" style="1" bestFit="1" customWidth="1"/>
    <col min="25" max="25" width="9.21875" style="1" bestFit="1" customWidth="1"/>
    <col min="26" max="26" width="12" style="1" bestFit="1" customWidth="1"/>
    <col min="27" max="27" width="10.21875" style="1" bestFit="1" customWidth="1"/>
    <col min="28" max="28" width="10.44140625" style="1" bestFit="1" customWidth="1"/>
    <col min="29" max="29" width="40.5546875" style="1" bestFit="1" customWidth="1"/>
    <col min="30" max="30" width="9.6640625" style="1" bestFit="1" customWidth="1"/>
    <col min="31" max="31" width="10" style="1" bestFit="1" customWidth="1"/>
    <col min="32" max="32" width="12.5546875" style="1" bestFit="1" customWidth="1"/>
    <col min="33" max="33" width="9.21875" style="1" bestFit="1" customWidth="1"/>
    <col min="34" max="34" width="13" style="1" bestFit="1" customWidth="1"/>
    <col min="35" max="35" width="31.6640625" style="1" bestFit="1" customWidth="1"/>
    <col min="36" max="36" width="15" style="1" bestFit="1" customWidth="1"/>
    <col min="37" max="37" width="7.5546875" style="1" bestFit="1" customWidth="1"/>
    <col min="38" max="38" width="9.21875" style="1" bestFit="1" customWidth="1"/>
    <col min="39" max="39" width="12.77734375" style="1" bestFit="1" customWidth="1"/>
    <col min="40" max="40" width="6.109375" style="1" bestFit="1" customWidth="1"/>
    <col min="41" max="41" width="12.77734375" style="1" bestFit="1" customWidth="1"/>
    <col min="42" max="42" width="10.33203125" style="1" bestFit="1" customWidth="1"/>
    <col min="43" max="43" width="9.21875" style="1" bestFit="1" customWidth="1"/>
    <col min="44" max="45" width="9.21875" style="2" bestFit="1" customWidth="1"/>
    <col min="46" max="46" width="80.88671875" style="2" bestFit="1" customWidth="1"/>
    <col min="47" max="47" width="9.21875" style="2" bestFit="1" customWidth="1"/>
    <col min="48" max="48" width="9.44140625" style="1" bestFit="1" customWidth="1"/>
    <col min="49" max="49" width="12.5546875" style="1" bestFit="1" customWidth="1"/>
    <col min="50" max="50" width="12.5546875" style="2" bestFit="1" customWidth="1"/>
    <col min="51" max="51" width="9.21875" style="2" bestFit="1" customWidth="1"/>
    <col min="52" max="52" width="9.44140625" style="2" bestFit="1" customWidth="1"/>
    <col min="53" max="53" width="10" style="2" bestFit="1" customWidth="1"/>
    <col min="54" max="54" width="14.5546875" style="2" bestFit="1" customWidth="1"/>
    <col min="55" max="55" width="9.21875" style="2" bestFit="1" customWidth="1"/>
    <col min="56" max="56" width="12.5546875" style="2" bestFit="1" customWidth="1"/>
    <col min="57" max="57" width="48.21875" style="2" bestFit="1" customWidth="1"/>
    <col min="58" max="58" width="10.88671875" style="2" bestFit="1" customWidth="1"/>
    <col min="59" max="59" width="80.6640625" style="2" bestFit="1" customWidth="1"/>
    <col min="60" max="60" width="8.5546875" style="2" bestFit="1" customWidth="1"/>
    <col min="61" max="61" width="12.5546875" style="2" bestFit="1" customWidth="1"/>
    <col min="62" max="62" width="9.21875" style="2" bestFit="1" customWidth="1"/>
    <col min="63" max="63" width="10.44140625" style="2" bestFit="1" customWidth="1"/>
    <col min="64" max="64" width="10.88671875" style="2" bestFit="1" customWidth="1"/>
    <col min="65" max="65" width="12.5546875" style="2" bestFit="1" customWidth="1"/>
    <col min="66" max="66" width="16.33203125" style="2" bestFit="1" customWidth="1"/>
    <col min="67" max="67" width="10.88671875" style="2" bestFit="1" customWidth="1"/>
    <col min="68" max="68" width="61.109375" style="2" bestFit="1" customWidth="1"/>
    <col min="69" max="69" width="28.21875" style="2" bestFit="1" customWidth="1"/>
    <col min="70" max="70" width="10.88671875" style="2" bestFit="1" customWidth="1"/>
    <col min="71" max="71" width="27.77734375" style="2" bestFit="1" customWidth="1"/>
    <col min="72" max="72" width="10.44140625" style="2" bestFit="1" customWidth="1"/>
    <col min="73" max="73" width="19.109375" style="2" bestFit="1" customWidth="1"/>
    <col min="74" max="75" width="80.88671875" style="2" bestFit="1" customWidth="1"/>
    <col min="76" max="76" width="10.88671875" style="2" bestFit="1" customWidth="1"/>
    <col min="77" max="79" width="9.21875" style="2" bestFit="1" customWidth="1"/>
    <col min="80" max="80" width="14.5546875" style="2" bestFit="1" customWidth="1"/>
    <col min="81" max="81" width="9.21875" style="2" bestFit="1" customWidth="1"/>
    <col min="82" max="82" width="14.5546875" style="2" bestFit="1" customWidth="1"/>
    <col min="83" max="83" width="28.21875" style="2" bestFit="1" customWidth="1"/>
    <col min="84" max="84" width="11.33203125" style="2" bestFit="1" customWidth="1"/>
    <col min="85" max="85" width="12" style="2" bestFit="1" customWidth="1"/>
    <col min="86" max="86" width="12.5546875" style="2" bestFit="1" customWidth="1"/>
    <col min="87" max="87" width="14.21875" style="2" bestFit="1" customWidth="1"/>
    <col min="88" max="88" width="18.21875" style="2" bestFit="1" customWidth="1"/>
    <col min="89" max="89" width="9.21875" style="2" bestFit="1" customWidth="1"/>
    <col min="90" max="91" width="12.44140625" style="2" bestFit="1" customWidth="1"/>
    <col min="92" max="92" width="13.77734375" style="2" bestFit="1" customWidth="1"/>
    <col min="93" max="93" width="5.88671875" style="2" bestFit="1" customWidth="1"/>
    <col min="94" max="94" width="19.5546875" style="2" bestFit="1" customWidth="1"/>
    <col min="95" max="95" width="12.5546875" style="2" bestFit="1" customWidth="1"/>
    <col min="96" max="96" width="10.88671875" style="2" bestFit="1" customWidth="1"/>
    <col min="97" max="97" width="15.44140625" style="2" bestFit="1" customWidth="1"/>
    <col min="98" max="98" width="12.5546875" style="2" bestFit="1" customWidth="1"/>
    <col min="99" max="99" width="7.77734375" style="2" bestFit="1" customWidth="1"/>
    <col min="100" max="102" width="9.21875" style="2" bestFit="1" customWidth="1"/>
    <col min="103" max="103" width="6.109375" style="2" bestFit="1" customWidth="1"/>
    <col min="104" max="104" width="14.77734375" style="2" bestFit="1" customWidth="1"/>
    <col min="105" max="105" width="14.44140625" style="2" bestFit="1" customWidth="1"/>
    <col min="106" max="106" width="14.6640625" style="2" bestFit="1" customWidth="1"/>
    <col min="107" max="107" width="14.44140625" style="2" bestFit="1" customWidth="1"/>
    <col min="108" max="108" width="14.77734375" style="2" bestFit="1" customWidth="1"/>
    <col min="109" max="109" width="14.44140625" style="2" bestFit="1" customWidth="1"/>
    <col min="110" max="110" width="14.33203125" style="2" bestFit="1" customWidth="1"/>
    <col min="111" max="113" width="9.21875" style="2" customWidth="1"/>
    <col min="114" max="16384" width="8.88671875" style="1"/>
  </cols>
  <sheetData>
    <row r="1" spans="1:113" hidden="1" outlineLevel="1">
      <c r="A1" s="135"/>
      <c r="I1" s="40" t="s">
        <v>731</v>
      </c>
      <c r="J1" s="40" t="s">
        <v>50</v>
      </c>
      <c r="K1" s="40" t="s">
        <v>130</v>
      </c>
      <c r="L1" s="40" t="s">
        <v>114</v>
      </c>
      <c r="M1" s="40" t="s">
        <v>176</v>
      </c>
      <c r="N1" s="40" t="s">
        <v>177</v>
      </c>
      <c r="O1" s="40" t="s">
        <v>178</v>
      </c>
      <c r="P1" s="122"/>
      <c r="Q1" s="122"/>
      <c r="R1" s="122"/>
      <c r="S1" s="122"/>
      <c r="T1" s="115" t="s">
        <v>88</v>
      </c>
      <c r="U1" s="115" t="s">
        <v>88</v>
      </c>
      <c r="V1" s="115" t="s">
        <v>707</v>
      </c>
      <c r="W1" s="2"/>
      <c r="X1" s="2"/>
      <c r="Y1" s="2"/>
      <c r="Z1" s="2"/>
      <c r="AA1" s="2"/>
      <c r="AB1" s="2"/>
      <c r="AC1" s="2"/>
      <c r="AD1" s="2"/>
      <c r="AE1" s="2"/>
      <c r="AF1" s="2"/>
      <c r="AG1" s="2"/>
      <c r="AH1" s="2"/>
      <c r="AI1" s="2"/>
      <c r="AJ1" s="2"/>
      <c r="AK1" s="2"/>
      <c r="AL1" s="2"/>
      <c r="AM1" s="2"/>
      <c r="AN1" s="2"/>
      <c r="AO1" s="2"/>
      <c r="AP1" s="2"/>
      <c r="AQ1" s="2"/>
      <c r="AV1" s="2"/>
      <c r="AW1" s="2"/>
    </row>
    <row r="2" spans="1:113" ht="63.75" customHeight="1" collapsed="1">
      <c r="A2" s="2"/>
      <c r="C2" s="31" t="s">
        <v>1485</v>
      </c>
      <c r="G2" s="31" t="s">
        <v>1486</v>
      </c>
      <c r="H2" s="31"/>
      <c r="P2" s="2"/>
      <c r="Q2" s="2"/>
      <c r="R2" s="2"/>
      <c r="S2" s="2"/>
      <c r="T2" s="2"/>
      <c r="U2" s="2"/>
      <c r="V2" s="2"/>
      <c r="W2" s="2"/>
      <c r="X2" s="2"/>
      <c r="Y2" s="2"/>
      <c r="Z2" s="2"/>
      <c r="AA2" s="2"/>
      <c r="AB2" s="2"/>
      <c r="AC2" s="2"/>
      <c r="AD2" s="2"/>
      <c r="AE2" s="2"/>
      <c r="AF2" s="2"/>
      <c r="AG2" s="2"/>
      <c r="AH2" s="2"/>
      <c r="AI2" s="2"/>
      <c r="AJ2" s="2"/>
      <c r="AK2" s="2"/>
      <c r="AL2" s="2"/>
      <c r="AM2" s="2"/>
      <c r="AN2" s="2"/>
      <c r="AO2" s="2"/>
      <c r="AP2" s="2"/>
      <c r="AQ2" s="2"/>
      <c r="AV2" s="2"/>
      <c r="AW2" s="2"/>
    </row>
    <row r="3" spans="1:113" ht="63.75" customHeight="1">
      <c r="A3" s="2"/>
      <c r="AH3" s="2"/>
      <c r="AI3" s="2"/>
      <c r="AJ3" s="2"/>
      <c r="AK3" s="2"/>
      <c r="AL3" s="2"/>
      <c r="AM3" s="2"/>
      <c r="AN3" s="2"/>
      <c r="AO3" s="2"/>
      <c r="AP3" s="2"/>
      <c r="AQ3" s="2"/>
      <c r="AV3" s="2"/>
      <c r="AW3" s="2"/>
    </row>
    <row r="4" spans="1:113" ht="16.5" customHeight="1">
      <c r="A4" s="2"/>
      <c r="AJ4" s="2"/>
      <c r="AK4" s="2"/>
      <c r="AL4" s="2"/>
      <c r="AM4" s="2"/>
      <c r="AN4" s="2"/>
      <c r="AO4" s="2"/>
      <c r="AP4" s="2"/>
      <c r="AQ4" s="2"/>
      <c r="AV4" s="2"/>
      <c r="AW4" s="2"/>
    </row>
    <row r="5" spans="1:113">
      <c r="C5" t="s">
        <v>724</v>
      </c>
      <c r="D5" t="s">
        <v>90</v>
      </c>
      <c r="E5" t="s">
        <v>91</v>
      </c>
      <c r="G5" t="s">
        <v>174</v>
      </c>
      <c r="H5" t="s">
        <v>82</v>
      </c>
      <c r="I5" t="s">
        <v>722</v>
      </c>
      <c r="J5" t="s">
        <v>723</v>
      </c>
      <c r="K5" t="s">
        <v>139</v>
      </c>
      <c r="L5" t="s">
        <v>45</v>
      </c>
      <c r="M5" t="s">
        <v>46</v>
      </c>
      <c r="N5" t="s">
        <v>44</v>
      </c>
      <c r="O5" t="s">
        <v>61</v>
      </c>
      <c r="P5" t="s">
        <v>54</v>
      </c>
      <c r="Q5" t="s">
        <v>770</v>
      </c>
      <c r="R5" t="s">
        <v>769</v>
      </c>
      <c r="S5" t="s">
        <v>467</v>
      </c>
      <c r="T5" t="s">
        <v>724</v>
      </c>
      <c r="U5" t="s">
        <v>90</v>
      </c>
      <c r="V5" t="s">
        <v>189</v>
      </c>
      <c r="W5" t="s">
        <v>94</v>
      </c>
      <c r="X5" t="s">
        <v>95</v>
      </c>
      <c r="Y5" t="s">
        <v>47</v>
      </c>
      <c r="Z5" t="s">
        <v>55</v>
      </c>
      <c r="AA5" t="s">
        <v>251</v>
      </c>
      <c r="AB5" t="s">
        <v>49</v>
      </c>
      <c r="AC5" t="s">
        <v>96</v>
      </c>
      <c r="AD5" t="s">
        <v>167</v>
      </c>
      <c r="AE5" t="s">
        <v>168</v>
      </c>
      <c r="AF5" t="s">
        <v>51</v>
      </c>
      <c r="AG5" t="s">
        <v>227</v>
      </c>
      <c r="AH5" t="s">
        <v>190</v>
      </c>
      <c r="AI5" t="s">
        <v>52</v>
      </c>
      <c r="AJ5" t="s">
        <v>53</v>
      </c>
      <c r="AK5" t="s">
        <v>56</v>
      </c>
      <c r="AL5" t="s">
        <v>57</v>
      </c>
      <c r="AM5" t="s">
        <v>91</v>
      </c>
      <c r="AN5" t="s">
        <v>42</v>
      </c>
      <c r="AO5" t="s">
        <v>43</v>
      </c>
      <c r="AP5" t="s">
        <v>114</v>
      </c>
      <c r="AQ5" t="s">
        <v>58</v>
      </c>
      <c r="AR5" t="s">
        <v>59</v>
      </c>
      <c r="AS5" t="s">
        <v>60</v>
      </c>
      <c r="AT5" t="s">
        <v>62</v>
      </c>
      <c r="AU5" t="s">
        <v>160</v>
      </c>
      <c r="AV5" t="s">
        <v>41</v>
      </c>
      <c r="AW5" t="s">
        <v>140</v>
      </c>
      <c r="AX5" t="s">
        <v>48</v>
      </c>
      <c r="AY5" t="s">
        <v>92</v>
      </c>
      <c r="AZ5" t="s">
        <v>491</v>
      </c>
      <c r="BA5" t="s">
        <v>175</v>
      </c>
      <c r="BB5" t="s">
        <v>39</v>
      </c>
      <c r="BC5" t="s">
        <v>93</v>
      </c>
      <c r="BD5" t="s">
        <v>176</v>
      </c>
      <c r="BE5" t="s">
        <v>177</v>
      </c>
      <c r="BF5" t="s">
        <v>178</v>
      </c>
      <c r="BG5" t="s">
        <v>179</v>
      </c>
      <c r="BH5" t="s">
        <v>469</v>
      </c>
      <c r="BI5" t="s">
        <v>97</v>
      </c>
      <c r="BJ5" t="s">
        <v>98</v>
      </c>
      <c r="BK5" t="s">
        <v>63</v>
      </c>
      <c r="BL5" t="s">
        <v>64</v>
      </c>
      <c r="BM5" t="s">
        <v>99</v>
      </c>
      <c r="BN5" t="s">
        <v>65</v>
      </c>
      <c r="BO5" t="s">
        <v>66</v>
      </c>
      <c r="BP5" t="s">
        <v>67</v>
      </c>
      <c r="BQ5" t="s">
        <v>68</v>
      </c>
      <c r="BR5" t="s">
        <v>69</v>
      </c>
      <c r="BS5" t="s">
        <v>181</v>
      </c>
      <c r="BT5" t="s">
        <v>70</v>
      </c>
      <c r="BU5" t="s">
        <v>100</v>
      </c>
      <c r="BV5" t="s">
        <v>71</v>
      </c>
      <c r="BW5" t="s">
        <v>180</v>
      </c>
      <c r="BX5" t="s">
        <v>72</v>
      </c>
      <c r="BY5" t="s">
        <v>73</v>
      </c>
      <c r="BZ5" t="s">
        <v>74</v>
      </c>
      <c r="CA5" t="s">
        <v>75</v>
      </c>
      <c r="CB5" t="s">
        <v>76</v>
      </c>
      <c r="CC5" t="s">
        <v>101</v>
      </c>
      <c r="CD5" t="s">
        <v>77</v>
      </c>
      <c r="CE5" t="s">
        <v>78</v>
      </c>
      <c r="CF5" t="s">
        <v>716</v>
      </c>
      <c r="CG5" t="s">
        <v>252</v>
      </c>
      <c r="CH5" t="s">
        <v>694</v>
      </c>
      <c r="CI5" t="s">
        <v>202</v>
      </c>
      <c r="CJ5" t="s">
        <v>124</v>
      </c>
      <c r="CK5" t="s">
        <v>111</v>
      </c>
      <c r="CL5" t="s">
        <v>117</v>
      </c>
      <c r="CM5" t="s">
        <v>141</v>
      </c>
      <c r="CN5" t="s">
        <v>802</v>
      </c>
      <c r="CO5" t="s">
        <v>85</v>
      </c>
      <c r="CP5" t="s">
        <v>119</v>
      </c>
      <c r="CQ5" t="s">
        <v>725</v>
      </c>
      <c r="CR5" t="s">
        <v>184</v>
      </c>
      <c r="CS5" t="s">
        <v>726</v>
      </c>
      <c r="CT5" t="s">
        <v>537</v>
      </c>
      <c r="CU5" t="s">
        <v>182</v>
      </c>
      <c r="CV5" t="s">
        <v>502</v>
      </c>
      <c r="CW5" t="s">
        <v>503</v>
      </c>
      <c r="CX5" t="s">
        <v>166</v>
      </c>
      <c r="CY5" t="s">
        <v>504</v>
      </c>
      <c r="CZ5" t="s">
        <v>727</v>
      </c>
      <c r="DA5" t="s">
        <v>728</v>
      </c>
      <c r="DF5" s="1"/>
      <c r="DG5" s="1"/>
      <c r="DH5" s="1"/>
      <c r="DI5" s="1"/>
    </row>
    <row r="6" spans="1:113">
      <c r="C6" s="180" t="s">
        <v>1148</v>
      </c>
      <c r="D6" s="179" t="s">
        <v>290</v>
      </c>
      <c r="E6" s="180" t="s">
        <v>792</v>
      </c>
      <c r="G6" s="123">
        <v>45313.905649259257</v>
      </c>
      <c r="H6" s="181">
        <v>34</v>
      </c>
      <c r="I6" t="s">
        <v>88</v>
      </c>
      <c r="J6" t="s">
        <v>88</v>
      </c>
      <c r="K6" t="s">
        <v>1714</v>
      </c>
      <c r="L6" t="s">
        <v>1712</v>
      </c>
      <c r="M6" s="30">
        <v>45310</v>
      </c>
      <c r="N6" t="s">
        <v>1711</v>
      </c>
      <c r="O6" t="s">
        <v>102</v>
      </c>
      <c r="P6"/>
      <c r="Q6" t="s">
        <v>778</v>
      </c>
      <c r="R6" t="s">
        <v>778</v>
      </c>
      <c r="S6" t="s">
        <v>779</v>
      </c>
      <c r="T6" t="s">
        <v>88</v>
      </c>
      <c r="U6" t="s">
        <v>1711</v>
      </c>
      <c r="V6" t="s">
        <v>88</v>
      </c>
      <c r="W6" t="s">
        <v>88</v>
      </c>
      <c r="X6" t="s">
        <v>88</v>
      </c>
      <c r="Y6" t="s">
        <v>88</v>
      </c>
      <c r="Z6" t="s">
        <v>88</v>
      </c>
      <c r="AA6"/>
      <c r="AB6" s="30"/>
      <c r="AC6" t="s">
        <v>501</v>
      </c>
      <c r="AD6" t="s">
        <v>501</v>
      </c>
      <c r="AE6" t="s">
        <v>501</v>
      </c>
      <c r="AF6"/>
      <c r="AG6" t="s">
        <v>88</v>
      </c>
      <c r="AH6" t="s">
        <v>501</v>
      </c>
      <c r="AI6" t="s">
        <v>88</v>
      </c>
      <c r="AJ6" t="s">
        <v>88</v>
      </c>
      <c r="AK6"/>
      <c r="AL6"/>
      <c r="AM6" t="s">
        <v>501</v>
      </c>
      <c r="AN6" t="s">
        <v>501</v>
      </c>
      <c r="AO6" t="s">
        <v>501</v>
      </c>
      <c r="AP6"/>
      <c r="AQ6"/>
      <c r="AR6"/>
      <c r="AS6"/>
      <c r="AT6" t="s">
        <v>501</v>
      </c>
      <c r="AU6" t="s">
        <v>88</v>
      </c>
      <c r="AV6" t="s">
        <v>88</v>
      </c>
      <c r="AW6" t="s">
        <v>88</v>
      </c>
      <c r="AX6" t="s">
        <v>88</v>
      </c>
      <c r="AY6" t="s">
        <v>501</v>
      </c>
      <c r="AZ6" t="s">
        <v>88</v>
      </c>
      <c r="BA6"/>
      <c r="BB6" t="s">
        <v>88</v>
      </c>
      <c r="BC6" t="s">
        <v>88</v>
      </c>
      <c r="BD6"/>
      <c r="BE6" t="s">
        <v>88</v>
      </c>
      <c r="BF6" t="s">
        <v>88</v>
      </c>
      <c r="BG6" t="s">
        <v>88</v>
      </c>
      <c r="BH6" t="s">
        <v>88</v>
      </c>
      <c r="BI6"/>
      <c r="BJ6"/>
      <c r="BK6" s="30"/>
      <c r="BL6" s="30"/>
      <c r="BM6"/>
      <c r="BN6" t="s">
        <v>88</v>
      </c>
      <c r="BO6" s="30"/>
      <c r="BP6" t="s">
        <v>501</v>
      </c>
      <c r="BQ6" t="s">
        <v>88</v>
      </c>
      <c r="BR6" s="30"/>
      <c r="BS6" t="s">
        <v>88</v>
      </c>
      <c r="BT6" s="30"/>
      <c r="BU6" t="s">
        <v>88</v>
      </c>
      <c r="BV6" t="s">
        <v>88</v>
      </c>
      <c r="BW6" t="s">
        <v>88</v>
      </c>
      <c r="BX6" t="s">
        <v>88</v>
      </c>
      <c r="BY6" t="s">
        <v>88</v>
      </c>
      <c r="BZ6" t="s">
        <v>88</v>
      </c>
      <c r="CA6" t="s">
        <v>88</v>
      </c>
      <c r="CB6" t="s">
        <v>88</v>
      </c>
      <c r="CC6" t="s">
        <v>88</v>
      </c>
      <c r="CD6" t="s">
        <v>88</v>
      </c>
      <c r="CE6" t="s">
        <v>88</v>
      </c>
      <c r="CF6" t="s">
        <v>88</v>
      </c>
      <c r="CG6" t="s">
        <v>1314</v>
      </c>
      <c r="CH6" t="s">
        <v>88</v>
      </c>
      <c r="CI6" t="s">
        <v>88</v>
      </c>
      <c r="CJ6" s="178" t="s">
        <v>88</v>
      </c>
      <c r="CK6"/>
      <c r="CL6" t="s">
        <v>1305</v>
      </c>
      <c r="CM6" t="s">
        <v>1305</v>
      </c>
      <c r="CN6"/>
      <c r="CO6" t="s">
        <v>501</v>
      </c>
      <c r="CP6" t="s">
        <v>1713</v>
      </c>
      <c r="CQ6" t="s">
        <v>88</v>
      </c>
      <c r="CR6" s="30"/>
      <c r="CS6"/>
      <c r="CT6" t="s">
        <v>88</v>
      </c>
      <c r="CU6" t="s">
        <v>88</v>
      </c>
      <c r="CV6" t="s">
        <v>88</v>
      </c>
      <c r="CW6" t="s">
        <v>88</v>
      </c>
      <c r="CX6" t="s">
        <v>88</v>
      </c>
      <c r="CY6" t="s">
        <v>88</v>
      </c>
      <c r="CZ6">
        <v>1711</v>
      </c>
      <c r="DA6">
        <v>1777</v>
      </c>
      <c r="DF6" s="1"/>
      <c r="DG6" s="1"/>
      <c r="DH6" s="1"/>
      <c r="DI6" s="1"/>
    </row>
    <row r="7" spans="1:113" ht="18.75">
      <c r="A7" s="42"/>
      <c r="C7" s="180" t="s">
        <v>1148</v>
      </c>
      <c r="D7" s="179" t="s">
        <v>307</v>
      </c>
      <c r="E7" s="180" t="s">
        <v>792</v>
      </c>
      <c r="G7" s="123">
        <v>45313.905649259257</v>
      </c>
      <c r="H7" s="181">
        <v>33</v>
      </c>
      <c r="I7" t="s">
        <v>88</v>
      </c>
      <c r="J7" t="s">
        <v>88</v>
      </c>
      <c r="K7" t="s">
        <v>1472</v>
      </c>
      <c r="L7" t="s">
        <v>1499</v>
      </c>
      <c r="M7" s="30">
        <v>45310</v>
      </c>
      <c r="N7" t="s">
        <v>1500</v>
      </c>
      <c r="O7" t="s">
        <v>102</v>
      </c>
      <c r="P7">
        <v>5.27</v>
      </c>
      <c r="Q7" t="s">
        <v>778</v>
      </c>
      <c r="R7" t="s">
        <v>778</v>
      </c>
      <c r="S7" t="s">
        <v>778</v>
      </c>
      <c r="T7" t="s">
        <v>88</v>
      </c>
      <c r="U7" t="s">
        <v>1497</v>
      </c>
      <c r="V7" t="s">
        <v>1498</v>
      </c>
      <c r="W7" t="s">
        <v>279</v>
      </c>
      <c r="X7" t="s">
        <v>279</v>
      </c>
      <c r="Y7" t="s">
        <v>279</v>
      </c>
      <c r="Z7" t="s">
        <v>799</v>
      </c>
      <c r="AA7">
        <v>7.8</v>
      </c>
      <c r="AB7" s="30">
        <v>46047</v>
      </c>
      <c r="AC7" t="s">
        <v>287</v>
      </c>
      <c r="AD7" t="s">
        <v>88</v>
      </c>
      <c r="AE7" t="s">
        <v>88</v>
      </c>
      <c r="AF7"/>
      <c r="AG7" t="s">
        <v>282</v>
      </c>
      <c r="AH7" t="s">
        <v>281</v>
      </c>
      <c r="AI7" t="s">
        <v>88</v>
      </c>
      <c r="AJ7" t="s">
        <v>280</v>
      </c>
      <c r="AK7">
        <v>100</v>
      </c>
      <c r="AL7"/>
      <c r="AM7" t="s">
        <v>500</v>
      </c>
      <c r="AN7" t="s">
        <v>1502</v>
      </c>
      <c r="AO7" t="s">
        <v>88</v>
      </c>
      <c r="AP7"/>
      <c r="AQ7"/>
      <c r="AR7"/>
      <c r="AS7"/>
      <c r="AT7" t="s">
        <v>1503</v>
      </c>
      <c r="AU7" t="s">
        <v>228</v>
      </c>
      <c r="AV7" t="s">
        <v>695</v>
      </c>
      <c r="AW7" t="s">
        <v>279</v>
      </c>
      <c r="AX7" t="s">
        <v>1504</v>
      </c>
      <c r="AY7" t="s">
        <v>88</v>
      </c>
      <c r="AZ7" t="s">
        <v>1</v>
      </c>
      <c r="BA7" t="s">
        <v>800</v>
      </c>
      <c r="BB7" t="s">
        <v>278</v>
      </c>
      <c r="BC7" t="s">
        <v>286</v>
      </c>
      <c r="BD7"/>
      <c r="BE7" t="s">
        <v>88</v>
      </c>
      <c r="BF7" t="s">
        <v>88</v>
      </c>
      <c r="BG7" t="s">
        <v>1505</v>
      </c>
      <c r="BH7" t="s">
        <v>1506</v>
      </c>
      <c r="BI7">
        <v>10000</v>
      </c>
      <c r="BJ7">
        <v>5.27</v>
      </c>
      <c r="BK7" s="30">
        <v>45316</v>
      </c>
      <c r="BL7" s="30"/>
      <c r="BM7">
        <v>7.8</v>
      </c>
      <c r="BN7" t="s">
        <v>88</v>
      </c>
      <c r="BO7" s="30">
        <v>45498</v>
      </c>
      <c r="BP7" t="s">
        <v>1497</v>
      </c>
      <c r="BQ7" t="s">
        <v>88</v>
      </c>
      <c r="BR7" s="30">
        <v>45316</v>
      </c>
      <c r="BS7" t="s">
        <v>1507</v>
      </c>
      <c r="BT7" s="30">
        <v>45316</v>
      </c>
      <c r="BU7" t="s">
        <v>692</v>
      </c>
      <c r="BV7" t="s">
        <v>1508</v>
      </c>
      <c r="BW7" t="s">
        <v>1509</v>
      </c>
      <c r="BX7" t="s">
        <v>277</v>
      </c>
      <c r="BY7" t="s">
        <v>277</v>
      </c>
      <c r="BZ7" t="s">
        <v>276</v>
      </c>
      <c r="CA7" t="s">
        <v>275</v>
      </c>
      <c r="CB7" t="s">
        <v>274</v>
      </c>
      <c r="CC7" t="s">
        <v>88</v>
      </c>
      <c r="CD7" t="s">
        <v>113</v>
      </c>
      <c r="CE7" t="s">
        <v>88</v>
      </c>
      <c r="CF7" t="s">
        <v>88</v>
      </c>
      <c r="CG7" t="s">
        <v>191</v>
      </c>
      <c r="CH7" t="s">
        <v>192</v>
      </c>
      <c r="CI7" t="s">
        <v>88</v>
      </c>
      <c r="CJ7" s="178" t="s">
        <v>88</v>
      </c>
      <c r="CK7"/>
      <c r="CL7" t="s">
        <v>79</v>
      </c>
      <c r="CM7" t="s">
        <v>79</v>
      </c>
      <c r="CN7" t="s">
        <v>472</v>
      </c>
      <c r="CO7" t="s">
        <v>9</v>
      </c>
      <c r="CP7" t="s">
        <v>1510</v>
      </c>
      <c r="CQ7" t="s">
        <v>88</v>
      </c>
      <c r="CR7" s="30"/>
      <c r="CS7">
        <v>1032</v>
      </c>
      <c r="CT7" t="s">
        <v>1676</v>
      </c>
      <c r="CU7" t="s">
        <v>199</v>
      </c>
      <c r="CV7" t="s">
        <v>6</v>
      </c>
      <c r="CW7" t="s">
        <v>6</v>
      </c>
      <c r="CX7" t="s">
        <v>157</v>
      </c>
      <c r="CY7" t="s">
        <v>526</v>
      </c>
      <c r="CZ7">
        <v>1710</v>
      </c>
      <c r="DA7">
        <v>1776</v>
      </c>
      <c r="DF7" s="1"/>
      <c r="DG7" s="1"/>
      <c r="DH7" s="1"/>
      <c r="DI7" s="1"/>
    </row>
    <row r="8" spans="1:113">
      <c r="C8" s="180" t="s">
        <v>1148</v>
      </c>
      <c r="D8" s="179" t="s">
        <v>336</v>
      </c>
      <c r="E8" s="180" t="s">
        <v>792</v>
      </c>
      <c r="G8" s="123">
        <v>45313.905649259257</v>
      </c>
      <c r="H8" s="181">
        <v>32</v>
      </c>
      <c r="I8" t="s">
        <v>88</v>
      </c>
      <c r="J8" t="s">
        <v>88</v>
      </c>
      <c r="K8" t="s">
        <v>707</v>
      </c>
      <c r="L8" t="s">
        <v>1513</v>
      </c>
      <c r="M8" s="30">
        <v>45310</v>
      </c>
      <c r="N8" t="s">
        <v>1514</v>
      </c>
      <c r="O8" t="s">
        <v>102</v>
      </c>
      <c r="P8">
        <v>10.5</v>
      </c>
      <c r="Q8" t="s">
        <v>778</v>
      </c>
      <c r="R8" t="s">
        <v>778</v>
      </c>
      <c r="S8" t="s">
        <v>779</v>
      </c>
      <c r="T8" t="s">
        <v>88</v>
      </c>
      <c r="U8" t="s">
        <v>1511</v>
      </c>
      <c r="V8" t="s">
        <v>1512</v>
      </c>
      <c r="W8" t="s">
        <v>279</v>
      </c>
      <c r="X8" t="s">
        <v>279</v>
      </c>
      <c r="Y8" t="s">
        <v>279</v>
      </c>
      <c r="Z8" t="s">
        <v>284</v>
      </c>
      <c r="AA8">
        <v>5.15</v>
      </c>
      <c r="AB8" s="30">
        <v>46413</v>
      </c>
      <c r="AC8" t="s">
        <v>287</v>
      </c>
      <c r="AD8" t="s">
        <v>1516</v>
      </c>
      <c r="AE8" t="s">
        <v>1517</v>
      </c>
      <c r="AF8">
        <v>15</v>
      </c>
      <c r="AG8" t="s">
        <v>282</v>
      </c>
      <c r="AH8" t="s">
        <v>281</v>
      </c>
      <c r="AI8" t="s">
        <v>88</v>
      </c>
      <c r="AJ8" t="s">
        <v>280</v>
      </c>
      <c r="AK8">
        <v>100</v>
      </c>
      <c r="AL8"/>
      <c r="AM8" t="s">
        <v>1518</v>
      </c>
      <c r="AN8" t="s">
        <v>1519</v>
      </c>
      <c r="AO8" t="s">
        <v>88</v>
      </c>
      <c r="AP8"/>
      <c r="AQ8"/>
      <c r="AR8"/>
      <c r="AS8"/>
      <c r="AT8" t="s">
        <v>1520</v>
      </c>
      <c r="AU8" t="s">
        <v>228</v>
      </c>
      <c r="AV8" t="s">
        <v>695</v>
      </c>
      <c r="AW8" t="s">
        <v>279</v>
      </c>
      <c r="AX8" t="s">
        <v>1504</v>
      </c>
      <c r="AY8" t="s">
        <v>88</v>
      </c>
      <c r="AZ8" t="s">
        <v>1</v>
      </c>
      <c r="BA8" t="s">
        <v>1521</v>
      </c>
      <c r="BB8" t="s">
        <v>278</v>
      </c>
      <c r="BC8" t="s">
        <v>286</v>
      </c>
      <c r="BD8"/>
      <c r="BE8" t="s">
        <v>88</v>
      </c>
      <c r="BF8" t="s">
        <v>88</v>
      </c>
      <c r="BG8" t="s">
        <v>1522</v>
      </c>
      <c r="BH8" t="s">
        <v>1523</v>
      </c>
      <c r="BI8">
        <v>10000</v>
      </c>
      <c r="BJ8">
        <v>10.5</v>
      </c>
      <c r="BK8" s="30">
        <v>45317</v>
      </c>
      <c r="BL8" s="30">
        <v>46048</v>
      </c>
      <c r="BM8">
        <v>5.15</v>
      </c>
      <c r="BN8" t="s">
        <v>88</v>
      </c>
      <c r="BO8" s="30">
        <v>45683</v>
      </c>
      <c r="BP8" t="s">
        <v>1511</v>
      </c>
      <c r="BQ8" t="s">
        <v>88</v>
      </c>
      <c r="BR8" s="30">
        <v>45317</v>
      </c>
      <c r="BS8" t="s">
        <v>1517</v>
      </c>
      <c r="BT8" s="30">
        <v>45317</v>
      </c>
      <c r="BU8" t="s">
        <v>692</v>
      </c>
      <c r="BV8" t="s">
        <v>1524</v>
      </c>
      <c r="BW8" t="s">
        <v>1525</v>
      </c>
      <c r="BX8" t="s">
        <v>277</v>
      </c>
      <c r="BY8" t="s">
        <v>277</v>
      </c>
      <c r="BZ8" t="s">
        <v>276</v>
      </c>
      <c r="CA8" t="s">
        <v>275</v>
      </c>
      <c r="CB8" t="s">
        <v>1526</v>
      </c>
      <c r="CC8" t="s">
        <v>88</v>
      </c>
      <c r="CD8" t="s">
        <v>1385</v>
      </c>
      <c r="CE8" t="s">
        <v>88</v>
      </c>
      <c r="CF8" t="s">
        <v>88</v>
      </c>
      <c r="CG8" t="s">
        <v>191</v>
      </c>
      <c r="CH8" t="s">
        <v>192</v>
      </c>
      <c r="CI8" t="s">
        <v>88</v>
      </c>
      <c r="CJ8" s="178" t="s">
        <v>88</v>
      </c>
      <c r="CK8"/>
      <c r="CL8" t="s">
        <v>79</v>
      </c>
      <c r="CM8" t="s">
        <v>79</v>
      </c>
      <c r="CN8" t="s">
        <v>472</v>
      </c>
      <c r="CO8" t="s">
        <v>15</v>
      </c>
      <c r="CP8" t="s">
        <v>1527</v>
      </c>
      <c r="CQ8" t="s">
        <v>88</v>
      </c>
      <c r="CR8" s="30"/>
      <c r="CS8">
        <v>87</v>
      </c>
      <c r="CT8" t="s">
        <v>1718</v>
      </c>
      <c r="CU8" t="s">
        <v>199</v>
      </c>
      <c r="CV8" t="s">
        <v>6</v>
      </c>
      <c r="CW8" t="s">
        <v>6</v>
      </c>
      <c r="CX8" t="s">
        <v>157</v>
      </c>
      <c r="CY8" t="s">
        <v>524</v>
      </c>
      <c r="CZ8">
        <v>1709</v>
      </c>
      <c r="DA8">
        <v>1775</v>
      </c>
      <c r="DF8" s="1"/>
      <c r="DG8" s="1"/>
      <c r="DH8" s="1"/>
      <c r="DI8" s="1"/>
    </row>
    <row r="9" spans="1:113">
      <c r="C9" s="180" t="s">
        <v>1148</v>
      </c>
      <c r="D9" s="179" t="s">
        <v>312</v>
      </c>
      <c r="E9" s="180" t="s">
        <v>792</v>
      </c>
      <c r="G9" s="123">
        <v>45313.905649259257</v>
      </c>
      <c r="H9" s="181">
        <v>31</v>
      </c>
      <c r="I9" t="s">
        <v>88</v>
      </c>
      <c r="J9" t="s">
        <v>88</v>
      </c>
      <c r="K9" t="s">
        <v>707</v>
      </c>
      <c r="L9" t="s">
        <v>1095</v>
      </c>
      <c r="M9" s="30">
        <v>45309</v>
      </c>
      <c r="N9" t="s">
        <v>1121</v>
      </c>
      <c r="O9" t="s">
        <v>102</v>
      </c>
      <c r="P9">
        <v>9</v>
      </c>
      <c r="Q9" t="s">
        <v>778</v>
      </c>
      <c r="R9" t="s">
        <v>778</v>
      </c>
      <c r="S9" t="s">
        <v>778</v>
      </c>
      <c r="T9" t="s">
        <v>88</v>
      </c>
      <c r="U9" t="s">
        <v>1096</v>
      </c>
      <c r="V9" t="s">
        <v>1338</v>
      </c>
      <c r="W9" t="s">
        <v>279</v>
      </c>
      <c r="X9" t="s">
        <v>279</v>
      </c>
      <c r="Y9" t="s">
        <v>279</v>
      </c>
      <c r="Z9" t="s">
        <v>284</v>
      </c>
      <c r="AA9">
        <v>4.05</v>
      </c>
      <c r="AB9" s="30">
        <v>46412</v>
      </c>
      <c r="AC9" t="s">
        <v>287</v>
      </c>
      <c r="AD9" t="s">
        <v>1340</v>
      </c>
      <c r="AE9" t="s">
        <v>1122</v>
      </c>
      <c r="AF9">
        <v>45</v>
      </c>
      <c r="AG9" t="s">
        <v>282</v>
      </c>
      <c r="AH9" t="s">
        <v>1341</v>
      </c>
      <c r="AI9" t="s">
        <v>1342</v>
      </c>
      <c r="AJ9" t="s">
        <v>280</v>
      </c>
      <c r="AK9">
        <v>100</v>
      </c>
      <c r="AL9"/>
      <c r="AM9" t="s">
        <v>500</v>
      </c>
      <c r="AN9" t="s">
        <v>1343</v>
      </c>
      <c r="AO9" t="s">
        <v>1528</v>
      </c>
      <c r="AP9"/>
      <c r="AQ9"/>
      <c r="AR9"/>
      <c r="AS9"/>
      <c r="AT9" t="s">
        <v>1344</v>
      </c>
      <c r="AU9" t="s">
        <v>228</v>
      </c>
      <c r="AV9" t="s">
        <v>1345</v>
      </c>
      <c r="AW9" t="s">
        <v>279</v>
      </c>
      <c r="AX9" t="s">
        <v>494</v>
      </c>
      <c r="AY9" t="s">
        <v>88</v>
      </c>
      <c r="AZ9" t="s">
        <v>1</v>
      </c>
      <c r="BA9" t="s">
        <v>1254</v>
      </c>
      <c r="BB9" t="s">
        <v>278</v>
      </c>
      <c r="BC9" t="s">
        <v>286</v>
      </c>
      <c r="BD9"/>
      <c r="BE9" t="s">
        <v>88</v>
      </c>
      <c r="BF9" t="s">
        <v>88</v>
      </c>
      <c r="BG9" t="s">
        <v>88</v>
      </c>
      <c r="BH9" t="s">
        <v>1346</v>
      </c>
      <c r="BI9">
        <v>10000</v>
      </c>
      <c r="BJ9">
        <v>9</v>
      </c>
      <c r="BK9" s="30">
        <v>45316</v>
      </c>
      <c r="BL9" s="30"/>
      <c r="BM9">
        <v>4.05</v>
      </c>
      <c r="BN9" t="s">
        <v>88</v>
      </c>
      <c r="BO9" s="30">
        <v>45498</v>
      </c>
      <c r="BP9" t="s">
        <v>1301</v>
      </c>
      <c r="BQ9" t="s">
        <v>88</v>
      </c>
      <c r="BR9" s="30">
        <v>45316</v>
      </c>
      <c r="BS9" t="s">
        <v>1122</v>
      </c>
      <c r="BT9" s="30">
        <v>45316</v>
      </c>
      <c r="BU9" t="s">
        <v>709</v>
      </c>
      <c r="BV9" t="s">
        <v>1347</v>
      </c>
      <c r="BW9" t="s">
        <v>1348</v>
      </c>
      <c r="BX9" t="s">
        <v>277</v>
      </c>
      <c r="BY9" t="s">
        <v>277</v>
      </c>
      <c r="BZ9" t="s">
        <v>276</v>
      </c>
      <c r="CA9" t="s">
        <v>275</v>
      </c>
      <c r="CB9" t="s">
        <v>274</v>
      </c>
      <c r="CC9" t="s">
        <v>88</v>
      </c>
      <c r="CD9" t="s">
        <v>113</v>
      </c>
      <c r="CE9" t="s">
        <v>1096</v>
      </c>
      <c r="CF9" t="s">
        <v>88</v>
      </c>
      <c r="CG9" t="s">
        <v>191</v>
      </c>
      <c r="CH9" t="s">
        <v>490</v>
      </c>
      <c r="CI9" t="s">
        <v>88</v>
      </c>
      <c r="CJ9" s="178" t="s">
        <v>88</v>
      </c>
      <c r="CK9"/>
      <c r="CL9" t="s">
        <v>79</v>
      </c>
      <c r="CM9" t="s">
        <v>79</v>
      </c>
      <c r="CN9" t="s">
        <v>472</v>
      </c>
      <c r="CO9" t="s">
        <v>9</v>
      </c>
      <c r="CP9" t="s">
        <v>1097</v>
      </c>
      <c r="CQ9" t="s">
        <v>88</v>
      </c>
      <c r="CR9" s="30"/>
      <c r="CS9">
        <v>982</v>
      </c>
      <c r="CT9" t="s">
        <v>1470</v>
      </c>
      <c r="CU9" t="s">
        <v>199</v>
      </c>
      <c r="CV9" t="s">
        <v>528</v>
      </c>
      <c r="CW9" t="s">
        <v>6</v>
      </c>
      <c r="CX9" t="s">
        <v>157</v>
      </c>
      <c r="CY9" t="s">
        <v>526</v>
      </c>
      <c r="CZ9">
        <v>1708</v>
      </c>
      <c r="DA9">
        <v>1774</v>
      </c>
      <c r="DF9" s="1"/>
      <c r="DG9" s="1"/>
      <c r="DH9" s="1"/>
      <c r="DI9" s="1"/>
    </row>
    <row r="10" spans="1:113">
      <c r="G10" s="123">
        <v>45313.905649259257</v>
      </c>
      <c r="H10" s="181">
        <v>30</v>
      </c>
      <c r="I10" t="s">
        <v>88</v>
      </c>
      <c r="J10" t="s">
        <v>88</v>
      </c>
      <c r="K10" t="s">
        <v>226</v>
      </c>
      <c r="L10" t="s">
        <v>1092</v>
      </c>
      <c r="M10" s="30">
        <v>45309</v>
      </c>
      <c r="N10" t="s">
        <v>1123</v>
      </c>
      <c r="O10" t="s">
        <v>203</v>
      </c>
      <c r="P10">
        <v>72</v>
      </c>
      <c r="Q10" t="s">
        <v>778</v>
      </c>
      <c r="R10" t="s">
        <v>778</v>
      </c>
      <c r="S10" t="s">
        <v>779</v>
      </c>
      <c r="T10" t="s">
        <v>88</v>
      </c>
      <c r="U10" t="s">
        <v>1093</v>
      </c>
      <c r="V10" t="s">
        <v>1327</v>
      </c>
      <c r="W10" t="s">
        <v>279</v>
      </c>
      <c r="X10" t="s">
        <v>279</v>
      </c>
      <c r="Y10" t="s">
        <v>279</v>
      </c>
      <c r="Z10" t="s">
        <v>284</v>
      </c>
      <c r="AA10">
        <v>1.68</v>
      </c>
      <c r="AB10" s="30">
        <v>46411</v>
      </c>
      <c r="AC10" t="s">
        <v>283</v>
      </c>
      <c r="AD10" t="s">
        <v>1329</v>
      </c>
      <c r="AE10" t="s">
        <v>1124</v>
      </c>
      <c r="AF10">
        <v>12</v>
      </c>
      <c r="AG10" t="s">
        <v>282</v>
      </c>
      <c r="AH10" t="s">
        <v>708</v>
      </c>
      <c r="AI10" t="s">
        <v>1330</v>
      </c>
      <c r="AJ10" t="s">
        <v>280</v>
      </c>
      <c r="AK10">
        <v>100</v>
      </c>
      <c r="AL10"/>
      <c r="AM10" t="s">
        <v>710</v>
      </c>
      <c r="AN10" t="s">
        <v>1125</v>
      </c>
      <c r="AO10" t="s">
        <v>88</v>
      </c>
      <c r="AP10"/>
      <c r="AQ10"/>
      <c r="AR10"/>
      <c r="AS10"/>
      <c r="AT10" t="s">
        <v>1331</v>
      </c>
      <c r="AU10" t="s">
        <v>228</v>
      </c>
      <c r="AV10" t="s">
        <v>1332</v>
      </c>
      <c r="AW10" t="s">
        <v>279</v>
      </c>
      <c r="AX10" t="s">
        <v>88</v>
      </c>
      <c r="AY10" t="s">
        <v>226</v>
      </c>
      <c r="AZ10" t="s">
        <v>232</v>
      </c>
      <c r="BA10" t="s">
        <v>693</v>
      </c>
      <c r="BB10" t="s">
        <v>278</v>
      </c>
      <c r="BC10" t="s">
        <v>286</v>
      </c>
      <c r="BD10"/>
      <c r="BE10" t="s">
        <v>88</v>
      </c>
      <c r="BF10" t="s">
        <v>88</v>
      </c>
      <c r="BG10" t="s">
        <v>1333</v>
      </c>
      <c r="BH10" t="s">
        <v>1334</v>
      </c>
      <c r="BI10">
        <v>100</v>
      </c>
      <c r="BJ10">
        <v>72</v>
      </c>
      <c r="BK10" s="30">
        <v>45315</v>
      </c>
      <c r="BL10" s="30"/>
      <c r="BM10">
        <v>1.68</v>
      </c>
      <c r="BN10" t="s">
        <v>88</v>
      </c>
      <c r="BO10" s="30">
        <v>45497</v>
      </c>
      <c r="BP10" t="s">
        <v>1093</v>
      </c>
      <c r="BQ10" t="s">
        <v>88</v>
      </c>
      <c r="BR10" s="30">
        <v>45315</v>
      </c>
      <c r="BS10" t="s">
        <v>1124</v>
      </c>
      <c r="BT10" s="30">
        <v>45315</v>
      </c>
      <c r="BU10" t="s">
        <v>709</v>
      </c>
      <c r="BV10" t="s">
        <v>1335</v>
      </c>
      <c r="BW10" t="s">
        <v>1336</v>
      </c>
      <c r="BX10" t="s">
        <v>277</v>
      </c>
      <c r="BY10" t="s">
        <v>277</v>
      </c>
      <c r="BZ10" t="s">
        <v>276</v>
      </c>
      <c r="CA10" t="s">
        <v>275</v>
      </c>
      <c r="CB10" t="s">
        <v>274</v>
      </c>
      <c r="CC10" t="s">
        <v>88</v>
      </c>
      <c r="CD10" t="s">
        <v>113</v>
      </c>
      <c r="CE10" t="s">
        <v>88</v>
      </c>
      <c r="CF10" t="s">
        <v>88</v>
      </c>
      <c r="CG10" t="s">
        <v>191</v>
      </c>
      <c r="CH10" t="s">
        <v>192</v>
      </c>
      <c r="CI10" t="s">
        <v>88</v>
      </c>
      <c r="CJ10" s="178" t="s">
        <v>88</v>
      </c>
      <c r="CK10"/>
      <c r="CL10" t="s">
        <v>79</v>
      </c>
      <c r="CM10" t="s">
        <v>79</v>
      </c>
      <c r="CN10" t="s">
        <v>1292</v>
      </c>
      <c r="CO10" t="s">
        <v>16</v>
      </c>
      <c r="CP10" t="s">
        <v>1094</v>
      </c>
      <c r="CQ10" t="s">
        <v>88</v>
      </c>
      <c r="CR10" s="30"/>
      <c r="CS10">
        <v>92</v>
      </c>
      <c r="CT10" t="s">
        <v>1150</v>
      </c>
      <c r="CU10" t="s">
        <v>199</v>
      </c>
      <c r="CV10" t="s">
        <v>6</v>
      </c>
      <c r="CW10" t="s">
        <v>6</v>
      </c>
      <c r="CX10" t="s">
        <v>157</v>
      </c>
      <c r="CY10" t="s">
        <v>524</v>
      </c>
      <c r="CZ10">
        <v>1707</v>
      </c>
      <c r="DA10">
        <v>1773</v>
      </c>
      <c r="DF10" s="1"/>
      <c r="DG10" s="1"/>
      <c r="DH10" s="1"/>
      <c r="DI10" s="1"/>
    </row>
    <row r="11" spans="1:113">
      <c r="G11" s="123">
        <v>45313.905649259257</v>
      </c>
      <c r="H11" s="181">
        <v>29</v>
      </c>
      <c r="I11" t="s">
        <v>88</v>
      </c>
      <c r="J11" t="s">
        <v>88</v>
      </c>
      <c r="K11" t="s">
        <v>6</v>
      </c>
      <c r="L11" t="s">
        <v>1152</v>
      </c>
      <c r="M11" s="30">
        <v>45309</v>
      </c>
      <c r="N11" t="s">
        <v>1153</v>
      </c>
      <c r="O11" t="s">
        <v>102</v>
      </c>
      <c r="P11"/>
      <c r="Q11" t="s">
        <v>778</v>
      </c>
      <c r="R11" t="s">
        <v>778</v>
      </c>
      <c r="S11" t="s">
        <v>779</v>
      </c>
      <c r="T11" t="s">
        <v>88</v>
      </c>
      <c r="U11" t="s">
        <v>1153</v>
      </c>
      <c r="V11" t="s">
        <v>88</v>
      </c>
      <c r="W11" t="s">
        <v>88</v>
      </c>
      <c r="X11" t="s">
        <v>88</v>
      </c>
      <c r="Y11" t="s">
        <v>88</v>
      </c>
      <c r="Z11" t="s">
        <v>88</v>
      </c>
      <c r="AA11"/>
      <c r="AB11" s="30"/>
      <c r="AC11" t="s">
        <v>501</v>
      </c>
      <c r="AD11" t="s">
        <v>501</v>
      </c>
      <c r="AE11" t="s">
        <v>501</v>
      </c>
      <c r="AF11"/>
      <c r="AG11" t="s">
        <v>88</v>
      </c>
      <c r="AH11" t="s">
        <v>501</v>
      </c>
      <c r="AI11" t="s">
        <v>88</v>
      </c>
      <c r="AJ11" t="s">
        <v>88</v>
      </c>
      <c r="AK11"/>
      <c r="AL11"/>
      <c r="AM11" t="s">
        <v>501</v>
      </c>
      <c r="AN11" t="s">
        <v>501</v>
      </c>
      <c r="AO11" t="s">
        <v>501</v>
      </c>
      <c r="AP11"/>
      <c r="AQ11"/>
      <c r="AR11"/>
      <c r="AS11"/>
      <c r="AT11" t="s">
        <v>501</v>
      </c>
      <c r="AU11" t="s">
        <v>88</v>
      </c>
      <c r="AV11" t="s">
        <v>88</v>
      </c>
      <c r="AW11" t="s">
        <v>88</v>
      </c>
      <c r="AX11" t="s">
        <v>88</v>
      </c>
      <c r="AY11" t="s">
        <v>501</v>
      </c>
      <c r="AZ11" t="s">
        <v>88</v>
      </c>
      <c r="BA11"/>
      <c r="BB11" t="s">
        <v>88</v>
      </c>
      <c r="BC11" t="s">
        <v>88</v>
      </c>
      <c r="BD11"/>
      <c r="BE11" t="s">
        <v>88</v>
      </c>
      <c r="BF11" t="s">
        <v>88</v>
      </c>
      <c r="BG11" t="s">
        <v>88</v>
      </c>
      <c r="BH11" t="s">
        <v>88</v>
      </c>
      <c r="BI11"/>
      <c r="BJ11"/>
      <c r="BK11" s="30"/>
      <c r="BL11" s="30"/>
      <c r="BM11"/>
      <c r="BN11" t="s">
        <v>88</v>
      </c>
      <c r="BO11" s="30"/>
      <c r="BP11" t="s">
        <v>501</v>
      </c>
      <c r="BQ11" t="s">
        <v>88</v>
      </c>
      <c r="BR11" s="30"/>
      <c r="BS11" t="s">
        <v>88</v>
      </c>
      <c r="BT11" s="30"/>
      <c r="BU11" t="s">
        <v>88</v>
      </c>
      <c r="BV11" t="s">
        <v>88</v>
      </c>
      <c r="BW11" t="s">
        <v>88</v>
      </c>
      <c r="BX11" t="s">
        <v>88</v>
      </c>
      <c r="BY11" t="s">
        <v>88</v>
      </c>
      <c r="BZ11" t="s">
        <v>88</v>
      </c>
      <c r="CA11" t="s">
        <v>88</v>
      </c>
      <c r="CB11" t="s">
        <v>88</v>
      </c>
      <c r="CC11" t="s">
        <v>88</v>
      </c>
      <c r="CD11" t="s">
        <v>88</v>
      </c>
      <c r="CE11" t="s">
        <v>88</v>
      </c>
      <c r="CF11" t="s">
        <v>88</v>
      </c>
      <c r="CG11" t="s">
        <v>1314</v>
      </c>
      <c r="CH11" t="s">
        <v>88</v>
      </c>
      <c r="CI11" t="s">
        <v>88</v>
      </c>
      <c r="CJ11" s="178" t="s">
        <v>88</v>
      </c>
      <c r="CK11"/>
      <c r="CL11" t="s">
        <v>1305</v>
      </c>
      <c r="CM11" t="s">
        <v>1305</v>
      </c>
      <c r="CN11"/>
      <c r="CO11" t="s">
        <v>501</v>
      </c>
      <c r="CP11" t="s">
        <v>1154</v>
      </c>
      <c r="CQ11" t="s">
        <v>88</v>
      </c>
      <c r="CR11" s="30"/>
      <c r="CS11">
        <v>90</v>
      </c>
      <c r="CT11" t="s">
        <v>1157</v>
      </c>
      <c r="CU11" t="s">
        <v>199</v>
      </c>
      <c r="CV11" t="s">
        <v>6</v>
      </c>
      <c r="CW11" t="s">
        <v>6</v>
      </c>
      <c r="CX11" t="s">
        <v>157</v>
      </c>
      <c r="CY11" t="s">
        <v>526</v>
      </c>
      <c r="CZ11">
        <v>1706</v>
      </c>
      <c r="DA11">
        <v>1772</v>
      </c>
      <c r="DF11" s="1"/>
      <c r="DG11" s="1"/>
      <c r="DH11" s="1"/>
      <c r="DI11" s="1"/>
    </row>
    <row r="12" spans="1:113">
      <c r="G12" s="123">
        <v>45313.905649259257</v>
      </c>
      <c r="H12" s="181">
        <v>28</v>
      </c>
      <c r="I12" t="s">
        <v>88</v>
      </c>
      <c r="J12" t="s">
        <v>88</v>
      </c>
      <c r="K12" t="s">
        <v>707</v>
      </c>
      <c r="L12" t="s">
        <v>1089</v>
      </c>
      <c r="M12" s="30">
        <v>45309</v>
      </c>
      <c r="N12" t="s">
        <v>1126</v>
      </c>
      <c r="O12" t="s">
        <v>102</v>
      </c>
      <c r="P12">
        <v>10</v>
      </c>
      <c r="Q12" t="s">
        <v>778</v>
      </c>
      <c r="R12" t="s">
        <v>778</v>
      </c>
      <c r="S12" t="s">
        <v>778</v>
      </c>
      <c r="T12" t="s">
        <v>88</v>
      </c>
      <c r="U12" t="s">
        <v>601</v>
      </c>
      <c r="V12" t="s">
        <v>1315</v>
      </c>
      <c r="W12" t="s">
        <v>1316</v>
      </c>
      <c r="X12" t="s">
        <v>790</v>
      </c>
      <c r="Y12" t="s">
        <v>279</v>
      </c>
      <c r="Z12" t="s">
        <v>799</v>
      </c>
      <c r="AA12">
        <v>2.6</v>
      </c>
      <c r="AB12" s="30">
        <v>46047</v>
      </c>
      <c r="AC12" t="s">
        <v>283</v>
      </c>
      <c r="AD12" t="s">
        <v>1318</v>
      </c>
      <c r="AE12" t="s">
        <v>1319</v>
      </c>
      <c r="AF12">
        <v>40</v>
      </c>
      <c r="AG12" t="s">
        <v>282</v>
      </c>
      <c r="AH12" t="s">
        <v>294</v>
      </c>
      <c r="AI12" t="s">
        <v>88</v>
      </c>
      <c r="AJ12" t="s">
        <v>280</v>
      </c>
      <c r="AK12">
        <v>100</v>
      </c>
      <c r="AL12"/>
      <c r="AM12" t="s">
        <v>288</v>
      </c>
      <c r="AN12" t="s">
        <v>1289</v>
      </c>
      <c r="AO12" t="s">
        <v>88</v>
      </c>
      <c r="AP12"/>
      <c r="AQ12"/>
      <c r="AR12"/>
      <c r="AS12"/>
      <c r="AT12" t="s">
        <v>1320</v>
      </c>
      <c r="AU12" t="s">
        <v>228</v>
      </c>
      <c r="AV12" t="s">
        <v>1321</v>
      </c>
      <c r="AW12" t="s">
        <v>279</v>
      </c>
      <c r="AX12" t="s">
        <v>787</v>
      </c>
      <c r="AY12" t="s">
        <v>88</v>
      </c>
      <c r="AZ12" t="s">
        <v>233</v>
      </c>
      <c r="BA12" t="s">
        <v>800</v>
      </c>
      <c r="BB12" t="s">
        <v>1290</v>
      </c>
      <c r="BC12" t="s">
        <v>285</v>
      </c>
      <c r="BD12"/>
      <c r="BE12" t="s">
        <v>88</v>
      </c>
      <c r="BF12" t="s">
        <v>88</v>
      </c>
      <c r="BG12" t="s">
        <v>1322</v>
      </c>
      <c r="BH12" t="s">
        <v>1323</v>
      </c>
      <c r="BI12">
        <v>10000</v>
      </c>
      <c r="BJ12">
        <v>10</v>
      </c>
      <c r="BK12" s="30">
        <v>45316</v>
      </c>
      <c r="BL12" s="30"/>
      <c r="BM12">
        <v>2.6</v>
      </c>
      <c r="BN12" t="s">
        <v>88</v>
      </c>
      <c r="BO12" s="30">
        <v>45498</v>
      </c>
      <c r="BP12" t="s">
        <v>1300</v>
      </c>
      <c r="BQ12" t="s">
        <v>601</v>
      </c>
      <c r="BR12" s="30">
        <v>45316</v>
      </c>
      <c r="BS12" t="s">
        <v>1324</v>
      </c>
      <c r="BT12" s="30">
        <v>45316</v>
      </c>
      <c r="BU12" t="s">
        <v>709</v>
      </c>
      <c r="BV12" t="s">
        <v>1325</v>
      </c>
      <c r="BW12" t="s">
        <v>1326</v>
      </c>
      <c r="BX12" t="s">
        <v>277</v>
      </c>
      <c r="BY12" t="s">
        <v>277</v>
      </c>
      <c r="BZ12" t="s">
        <v>276</v>
      </c>
      <c r="CA12" t="s">
        <v>275</v>
      </c>
      <c r="CB12" t="s">
        <v>274</v>
      </c>
      <c r="CC12" t="s">
        <v>88</v>
      </c>
      <c r="CD12" t="s">
        <v>113</v>
      </c>
      <c r="CE12" t="s">
        <v>88</v>
      </c>
      <c r="CF12" t="s">
        <v>88</v>
      </c>
      <c r="CG12" t="s">
        <v>191</v>
      </c>
      <c r="CH12" t="s">
        <v>490</v>
      </c>
      <c r="CI12" t="s">
        <v>88</v>
      </c>
      <c r="CJ12" s="178" t="s">
        <v>88</v>
      </c>
      <c r="CK12"/>
      <c r="CL12" t="s">
        <v>1146</v>
      </c>
      <c r="CM12" t="s">
        <v>1090</v>
      </c>
      <c r="CN12" t="s">
        <v>472</v>
      </c>
      <c r="CO12" t="s">
        <v>11</v>
      </c>
      <c r="CP12" t="s">
        <v>1091</v>
      </c>
      <c r="CQ12" t="s">
        <v>88</v>
      </c>
      <c r="CR12" s="30"/>
      <c r="CS12">
        <v>114</v>
      </c>
      <c r="CT12" t="s">
        <v>1471</v>
      </c>
      <c r="CU12" t="s">
        <v>200</v>
      </c>
      <c r="CV12" t="s">
        <v>6</v>
      </c>
      <c r="CW12" t="s">
        <v>6</v>
      </c>
      <c r="CX12" t="s">
        <v>155</v>
      </c>
      <c r="CY12" t="s">
        <v>6</v>
      </c>
      <c r="CZ12">
        <v>1705</v>
      </c>
      <c r="DA12">
        <v>1771</v>
      </c>
      <c r="DF12" s="1"/>
      <c r="DG12" s="1"/>
      <c r="DH12" s="1"/>
      <c r="DI12" s="1"/>
    </row>
    <row r="13" spans="1:113">
      <c r="G13" s="123">
        <v>45313.905649259257</v>
      </c>
      <c r="H13" s="181">
        <v>27</v>
      </c>
      <c r="I13" t="s">
        <v>88</v>
      </c>
      <c r="J13" t="s">
        <v>88</v>
      </c>
      <c r="K13" t="s">
        <v>1472</v>
      </c>
      <c r="L13" t="s">
        <v>1098</v>
      </c>
      <c r="M13" s="30">
        <v>45309</v>
      </c>
      <c r="N13" t="s">
        <v>1127</v>
      </c>
      <c r="O13" t="s">
        <v>203</v>
      </c>
      <c r="P13">
        <v>147</v>
      </c>
      <c r="Q13" t="s">
        <v>778</v>
      </c>
      <c r="R13" t="s">
        <v>778</v>
      </c>
      <c r="S13" t="s">
        <v>778</v>
      </c>
      <c r="T13" t="s">
        <v>88</v>
      </c>
      <c r="U13" t="s">
        <v>1099</v>
      </c>
      <c r="V13" t="s">
        <v>1350</v>
      </c>
      <c r="W13" t="s">
        <v>712</v>
      </c>
      <c r="X13" t="s">
        <v>700</v>
      </c>
      <c r="Y13" t="s">
        <v>279</v>
      </c>
      <c r="Z13" t="s">
        <v>284</v>
      </c>
      <c r="AA13">
        <v>1</v>
      </c>
      <c r="AB13" s="30">
        <v>46412</v>
      </c>
      <c r="AC13" t="s">
        <v>1351</v>
      </c>
      <c r="AD13" t="s">
        <v>88</v>
      </c>
      <c r="AE13" t="s">
        <v>88</v>
      </c>
      <c r="AF13"/>
      <c r="AG13" t="s">
        <v>282</v>
      </c>
      <c r="AH13" t="s">
        <v>294</v>
      </c>
      <c r="AI13" t="s">
        <v>88</v>
      </c>
      <c r="AJ13" t="s">
        <v>280</v>
      </c>
      <c r="AK13">
        <v>100</v>
      </c>
      <c r="AL13"/>
      <c r="AM13" t="s">
        <v>698</v>
      </c>
      <c r="AN13" t="s">
        <v>1352</v>
      </c>
      <c r="AO13" t="s">
        <v>88</v>
      </c>
      <c r="AP13"/>
      <c r="AQ13"/>
      <c r="AR13"/>
      <c r="AS13"/>
      <c r="AT13" t="s">
        <v>1353</v>
      </c>
      <c r="AU13" t="s">
        <v>228</v>
      </c>
      <c r="AV13" t="s">
        <v>518</v>
      </c>
      <c r="AW13" t="s">
        <v>279</v>
      </c>
      <c r="AX13" t="s">
        <v>88</v>
      </c>
      <c r="AY13" t="s">
        <v>88</v>
      </c>
      <c r="AZ13" t="s">
        <v>80</v>
      </c>
      <c r="BA13" t="s">
        <v>1254</v>
      </c>
      <c r="BB13" t="s">
        <v>536</v>
      </c>
      <c r="BC13" t="s">
        <v>285</v>
      </c>
      <c r="BD13"/>
      <c r="BE13" t="s">
        <v>88</v>
      </c>
      <c r="BF13" t="s">
        <v>88</v>
      </c>
      <c r="BG13" t="s">
        <v>88</v>
      </c>
      <c r="BH13" t="s">
        <v>1354</v>
      </c>
      <c r="BI13">
        <v>100000000</v>
      </c>
      <c r="BJ13">
        <v>147</v>
      </c>
      <c r="BK13" s="30">
        <v>45316</v>
      </c>
      <c r="BL13" s="30"/>
      <c r="BM13">
        <v>1</v>
      </c>
      <c r="BN13" t="s">
        <v>88</v>
      </c>
      <c r="BO13" s="30">
        <v>45498</v>
      </c>
      <c r="BP13" t="s">
        <v>1302</v>
      </c>
      <c r="BQ13" t="s">
        <v>1099</v>
      </c>
      <c r="BR13" s="30">
        <v>45316</v>
      </c>
      <c r="BS13" t="s">
        <v>1355</v>
      </c>
      <c r="BT13" s="30">
        <v>45316</v>
      </c>
      <c r="BU13" t="s">
        <v>88</v>
      </c>
      <c r="BV13" t="s">
        <v>1356</v>
      </c>
      <c r="BW13" t="s">
        <v>1357</v>
      </c>
      <c r="BX13" t="s">
        <v>277</v>
      </c>
      <c r="BY13" t="s">
        <v>277</v>
      </c>
      <c r="BZ13" t="s">
        <v>276</v>
      </c>
      <c r="CA13" t="s">
        <v>275</v>
      </c>
      <c r="CB13" t="s">
        <v>274</v>
      </c>
      <c r="CC13" t="s">
        <v>88</v>
      </c>
      <c r="CD13" t="s">
        <v>113</v>
      </c>
      <c r="CE13" t="s">
        <v>88</v>
      </c>
      <c r="CF13" t="s">
        <v>88</v>
      </c>
      <c r="CG13" t="s">
        <v>191</v>
      </c>
      <c r="CH13" t="s">
        <v>490</v>
      </c>
      <c r="CI13" t="s">
        <v>88</v>
      </c>
      <c r="CJ13" s="178" t="s">
        <v>88</v>
      </c>
      <c r="CK13"/>
      <c r="CL13" t="s">
        <v>1100</v>
      </c>
      <c r="CM13" t="s">
        <v>1100</v>
      </c>
      <c r="CN13" t="s">
        <v>472</v>
      </c>
      <c r="CO13" t="s">
        <v>17</v>
      </c>
      <c r="CP13" t="s">
        <v>1101</v>
      </c>
      <c r="CQ13" t="s">
        <v>88</v>
      </c>
      <c r="CR13" s="30"/>
      <c r="CS13">
        <v>260</v>
      </c>
      <c r="CT13" t="s">
        <v>1473</v>
      </c>
      <c r="CU13" t="s">
        <v>198</v>
      </c>
      <c r="CV13" t="s">
        <v>505</v>
      </c>
      <c r="CW13" t="s">
        <v>518</v>
      </c>
      <c r="CX13" t="s">
        <v>156</v>
      </c>
      <c r="CY13" t="s">
        <v>6</v>
      </c>
      <c r="CZ13">
        <v>1704</v>
      </c>
      <c r="DA13">
        <v>1770</v>
      </c>
      <c r="DF13" s="1"/>
      <c r="DG13" s="1"/>
      <c r="DH13" s="1"/>
      <c r="DI13" s="1"/>
    </row>
    <row r="14" spans="1:113">
      <c r="G14" s="123">
        <v>45313.905649259257</v>
      </c>
      <c r="H14" s="181">
        <v>26</v>
      </c>
      <c r="I14" t="s">
        <v>88</v>
      </c>
      <c r="J14" t="s">
        <v>88</v>
      </c>
      <c r="K14" t="s">
        <v>707</v>
      </c>
      <c r="L14" t="s">
        <v>1109</v>
      </c>
      <c r="M14" s="30">
        <v>45308</v>
      </c>
      <c r="N14" t="s">
        <v>1128</v>
      </c>
      <c r="O14" t="s">
        <v>102</v>
      </c>
      <c r="P14">
        <v>20</v>
      </c>
      <c r="Q14" t="s">
        <v>778</v>
      </c>
      <c r="R14" t="s">
        <v>778</v>
      </c>
      <c r="S14" t="s">
        <v>779</v>
      </c>
      <c r="T14" t="s">
        <v>88</v>
      </c>
      <c r="U14" t="s">
        <v>1110</v>
      </c>
      <c r="V14" t="s">
        <v>1375</v>
      </c>
      <c r="W14" t="s">
        <v>279</v>
      </c>
      <c r="X14" t="s">
        <v>279</v>
      </c>
      <c r="Y14" t="s">
        <v>279</v>
      </c>
      <c r="Z14" t="s">
        <v>284</v>
      </c>
      <c r="AA14">
        <v>4.8600000000000003</v>
      </c>
      <c r="AB14" s="30">
        <v>46411</v>
      </c>
      <c r="AC14" t="s">
        <v>287</v>
      </c>
      <c r="AD14" t="s">
        <v>1377</v>
      </c>
      <c r="AE14" t="s">
        <v>1378</v>
      </c>
      <c r="AF14">
        <v>14</v>
      </c>
      <c r="AG14" t="s">
        <v>282</v>
      </c>
      <c r="AH14" t="s">
        <v>281</v>
      </c>
      <c r="AI14" t="s">
        <v>88</v>
      </c>
      <c r="AJ14" t="s">
        <v>280</v>
      </c>
      <c r="AK14">
        <v>100</v>
      </c>
      <c r="AL14"/>
      <c r="AM14" t="s">
        <v>797</v>
      </c>
      <c r="AN14" t="s">
        <v>1129</v>
      </c>
      <c r="AO14" t="s">
        <v>88</v>
      </c>
      <c r="AP14"/>
      <c r="AQ14"/>
      <c r="AR14"/>
      <c r="AS14"/>
      <c r="AT14" t="s">
        <v>1379</v>
      </c>
      <c r="AU14" t="s">
        <v>228</v>
      </c>
      <c r="AV14" t="s">
        <v>695</v>
      </c>
      <c r="AW14" t="s">
        <v>279</v>
      </c>
      <c r="AX14" t="s">
        <v>494</v>
      </c>
      <c r="AY14" t="s">
        <v>88</v>
      </c>
      <c r="AZ14" t="s">
        <v>1</v>
      </c>
      <c r="BA14" t="s">
        <v>693</v>
      </c>
      <c r="BB14" t="s">
        <v>1380</v>
      </c>
      <c r="BC14" t="s">
        <v>286</v>
      </c>
      <c r="BD14"/>
      <c r="BE14" t="s">
        <v>88</v>
      </c>
      <c r="BF14" t="s">
        <v>88</v>
      </c>
      <c r="BG14" t="s">
        <v>1381</v>
      </c>
      <c r="BH14" t="s">
        <v>1382</v>
      </c>
      <c r="BI14">
        <v>10000</v>
      </c>
      <c r="BJ14">
        <v>20</v>
      </c>
      <c r="BK14" s="30">
        <v>45315</v>
      </c>
      <c r="BL14" s="30"/>
      <c r="BM14">
        <v>4.8600000000000003</v>
      </c>
      <c r="BN14" t="s">
        <v>88</v>
      </c>
      <c r="BO14" s="30">
        <v>45681</v>
      </c>
      <c r="BP14" t="s">
        <v>1110</v>
      </c>
      <c r="BQ14" t="s">
        <v>88</v>
      </c>
      <c r="BR14" s="30">
        <v>45315</v>
      </c>
      <c r="BS14" t="s">
        <v>1378</v>
      </c>
      <c r="BT14" s="30">
        <v>45315</v>
      </c>
      <c r="BU14" t="s">
        <v>692</v>
      </c>
      <c r="BV14" t="s">
        <v>1383</v>
      </c>
      <c r="BW14" t="s">
        <v>1384</v>
      </c>
      <c r="BX14" t="s">
        <v>277</v>
      </c>
      <c r="BY14" t="s">
        <v>277</v>
      </c>
      <c r="BZ14" t="s">
        <v>276</v>
      </c>
      <c r="CA14" t="s">
        <v>275</v>
      </c>
      <c r="CB14" t="s">
        <v>274</v>
      </c>
      <c r="CC14" t="s">
        <v>88</v>
      </c>
      <c r="CD14" t="s">
        <v>1385</v>
      </c>
      <c r="CE14" t="s">
        <v>88</v>
      </c>
      <c r="CF14" t="s">
        <v>88</v>
      </c>
      <c r="CG14" t="s">
        <v>191</v>
      </c>
      <c r="CH14" t="s">
        <v>192</v>
      </c>
      <c r="CI14" t="s">
        <v>88</v>
      </c>
      <c r="CJ14" s="178" t="s">
        <v>88</v>
      </c>
      <c r="CK14"/>
      <c r="CL14" t="s">
        <v>79</v>
      </c>
      <c r="CM14" t="s">
        <v>79</v>
      </c>
      <c r="CN14" t="s">
        <v>472</v>
      </c>
      <c r="CO14" t="s">
        <v>13</v>
      </c>
      <c r="CP14" t="s">
        <v>1111</v>
      </c>
      <c r="CQ14" t="s">
        <v>88</v>
      </c>
      <c r="CR14" s="30"/>
      <c r="CS14">
        <v>91</v>
      </c>
      <c r="CT14" t="s">
        <v>1155</v>
      </c>
      <c r="CU14" t="s">
        <v>199</v>
      </c>
      <c r="CV14" t="s">
        <v>6</v>
      </c>
      <c r="CW14" t="s">
        <v>6</v>
      </c>
      <c r="CX14" t="s">
        <v>157</v>
      </c>
      <c r="CY14" t="s">
        <v>524</v>
      </c>
      <c r="CZ14">
        <v>1703</v>
      </c>
      <c r="DA14">
        <v>1769</v>
      </c>
      <c r="DF14" s="1"/>
      <c r="DG14" s="1"/>
      <c r="DH14" s="1"/>
      <c r="DI14" s="1"/>
    </row>
    <row r="15" spans="1:113">
      <c r="G15" s="123">
        <v>45313.905649259257</v>
      </c>
      <c r="H15" s="181">
        <v>25</v>
      </c>
      <c r="I15" t="s">
        <v>88</v>
      </c>
      <c r="J15" t="s">
        <v>88</v>
      </c>
      <c r="K15" t="s">
        <v>1474</v>
      </c>
      <c r="L15" t="s">
        <v>1112</v>
      </c>
      <c r="M15" s="30">
        <v>45308</v>
      </c>
      <c r="N15" t="s">
        <v>1130</v>
      </c>
      <c r="O15" t="s">
        <v>102</v>
      </c>
      <c r="P15">
        <v>1.9790000000000001</v>
      </c>
      <c r="Q15" t="s">
        <v>778</v>
      </c>
      <c r="R15" t="s">
        <v>778</v>
      </c>
      <c r="S15" t="s">
        <v>778</v>
      </c>
      <c r="T15" t="s">
        <v>88</v>
      </c>
      <c r="U15" t="s">
        <v>1113</v>
      </c>
      <c r="V15" t="s">
        <v>1386</v>
      </c>
      <c r="W15" t="s">
        <v>279</v>
      </c>
      <c r="X15" t="s">
        <v>279</v>
      </c>
      <c r="Y15" t="s">
        <v>279</v>
      </c>
      <c r="Z15" t="s">
        <v>284</v>
      </c>
      <c r="AA15">
        <v>3.58</v>
      </c>
      <c r="AB15" s="30">
        <v>46411</v>
      </c>
      <c r="AC15" t="s">
        <v>287</v>
      </c>
      <c r="AD15" t="s">
        <v>88</v>
      </c>
      <c r="AE15" t="s">
        <v>1131</v>
      </c>
      <c r="AF15"/>
      <c r="AG15" t="s">
        <v>282</v>
      </c>
      <c r="AH15" t="s">
        <v>708</v>
      </c>
      <c r="AI15" t="s">
        <v>1388</v>
      </c>
      <c r="AJ15" t="s">
        <v>280</v>
      </c>
      <c r="AK15">
        <v>100</v>
      </c>
      <c r="AL15"/>
      <c r="AM15" t="s">
        <v>710</v>
      </c>
      <c r="AN15" t="s">
        <v>1389</v>
      </c>
      <c r="AO15" t="s">
        <v>88</v>
      </c>
      <c r="AP15"/>
      <c r="AQ15"/>
      <c r="AR15"/>
      <c r="AS15"/>
      <c r="AT15" t="s">
        <v>1390</v>
      </c>
      <c r="AU15" t="s">
        <v>228</v>
      </c>
      <c r="AV15" t="s">
        <v>695</v>
      </c>
      <c r="AW15" t="s">
        <v>279</v>
      </c>
      <c r="AX15" t="s">
        <v>88</v>
      </c>
      <c r="AY15" t="s">
        <v>88</v>
      </c>
      <c r="AZ15" t="s">
        <v>2</v>
      </c>
      <c r="BA15" t="s">
        <v>693</v>
      </c>
      <c r="BB15" t="s">
        <v>1380</v>
      </c>
      <c r="BC15" t="s">
        <v>286</v>
      </c>
      <c r="BD15"/>
      <c r="BE15" t="s">
        <v>88</v>
      </c>
      <c r="BF15" t="s">
        <v>88</v>
      </c>
      <c r="BG15" t="s">
        <v>1391</v>
      </c>
      <c r="BH15" t="s">
        <v>1392</v>
      </c>
      <c r="BI15">
        <v>10000</v>
      </c>
      <c r="BJ15">
        <v>1.9790000000000001</v>
      </c>
      <c r="BK15" s="30">
        <v>45315</v>
      </c>
      <c r="BL15" s="30"/>
      <c r="BM15">
        <v>3.58</v>
      </c>
      <c r="BN15" t="s">
        <v>88</v>
      </c>
      <c r="BO15" s="30">
        <v>45497</v>
      </c>
      <c r="BP15" t="s">
        <v>1113</v>
      </c>
      <c r="BQ15" t="s">
        <v>88</v>
      </c>
      <c r="BR15" s="30">
        <v>45315</v>
      </c>
      <c r="BS15" t="s">
        <v>1131</v>
      </c>
      <c r="BT15" s="30">
        <v>45315</v>
      </c>
      <c r="BU15" t="s">
        <v>709</v>
      </c>
      <c r="BV15" t="s">
        <v>1393</v>
      </c>
      <c r="BW15" t="s">
        <v>1394</v>
      </c>
      <c r="BX15" t="s">
        <v>277</v>
      </c>
      <c r="BY15" t="s">
        <v>277</v>
      </c>
      <c r="BZ15" t="s">
        <v>276</v>
      </c>
      <c r="CA15" t="s">
        <v>275</v>
      </c>
      <c r="CB15" t="s">
        <v>274</v>
      </c>
      <c r="CC15" t="s">
        <v>88</v>
      </c>
      <c r="CD15" t="s">
        <v>113</v>
      </c>
      <c r="CE15" t="s">
        <v>88</v>
      </c>
      <c r="CF15" t="s">
        <v>88</v>
      </c>
      <c r="CG15" t="s">
        <v>191</v>
      </c>
      <c r="CH15" t="s">
        <v>192</v>
      </c>
      <c r="CI15" t="s">
        <v>88</v>
      </c>
      <c r="CJ15" s="178" t="s">
        <v>88</v>
      </c>
      <c r="CK15"/>
      <c r="CL15" t="s">
        <v>79</v>
      </c>
      <c r="CM15" t="s">
        <v>79</v>
      </c>
      <c r="CN15" t="s">
        <v>472</v>
      </c>
      <c r="CO15" t="s">
        <v>16</v>
      </c>
      <c r="CP15" t="s">
        <v>1114</v>
      </c>
      <c r="CQ15" t="s">
        <v>88</v>
      </c>
      <c r="CR15" s="30"/>
      <c r="CS15">
        <v>81</v>
      </c>
      <c r="CT15" t="s">
        <v>1475</v>
      </c>
      <c r="CU15" t="s">
        <v>199</v>
      </c>
      <c r="CV15" t="s">
        <v>6</v>
      </c>
      <c r="CW15" t="s">
        <v>6</v>
      </c>
      <c r="CX15" t="s">
        <v>157</v>
      </c>
      <c r="CY15" t="s">
        <v>526</v>
      </c>
      <c r="CZ15">
        <v>1702</v>
      </c>
      <c r="DA15">
        <v>1768</v>
      </c>
      <c r="DF15" s="1"/>
      <c r="DG15" s="1"/>
      <c r="DH15" s="1"/>
      <c r="DI15" s="1"/>
    </row>
    <row r="16" spans="1:113">
      <c r="G16" s="123">
        <v>45313.905649259257</v>
      </c>
      <c r="H16" s="181">
        <v>24</v>
      </c>
      <c r="I16" t="s">
        <v>88</v>
      </c>
      <c r="J16" t="s">
        <v>88</v>
      </c>
      <c r="K16" t="s">
        <v>707</v>
      </c>
      <c r="L16" t="s">
        <v>1115</v>
      </c>
      <c r="M16" s="30">
        <v>45308</v>
      </c>
      <c r="N16" t="s">
        <v>1132</v>
      </c>
      <c r="O16" t="s">
        <v>102</v>
      </c>
      <c r="P16">
        <v>7.5</v>
      </c>
      <c r="Q16" t="s">
        <v>778</v>
      </c>
      <c r="R16" t="s">
        <v>778</v>
      </c>
      <c r="S16" t="s">
        <v>778</v>
      </c>
      <c r="T16" t="s">
        <v>88</v>
      </c>
      <c r="U16" t="s">
        <v>1116</v>
      </c>
      <c r="V16" t="s">
        <v>1395</v>
      </c>
      <c r="W16" t="s">
        <v>279</v>
      </c>
      <c r="X16" t="s">
        <v>279</v>
      </c>
      <c r="Y16" t="s">
        <v>279</v>
      </c>
      <c r="Z16" t="s">
        <v>284</v>
      </c>
      <c r="AA16">
        <v>3.58</v>
      </c>
      <c r="AB16" s="30">
        <v>46411</v>
      </c>
      <c r="AC16" t="s">
        <v>283</v>
      </c>
      <c r="AD16" t="s">
        <v>1396</v>
      </c>
      <c r="AE16" t="s">
        <v>1131</v>
      </c>
      <c r="AF16">
        <v>42</v>
      </c>
      <c r="AG16" t="s">
        <v>282</v>
      </c>
      <c r="AH16" t="s">
        <v>713</v>
      </c>
      <c r="AI16" t="s">
        <v>1397</v>
      </c>
      <c r="AJ16" t="s">
        <v>280</v>
      </c>
      <c r="AK16">
        <v>100</v>
      </c>
      <c r="AL16"/>
      <c r="AM16" t="s">
        <v>710</v>
      </c>
      <c r="AN16" t="s">
        <v>1398</v>
      </c>
      <c r="AO16" t="s">
        <v>1399</v>
      </c>
      <c r="AP16"/>
      <c r="AQ16"/>
      <c r="AR16"/>
      <c r="AS16"/>
      <c r="AT16" t="s">
        <v>1400</v>
      </c>
      <c r="AU16" t="s">
        <v>228</v>
      </c>
      <c r="AV16" t="s">
        <v>1401</v>
      </c>
      <c r="AW16" t="s">
        <v>279</v>
      </c>
      <c r="AX16" t="s">
        <v>494</v>
      </c>
      <c r="AY16" t="s">
        <v>88</v>
      </c>
      <c r="AZ16" t="s">
        <v>1</v>
      </c>
      <c r="BA16" t="s">
        <v>693</v>
      </c>
      <c r="BB16" t="s">
        <v>278</v>
      </c>
      <c r="BC16" t="s">
        <v>286</v>
      </c>
      <c r="BD16"/>
      <c r="BE16" t="s">
        <v>88</v>
      </c>
      <c r="BF16" t="s">
        <v>88</v>
      </c>
      <c r="BG16" t="s">
        <v>1402</v>
      </c>
      <c r="BH16" t="s">
        <v>1403</v>
      </c>
      <c r="BI16">
        <v>10000</v>
      </c>
      <c r="BJ16">
        <v>7.5</v>
      </c>
      <c r="BK16" s="30">
        <v>45315</v>
      </c>
      <c r="BL16" s="30"/>
      <c r="BM16">
        <v>3.58</v>
      </c>
      <c r="BN16" t="s">
        <v>88</v>
      </c>
      <c r="BO16" s="30">
        <v>45497</v>
      </c>
      <c r="BP16" t="s">
        <v>1304</v>
      </c>
      <c r="BQ16" t="s">
        <v>1116</v>
      </c>
      <c r="BR16" s="30">
        <v>45315</v>
      </c>
      <c r="BS16" t="s">
        <v>1131</v>
      </c>
      <c r="BT16" s="30">
        <v>45315</v>
      </c>
      <c r="BU16" t="s">
        <v>709</v>
      </c>
      <c r="BV16" t="s">
        <v>1404</v>
      </c>
      <c r="BW16" t="s">
        <v>1405</v>
      </c>
      <c r="BX16" t="s">
        <v>277</v>
      </c>
      <c r="BY16" t="s">
        <v>277</v>
      </c>
      <c r="BZ16" t="s">
        <v>276</v>
      </c>
      <c r="CA16" t="s">
        <v>275</v>
      </c>
      <c r="CB16" t="s">
        <v>274</v>
      </c>
      <c r="CC16" t="s">
        <v>88</v>
      </c>
      <c r="CD16" t="s">
        <v>113</v>
      </c>
      <c r="CE16" t="s">
        <v>88</v>
      </c>
      <c r="CF16" t="s">
        <v>88</v>
      </c>
      <c r="CG16" t="s">
        <v>191</v>
      </c>
      <c r="CH16" t="s">
        <v>490</v>
      </c>
      <c r="CI16" t="s">
        <v>88</v>
      </c>
      <c r="CJ16" s="178" t="s">
        <v>88</v>
      </c>
      <c r="CK16"/>
      <c r="CL16" t="s">
        <v>79</v>
      </c>
      <c r="CM16" t="s">
        <v>79</v>
      </c>
      <c r="CN16" t="s">
        <v>472</v>
      </c>
      <c r="CO16" t="s">
        <v>16</v>
      </c>
      <c r="CP16" t="s">
        <v>1117</v>
      </c>
      <c r="CQ16" t="s">
        <v>88</v>
      </c>
      <c r="CR16" s="30"/>
      <c r="CS16">
        <v>1040</v>
      </c>
      <c r="CT16" t="s">
        <v>1476</v>
      </c>
      <c r="CU16" t="s">
        <v>199</v>
      </c>
      <c r="CV16" t="s">
        <v>6</v>
      </c>
      <c r="CW16" t="s">
        <v>6</v>
      </c>
      <c r="CX16" t="s">
        <v>157</v>
      </c>
      <c r="CY16" t="s">
        <v>526</v>
      </c>
      <c r="CZ16">
        <v>1701</v>
      </c>
      <c r="DA16">
        <v>1767</v>
      </c>
      <c r="DF16" s="1"/>
      <c r="DG16" s="1"/>
      <c r="DH16" s="1"/>
      <c r="DI16" s="1"/>
    </row>
    <row r="17" spans="7:113">
      <c r="G17" s="123">
        <v>45313.905649259257</v>
      </c>
      <c r="H17" s="181">
        <v>23</v>
      </c>
      <c r="I17" t="s">
        <v>88</v>
      </c>
      <c r="J17" t="s">
        <v>88</v>
      </c>
      <c r="K17" t="s">
        <v>702</v>
      </c>
      <c r="L17" t="s">
        <v>1104</v>
      </c>
      <c r="M17" s="30">
        <v>45308</v>
      </c>
      <c r="N17" t="s">
        <v>1361</v>
      </c>
      <c r="O17" t="s">
        <v>102</v>
      </c>
      <c r="P17">
        <v>1.2</v>
      </c>
      <c r="Q17" t="s">
        <v>779</v>
      </c>
      <c r="R17" t="s">
        <v>779</v>
      </c>
      <c r="S17" t="s">
        <v>778</v>
      </c>
      <c r="T17" t="s">
        <v>88</v>
      </c>
      <c r="U17" t="s">
        <v>701</v>
      </c>
      <c r="V17" t="s">
        <v>1360</v>
      </c>
      <c r="W17" t="s">
        <v>703</v>
      </c>
      <c r="X17" t="s">
        <v>700</v>
      </c>
      <c r="Y17" t="s">
        <v>279</v>
      </c>
      <c r="Z17" t="s">
        <v>785</v>
      </c>
      <c r="AA17">
        <v>3.6</v>
      </c>
      <c r="AB17" s="30">
        <v>45400</v>
      </c>
      <c r="AC17" t="s">
        <v>105</v>
      </c>
      <c r="AD17" t="s">
        <v>88</v>
      </c>
      <c r="AE17" t="s">
        <v>88</v>
      </c>
      <c r="AF17"/>
      <c r="AG17" t="s">
        <v>88</v>
      </c>
      <c r="AH17" t="s">
        <v>294</v>
      </c>
      <c r="AI17" t="s">
        <v>88</v>
      </c>
      <c r="AJ17" t="s">
        <v>280</v>
      </c>
      <c r="AK17">
        <v>100</v>
      </c>
      <c r="AL17"/>
      <c r="AM17" t="s">
        <v>698</v>
      </c>
      <c r="AN17" t="s">
        <v>699</v>
      </c>
      <c r="AO17" t="s">
        <v>88</v>
      </c>
      <c r="AP17"/>
      <c r="AQ17"/>
      <c r="AR17"/>
      <c r="AS17"/>
      <c r="AT17" t="s">
        <v>88</v>
      </c>
      <c r="AU17" t="s">
        <v>228</v>
      </c>
      <c r="AV17" t="s">
        <v>295</v>
      </c>
      <c r="AW17" t="s">
        <v>279</v>
      </c>
      <c r="AX17" t="s">
        <v>88</v>
      </c>
      <c r="AY17" t="s">
        <v>88</v>
      </c>
      <c r="AZ17" t="s">
        <v>80</v>
      </c>
      <c r="BA17" t="s">
        <v>1530</v>
      </c>
      <c r="BB17" t="s">
        <v>704</v>
      </c>
      <c r="BC17" t="s">
        <v>285</v>
      </c>
      <c r="BD17"/>
      <c r="BE17" t="s">
        <v>88</v>
      </c>
      <c r="BF17" t="s">
        <v>88</v>
      </c>
      <c r="BG17" t="s">
        <v>88</v>
      </c>
      <c r="BH17" t="s">
        <v>705</v>
      </c>
      <c r="BI17">
        <v>200</v>
      </c>
      <c r="BJ17">
        <v>1.2</v>
      </c>
      <c r="BK17" s="30">
        <v>45309</v>
      </c>
      <c r="BL17" s="30"/>
      <c r="BM17">
        <v>3.6</v>
      </c>
      <c r="BN17" t="s">
        <v>88</v>
      </c>
      <c r="BO17" s="30">
        <v>45400</v>
      </c>
      <c r="BP17" t="s">
        <v>706</v>
      </c>
      <c r="BQ17" t="s">
        <v>701</v>
      </c>
      <c r="BR17" s="30">
        <v>45309</v>
      </c>
      <c r="BS17" t="s">
        <v>88</v>
      </c>
      <c r="BT17" s="30">
        <v>45309</v>
      </c>
      <c r="BU17" t="s">
        <v>88</v>
      </c>
      <c r="BV17" t="s">
        <v>88</v>
      </c>
      <c r="BW17" t="s">
        <v>88</v>
      </c>
      <c r="BX17" t="s">
        <v>277</v>
      </c>
      <c r="BY17" t="s">
        <v>277</v>
      </c>
      <c r="BZ17" t="s">
        <v>276</v>
      </c>
      <c r="CA17" t="s">
        <v>275</v>
      </c>
      <c r="CB17" t="s">
        <v>274</v>
      </c>
      <c r="CC17" t="s">
        <v>88</v>
      </c>
      <c r="CD17" t="s">
        <v>711</v>
      </c>
      <c r="CE17" t="s">
        <v>88</v>
      </c>
      <c r="CF17" t="s">
        <v>88</v>
      </c>
      <c r="CG17" t="s">
        <v>191</v>
      </c>
      <c r="CH17" t="s">
        <v>772</v>
      </c>
      <c r="CI17" t="s">
        <v>88</v>
      </c>
      <c r="CJ17" s="178" t="s">
        <v>88</v>
      </c>
      <c r="CK17"/>
      <c r="CL17" t="s">
        <v>1208</v>
      </c>
      <c r="CM17" t="s">
        <v>773</v>
      </c>
      <c r="CN17" t="s">
        <v>472</v>
      </c>
      <c r="CO17" t="s">
        <v>17</v>
      </c>
      <c r="CP17" t="s">
        <v>1105</v>
      </c>
      <c r="CQ17" t="s">
        <v>88</v>
      </c>
      <c r="CR17" s="30"/>
      <c r="CS17">
        <v>733</v>
      </c>
      <c r="CT17" t="s">
        <v>735</v>
      </c>
      <c r="CU17" t="s">
        <v>198</v>
      </c>
      <c r="CV17" t="s">
        <v>505</v>
      </c>
      <c r="CW17" t="s">
        <v>518</v>
      </c>
      <c r="CX17" t="s">
        <v>157</v>
      </c>
      <c r="CY17" t="s">
        <v>88</v>
      </c>
      <c r="CZ17"/>
      <c r="DA17"/>
      <c r="DF17" s="1"/>
      <c r="DG17" s="1"/>
      <c r="DH17" s="1"/>
      <c r="DI17" s="1"/>
    </row>
    <row r="18" spans="7:113">
      <c r="G18" s="123">
        <v>45313.905649259257</v>
      </c>
      <c r="H18" s="181">
        <v>22</v>
      </c>
      <c r="I18" t="s">
        <v>88</v>
      </c>
      <c r="J18" t="s">
        <v>88</v>
      </c>
      <c r="K18" t="s">
        <v>702</v>
      </c>
      <c r="L18" t="s">
        <v>1102</v>
      </c>
      <c r="M18" s="30">
        <v>45308</v>
      </c>
      <c r="N18" t="s">
        <v>1359</v>
      </c>
      <c r="O18" t="s">
        <v>81</v>
      </c>
      <c r="P18">
        <v>0.1</v>
      </c>
      <c r="Q18" t="s">
        <v>779</v>
      </c>
      <c r="R18" t="s">
        <v>779</v>
      </c>
      <c r="S18" t="s">
        <v>778</v>
      </c>
      <c r="T18" t="s">
        <v>88</v>
      </c>
      <c r="U18" t="s">
        <v>701</v>
      </c>
      <c r="V18" t="s">
        <v>1358</v>
      </c>
      <c r="W18" t="s">
        <v>703</v>
      </c>
      <c r="X18" t="s">
        <v>700</v>
      </c>
      <c r="Y18" t="s">
        <v>279</v>
      </c>
      <c r="Z18" t="s">
        <v>730</v>
      </c>
      <c r="AA18">
        <v>6</v>
      </c>
      <c r="AB18" s="30">
        <v>45491</v>
      </c>
      <c r="AC18" t="s">
        <v>105</v>
      </c>
      <c r="AD18" t="s">
        <v>88</v>
      </c>
      <c r="AE18" t="s">
        <v>88</v>
      </c>
      <c r="AF18"/>
      <c r="AG18" t="s">
        <v>88</v>
      </c>
      <c r="AH18" t="s">
        <v>294</v>
      </c>
      <c r="AI18" t="s">
        <v>88</v>
      </c>
      <c r="AJ18" t="s">
        <v>280</v>
      </c>
      <c r="AK18">
        <v>100</v>
      </c>
      <c r="AL18"/>
      <c r="AM18" t="s">
        <v>698</v>
      </c>
      <c r="AN18" t="s">
        <v>699</v>
      </c>
      <c r="AO18" t="s">
        <v>88</v>
      </c>
      <c r="AP18"/>
      <c r="AQ18"/>
      <c r="AR18"/>
      <c r="AS18"/>
      <c r="AT18" t="s">
        <v>88</v>
      </c>
      <c r="AU18" t="s">
        <v>228</v>
      </c>
      <c r="AV18" t="s">
        <v>295</v>
      </c>
      <c r="AW18" t="s">
        <v>279</v>
      </c>
      <c r="AX18" t="s">
        <v>88</v>
      </c>
      <c r="AY18" t="s">
        <v>88</v>
      </c>
      <c r="AZ18" t="s">
        <v>80</v>
      </c>
      <c r="BA18" t="s">
        <v>1529</v>
      </c>
      <c r="BB18" t="s">
        <v>704</v>
      </c>
      <c r="BC18" t="s">
        <v>285</v>
      </c>
      <c r="BD18"/>
      <c r="BE18" t="s">
        <v>88</v>
      </c>
      <c r="BF18" t="s">
        <v>88</v>
      </c>
      <c r="BG18" t="s">
        <v>88</v>
      </c>
      <c r="BH18" t="s">
        <v>705</v>
      </c>
      <c r="BI18">
        <v>200000</v>
      </c>
      <c r="BJ18">
        <v>0.1</v>
      </c>
      <c r="BK18" s="30">
        <v>45309</v>
      </c>
      <c r="BL18" s="30"/>
      <c r="BM18">
        <v>6</v>
      </c>
      <c r="BN18" t="s">
        <v>88</v>
      </c>
      <c r="BO18" s="30">
        <v>45491</v>
      </c>
      <c r="BP18" t="s">
        <v>706</v>
      </c>
      <c r="BQ18" t="s">
        <v>701</v>
      </c>
      <c r="BR18" s="30">
        <v>45309</v>
      </c>
      <c r="BS18" t="s">
        <v>88</v>
      </c>
      <c r="BT18" s="30">
        <v>45309</v>
      </c>
      <c r="BU18" t="s">
        <v>88</v>
      </c>
      <c r="BV18" t="s">
        <v>88</v>
      </c>
      <c r="BW18" t="s">
        <v>88</v>
      </c>
      <c r="BX18" t="s">
        <v>277</v>
      </c>
      <c r="BY18" t="s">
        <v>277</v>
      </c>
      <c r="BZ18" t="s">
        <v>276</v>
      </c>
      <c r="CA18" t="s">
        <v>275</v>
      </c>
      <c r="CB18" t="s">
        <v>274</v>
      </c>
      <c r="CC18" t="s">
        <v>88</v>
      </c>
      <c r="CD18" t="s">
        <v>711</v>
      </c>
      <c r="CE18" t="s">
        <v>88</v>
      </c>
      <c r="CF18" t="s">
        <v>88</v>
      </c>
      <c r="CG18" t="s">
        <v>191</v>
      </c>
      <c r="CH18" t="s">
        <v>772</v>
      </c>
      <c r="CI18" t="s">
        <v>88</v>
      </c>
      <c r="CJ18" s="178" t="s">
        <v>88</v>
      </c>
      <c r="CK18"/>
      <c r="CL18" t="s">
        <v>1208</v>
      </c>
      <c r="CM18" t="s">
        <v>773</v>
      </c>
      <c r="CN18" t="s">
        <v>472</v>
      </c>
      <c r="CO18" t="s">
        <v>17</v>
      </c>
      <c r="CP18" t="s">
        <v>1103</v>
      </c>
      <c r="CQ18" t="s">
        <v>88</v>
      </c>
      <c r="CR18" s="30"/>
      <c r="CS18">
        <v>733</v>
      </c>
      <c r="CT18" t="s">
        <v>735</v>
      </c>
      <c r="CU18" t="s">
        <v>198</v>
      </c>
      <c r="CV18" t="s">
        <v>505</v>
      </c>
      <c r="CW18" t="s">
        <v>518</v>
      </c>
      <c r="CX18" t="s">
        <v>157</v>
      </c>
      <c r="CY18" t="s">
        <v>88</v>
      </c>
      <c r="CZ18"/>
      <c r="DA18"/>
      <c r="DF18" s="1"/>
      <c r="DG18" s="1"/>
      <c r="DH18" s="1"/>
      <c r="DI18" s="1"/>
    </row>
    <row r="19" spans="7:113">
      <c r="G19" s="123">
        <v>45313.905649259257</v>
      </c>
      <c r="H19" s="181">
        <v>21</v>
      </c>
      <c r="I19" t="s">
        <v>88</v>
      </c>
      <c r="J19" t="s">
        <v>88</v>
      </c>
      <c r="K19" t="s">
        <v>1472</v>
      </c>
      <c r="L19" t="s">
        <v>1106</v>
      </c>
      <c r="M19" s="30">
        <v>45308</v>
      </c>
      <c r="N19" t="s">
        <v>1133</v>
      </c>
      <c r="O19" t="s">
        <v>81</v>
      </c>
      <c r="P19">
        <v>6</v>
      </c>
      <c r="Q19" t="s">
        <v>778</v>
      </c>
      <c r="R19" t="s">
        <v>778</v>
      </c>
      <c r="S19" t="s">
        <v>778</v>
      </c>
      <c r="T19" t="s">
        <v>88</v>
      </c>
      <c r="U19" t="s">
        <v>535</v>
      </c>
      <c r="V19" t="s">
        <v>1363</v>
      </c>
      <c r="W19" t="s">
        <v>1288</v>
      </c>
      <c r="X19" t="s">
        <v>790</v>
      </c>
      <c r="Y19" t="s">
        <v>279</v>
      </c>
      <c r="Z19" t="s">
        <v>284</v>
      </c>
      <c r="AA19">
        <v>5.9851000000000001</v>
      </c>
      <c r="AB19" s="30">
        <v>46411</v>
      </c>
      <c r="AC19" t="s">
        <v>283</v>
      </c>
      <c r="AD19" t="s">
        <v>88</v>
      </c>
      <c r="AE19" t="s">
        <v>88</v>
      </c>
      <c r="AF19"/>
      <c r="AG19" t="s">
        <v>282</v>
      </c>
      <c r="AH19" t="s">
        <v>281</v>
      </c>
      <c r="AI19" t="s">
        <v>88</v>
      </c>
      <c r="AJ19" t="s">
        <v>280</v>
      </c>
      <c r="AK19">
        <v>100</v>
      </c>
      <c r="AL19"/>
      <c r="AM19" t="s">
        <v>288</v>
      </c>
      <c r="AN19" t="s">
        <v>1365</v>
      </c>
      <c r="AO19" t="s">
        <v>88</v>
      </c>
      <c r="AP19">
        <v>12</v>
      </c>
      <c r="AQ19">
        <v>2</v>
      </c>
      <c r="AR19"/>
      <c r="AS19"/>
      <c r="AT19" t="s">
        <v>1366</v>
      </c>
      <c r="AU19" t="s">
        <v>228</v>
      </c>
      <c r="AV19" t="s">
        <v>269</v>
      </c>
      <c r="AW19" t="s">
        <v>279</v>
      </c>
      <c r="AX19" t="s">
        <v>787</v>
      </c>
      <c r="AY19" t="s">
        <v>88</v>
      </c>
      <c r="AZ19" t="s">
        <v>80</v>
      </c>
      <c r="BA19" t="s">
        <v>693</v>
      </c>
      <c r="BB19" t="s">
        <v>1290</v>
      </c>
      <c r="BC19" t="s">
        <v>285</v>
      </c>
      <c r="BD19">
        <v>53</v>
      </c>
      <c r="BE19" t="s">
        <v>1367</v>
      </c>
      <c r="BF19" t="s">
        <v>1309</v>
      </c>
      <c r="BG19" t="s">
        <v>1368</v>
      </c>
      <c r="BH19" t="s">
        <v>1369</v>
      </c>
      <c r="BI19">
        <v>1000</v>
      </c>
      <c r="BJ19">
        <v>6</v>
      </c>
      <c r="BK19" s="30">
        <v>45315</v>
      </c>
      <c r="BL19" s="30"/>
      <c r="BM19">
        <v>5.9851000000000001</v>
      </c>
      <c r="BN19" t="s">
        <v>1370</v>
      </c>
      <c r="BO19" s="30">
        <v>45406</v>
      </c>
      <c r="BP19" t="s">
        <v>1303</v>
      </c>
      <c r="BQ19" t="s">
        <v>88</v>
      </c>
      <c r="BR19" s="30">
        <v>45315</v>
      </c>
      <c r="BS19" t="s">
        <v>1371</v>
      </c>
      <c r="BT19" s="30">
        <v>45315</v>
      </c>
      <c r="BU19" t="s">
        <v>88</v>
      </c>
      <c r="BV19" t="s">
        <v>1372</v>
      </c>
      <c r="BW19" t="s">
        <v>1373</v>
      </c>
      <c r="BX19" t="s">
        <v>277</v>
      </c>
      <c r="BY19" t="s">
        <v>277</v>
      </c>
      <c r="BZ19" t="s">
        <v>1287</v>
      </c>
      <c r="CA19" t="s">
        <v>275</v>
      </c>
      <c r="CB19" t="s">
        <v>274</v>
      </c>
      <c r="CC19" t="s">
        <v>88</v>
      </c>
      <c r="CD19" t="s">
        <v>789</v>
      </c>
      <c r="CE19" t="s">
        <v>88</v>
      </c>
      <c r="CF19" t="s">
        <v>88</v>
      </c>
      <c r="CG19" t="s">
        <v>191</v>
      </c>
      <c r="CH19" t="s">
        <v>192</v>
      </c>
      <c r="CI19" t="s">
        <v>88</v>
      </c>
      <c r="CJ19" s="178" t="s">
        <v>88</v>
      </c>
      <c r="CK19"/>
      <c r="CL19" t="s">
        <v>1107</v>
      </c>
      <c r="CM19" t="s">
        <v>804</v>
      </c>
      <c r="CN19" t="s">
        <v>472</v>
      </c>
      <c r="CO19" t="s">
        <v>11</v>
      </c>
      <c r="CP19" t="s">
        <v>1108</v>
      </c>
      <c r="CQ19" t="s">
        <v>88</v>
      </c>
      <c r="CR19" s="30"/>
      <c r="CS19">
        <v>106</v>
      </c>
      <c r="CT19" t="s">
        <v>1477</v>
      </c>
      <c r="CU19" t="s">
        <v>198</v>
      </c>
      <c r="CV19" t="s">
        <v>269</v>
      </c>
      <c r="CW19" t="s">
        <v>508</v>
      </c>
      <c r="CX19" t="s">
        <v>155</v>
      </c>
      <c r="CY19" t="s">
        <v>6</v>
      </c>
      <c r="CZ19">
        <v>1700</v>
      </c>
      <c r="DA19">
        <v>1766</v>
      </c>
      <c r="DF19" s="1"/>
      <c r="DG19" s="1"/>
      <c r="DH19" s="1"/>
      <c r="DI19" s="1"/>
    </row>
    <row r="20" spans="7:113">
      <c r="G20" s="123">
        <v>45313.905649259257</v>
      </c>
      <c r="H20" s="181">
        <v>20</v>
      </c>
      <c r="I20" t="s">
        <v>1296</v>
      </c>
      <c r="J20" t="s">
        <v>88</v>
      </c>
      <c r="K20" t="s">
        <v>88</v>
      </c>
      <c r="L20" t="s">
        <v>1440</v>
      </c>
      <c r="M20" s="30">
        <v>45307</v>
      </c>
      <c r="N20" t="s">
        <v>1441</v>
      </c>
      <c r="O20" t="s">
        <v>81</v>
      </c>
      <c r="P20">
        <v>1</v>
      </c>
      <c r="Q20" t="s">
        <v>779</v>
      </c>
      <c r="R20" t="s">
        <v>779</v>
      </c>
      <c r="S20" t="s">
        <v>778</v>
      </c>
      <c r="T20" t="s">
        <v>88</v>
      </c>
      <c r="U20" t="s">
        <v>543</v>
      </c>
      <c r="V20" t="s">
        <v>1439</v>
      </c>
      <c r="W20" t="s">
        <v>1288</v>
      </c>
      <c r="X20" t="s">
        <v>790</v>
      </c>
      <c r="Y20" t="s">
        <v>279</v>
      </c>
      <c r="Z20" t="s">
        <v>785</v>
      </c>
      <c r="AA20"/>
      <c r="AB20" s="30">
        <v>45405</v>
      </c>
      <c r="AC20" t="s">
        <v>105</v>
      </c>
      <c r="AD20" t="s">
        <v>88</v>
      </c>
      <c r="AE20" t="s">
        <v>88</v>
      </c>
      <c r="AF20"/>
      <c r="AG20" t="s">
        <v>282</v>
      </c>
      <c r="AH20" t="s">
        <v>281</v>
      </c>
      <c r="AI20" t="s">
        <v>88</v>
      </c>
      <c r="AJ20" t="s">
        <v>280</v>
      </c>
      <c r="AK20"/>
      <c r="AL20"/>
      <c r="AM20" t="s">
        <v>288</v>
      </c>
      <c r="AN20" t="s">
        <v>1289</v>
      </c>
      <c r="AO20" t="s">
        <v>88</v>
      </c>
      <c r="AP20"/>
      <c r="AQ20"/>
      <c r="AR20"/>
      <c r="AS20"/>
      <c r="AT20" t="s">
        <v>1442</v>
      </c>
      <c r="AU20" t="s">
        <v>228</v>
      </c>
      <c r="AV20" t="s">
        <v>269</v>
      </c>
      <c r="AW20" t="s">
        <v>279</v>
      </c>
      <c r="AX20" t="s">
        <v>787</v>
      </c>
      <c r="AY20" t="s">
        <v>88</v>
      </c>
      <c r="AZ20" t="s">
        <v>80</v>
      </c>
      <c r="BA20" t="s">
        <v>1532</v>
      </c>
      <c r="BB20" t="s">
        <v>1290</v>
      </c>
      <c r="BC20" t="s">
        <v>285</v>
      </c>
      <c r="BD20"/>
      <c r="BE20" t="s">
        <v>88</v>
      </c>
      <c r="BF20" t="s">
        <v>88</v>
      </c>
      <c r="BG20" t="s">
        <v>88</v>
      </c>
      <c r="BH20" t="s">
        <v>1291</v>
      </c>
      <c r="BI20">
        <v>1000000</v>
      </c>
      <c r="BJ20">
        <v>1</v>
      </c>
      <c r="BK20" s="30"/>
      <c r="BL20" s="30"/>
      <c r="BM20">
        <v>0</v>
      </c>
      <c r="BN20" t="s">
        <v>88</v>
      </c>
      <c r="BO20" s="30"/>
      <c r="BP20" t="s">
        <v>1443</v>
      </c>
      <c r="BQ20" t="s">
        <v>88</v>
      </c>
      <c r="BR20" s="30">
        <v>45314</v>
      </c>
      <c r="BS20" t="s">
        <v>88</v>
      </c>
      <c r="BT20" s="30">
        <v>45314</v>
      </c>
      <c r="BU20" t="s">
        <v>88</v>
      </c>
      <c r="BV20" t="s">
        <v>88</v>
      </c>
      <c r="BW20" t="s">
        <v>1442</v>
      </c>
      <c r="BX20" t="s">
        <v>277</v>
      </c>
      <c r="BY20" t="s">
        <v>277</v>
      </c>
      <c r="BZ20" t="s">
        <v>1286</v>
      </c>
      <c r="CA20" t="s">
        <v>275</v>
      </c>
      <c r="CB20" t="s">
        <v>274</v>
      </c>
      <c r="CC20" t="s">
        <v>88</v>
      </c>
      <c r="CD20" t="s">
        <v>88</v>
      </c>
      <c r="CE20" t="s">
        <v>88</v>
      </c>
      <c r="CF20" t="s">
        <v>88</v>
      </c>
      <c r="CG20" t="s">
        <v>191</v>
      </c>
      <c r="CH20" t="s">
        <v>192</v>
      </c>
      <c r="CI20" t="s">
        <v>88</v>
      </c>
      <c r="CJ20" s="178" t="s">
        <v>88</v>
      </c>
      <c r="CK20"/>
      <c r="CL20" t="s">
        <v>1208</v>
      </c>
      <c r="CM20" t="s">
        <v>804</v>
      </c>
      <c r="CN20" t="s">
        <v>472</v>
      </c>
      <c r="CO20" t="s">
        <v>11</v>
      </c>
      <c r="CP20" t="s">
        <v>1444</v>
      </c>
      <c r="CQ20" t="s">
        <v>88</v>
      </c>
      <c r="CR20" s="30"/>
      <c r="CS20">
        <v>94</v>
      </c>
      <c r="CT20" t="s">
        <v>1297</v>
      </c>
      <c r="CU20" t="s">
        <v>198</v>
      </c>
      <c r="CV20" t="s">
        <v>269</v>
      </c>
      <c r="CW20" t="s">
        <v>508</v>
      </c>
      <c r="CX20" t="s">
        <v>155</v>
      </c>
      <c r="CY20" t="s">
        <v>6</v>
      </c>
      <c r="CZ20"/>
      <c r="DA20"/>
      <c r="DF20" s="1"/>
      <c r="DG20" s="1"/>
      <c r="DH20" s="1"/>
      <c r="DI20" s="1"/>
    </row>
    <row r="21" spans="7:113">
      <c r="G21" s="123">
        <v>45313.905649259257</v>
      </c>
      <c r="H21" s="181">
        <v>19</v>
      </c>
      <c r="I21" t="s">
        <v>88</v>
      </c>
      <c r="J21" t="s">
        <v>88</v>
      </c>
      <c r="K21" t="s">
        <v>783</v>
      </c>
      <c r="L21" t="s">
        <v>1118</v>
      </c>
      <c r="M21" s="30">
        <v>45306</v>
      </c>
      <c r="N21" t="s">
        <v>1134</v>
      </c>
      <c r="O21" t="s">
        <v>102</v>
      </c>
      <c r="P21">
        <v>2</v>
      </c>
      <c r="Q21" t="s">
        <v>778</v>
      </c>
      <c r="R21" t="s">
        <v>778</v>
      </c>
      <c r="S21" t="s">
        <v>779</v>
      </c>
      <c r="T21" t="s">
        <v>88</v>
      </c>
      <c r="U21" t="s">
        <v>1119</v>
      </c>
      <c r="V21" t="s">
        <v>1445</v>
      </c>
      <c r="W21" t="s">
        <v>279</v>
      </c>
      <c r="X21" t="s">
        <v>279</v>
      </c>
      <c r="Y21" t="s">
        <v>279</v>
      </c>
      <c r="Z21" t="s">
        <v>284</v>
      </c>
      <c r="AA21">
        <v>6</v>
      </c>
      <c r="AB21" s="30">
        <v>46405</v>
      </c>
      <c r="AC21" t="s">
        <v>287</v>
      </c>
      <c r="AD21" t="s">
        <v>88</v>
      </c>
      <c r="AE21" t="s">
        <v>88</v>
      </c>
      <c r="AF21"/>
      <c r="AG21" t="s">
        <v>282</v>
      </c>
      <c r="AH21" t="s">
        <v>281</v>
      </c>
      <c r="AI21" t="s">
        <v>88</v>
      </c>
      <c r="AJ21" t="s">
        <v>280</v>
      </c>
      <c r="AK21">
        <v>100</v>
      </c>
      <c r="AL21"/>
      <c r="AM21" t="s">
        <v>710</v>
      </c>
      <c r="AN21" t="s">
        <v>784</v>
      </c>
      <c r="AO21" t="s">
        <v>88</v>
      </c>
      <c r="AP21"/>
      <c r="AQ21"/>
      <c r="AR21"/>
      <c r="AS21"/>
      <c r="AT21" t="s">
        <v>88</v>
      </c>
      <c r="AU21" t="s">
        <v>228</v>
      </c>
      <c r="AV21" t="s">
        <v>295</v>
      </c>
      <c r="AW21" t="s">
        <v>279</v>
      </c>
      <c r="AX21" t="s">
        <v>88</v>
      </c>
      <c r="AY21" t="s">
        <v>88</v>
      </c>
      <c r="AZ21" t="s">
        <v>80</v>
      </c>
      <c r="BA21" t="s">
        <v>1533</v>
      </c>
      <c r="BB21" t="s">
        <v>1380</v>
      </c>
      <c r="BC21" t="s">
        <v>286</v>
      </c>
      <c r="BD21"/>
      <c r="BE21" t="s">
        <v>88</v>
      </c>
      <c r="BF21" t="s">
        <v>88</v>
      </c>
      <c r="BG21" t="s">
        <v>88</v>
      </c>
      <c r="BH21" t="s">
        <v>1446</v>
      </c>
      <c r="BI21">
        <v>10000</v>
      </c>
      <c r="BJ21">
        <v>2</v>
      </c>
      <c r="BK21" s="30">
        <v>45309</v>
      </c>
      <c r="BL21" s="30"/>
      <c r="BM21">
        <v>6</v>
      </c>
      <c r="BN21" t="s">
        <v>88</v>
      </c>
      <c r="BO21" s="30">
        <v>45491</v>
      </c>
      <c r="BP21" t="s">
        <v>1119</v>
      </c>
      <c r="BQ21" t="s">
        <v>88</v>
      </c>
      <c r="BR21" s="30">
        <v>45309</v>
      </c>
      <c r="BS21" t="s">
        <v>88</v>
      </c>
      <c r="BT21" s="30">
        <v>45309</v>
      </c>
      <c r="BU21" t="s">
        <v>88</v>
      </c>
      <c r="BV21" t="s">
        <v>1447</v>
      </c>
      <c r="BW21" t="s">
        <v>1448</v>
      </c>
      <c r="BX21" t="s">
        <v>277</v>
      </c>
      <c r="BY21" t="s">
        <v>277</v>
      </c>
      <c r="BZ21" t="s">
        <v>276</v>
      </c>
      <c r="CA21" t="s">
        <v>275</v>
      </c>
      <c r="CB21" t="s">
        <v>274</v>
      </c>
      <c r="CC21" t="s">
        <v>88</v>
      </c>
      <c r="CD21" t="s">
        <v>113</v>
      </c>
      <c r="CE21" t="s">
        <v>88</v>
      </c>
      <c r="CF21" t="s">
        <v>88</v>
      </c>
      <c r="CG21" t="s">
        <v>191</v>
      </c>
      <c r="CH21" t="s">
        <v>192</v>
      </c>
      <c r="CI21" t="s">
        <v>88</v>
      </c>
      <c r="CJ21" s="178" t="s">
        <v>88</v>
      </c>
      <c r="CK21"/>
      <c r="CL21" t="s">
        <v>79</v>
      </c>
      <c r="CM21" t="s">
        <v>79</v>
      </c>
      <c r="CN21" t="s">
        <v>472</v>
      </c>
      <c r="CO21" t="s">
        <v>16</v>
      </c>
      <c r="CP21" t="s">
        <v>1120</v>
      </c>
      <c r="CQ21" t="s">
        <v>88</v>
      </c>
      <c r="CR21" s="30"/>
      <c r="CS21">
        <v>88</v>
      </c>
      <c r="CT21" t="s">
        <v>1149</v>
      </c>
      <c r="CU21" t="s">
        <v>199</v>
      </c>
      <c r="CV21" t="s">
        <v>6</v>
      </c>
      <c r="CW21" t="s">
        <v>6</v>
      </c>
      <c r="CX21" t="s">
        <v>157</v>
      </c>
      <c r="CY21" t="s">
        <v>524</v>
      </c>
      <c r="CZ21">
        <v>1699</v>
      </c>
      <c r="DA21">
        <v>1765</v>
      </c>
      <c r="DF21" s="1"/>
      <c r="DG21" s="1"/>
      <c r="DH21" s="1"/>
      <c r="DI21" s="1"/>
    </row>
    <row r="22" spans="7:113">
      <c r="G22" s="123">
        <v>45313.905649259257</v>
      </c>
      <c r="H22" s="181">
        <v>18</v>
      </c>
      <c r="I22" t="s">
        <v>88</v>
      </c>
      <c r="J22" t="s">
        <v>88</v>
      </c>
      <c r="K22" t="s">
        <v>226</v>
      </c>
      <c r="L22" t="s">
        <v>793</v>
      </c>
      <c r="M22" s="30">
        <v>45303</v>
      </c>
      <c r="N22" t="s">
        <v>1262</v>
      </c>
      <c r="O22" t="s">
        <v>102</v>
      </c>
      <c r="P22">
        <v>4.5999999999999996</v>
      </c>
      <c r="Q22" t="s">
        <v>778</v>
      </c>
      <c r="R22" t="s">
        <v>778</v>
      </c>
      <c r="S22" t="s">
        <v>778</v>
      </c>
      <c r="T22" t="s">
        <v>88</v>
      </c>
      <c r="U22" t="s">
        <v>794</v>
      </c>
      <c r="V22" t="s">
        <v>1261</v>
      </c>
      <c r="W22" t="s">
        <v>279</v>
      </c>
      <c r="X22" t="s">
        <v>279</v>
      </c>
      <c r="Y22" t="s">
        <v>279</v>
      </c>
      <c r="Z22" t="s">
        <v>284</v>
      </c>
      <c r="AA22">
        <v>4.7</v>
      </c>
      <c r="AB22" s="30">
        <v>46406</v>
      </c>
      <c r="AC22" t="s">
        <v>283</v>
      </c>
      <c r="AD22" t="s">
        <v>1264</v>
      </c>
      <c r="AE22" t="s">
        <v>1265</v>
      </c>
      <c r="AF22">
        <v>10</v>
      </c>
      <c r="AG22" t="s">
        <v>282</v>
      </c>
      <c r="AH22" t="s">
        <v>708</v>
      </c>
      <c r="AI22" t="s">
        <v>586</v>
      </c>
      <c r="AJ22" t="s">
        <v>280</v>
      </c>
      <c r="AK22">
        <v>100</v>
      </c>
      <c r="AL22"/>
      <c r="AM22" t="s">
        <v>795</v>
      </c>
      <c r="AN22" t="s">
        <v>1266</v>
      </c>
      <c r="AO22" t="s">
        <v>1451</v>
      </c>
      <c r="AP22"/>
      <c r="AQ22"/>
      <c r="AR22"/>
      <c r="AS22"/>
      <c r="AT22" t="s">
        <v>1267</v>
      </c>
      <c r="AU22" t="s">
        <v>228</v>
      </c>
      <c r="AV22" t="s">
        <v>1268</v>
      </c>
      <c r="AW22" t="s">
        <v>279</v>
      </c>
      <c r="AX22" t="s">
        <v>88</v>
      </c>
      <c r="AY22" t="s">
        <v>226</v>
      </c>
      <c r="AZ22" t="s">
        <v>1</v>
      </c>
      <c r="BA22" t="s">
        <v>1533</v>
      </c>
      <c r="BB22" t="s">
        <v>278</v>
      </c>
      <c r="BC22" t="s">
        <v>286</v>
      </c>
      <c r="BD22"/>
      <c r="BE22" t="s">
        <v>88</v>
      </c>
      <c r="BF22" t="s">
        <v>88</v>
      </c>
      <c r="BG22" t="s">
        <v>1269</v>
      </c>
      <c r="BH22" t="s">
        <v>1270</v>
      </c>
      <c r="BI22">
        <v>10000</v>
      </c>
      <c r="BJ22">
        <v>4.5999999999999996</v>
      </c>
      <c r="BK22" s="30">
        <v>45310</v>
      </c>
      <c r="BL22" s="30"/>
      <c r="BM22">
        <v>4.7</v>
      </c>
      <c r="BN22" t="s">
        <v>88</v>
      </c>
      <c r="BO22" s="30">
        <v>45492</v>
      </c>
      <c r="BP22" t="s">
        <v>794</v>
      </c>
      <c r="BQ22" t="s">
        <v>88</v>
      </c>
      <c r="BR22" s="30">
        <v>45310</v>
      </c>
      <c r="BS22" t="s">
        <v>1265</v>
      </c>
      <c r="BT22" s="30">
        <v>45310</v>
      </c>
      <c r="BU22" t="s">
        <v>709</v>
      </c>
      <c r="BV22" t="s">
        <v>1271</v>
      </c>
      <c r="BW22" t="s">
        <v>1272</v>
      </c>
      <c r="BX22" t="s">
        <v>277</v>
      </c>
      <c r="BY22" t="s">
        <v>277</v>
      </c>
      <c r="BZ22" t="s">
        <v>276</v>
      </c>
      <c r="CA22" t="s">
        <v>275</v>
      </c>
      <c r="CB22" t="s">
        <v>274</v>
      </c>
      <c r="CC22" t="s">
        <v>88</v>
      </c>
      <c r="CD22" t="s">
        <v>113</v>
      </c>
      <c r="CE22" t="s">
        <v>88</v>
      </c>
      <c r="CF22" t="s">
        <v>88</v>
      </c>
      <c r="CG22" t="s">
        <v>191</v>
      </c>
      <c r="CH22" t="s">
        <v>192</v>
      </c>
      <c r="CI22" t="s">
        <v>88</v>
      </c>
      <c r="CJ22" s="178" t="s">
        <v>88</v>
      </c>
      <c r="CK22"/>
      <c r="CL22" t="s">
        <v>79</v>
      </c>
      <c r="CM22" t="s">
        <v>79</v>
      </c>
      <c r="CN22" t="s">
        <v>472</v>
      </c>
      <c r="CO22" t="s">
        <v>18</v>
      </c>
      <c r="CP22" t="s">
        <v>1273</v>
      </c>
      <c r="CQ22" t="s">
        <v>88</v>
      </c>
      <c r="CR22" s="30"/>
      <c r="CS22">
        <v>1013</v>
      </c>
      <c r="CT22" t="s">
        <v>1293</v>
      </c>
      <c r="CU22" t="s">
        <v>199</v>
      </c>
      <c r="CV22" t="s">
        <v>6</v>
      </c>
      <c r="CW22" t="s">
        <v>6</v>
      </c>
      <c r="CX22" t="s">
        <v>157</v>
      </c>
      <c r="CY22" t="s">
        <v>526</v>
      </c>
      <c r="CZ22">
        <v>1698</v>
      </c>
      <c r="DA22">
        <v>1764</v>
      </c>
      <c r="DF22" s="1"/>
      <c r="DG22" s="1"/>
      <c r="DH22" s="1"/>
      <c r="DI22" s="1"/>
    </row>
    <row r="23" spans="7:113">
      <c r="G23" s="123">
        <v>45313.905649259257</v>
      </c>
      <c r="H23" s="181">
        <v>17</v>
      </c>
      <c r="I23" t="s">
        <v>88</v>
      </c>
      <c r="J23" t="s">
        <v>88</v>
      </c>
      <c r="K23" t="s">
        <v>1472</v>
      </c>
      <c r="L23" t="s">
        <v>1454</v>
      </c>
      <c r="M23" s="30">
        <v>45303</v>
      </c>
      <c r="N23" t="s">
        <v>1455</v>
      </c>
      <c r="O23" t="s">
        <v>102</v>
      </c>
      <c r="P23">
        <v>7</v>
      </c>
      <c r="Q23" t="s">
        <v>778</v>
      </c>
      <c r="R23" t="s">
        <v>778</v>
      </c>
      <c r="S23" t="s">
        <v>778</v>
      </c>
      <c r="T23" t="s">
        <v>88</v>
      </c>
      <c r="U23" t="s">
        <v>319</v>
      </c>
      <c r="V23" t="s">
        <v>1453</v>
      </c>
      <c r="W23" t="s">
        <v>1458</v>
      </c>
      <c r="X23" t="s">
        <v>1457</v>
      </c>
      <c r="Y23" t="s">
        <v>1458</v>
      </c>
      <c r="Z23" t="s">
        <v>284</v>
      </c>
      <c r="AA23">
        <v>4</v>
      </c>
      <c r="AB23" s="30">
        <v>46341</v>
      </c>
      <c r="AC23" t="s">
        <v>287</v>
      </c>
      <c r="AD23" t="s">
        <v>88</v>
      </c>
      <c r="AE23" t="s">
        <v>1459</v>
      </c>
      <c r="AF23"/>
      <c r="AG23" t="s">
        <v>282</v>
      </c>
      <c r="AH23" t="s">
        <v>294</v>
      </c>
      <c r="AI23" t="s">
        <v>88</v>
      </c>
      <c r="AJ23" t="s">
        <v>280</v>
      </c>
      <c r="AK23">
        <v>99.995000000000005</v>
      </c>
      <c r="AL23"/>
      <c r="AM23" t="s">
        <v>792</v>
      </c>
      <c r="AN23" t="s">
        <v>806</v>
      </c>
      <c r="AO23" t="s">
        <v>88</v>
      </c>
      <c r="AP23"/>
      <c r="AQ23"/>
      <c r="AR23"/>
      <c r="AS23"/>
      <c r="AT23" t="s">
        <v>1460</v>
      </c>
      <c r="AU23" t="s">
        <v>194</v>
      </c>
      <c r="AV23" t="s">
        <v>807</v>
      </c>
      <c r="AW23" t="s">
        <v>1458</v>
      </c>
      <c r="AX23" t="s">
        <v>88</v>
      </c>
      <c r="AY23" t="s">
        <v>88</v>
      </c>
      <c r="AZ23" t="s">
        <v>3</v>
      </c>
      <c r="BA23" t="s">
        <v>1536</v>
      </c>
      <c r="BB23" t="s">
        <v>278</v>
      </c>
      <c r="BC23" t="s">
        <v>285</v>
      </c>
      <c r="BD23"/>
      <c r="BE23" t="s">
        <v>88</v>
      </c>
      <c r="BF23" t="s">
        <v>88</v>
      </c>
      <c r="BG23" t="s">
        <v>1461</v>
      </c>
      <c r="BH23" t="s">
        <v>1462</v>
      </c>
      <c r="BI23">
        <v>10000</v>
      </c>
      <c r="BJ23">
        <v>12.1</v>
      </c>
      <c r="BK23" s="30">
        <v>45245</v>
      </c>
      <c r="BL23" s="30"/>
      <c r="BM23">
        <v>4</v>
      </c>
      <c r="BN23" t="s">
        <v>88</v>
      </c>
      <c r="BO23" s="30">
        <v>45427</v>
      </c>
      <c r="BP23" t="s">
        <v>1463</v>
      </c>
      <c r="BQ23" t="s">
        <v>319</v>
      </c>
      <c r="BR23" s="30">
        <v>45245</v>
      </c>
      <c r="BS23" t="s">
        <v>1464</v>
      </c>
      <c r="BT23" s="30">
        <v>45245</v>
      </c>
      <c r="BU23" t="s">
        <v>88</v>
      </c>
      <c r="BV23" t="s">
        <v>1465</v>
      </c>
      <c r="BW23" t="s">
        <v>1466</v>
      </c>
      <c r="BX23" t="s">
        <v>277</v>
      </c>
      <c r="BY23" t="s">
        <v>277</v>
      </c>
      <c r="BZ23" t="s">
        <v>276</v>
      </c>
      <c r="CA23" t="s">
        <v>275</v>
      </c>
      <c r="CB23" t="s">
        <v>274</v>
      </c>
      <c r="CC23" t="s">
        <v>88</v>
      </c>
      <c r="CD23" t="s">
        <v>113</v>
      </c>
      <c r="CE23" t="s">
        <v>88</v>
      </c>
      <c r="CF23" t="s">
        <v>88</v>
      </c>
      <c r="CG23" t="s">
        <v>191</v>
      </c>
      <c r="CH23" t="s">
        <v>490</v>
      </c>
      <c r="CI23" t="s">
        <v>88</v>
      </c>
      <c r="CJ23" s="178" t="s">
        <v>88</v>
      </c>
      <c r="CK23"/>
      <c r="CL23" t="s">
        <v>1468</v>
      </c>
      <c r="CM23" t="s">
        <v>1469</v>
      </c>
      <c r="CN23" t="s">
        <v>472</v>
      </c>
      <c r="CO23" t="s">
        <v>123</v>
      </c>
      <c r="CP23" t="s">
        <v>1467</v>
      </c>
      <c r="CQ23" t="s">
        <v>88</v>
      </c>
      <c r="CR23" s="30"/>
      <c r="CS23">
        <v>97</v>
      </c>
      <c r="CT23" t="s">
        <v>1478</v>
      </c>
      <c r="CU23" t="s">
        <v>201</v>
      </c>
      <c r="CV23" t="s">
        <v>6</v>
      </c>
      <c r="CW23" t="s">
        <v>6</v>
      </c>
      <c r="CX23" t="s">
        <v>157</v>
      </c>
      <c r="CY23" t="s">
        <v>88</v>
      </c>
      <c r="CZ23">
        <v>1588</v>
      </c>
      <c r="DA23">
        <v>1763</v>
      </c>
      <c r="DF23" s="1"/>
      <c r="DG23" s="1"/>
      <c r="DH23" s="1"/>
      <c r="DI23" s="1"/>
    </row>
    <row r="24" spans="7:113">
      <c r="G24" s="123">
        <v>45313.905649259257</v>
      </c>
      <c r="H24" s="181">
        <v>16</v>
      </c>
      <c r="I24" t="s">
        <v>88</v>
      </c>
      <c r="J24" t="s">
        <v>88</v>
      </c>
      <c r="K24" t="s">
        <v>707</v>
      </c>
      <c r="L24" t="s">
        <v>1248</v>
      </c>
      <c r="M24" s="30">
        <v>45303</v>
      </c>
      <c r="N24" t="s">
        <v>1249</v>
      </c>
      <c r="O24" t="s">
        <v>102</v>
      </c>
      <c r="P24">
        <v>12.6</v>
      </c>
      <c r="Q24" t="s">
        <v>778</v>
      </c>
      <c r="R24" t="s">
        <v>778</v>
      </c>
      <c r="S24" t="s">
        <v>778</v>
      </c>
      <c r="T24" t="s">
        <v>88</v>
      </c>
      <c r="U24" t="s">
        <v>1246</v>
      </c>
      <c r="V24" t="s">
        <v>1247</v>
      </c>
      <c r="W24" t="s">
        <v>279</v>
      </c>
      <c r="X24" t="s">
        <v>279</v>
      </c>
      <c r="Y24" t="s">
        <v>279</v>
      </c>
      <c r="Z24" t="s">
        <v>284</v>
      </c>
      <c r="AA24">
        <v>4.4000000000000004</v>
      </c>
      <c r="AB24" s="30">
        <v>46406</v>
      </c>
      <c r="AC24" t="s">
        <v>1250</v>
      </c>
      <c r="AD24" t="s">
        <v>1251</v>
      </c>
      <c r="AE24" t="s">
        <v>796</v>
      </c>
      <c r="AF24">
        <v>0</v>
      </c>
      <c r="AG24" t="s">
        <v>282</v>
      </c>
      <c r="AH24" t="s">
        <v>708</v>
      </c>
      <c r="AI24" t="s">
        <v>562</v>
      </c>
      <c r="AJ24" t="s">
        <v>280</v>
      </c>
      <c r="AK24">
        <v>100</v>
      </c>
      <c r="AL24"/>
      <c r="AM24" t="s">
        <v>797</v>
      </c>
      <c r="AN24" t="s">
        <v>1252</v>
      </c>
      <c r="AO24" t="s">
        <v>88</v>
      </c>
      <c r="AP24"/>
      <c r="AQ24"/>
      <c r="AR24"/>
      <c r="AS24"/>
      <c r="AT24" t="s">
        <v>1253</v>
      </c>
      <c r="AU24" t="s">
        <v>228</v>
      </c>
      <c r="AV24" t="s">
        <v>695</v>
      </c>
      <c r="AW24" t="s">
        <v>279</v>
      </c>
      <c r="AX24" t="s">
        <v>88</v>
      </c>
      <c r="AY24" t="s">
        <v>798</v>
      </c>
      <c r="AZ24" t="s">
        <v>2</v>
      </c>
      <c r="BA24" t="s">
        <v>1533</v>
      </c>
      <c r="BB24" t="s">
        <v>278</v>
      </c>
      <c r="BC24" t="s">
        <v>286</v>
      </c>
      <c r="BD24"/>
      <c r="BE24" t="s">
        <v>88</v>
      </c>
      <c r="BF24" t="s">
        <v>88</v>
      </c>
      <c r="BG24" t="s">
        <v>1255</v>
      </c>
      <c r="BH24" t="s">
        <v>1256</v>
      </c>
      <c r="BI24">
        <v>10000</v>
      </c>
      <c r="BJ24">
        <v>12.6</v>
      </c>
      <c r="BK24" s="30">
        <v>45310</v>
      </c>
      <c r="BL24" s="30"/>
      <c r="BM24">
        <v>4.4000000000000004</v>
      </c>
      <c r="BN24" t="s">
        <v>88</v>
      </c>
      <c r="BO24" s="30">
        <v>45492</v>
      </c>
      <c r="BP24" t="s">
        <v>1246</v>
      </c>
      <c r="BQ24" t="s">
        <v>88</v>
      </c>
      <c r="BR24" s="30">
        <v>45310</v>
      </c>
      <c r="BS24" t="s">
        <v>796</v>
      </c>
      <c r="BT24" s="30">
        <v>45310</v>
      </c>
      <c r="BU24" t="s">
        <v>709</v>
      </c>
      <c r="BV24" t="s">
        <v>1257</v>
      </c>
      <c r="BW24" t="s">
        <v>1258</v>
      </c>
      <c r="BX24" t="s">
        <v>277</v>
      </c>
      <c r="BY24" t="s">
        <v>277</v>
      </c>
      <c r="BZ24" t="s">
        <v>276</v>
      </c>
      <c r="CA24" t="s">
        <v>275</v>
      </c>
      <c r="CB24" t="s">
        <v>274</v>
      </c>
      <c r="CC24" t="s">
        <v>88</v>
      </c>
      <c r="CD24" t="s">
        <v>113</v>
      </c>
      <c r="CE24" t="s">
        <v>88</v>
      </c>
      <c r="CF24" t="s">
        <v>88</v>
      </c>
      <c r="CG24" t="s">
        <v>191</v>
      </c>
      <c r="CH24" t="s">
        <v>192</v>
      </c>
      <c r="CI24" t="s">
        <v>88</v>
      </c>
      <c r="CJ24" s="178" t="s">
        <v>88</v>
      </c>
      <c r="CK24"/>
      <c r="CL24" t="s">
        <v>79</v>
      </c>
      <c r="CM24" t="s">
        <v>79</v>
      </c>
      <c r="CN24" t="s">
        <v>472</v>
      </c>
      <c r="CO24" t="s">
        <v>13</v>
      </c>
      <c r="CP24" t="s">
        <v>1259</v>
      </c>
      <c r="CQ24" t="s">
        <v>88</v>
      </c>
      <c r="CR24" s="30"/>
      <c r="CS24">
        <v>85</v>
      </c>
      <c r="CT24" t="s">
        <v>1294</v>
      </c>
      <c r="CU24" t="s">
        <v>199</v>
      </c>
      <c r="CV24" t="s">
        <v>6</v>
      </c>
      <c r="CW24" t="s">
        <v>6</v>
      </c>
      <c r="CX24" t="s">
        <v>157</v>
      </c>
      <c r="CY24" t="s">
        <v>524</v>
      </c>
      <c r="CZ24">
        <v>1697</v>
      </c>
      <c r="DA24">
        <v>1762</v>
      </c>
      <c r="DF24" s="1"/>
      <c r="DG24" s="1"/>
      <c r="DH24" s="1"/>
      <c r="DI24" s="1"/>
    </row>
    <row r="25" spans="7:113">
      <c r="G25" s="123">
        <v>45313.905649259257</v>
      </c>
      <c r="H25" s="181">
        <v>15</v>
      </c>
      <c r="I25" t="s">
        <v>88</v>
      </c>
      <c r="J25" t="s">
        <v>88</v>
      </c>
      <c r="K25" t="s">
        <v>783</v>
      </c>
      <c r="L25" t="s">
        <v>1276</v>
      </c>
      <c r="M25" s="30">
        <v>45303</v>
      </c>
      <c r="N25" t="s">
        <v>1277</v>
      </c>
      <c r="O25" t="s">
        <v>102</v>
      </c>
      <c r="P25">
        <v>6.7</v>
      </c>
      <c r="Q25" t="s">
        <v>778</v>
      </c>
      <c r="R25" t="s">
        <v>778</v>
      </c>
      <c r="S25" t="s">
        <v>778</v>
      </c>
      <c r="T25" t="s">
        <v>88</v>
      </c>
      <c r="U25" t="s">
        <v>1274</v>
      </c>
      <c r="V25" t="s">
        <v>1275</v>
      </c>
      <c r="W25" t="s">
        <v>279</v>
      </c>
      <c r="X25" t="s">
        <v>279</v>
      </c>
      <c r="Y25" t="s">
        <v>279</v>
      </c>
      <c r="Z25" t="s">
        <v>799</v>
      </c>
      <c r="AA25">
        <v>7.6</v>
      </c>
      <c r="AB25" s="30">
        <v>46040</v>
      </c>
      <c r="AC25" t="s">
        <v>287</v>
      </c>
      <c r="AD25" t="s">
        <v>88</v>
      </c>
      <c r="AE25" t="s">
        <v>1279</v>
      </c>
      <c r="AF25"/>
      <c r="AG25" t="s">
        <v>282</v>
      </c>
      <c r="AH25" t="s">
        <v>281</v>
      </c>
      <c r="AI25" t="s">
        <v>88</v>
      </c>
      <c r="AJ25" t="s">
        <v>280</v>
      </c>
      <c r="AK25">
        <v>100</v>
      </c>
      <c r="AL25"/>
      <c r="AM25" t="s">
        <v>795</v>
      </c>
      <c r="AN25" t="s">
        <v>1266</v>
      </c>
      <c r="AO25" t="s">
        <v>1452</v>
      </c>
      <c r="AP25"/>
      <c r="AQ25"/>
      <c r="AR25"/>
      <c r="AS25"/>
      <c r="AT25" t="s">
        <v>1280</v>
      </c>
      <c r="AU25" t="s">
        <v>228</v>
      </c>
      <c r="AV25" t="s">
        <v>295</v>
      </c>
      <c r="AW25" t="s">
        <v>279</v>
      </c>
      <c r="AX25" t="s">
        <v>88</v>
      </c>
      <c r="AY25" t="s">
        <v>88</v>
      </c>
      <c r="AZ25" t="s">
        <v>1</v>
      </c>
      <c r="BA25" t="s">
        <v>1535</v>
      </c>
      <c r="BB25" t="s">
        <v>278</v>
      </c>
      <c r="BC25" t="s">
        <v>286</v>
      </c>
      <c r="BD25"/>
      <c r="BE25" t="s">
        <v>88</v>
      </c>
      <c r="BF25" t="s">
        <v>88</v>
      </c>
      <c r="BG25" t="s">
        <v>1281</v>
      </c>
      <c r="BH25" t="s">
        <v>1282</v>
      </c>
      <c r="BI25">
        <v>10000</v>
      </c>
      <c r="BJ25">
        <v>6.7</v>
      </c>
      <c r="BK25" s="30">
        <v>45309</v>
      </c>
      <c r="BL25" s="30"/>
      <c r="BM25">
        <v>7.6</v>
      </c>
      <c r="BN25" t="s">
        <v>88</v>
      </c>
      <c r="BO25" s="30">
        <v>45491</v>
      </c>
      <c r="BP25" t="s">
        <v>1274</v>
      </c>
      <c r="BQ25" t="s">
        <v>88</v>
      </c>
      <c r="BR25" s="30">
        <v>45309</v>
      </c>
      <c r="BS25" t="s">
        <v>88</v>
      </c>
      <c r="BT25" s="30">
        <v>45309</v>
      </c>
      <c r="BU25" t="s">
        <v>692</v>
      </c>
      <c r="BV25" t="s">
        <v>1283</v>
      </c>
      <c r="BW25" t="s">
        <v>1284</v>
      </c>
      <c r="BX25" t="s">
        <v>277</v>
      </c>
      <c r="BY25" t="s">
        <v>277</v>
      </c>
      <c r="BZ25" t="s">
        <v>276</v>
      </c>
      <c r="CA25" t="s">
        <v>275</v>
      </c>
      <c r="CB25" t="s">
        <v>274</v>
      </c>
      <c r="CC25" t="s">
        <v>88</v>
      </c>
      <c r="CD25" t="s">
        <v>113</v>
      </c>
      <c r="CE25" t="s">
        <v>88</v>
      </c>
      <c r="CF25" t="s">
        <v>88</v>
      </c>
      <c r="CG25" t="s">
        <v>191</v>
      </c>
      <c r="CH25" t="s">
        <v>192</v>
      </c>
      <c r="CI25" t="s">
        <v>88</v>
      </c>
      <c r="CJ25" s="178" t="s">
        <v>88</v>
      </c>
      <c r="CK25"/>
      <c r="CL25" t="s">
        <v>79</v>
      </c>
      <c r="CM25" t="s">
        <v>79</v>
      </c>
      <c r="CN25" t="s">
        <v>472</v>
      </c>
      <c r="CO25" t="s">
        <v>18</v>
      </c>
      <c r="CP25" t="s">
        <v>1285</v>
      </c>
      <c r="CQ25" t="s">
        <v>88</v>
      </c>
      <c r="CR25" s="30"/>
      <c r="CS25">
        <v>989</v>
      </c>
      <c r="CT25" t="s">
        <v>1295</v>
      </c>
      <c r="CU25" t="s">
        <v>199</v>
      </c>
      <c r="CV25" t="s">
        <v>531</v>
      </c>
      <c r="CW25" t="s">
        <v>6</v>
      </c>
      <c r="CX25" t="s">
        <v>157</v>
      </c>
      <c r="CY25" t="s">
        <v>526</v>
      </c>
      <c r="CZ25">
        <v>1696</v>
      </c>
      <c r="DA25">
        <v>1761</v>
      </c>
    </row>
    <row r="26" spans="7:113">
      <c r="G26" s="123">
        <v>45313.905649259257</v>
      </c>
      <c r="H26" s="181">
        <v>14</v>
      </c>
      <c r="I26" t="s">
        <v>88</v>
      </c>
      <c r="J26" t="s">
        <v>88</v>
      </c>
      <c r="K26" t="s">
        <v>702</v>
      </c>
      <c r="L26" t="s">
        <v>1231</v>
      </c>
      <c r="M26" s="30">
        <v>45303</v>
      </c>
      <c r="N26" t="s">
        <v>1232</v>
      </c>
      <c r="O26" t="s">
        <v>81</v>
      </c>
      <c r="P26">
        <v>0.15</v>
      </c>
      <c r="Q26" t="s">
        <v>779</v>
      </c>
      <c r="R26" t="s">
        <v>779</v>
      </c>
      <c r="S26" t="s">
        <v>778</v>
      </c>
      <c r="T26" t="s">
        <v>88</v>
      </c>
      <c r="U26" t="s">
        <v>701</v>
      </c>
      <c r="V26" t="s">
        <v>1230</v>
      </c>
      <c r="W26" t="s">
        <v>703</v>
      </c>
      <c r="X26" t="s">
        <v>700</v>
      </c>
      <c r="Y26" t="s">
        <v>279</v>
      </c>
      <c r="Z26" t="s">
        <v>489</v>
      </c>
      <c r="AA26">
        <v>6.05</v>
      </c>
      <c r="AB26" s="30">
        <v>45673</v>
      </c>
      <c r="AC26" t="s">
        <v>105</v>
      </c>
      <c r="AD26" t="s">
        <v>88</v>
      </c>
      <c r="AE26" t="s">
        <v>88</v>
      </c>
      <c r="AF26"/>
      <c r="AG26" t="s">
        <v>88</v>
      </c>
      <c r="AH26" t="s">
        <v>294</v>
      </c>
      <c r="AI26" t="s">
        <v>88</v>
      </c>
      <c r="AJ26" t="s">
        <v>280</v>
      </c>
      <c r="AK26">
        <v>100</v>
      </c>
      <c r="AL26"/>
      <c r="AM26" t="s">
        <v>698</v>
      </c>
      <c r="AN26" t="s">
        <v>699</v>
      </c>
      <c r="AO26" t="s">
        <v>88</v>
      </c>
      <c r="AP26"/>
      <c r="AQ26"/>
      <c r="AR26"/>
      <c r="AS26"/>
      <c r="AT26" t="s">
        <v>88</v>
      </c>
      <c r="AU26" t="s">
        <v>228</v>
      </c>
      <c r="AV26" t="s">
        <v>295</v>
      </c>
      <c r="AW26" t="s">
        <v>279</v>
      </c>
      <c r="AX26" t="s">
        <v>88</v>
      </c>
      <c r="AY26" t="s">
        <v>88</v>
      </c>
      <c r="AZ26" t="s">
        <v>80</v>
      </c>
      <c r="BA26" t="s">
        <v>1534</v>
      </c>
      <c r="BB26" t="s">
        <v>704</v>
      </c>
      <c r="BC26" t="s">
        <v>285</v>
      </c>
      <c r="BD26"/>
      <c r="BE26" t="s">
        <v>88</v>
      </c>
      <c r="BF26" t="s">
        <v>88</v>
      </c>
      <c r="BG26" t="s">
        <v>88</v>
      </c>
      <c r="BH26" t="s">
        <v>705</v>
      </c>
      <c r="BI26">
        <v>1000</v>
      </c>
      <c r="BJ26">
        <v>0.15</v>
      </c>
      <c r="BK26" s="30">
        <v>45309</v>
      </c>
      <c r="BL26" s="30"/>
      <c r="BM26">
        <v>6.05</v>
      </c>
      <c r="BN26" t="s">
        <v>88</v>
      </c>
      <c r="BO26" s="30">
        <v>45673</v>
      </c>
      <c r="BP26" t="s">
        <v>706</v>
      </c>
      <c r="BQ26" t="s">
        <v>701</v>
      </c>
      <c r="BR26" s="30">
        <v>45309</v>
      </c>
      <c r="BS26" t="s">
        <v>88</v>
      </c>
      <c r="BT26" s="30">
        <v>45309</v>
      </c>
      <c r="BU26" t="s">
        <v>88</v>
      </c>
      <c r="BV26" t="s">
        <v>88</v>
      </c>
      <c r="BW26" t="s">
        <v>88</v>
      </c>
      <c r="BX26" t="s">
        <v>277</v>
      </c>
      <c r="BY26" t="s">
        <v>277</v>
      </c>
      <c r="BZ26" t="s">
        <v>276</v>
      </c>
      <c r="CA26" t="s">
        <v>275</v>
      </c>
      <c r="CB26" t="s">
        <v>274</v>
      </c>
      <c r="CC26" t="s">
        <v>88</v>
      </c>
      <c r="CD26" t="s">
        <v>711</v>
      </c>
      <c r="CE26" t="s">
        <v>88</v>
      </c>
      <c r="CF26" t="s">
        <v>88</v>
      </c>
      <c r="CG26" t="s">
        <v>191</v>
      </c>
      <c r="CH26" t="s">
        <v>772</v>
      </c>
      <c r="CI26" t="s">
        <v>88</v>
      </c>
      <c r="CJ26" s="178" t="s">
        <v>88</v>
      </c>
      <c r="CK26"/>
      <c r="CL26" t="s">
        <v>1208</v>
      </c>
      <c r="CM26" t="s">
        <v>773</v>
      </c>
      <c r="CN26" t="s">
        <v>472</v>
      </c>
      <c r="CO26" t="s">
        <v>17</v>
      </c>
      <c r="CP26" t="s">
        <v>1234</v>
      </c>
      <c r="CQ26" t="s">
        <v>88</v>
      </c>
      <c r="CR26" s="30"/>
      <c r="CS26">
        <v>733</v>
      </c>
      <c r="CT26" t="s">
        <v>735</v>
      </c>
      <c r="CU26" t="s">
        <v>198</v>
      </c>
      <c r="CV26" t="s">
        <v>505</v>
      </c>
      <c r="CW26" t="s">
        <v>518</v>
      </c>
      <c r="CX26" t="s">
        <v>157</v>
      </c>
      <c r="CY26" t="s">
        <v>88</v>
      </c>
      <c r="CZ26"/>
      <c r="DA26"/>
    </row>
    <row r="27" spans="7:113">
      <c r="G27" s="123">
        <v>45313.905649259257</v>
      </c>
      <c r="H27" s="181">
        <v>13</v>
      </c>
      <c r="I27" t="s">
        <v>88</v>
      </c>
      <c r="J27" t="s">
        <v>88</v>
      </c>
      <c r="K27" t="s">
        <v>1472</v>
      </c>
      <c r="L27" t="s">
        <v>1605</v>
      </c>
      <c r="M27" s="30">
        <v>45289</v>
      </c>
      <c r="N27" t="s">
        <v>1606</v>
      </c>
      <c r="O27" t="s">
        <v>102</v>
      </c>
      <c r="P27">
        <v>3.43</v>
      </c>
      <c r="Q27" t="s">
        <v>778</v>
      </c>
      <c r="R27" t="s">
        <v>778</v>
      </c>
      <c r="S27" t="s">
        <v>778</v>
      </c>
      <c r="T27" t="s">
        <v>88</v>
      </c>
      <c r="U27" t="s">
        <v>1603</v>
      </c>
      <c r="V27" t="s">
        <v>1604</v>
      </c>
      <c r="W27" t="s">
        <v>279</v>
      </c>
      <c r="X27" t="s">
        <v>279</v>
      </c>
      <c r="Y27" t="s">
        <v>279</v>
      </c>
      <c r="Z27" t="s">
        <v>1607</v>
      </c>
      <c r="AA27">
        <v>7.8</v>
      </c>
      <c r="AB27" s="30">
        <v>46292</v>
      </c>
      <c r="AC27" t="s">
        <v>287</v>
      </c>
      <c r="AD27" t="s">
        <v>88</v>
      </c>
      <c r="AE27" t="s">
        <v>88</v>
      </c>
      <c r="AF27"/>
      <c r="AG27" t="s">
        <v>282</v>
      </c>
      <c r="AH27" t="s">
        <v>294</v>
      </c>
      <c r="AI27" t="s">
        <v>88</v>
      </c>
      <c r="AJ27" t="s">
        <v>280</v>
      </c>
      <c r="AK27">
        <v>100</v>
      </c>
      <c r="AL27"/>
      <c r="AM27" t="s">
        <v>500</v>
      </c>
      <c r="AN27" t="s">
        <v>1608</v>
      </c>
      <c r="AO27" t="s">
        <v>1609</v>
      </c>
      <c r="AP27"/>
      <c r="AQ27"/>
      <c r="AR27"/>
      <c r="AS27"/>
      <c r="AT27" t="s">
        <v>1610</v>
      </c>
      <c r="AU27" t="s">
        <v>228</v>
      </c>
      <c r="AV27" t="s">
        <v>695</v>
      </c>
      <c r="AW27" t="s">
        <v>279</v>
      </c>
      <c r="AX27" t="s">
        <v>494</v>
      </c>
      <c r="AY27" t="s">
        <v>88</v>
      </c>
      <c r="AZ27" t="s">
        <v>1</v>
      </c>
      <c r="BA27" t="s">
        <v>1611</v>
      </c>
      <c r="BB27" t="s">
        <v>278</v>
      </c>
      <c r="BC27" t="s">
        <v>286</v>
      </c>
      <c r="BD27"/>
      <c r="BE27" t="s">
        <v>88</v>
      </c>
      <c r="BF27" t="s">
        <v>88</v>
      </c>
      <c r="BG27" t="s">
        <v>88</v>
      </c>
      <c r="BH27" t="s">
        <v>1612</v>
      </c>
      <c r="BI27">
        <v>10000</v>
      </c>
      <c r="BJ27">
        <v>3.43</v>
      </c>
      <c r="BK27" s="30">
        <v>45296</v>
      </c>
      <c r="BL27" s="30"/>
      <c r="BM27">
        <v>7.8</v>
      </c>
      <c r="BN27" t="s">
        <v>88</v>
      </c>
      <c r="BO27" s="30">
        <v>45378</v>
      </c>
      <c r="BP27" t="s">
        <v>1613</v>
      </c>
      <c r="BQ27" t="s">
        <v>1603</v>
      </c>
      <c r="BR27" s="30">
        <v>45296</v>
      </c>
      <c r="BS27" t="s">
        <v>88</v>
      </c>
      <c r="BT27" s="30">
        <v>45296</v>
      </c>
      <c r="BU27" t="s">
        <v>88</v>
      </c>
      <c r="BV27" t="s">
        <v>88</v>
      </c>
      <c r="BW27" t="s">
        <v>1614</v>
      </c>
      <c r="BX27" t="s">
        <v>277</v>
      </c>
      <c r="BY27" t="s">
        <v>277</v>
      </c>
      <c r="BZ27" t="s">
        <v>276</v>
      </c>
      <c r="CA27" t="s">
        <v>275</v>
      </c>
      <c r="CB27" t="s">
        <v>274</v>
      </c>
      <c r="CC27" t="s">
        <v>88</v>
      </c>
      <c r="CD27" t="s">
        <v>113</v>
      </c>
      <c r="CE27" t="s">
        <v>88</v>
      </c>
      <c r="CF27" t="s">
        <v>88</v>
      </c>
      <c r="CG27" t="s">
        <v>191</v>
      </c>
      <c r="CH27" t="s">
        <v>1705</v>
      </c>
      <c r="CI27" t="s">
        <v>88</v>
      </c>
      <c r="CJ27" s="178" t="s">
        <v>88</v>
      </c>
      <c r="CK27"/>
      <c r="CL27" t="s">
        <v>79</v>
      </c>
      <c r="CM27" t="s">
        <v>79</v>
      </c>
      <c r="CN27" t="s">
        <v>472</v>
      </c>
      <c r="CO27" t="s">
        <v>9</v>
      </c>
      <c r="CP27" t="s">
        <v>1615</v>
      </c>
      <c r="CQ27" t="s">
        <v>88</v>
      </c>
      <c r="CR27" s="30"/>
      <c r="CS27">
        <v>1005</v>
      </c>
      <c r="CT27" t="s">
        <v>1678</v>
      </c>
      <c r="CU27" t="s">
        <v>199</v>
      </c>
      <c r="CV27" t="s">
        <v>6</v>
      </c>
      <c r="CW27" t="s">
        <v>6</v>
      </c>
      <c r="CX27" t="s">
        <v>157</v>
      </c>
      <c r="CY27" t="s">
        <v>501</v>
      </c>
      <c r="CZ27">
        <v>1681</v>
      </c>
      <c r="DA27">
        <v>1746</v>
      </c>
    </row>
    <row r="28" spans="7:113">
      <c r="G28" s="123">
        <v>45313.905649259257</v>
      </c>
      <c r="H28" s="181">
        <v>12</v>
      </c>
      <c r="I28" t="s">
        <v>88</v>
      </c>
      <c r="J28" t="s">
        <v>88</v>
      </c>
      <c r="K28" t="s">
        <v>1677</v>
      </c>
      <c r="L28" t="s">
        <v>1633</v>
      </c>
      <c r="M28" s="30">
        <v>45289</v>
      </c>
      <c r="N28" t="s">
        <v>1634</v>
      </c>
      <c r="O28" t="s">
        <v>102</v>
      </c>
      <c r="P28">
        <v>0.12</v>
      </c>
      <c r="Q28" t="s">
        <v>778</v>
      </c>
      <c r="R28" t="s">
        <v>778</v>
      </c>
      <c r="S28" t="s">
        <v>778</v>
      </c>
      <c r="T28" t="s">
        <v>88</v>
      </c>
      <c r="U28" t="s">
        <v>1603</v>
      </c>
      <c r="V28" t="s">
        <v>1632</v>
      </c>
      <c r="W28" t="s">
        <v>279</v>
      </c>
      <c r="X28" t="s">
        <v>279</v>
      </c>
      <c r="Y28" t="s">
        <v>279</v>
      </c>
      <c r="Z28" t="s">
        <v>489</v>
      </c>
      <c r="AA28">
        <v>7.8</v>
      </c>
      <c r="AB28" s="30">
        <v>45659</v>
      </c>
      <c r="AC28" t="s">
        <v>287</v>
      </c>
      <c r="AD28" t="s">
        <v>88</v>
      </c>
      <c r="AE28" t="s">
        <v>88</v>
      </c>
      <c r="AF28"/>
      <c r="AG28" t="s">
        <v>282</v>
      </c>
      <c r="AH28" t="s">
        <v>294</v>
      </c>
      <c r="AI28" t="s">
        <v>88</v>
      </c>
      <c r="AJ28" t="s">
        <v>280</v>
      </c>
      <c r="AK28"/>
      <c r="AL28"/>
      <c r="AM28" t="s">
        <v>500</v>
      </c>
      <c r="AN28" t="s">
        <v>1608</v>
      </c>
      <c r="AO28" t="s">
        <v>1609</v>
      </c>
      <c r="AP28"/>
      <c r="AQ28"/>
      <c r="AR28"/>
      <c r="AS28"/>
      <c r="AT28" t="s">
        <v>88</v>
      </c>
      <c r="AU28" t="s">
        <v>228</v>
      </c>
      <c r="AV28" t="s">
        <v>695</v>
      </c>
      <c r="AW28" t="s">
        <v>279</v>
      </c>
      <c r="AX28" t="s">
        <v>494</v>
      </c>
      <c r="AY28" t="s">
        <v>88</v>
      </c>
      <c r="AZ28" t="s">
        <v>1</v>
      </c>
      <c r="BA28" t="s">
        <v>1635</v>
      </c>
      <c r="BB28" t="s">
        <v>278</v>
      </c>
      <c r="BC28" t="s">
        <v>286</v>
      </c>
      <c r="BD28"/>
      <c r="BE28" t="s">
        <v>88</v>
      </c>
      <c r="BF28" t="s">
        <v>88</v>
      </c>
      <c r="BG28" t="s">
        <v>88</v>
      </c>
      <c r="BH28" t="s">
        <v>1612</v>
      </c>
      <c r="BI28">
        <v>10000</v>
      </c>
      <c r="BJ28">
        <v>0.12</v>
      </c>
      <c r="BK28" s="30">
        <v>45295</v>
      </c>
      <c r="BL28" s="30"/>
      <c r="BM28">
        <v>7.8</v>
      </c>
      <c r="BN28" t="s">
        <v>88</v>
      </c>
      <c r="BO28" s="30">
        <v>45477</v>
      </c>
      <c r="BP28" t="s">
        <v>1613</v>
      </c>
      <c r="BQ28" t="s">
        <v>1603</v>
      </c>
      <c r="BR28" s="30">
        <v>45295</v>
      </c>
      <c r="BS28" t="s">
        <v>88</v>
      </c>
      <c r="BT28" s="30">
        <v>45295</v>
      </c>
      <c r="BU28" t="s">
        <v>88</v>
      </c>
      <c r="BV28" t="s">
        <v>1636</v>
      </c>
      <c r="BW28" t="s">
        <v>1636</v>
      </c>
      <c r="BX28" t="s">
        <v>277</v>
      </c>
      <c r="BY28" t="s">
        <v>277</v>
      </c>
      <c r="BZ28" t="s">
        <v>276</v>
      </c>
      <c r="CA28" t="s">
        <v>275</v>
      </c>
      <c r="CB28" t="s">
        <v>274</v>
      </c>
      <c r="CC28" t="s">
        <v>88</v>
      </c>
      <c r="CD28" t="s">
        <v>113</v>
      </c>
      <c r="CE28" t="s">
        <v>88</v>
      </c>
      <c r="CF28" t="s">
        <v>88</v>
      </c>
      <c r="CG28" t="s">
        <v>191</v>
      </c>
      <c r="CH28" t="s">
        <v>1705</v>
      </c>
      <c r="CI28" t="s">
        <v>88</v>
      </c>
      <c r="CJ28" s="178" t="s">
        <v>88</v>
      </c>
      <c r="CK28"/>
      <c r="CL28" t="s">
        <v>79</v>
      </c>
      <c r="CM28" t="s">
        <v>79</v>
      </c>
      <c r="CN28" t="s">
        <v>472</v>
      </c>
      <c r="CO28" t="s">
        <v>9</v>
      </c>
      <c r="CP28" t="s">
        <v>1637</v>
      </c>
      <c r="CQ28" t="s">
        <v>88</v>
      </c>
      <c r="CR28" s="30"/>
      <c r="CS28">
        <v>1005</v>
      </c>
      <c r="CT28" t="s">
        <v>1678</v>
      </c>
      <c r="CU28" t="s">
        <v>199</v>
      </c>
      <c r="CV28" t="s">
        <v>6</v>
      </c>
      <c r="CW28" t="s">
        <v>6</v>
      </c>
      <c r="CX28" t="s">
        <v>157</v>
      </c>
      <c r="CY28" t="s">
        <v>501</v>
      </c>
      <c r="CZ28">
        <v>1680</v>
      </c>
      <c r="DA28">
        <v>1745</v>
      </c>
    </row>
    <row r="29" spans="7:113">
      <c r="G29" s="123">
        <v>45313.905649259257</v>
      </c>
      <c r="H29" s="181">
        <v>11</v>
      </c>
      <c r="I29" t="s">
        <v>88</v>
      </c>
      <c r="J29" t="s">
        <v>88</v>
      </c>
      <c r="K29" t="s">
        <v>1679</v>
      </c>
      <c r="L29" t="s">
        <v>1628</v>
      </c>
      <c r="M29" s="30">
        <v>45289</v>
      </c>
      <c r="N29" t="s">
        <v>1619</v>
      </c>
      <c r="O29" t="s">
        <v>102</v>
      </c>
      <c r="P29">
        <v>0.40500000000000003</v>
      </c>
      <c r="Q29" t="s">
        <v>778</v>
      </c>
      <c r="R29" t="s">
        <v>778</v>
      </c>
      <c r="S29" t="s">
        <v>778</v>
      </c>
      <c r="T29" t="s">
        <v>88</v>
      </c>
      <c r="U29" t="s">
        <v>1616</v>
      </c>
      <c r="V29" t="s">
        <v>1617</v>
      </c>
      <c r="W29" t="s">
        <v>279</v>
      </c>
      <c r="X29" t="s">
        <v>1542</v>
      </c>
      <c r="Y29" t="s">
        <v>279</v>
      </c>
      <c r="Z29" t="s">
        <v>489</v>
      </c>
      <c r="AA29">
        <v>8</v>
      </c>
      <c r="AB29" s="30">
        <v>45659</v>
      </c>
      <c r="AC29" t="s">
        <v>105</v>
      </c>
      <c r="AD29" t="s">
        <v>88</v>
      </c>
      <c r="AE29" t="s">
        <v>88</v>
      </c>
      <c r="AF29"/>
      <c r="AG29" t="s">
        <v>282</v>
      </c>
      <c r="AH29" t="s">
        <v>294</v>
      </c>
      <c r="AI29" t="s">
        <v>88</v>
      </c>
      <c r="AJ29" t="s">
        <v>280</v>
      </c>
      <c r="AK29">
        <v>99.75</v>
      </c>
      <c r="AL29"/>
      <c r="AM29" t="s">
        <v>698</v>
      </c>
      <c r="AN29" t="s">
        <v>1352</v>
      </c>
      <c r="AO29" t="s">
        <v>88</v>
      </c>
      <c r="AP29"/>
      <c r="AQ29"/>
      <c r="AR29"/>
      <c r="AS29"/>
      <c r="AT29" t="s">
        <v>1621</v>
      </c>
      <c r="AU29" t="s">
        <v>228</v>
      </c>
      <c r="AV29" t="s">
        <v>807</v>
      </c>
      <c r="AW29" t="s">
        <v>279</v>
      </c>
      <c r="AX29" t="s">
        <v>494</v>
      </c>
      <c r="AY29" t="s">
        <v>88</v>
      </c>
      <c r="AZ29" t="s">
        <v>3</v>
      </c>
      <c r="BA29" t="s">
        <v>1622</v>
      </c>
      <c r="BB29" t="s">
        <v>1423</v>
      </c>
      <c r="BC29" t="s">
        <v>286</v>
      </c>
      <c r="BD29"/>
      <c r="BE29" t="s">
        <v>88</v>
      </c>
      <c r="BF29" t="s">
        <v>88</v>
      </c>
      <c r="BG29" t="s">
        <v>88</v>
      </c>
      <c r="BH29" t="s">
        <v>1623</v>
      </c>
      <c r="BI29">
        <v>10000</v>
      </c>
      <c r="BJ29">
        <v>0.40500000000000003</v>
      </c>
      <c r="BK29" s="30">
        <v>45295</v>
      </c>
      <c r="BL29" s="30">
        <v>45628</v>
      </c>
      <c r="BM29">
        <v>8</v>
      </c>
      <c r="BN29" t="s">
        <v>88</v>
      </c>
      <c r="BO29" s="30">
        <v>45477</v>
      </c>
      <c r="BP29" t="s">
        <v>1624</v>
      </c>
      <c r="BQ29" t="s">
        <v>1616</v>
      </c>
      <c r="BR29" s="30">
        <v>45295</v>
      </c>
      <c r="BS29" t="s">
        <v>88</v>
      </c>
      <c r="BT29" s="30">
        <v>45295</v>
      </c>
      <c r="BU29" t="s">
        <v>88</v>
      </c>
      <c r="BV29" t="s">
        <v>1625</v>
      </c>
      <c r="BW29" t="s">
        <v>1626</v>
      </c>
      <c r="BX29" t="s">
        <v>277</v>
      </c>
      <c r="BY29" t="s">
        <v>277</v>
      </c>
      <c r="BZ29" t="s">
        <v>276</v>
      </c>
      <c r="CA29" t="s">
        <v>275</v>
      </c>
      <c r="CB29" t="s">
        <v>1553</v>
      </c>
      <c r="CC29" t="s">
        <v>88</v>
      </c>
      <c r="CD29" t="s">
        <v>113</v>
      </c>
      <c r="CE29" t="s">
        <v>88</v>
      </c>
      <c r="CF29" t="s">
        <v>88</v>
      </c>
      <c r="CG29" t="s">
        <v>191</v>
      </c>
      <c r="CH29" t="s">
        <v>490</v>
      </c>
      <c r="CI29" t="s">
        <v>88</v>
      </c>
      <c r="CJ29" s="178" t="s">
        <v>88</v>
      </c>
      <c r="CK29"/>
      <c r="CL29" t="s">
        <v>79</v>
      </c>
      <c r="CM29" t="s">
        <v>79</v>
      </c>
      <c r="CN29" t="s">
        <v>472</v>
      </c>
      <c r="CO29" t="s">
        <v>17</v>
      </c>
      <c r="CP29" t="s">
        <v>1629</v>
      </c>
      <c r="CQ29" t="s">
        <v>88</v>
      </c>
      <c r="CR29" s="30"/>
      <c r="CS29">
        <v>423</v>
      </c>
      <c r="CT29" t="s">
        <v>1680</v>
      </c>
      <c r="CU29" t="s">
        <v>201</v>
      </c>
      <c r="CV29" t="s">
        <v>6</v>
      </c>
      <c r="CW29" t="s">
        <v>6</v>
      </c>
      <c r="CX29" t="s">
        <v>158</v>
      </c>
      <c r="CY29" t="s">
        <v>6</v>
      </c>
      <c r="CZ29">
        <v>1677</v>
      </c>
      <c r="DA29">
        <v>1742</v>
      </c>
    </row>
    <row r="30" spans="7:113">
      <c r="G30" s="123">
        <v>45313.905649259257</v>
      </c>
      <c r="H30" s="181">
        <v>10</v>
      </c>
      <c r="I30" t="s">
        <v>88</v>
      </c>
      <c r="J30" t="s">
        <v>88</v>
      </c>
      <c r="K30" t="s">
        <v>1679</v>
      </c>
      <c r="L30" t="s">
        <v>1630</v>
      </c>
      <c r="M30" s="30">
        <v>45289</v>
      </c>
      <c r="N30" t="s">
        <v>1619</v>
      </c>
      <c r="O30" t="s">
        <v>104</v>
      </c>
      <c r="P30">
        <v>1.145</v>
      </c>
      <c r="Q30" t="s">
        <v>778</v>
      </c>
      <c r="R30" t="s">
        <v>778</v>
      </c>
      <c r="S30" t="s">
        <v>778</v>
      </c>
      <c r="T30" t="s">
        <v>88</v>
      </c>
      <c r="U30" t="s">
        <v>1616</v>
      </c>
      <c r="V30" t="s">
        <v>1617</v>
      </c>
      <c r="W30" t="s">
        <v>279</v>
      </c>
      <c r="X30" t="s">
        <v>1542</v>
      </c>
      <c r="Y30" t="s">
        <v>279</v>
      </c>
      <c r="Z30" t="s">
        <v>489</v>
      </c>
      <c r="AA30">
        <v>8</v>
      </c>
      <c r="AB30" s="30">
        <v>45659</v>
      </c>
      <c r="AC30" t="s">
        <v>105</v>
      </c>
      <c r="AD30" t="s">
        <v>88</v>
      </c>
      <c r="AE30" t="s">
        <v>88</v>
      </c>
      <c r="AF30"/>
      <c r="AG30" t="s">
        <v>282</v>
      </c>
      <c r="AH30" t="s">
        <v>294</v>
      </c>
      <c r="AI30" t="s">
        <v>88</v>
      </c>
      <c r="AJ30" t="s">
        <v>280</v>
      </c>
      <c r="AK30">
        <v>99.75</v>
      </c>
      <c r="AL30"/>
      <c r="AM30" t="s">
        <v>698</v>
      </c>
      <c r="AN30" t="s">
        <v>1352</v>
      </c>
      <c r="AO30" t="s">
        <v>88</v>
      </c>
      <c r="AP30"/>
      <c r="AQ30"/>
      <c r="AR30"/>
      <c r="AS30"/>
      <c r="AT30" t="s">
        <v>1621</v>
      </c>
      <c r="AU30" t="s">
        <v>228</v>
      </c>
      <c r="AV30" t="s">
        <v>807</v>
      </c>
      <c r="AW30" t="s">
        <v>279</v>
      </c>
      <c r="AX30" t="s">
        <v>494</v>
      </c>
      <c r="AY30" t="s">
        <v>88</v>
      </c>
      <c r="AZ30" t="s">
        <v>3</v>
      </c>
      <c r="BA30" t="s">
        <v>1622</v>
      </c>
      <c r="BB30" t="s">
        <v>1423</v>
      </c>
      <c r="BC30" t="s">
        <v>286</v>
      </c>
      <c r="BD30"/>
      <c r="BE30" t="s">
        <v>88</v>
      </c>
      <c r="BF30" t="s">
        <v>88</v>
      </c>
      <c r="BG30" t="s">
        <v>88</v>
      </c>
      <c r="BH30" t="s">
        <v>1623</v>
      </c>
      <c r="BI30">
        <v>1000</v>
      </c>
      <c r="BJ30">
        <v>1.145</v>
      </c>
      <c r="BK30" s="30">
        <v>45295</v>
      </c>
      <c r="BL30" s="30">
        <v>45628</v>
      </c>
      <c r="BM30">
        <v>8</v>
      </c>
      <c r="BN30" t="s">
        <v>88</v>
      </c>
      <c r="BO30" s="30">
        <v>45477</v>
      </c>
      <c r="BP30" t="s">
        <v>1624</v>
      </c>
      <c r="BQ30" t="s">
        <v>1616</v>
      </c>
      <c r="BR30" s="30">
        <v>45295</v>
      </c>
      <c r="BS30" t="s">
        <v>88</v>
      </c>
      <c r="BT30" s="30">
        <v>45295</v>
      </c>
      <c r="BU30" t="s">
        <v>88</v>
      </c>
      <c r="BV30" t="s">
        <v>1625</v>
      </c>
      <c r="BW30" t="s">
        <v>1626</v>
      </c>
      <c r="BX30" t="s">
        <v>277</v>
      </c>
      <c r="BY30" t="s">
        <v>277</v>
      </c>
      <c r="BZ30" t="s">
        <v>276</v>
      </c>
      <c r="CA30" t="s">
        <v>275</v>
      </c>
      <c r="CB30" t="s">
        <v>1553</v>
      </c>
      <c r="CC30" t="s">
        <v>88</v>
      </c>
      <c r="CD30" t="s">
        <v>113</v>
      </c>
      <c r="CE30" t="s">
        <v>88</v>
      </c>
      <c r="CF30" t="s">
        <v>88</v>
      </c>
      <c r="CG30" t="s">
        <v>191</v>
      </c>
      <c r="CH30" t="s">
        <v>490</v>
      </c>
      <c r="CI30" t="s">
        <v>88</v>
      </c>
      <c r="CJ30" s="178" t="s">
        <v>88</v>
      </c>
      <c r="CK30"/>
      <c r="CL30" t="s">
        <v>79</v>
      </c>
      <c r="CM30" t="s">
        <v>79</v>
      </c>
      <c r="CN30" t="s">
        <v>472</v>
      </c>
      <c r="CO30" t="s">
        <v>17</v>
      </c>
      <c r="CP30" t="s">
        <v>1631</v>
      </c>
      <c r="CQ30" t="s">
        <v>88</v>
      </c>
      <c r="CR30" s="30"/>
      <c r="CS30">
        <v>423</v>
      </c>
      <c r="CT30" t="s">
        <v>1680</v>
      </c>
      <c r="CU30" t="s">
        <v>201</v>
      </c>
      <c r="CV30" t="s">
        <v>6</v>
      </c>
      <c r="CW30" t="s">
        <v>6</v>
      </c>
      <c r="CX30" t="s">
        <v>158</v>
      </c>
      <c r="CY30" t="s">
        <v>6</v>
      </c>
      <c r="CZ30">
        <v>1678</v>
      </c>
      <c r="DA30">
        <v>1743</v>
      </c>
    </row>
    <row r="31" spans="7:113">
      <c r="G31" s="123">
        <v>45313.905649259257</v>
      </c>
      <c r="H31" s="181">
        <v>9</v>
      </c>
      <c r="I31" t="s">
        <v>88</v>
      </c>
      <c r="J31" t="s">
        <v>88</v>
      </c>
      <c r="K31" t="s">
        <v>1679</v>
      </c>
      <c r="L31" t="s">
        <v>1618</v>
      </c>
      <c r="M31" s="30">
        <v>45289</v>
      </c>
      <c r="N31" t="s">
        <v>1619</v>
      </c>
      <c r="O31" t="s">
        <v>81</v>
      </c>
      <c r="P31">
        <v>5.2999999999999999E-2</v>
      </c>
      <c r="Q31" t="s">
        <v>778</v>
      </c>
      <c r="R31" t="s">
        <v>778</v>
      </c>
      <c r="S31" t="s">
        <v>778</v>
      </c>
      <c r="T31" t="s">
        <v>88</v>
      </c>
      <c r="U31" t="s">
        <v>1616</v>
      </c>
      <c r="V31" t="s">
        <v>1617</v>
      </c>
      <c r="W31" t="s">
        <v>279</v>
      </c>
      <c r="X31" t="s">
        <v>1542</v>
      </c>
      <c r="Y31" t="s">
        <v>279</v>
      </c>
      <c r="Z31" t="s">
        <v>489</v>
      </c>
      <c r="AA31">
        <v>8</v>
      </c>
      <c r="AB31" s="30">
        <v>45659</v>
      </c>
      <c r="AC31" t="s">
        <v>105</v>
      </c>
      <c r="AD31" t="s">
        <v>88</v>
      </c>
      <c r="AE31" t="s">
        <v>88</v>
      </c>
      <c r="AF31"/>
      <c r="AG31" t="s">
        <v>282</v>
      </c>
      <c r="AH31" t="s">
        <v>294</v>
      </c>
      <c r="AI31" t="s">
        <v>88</v>
      </c>
      <c r="AJ31" t="s">
        <v>280</v>
      </c>
      <c r="AK31">
        <v>99.75</v>
      </c>
      <c r="AL31"/>
      <c r="AM31" t="s">
        <v>698</v>
      </c>
      <c r="AN31" t="s">
        <v>1352</v>
      </c>
      <c r="AO31" t="s">
        <v>88</v>
      </c>
      <c r="AP31"/>
      <c r="AQ31"/>
      <c r="AR31"/>
      <c r="AS31"/>
      <c r="AT31" t="s">
        <v>1621</v>
      </c>
      <c r="AU31" t="s">
        <v>228</v>
      </c>
      <c r="AV31" t="s">
        <v>807</v>
      </c>
      <c r="AW31" t="s">
        <v>279</v>
      </c>
      <c r="AX31" t="s">
        <v>494</v>
      </c>
      <c r="AY31" t="s">
        <v>88</v>
      </c>
      <c r="AZ31" t="s">
        <v>3</v>
      </c>
      <c r="BA31" t="s">
        <v>1622</v>
      </c>
      <c r="BB31" t="s">
        <v>1423</v>
      </c>
      <c r="BC31" t="s">
        <v>286</v>
      </c>
      <c r="BD31"/>
      <c r="BE31" t="s">
        <v>88</v>
      </c>
      <c r="BF31" t="s">
        <v>88</v>
      </c>
      <c r="BG31" t="s">
        <v>88</v>
      </c>
      <c r="BH31" t="s">
        <v>1623</v>
      </c>
      <c r="BI31">
        <v>1000</v>
      </c>
      <c r="BJ31">
        <v>5.2999999999999999E-2</v>
      </c>
      <c r="BK31" s="30">
        <v>45295</v>
      </c>
      <c r="BL31" s="30">
        <v>45628</v>
      </c>
      <c r="BM31">
        <v>8</v>
      </c>
      <c r="BN31" t="s">
        <v>88</v>
      </c>
      <c r="BO31" s="30">
        <v>45477</v>
      </c>
      <c r="BP31" t="s">
        <v>1624</v>
      </c>
      <c r="BQ31" t="s">
        <v>1616</v>
      </c>
      <c r="BR31" s="30">
        <v>45295</v>
      </c>
      <c r="BS31" t="s">
        <v>88</v>
      </c>
      <c r="BT31" s="30">
        <v>45295</v>
      </c>
      <c r="BU31" t="s">
        <v>88</v>
      </c>
      <c r="BV31" t="s">
        <v>1625</v>
      </c>
      <c r="BW31" t="s">
        <v>1626</v>
      </c>
      <c r="BX31" t="s">
        <v>277</v>
      </c>
      <c r="BY31" t="s">
        <v>277</v>
      </c>
      <c r="BZ31" t="s">
        <v>276</v>
      </c>
      <c r="CA31" t="s">
        <v>275</v>
      </c>
      <c r="CB31" t="s">
        <v>1553</v>
      </c>
      <c r="CC31" t="s">
        <v>88</v>
      </c>
      <c r="CD31" t="s">
        <v>113</v>
      </c>
      <c r="CE31" t="s">
        <v>88</v>
      </c>
      <c r="CF31" t="s">
        <v>88</v>
      </c>
      <c r="CG31" t="s">
        <v>191</v>
      </c>
      <c r="CH31" t="s">
        <v>490</v>
      </c>
      <c r="CI31" t="s">
        <v>88</v>
      </c>
      <c r="CJ31" s="178" t="s">
        <v>88</v>
      </c>
      <c r="CK31"/>
      <c r="CL31" t="s">
        <v>79</v>
      </c>
      <c r="CM31" t="s">
        <v>79</v>
      </c>
      <c r="CN31" t="s">
        <v>472</v>
      </c>
      <c r="CO31" t="s">
        <v>17</v>
      </c>
      <c r="CP31" t="s">
        <v>1627</v>
      </c>
      <c r="CQ31" t="s">
        <v>88</v>
      </c>
      <c r="CR31" s="30"/>
      <c r="CS31">
        <v>423</v>
      </c>
      <c r="CT31" t="s">
        <v>1680</v>
      </c>
      <c r="CU31" t="s">
        <v>201</v>
      </c>
      <c r="CV31" t="s">
        <v>6</v>
      </c>
      <c r="CW31" t="s">
        <v>6</v>
      </c>
      <c r="CX31" t="s">
        <v>158</v>
      </c>
      <c r="CY31" t="s">
        <v>6</v>
      </c>
      <c r="CZ31">
        <v>1679</v>
      </c>
      <c r="DA31">
        <v>1744</v>
      </c>
    </row>
    <row r="32" spans="7:113">
      <c r="G32" s="123">
        <v>45313.905649259257</v>
      </c>
      <c r="H32" s="181">
        <v>8</v>
      </c>
      <c r="I32" t="s">
        <v>88</v>
      </c>
      <c r="J32" t="s">
        <v>88</v>
      </c>
      <c r="K32" t="s">
        <v>783</v>
      </c>
      <c r="L32" t="s">
        <v>1559</v>
      </c>
      <c r="M32" s="30">
        <v>45289</v>
      </c>
      <c r="N32" t="s">
        <v>1560</v>
      </c>
      <c r="O32" t="s">
        <v>102</v>
      </c>
      <c r="P32">
        <v>1.5</v>
      </c>
      <c r="Q32" t="s">
        <v>778</v>
      </c>
      <c r="R32" t="s">
        <v>778</v>
      </c>
      <c r="S32" t="s">
        <v>778</v>
      </c>
      <c r="T32" t="s">
        <v>88</v>
      </c>
      <c r="U32" t="s">
        <v>1557</v>
      </c>
      <c r="V32" t="s">
        <v>1558</v>
      </c>
      <c r="W32" t="s">
        <v>279</v>
      </c>
      <c r="X32" t="s">
        <v>279</v>
      </c>
      <c r="Y32" t="s">
        <v>279</v>
      </c>
      <c r="Z32" t="s">
        <v>284</v>
      </c>
      <c r="AA32">
        <v>7.8</v>
      </c>
      <c r="AB32" s="30">
        <v>46392</v>
      </c>
      <c r="AC32" t="s">
        <v>287</v>
      </c>
      <c r="AD32" t="s">
        <v>88</v>
      </c>
      <c r="AE32" t="s">
        <v>88</v>
      </c>
      <c r="AF32"/>
      <c r="AG32" t="s">
        <v>282</v>
      </c>
      <c r="AH32" t="s">
        <v>294</v>
      </c>
      <c r="AI32" t="s">
        <v>88</v>
      </c>
      <c r="AJ32" t="s">
        <v>280</v>
      </c>
      <c r="AK32">
        <v>100</v>
      </c>
      <c r="AL32"/>
      <c r="AM32" t="s">
        <v>500</v>
      </c>
      <c r="AN32" t="s">
        <v>1561</v>
      </c>
      <c r="AO32" t="s">
        <v>1562</v>
      </c>
      <c r="AP32"/>
      <c r="AQ32"/>
      <c r="AR32"/>
      <c r="AS32"/>
      <c r="AT32" t="s">
        <v>1563</v>
      </c>
      <c r="AU32" t="s">
        <v>228</v>
      </c>
      <c r="AV32" t="s">
        <v>695</v>
      </c>
      <c r="AW32" t="s">
        <v>279</v>
      </c>
      <c r="AX32" t="s">
        <v>494</v>
      </c>
      <c r="AY32" t="s">
        <v>88</v>
      </c>
      <c r="AZ32" t="s">
        <v>1</v>
      </c>
      <c r="BA32" t="s">
        <v>1564</v>
      </c>
      <c r="BB32" t="s">
        <v>278</v>
      </c>
      <c r="BC32" t="s">
        <v>286</v>
      </c>
      <c r="BD32"/>
      <c r="BE32" t="s">
        <v>88</v>
      </c>
      <c r="BF32" t="s">
        <v>88</v>
      </c>
      <c r="BG32" t="s">
        <v>1565</v>
      </c>
      <c r="BH32" t="s">
        <v>1566</v>
      </c>
      <c r="BI32">
        <v>10000</v>
      </c>
      <c r="BJ32">
        <v>1.5</v>
      </c>
      <c r="BK32" s="30">
        <v>45296</v>
      </c>
      <c r="BL32" s="30"/>
      <c r="BM32">
        <v>7.8</v>
      </c>
      <c r="BN32" t="s">
        <v>88</v>
      </c>
      <c r="BO32" s="30">
        <v>45478</v>
      </c>
      <c r="BP32" t="s">
        <v>1567</v>
      </c>
      <c r="BQ32" t="s">
        <v>1557</v>
      </c>
      <c r="BR32" s="30">
        <v>45296</v>
      </c>
      <c r="BS32" t="s">
        <v>1507</v>
      </c>
      <c r="BT32" s="30">
        <v>45296</v>
      </c>
      <c r="BU32" t="s">
        <v>692</v>
      </c>
      <c r="BV32" t="s">
        <v>1568</v>
      </c>
      <c r="BW32" t="s">
        <v>1569</v>
      </c>
      <c r="BX32" t="s">
        <v>277</v>
      </c>
      <c r="BY32" t="s">
        <v>277</v>
      </c>
      <c r="BZ32" t="s">
        <v>276</v>
      </c>
      <c r="CA32" t="s">
        <v>275</v>
      </c>
      <c r="CB32" t="s">
        <v>274</v>
      </c>
      <c r="CC32" t="s">
        <v>88</v>
      </c>
      <c r="CD32" t="s">
        <v>113</v>
      </c>
      <c r="CE32" t="s">
        <v>88</v>
      </c>
      <c r="CF32" t="s">
        <v>88</v>
      </c>
      <c r="CG32" t="s">
        <v>191</v>
      </c>
      <c r="CH32" t="s">
        <v>490</v>
      </c>
      <c r="CI32" t="s">
        <v>88</v>
      </c>
      <c r="CJ32" s="178" t="s">
        <v>88</v>
      </c>
      <c r="CK32"/>
      <c r="CL32" t="s">
        <v>79</v>
      </c>
      <c r="CM32" t="s">
        <v>79</v>
      </c>
      <c r="CN32" t="s">
        <v>472</v>
      </c>
      <c r="CO32" t="s">
        <v>9</v>
      </c>
      <c r="CP32" t="s">
        <v>1570</v>
      </c>
      <c r="CQ32" t="s">
        <v>88</v>
      </c>
      <c r="CR32" s="30"/>
      <c r="CS32">
        <v>981</v>
      </c>
      <c r="CT32" t="s">
        <v>1681</v>
      </c>
      <c r="CU32" t="s">
        <v>199</v>
      </c>
      <c r="CV32" t="s">
        <v>529</v>
      </c>
      <c r="CW32" t="s">
        <v>6</v>
      </c>
      <c r="CX32" t="s">
        <v>157</v>
      </c>
      <c r="CY32" t="s">
        <v>526</v>
      </c>
      <c r="CZ32">
        <v>1676</v>
      </c>
      <c r="DA32">
        <v>1741</v>
      </c>
    </row>
    <row r="33" spans="7:105">
      <c r="G33" s="123">
        <v>45313.905649259257</v>
      </c>
      <c r="H33" s="181">
        <v>7</v>
      </c>
      <c r="I33" t="s">
        <v>88</v>
      </c>
      <c r="J33" t="s">
        <v>88</v>
      </c>
      <c r="K33" t="s">
        <v>1472</v>
      </c>
      <c r="L33" t="s">
        <v>1573</v>
      </c>
      <c r="M33" s="30">
        <v>45289</v>
      </c>
      <c r="N33" t="s">
        <v>1574</v>
      </c>
      <c r="O33" t="s">
        <v>102</v>
      </c>
      <c r="P33">
        <v>6.1</v>
      </c>
      <c r="Q33" t="s">
        <v>778</v>
      </c>
      <c r="R33" t="s">
        <v>778</v>
      </c>
      <c r="S33" t="s">
        <v>779</v>
      </c>
      <c r="T33" t="s">
        <v>88</v>
      </c>
      <c r="U33" t="s">
        <v>1571</v>
      </c>
      <c r="V33" t="s">
        <v>1572</v>
      </c>
      <c r="W33" t="s">
        <v>279</v>
      </c>
      <c r="X33" t="s">
        <v>279</v>
      </c>
      <c r="Y33" t="s">
        <v>279</v>
      </c>
      <c r="Z33" t="s">
        <v>284</v>
      </c>
      <c r="AA33">
        <v>4.8</v>
      </c>
      <c r="AB33" s="30">
        <v>46395</v>
      </c>
      <c r="AC33" t="s">
        <v>105</v>
      </c>
      <c r="AD33" t="s">
        <v>88</v>
      </c>
      <c r="AE33" t="s">
        <v>1576</v>
      </c>
      <c r="AF33"/>
      <c r="AG33" t="s">
        <v>282</v>
      </c>
      <c r="AH33" t="s">
        <v>708</v>
      </c>
      <c r="AI33" t="s">
        <v>569</v>
      </c>
      <c r="AJ33" t="s">
        <v>280</v>
      </c>
      <c r="AK33">
        <v>100</v>
      </c>
      <c r="AL33"/>
      <c r="AM33" t="s">
        <v>795</v>
      </c>
      <c r="AN33" t="s">
        <v>1577</v>
      </c>
      <c r="AO33" t="s">
        <v>88</v>
      </c>
      <c r="AP33"/>
      <c r="AQ33"/>
      <c r="AR33"/>
      <c r="AS33"/>
      <c r="AT33" t="s">
        <v>1578</v>
      </c>
      <c r="AU33" t="s">
        <v>228</v>
      </c>
      <c r="AV33" t="s">
        <v>1345</v>
      </c>
      <c r="AW33" t="s">
        <v>279</v>
      </c>
      <c r="AX33" t="s">
        <v>88</v>
      </c>
      <c r="AY33" t="s">
        <v>88</v>
      </c>
      <c r="AZ33" t="s">
        <v>1</v>
      </c>
      <c r="BA33" t="s">
        <v>1579</v>
      </c>
      <c r="BB33" t="s">
        <v>278</v>
      </c>
      <c r="BC33" t="s">
        <v>286</v>
      </c>
      <c r="BD33"/>
      <c r="BE33" t="s">
        <v>88</v>
      </c>
      <c r="BF33" t="s">
        <v>88</v>
      </c>
      <c r="BG33" t="s">
        <v>1580</v>
      </c>
      <c r="BH33" t="s">
        <v>1581</v>
      </c>
      <c r="BI33">
        <v>10000</v>
      </c>
      <c r="BJ33">
        <v>6.1</v>
      </c>
      <c r="BK33" s="30">
        <v>45299</v>
      </c>
      <c r="BL33" s="30"/>
      <c r="BM33">
        <v>4.8</v>
      </c>
      <c r="BN33" t="s">
        <v>88</v>
      </c>
      <c r="BO33" s="30">
        <v>45481</v>
      </c>
      <c r="BP33" t="s">
        <v>1571</v>
      </c>
      <c r="BQ33" t="s">
        <v>88</v>
      </c>
      <c r="BR33" s="30">
        <v>45299</v>
      </c>
      <c r="BS33" t="s">
        <v>1576</v>
      </c>
      <c r="BT33" s="30">
        <v>45299</v>
      </c>
      <c r="BU33" t="s">
        <v>709</v>
      </c>
      <c r="BV33" t="s">
        <v>1582</v>
      </c>
      <c r="BW33" t="s">
        <v>1583</v>
      </c>
      <c r="BX33" t="s">
        <v>277</v>
      </c>
      <c r="BY33" t="s">
        <v>277</v>
      </c>
      <c r="BZ33" t="s">
        <v>276</v>
      </c>
      <c r="CA33" t="s">
        <v>275</v>
      </c>
      <c r="CB33" t="s">
        <v>274</v>
      </c>
      <c r="CC33" t="s">
        <v>88</v>
      </c>
      <c r="CD33" t="s">
        <v>113</v>
      </c>
      <c r="CE33" t="s">
        <v>88</v>
      </c>
      <c r="CF33" t="s">
        <v>88</v>
      </c>
      <c r="CG33" t="s">
        <v>191</v>
      </c>
      <c r="CH33" t="s">
        <v>192</v>
      </c>
      <c r="CI33" t="s">
        <v>88</v>
      </c>
      <c r="CJ33" s="178" t="s">
        <v>88</v>
      </c>
      <c r="CK33"/>
      <c r="CL33" t="s">
        <v>79</v>
      </c>
      <c r="CM33" t="s">
        <v>79</v>
      </c>
      <c r="CN33" t="s">
        <v>472</v>
      </c>
      <c r="CO33" t="s">
        <v>18</v>
      </c>
      <c r="CP33" t="s">
        <v>1584</v>
      </c>
      <c r="CQ33" t="s">
        <v>88</v>
      </c>
      <c r="CR33" s="30"/>
      <c r="CS33">
        <v>89</v>
      </c>
      <c r="CT33" t="s">
        <v>1717</v>
      </c>
      <c r="CU33" t="s">
        <v>199</v>
      </c>
      <c r="CV33" t="s">
        <v>6</v>
      </c>
      <c r="CW33" t="s">
        <v>6</v>
      </c>
      <c r="CX33" t="s">
        <v>157</v>
      </c>
      <c r="CY33" t="s">
        <v>524</v>
      </c>
      <c r="CZ33">
        <v>1675</v>
      </c>
      <c r="DA33">
        <v>1740</v>
      </c>
    </row>
    <row r="34" spans="7:105">
      <c r="G34" s="123">
        <v>45313.905649259257</v>
      </c>
      <c r="H34" s="181">
        <v>6</v>
      </c>
      <c r="I34" t="s">
        <v>88</v>
      </c>
      <c r="J34" t="s">
        <v>88</v>
      </c>
      <c r="K34" t="s">
        <v>707</v>
      </c>
      <c r="L34" t="s">
        <v>1587</v>
      </c>
      <c r="M34" s="30">
        <v>45289</v>
      </c>
      <c r="N34" t="s">
        <v>1588</v>
      </c>
      <c r="O34" t="s">
        <v>81</v>
      </c>
      <c r="P34">
        <v>0.53500000000000003</v>
      </c>
      <c r="Q34" t="s">
        <v>778</v>
      </c>
      <c r="R34" t="s">
        <v>778</v>
      </c>
      <c r="S34" t="s">
        <v>778</v>
      </c>
      <c r="T34" t="s">
        <v>88</v>
      </c>
      <c r="U34" t="s">
        <v>1585</v>
      </c>
      <c r="V34" t="s">
        <v>1586</v>
      </c>
      <c r="W34" t="s">
        <v>279</v>
      </c>
      <c r="X34" t="s">
        <v>279</v>
      </c>
      <c r="Y34" t="s">
        <v>279</v>
      </c>
      <c r="Z34" t="s">
        <v>284</v>
      </c>
      <c r="AA34">
        <v>5.6</v>
      </c>
      <c r="AB34" s="30">
        <v>46391</v>
      </c>
      <c r="AC34" t="s">
        <v>287</v>
      </c>
      <c r="AD34" t="s">
        <v>1590</v>
      </c>
      <c r="AE34" t="s">
        <v>1591</v>
      </c>
      <c r="AF34">
        <v>30</v>
      </c>
      <c r="AG34" t="s">
        <v>282</v>
      </c>
      <c r="AH34" t="s">
        <v>1341</v>
      </c>
      <c r="AI34" t="s">
        <v>1592</v>
      </c>
      <c r="AJ34" t="s">
        <v>280</v>
      </c>
      <c r="AK34">
        <v>100</v>
      </c>
      <c r="AL34"/>
      <c r="AM34" t="s">
        <v>710</v>
      </c>
      <c r="AN34" t="s">
        <v>784</v>
      </c>
      <c r="AO34" t="s">
        <v>1682</v>
      </c>
      <c r="AP34"/>
      <c r="AQ34"/>
      <c r="AR34"/>
      <c r="AS34"/>
      <c r="AT34" t="s">
        <v>1594</v>
      </c>
      <c r="AU34" t="s">
        <v>228</v>
      </c>
      <c r="AV34" t="s">
        <v>1595</v>
      </c>
      <c r="AW34" t="s">
        <v>279</v>
      </c>
      <c r="AX34" t="s">
        <v>494</v>
      </c>
      <c r="AY34" t="s">
        <v>88</v>
      </c>
      <c r="AZ34" t="s">
        <v>1</v>
      </c>
      <c r="BA34" t="s">
        <v>1564</v>
      </c>
      <c r="BB34" t="s">
        <v>278</v>
      </c>
      <c r="BC34" t="s">
        <v>1596</v>
      </c>
      <c r="BD34"/>
      <c r="BE34" t="s">
        <v>88</v>
      </c>
      <c r="BF34" t="s">
        <v>88</v>
      </c>
      <c r="BG34" t="s">
        <v>1597</v>
      </c>
      <c r="BH34" t="s">
        <v>1598</v>
      </c>
      <c r="BI34">
        <v>1000</v>
      </c>
      <c r="BJ34">
        <v>0.53500000000000003</v>
      </c>
      <c r="BK34" s="30">
        <v>45295</v>
      </c>
      <c r="BL34" s="30"/>
      <c r="BM34">
        <v>5.6</v>
      </c>
      <c r="BN34" t="s">
        <v>88</v>
      </c>
      <c r="BO34" s="30">
        <v>45477</v>
      </c>
      <c r="BP34" t="s">
        <v>1599</v>
      </c>
      <c r="BQ34" t="s">
        <v>88</v>
      </c>
      <c r="BR34" s="30">
        <v>45295</v>
      </c>
      <c r="BS34" t="s">
        <v>1591</v>
      </c>
      <c r="BT34" s="30">
        <v>45295</v>
      </c>
      <c r="BU34" t="s">
        <v>709</v>
      </c>
      <c r="BV34" t="s">
        <v>1600</v>
      </c>
      <c r="BW34" t="s">
        <v>1601</v>
      </c>
      <c r="BX34" t="s">
        <v>277</v>
      </c>
      <c r="BY34" t="s">
        <v>277</v>
      </c>
      <c r="BZ34" t="s">
        <v>276</v>
      </c>
      <c r="CA34" t="s">
        <v>275</v>
      </c>
      <c r="CB34" t="s">
        <v>274</v>
      </c>
      <c r="CC34" t="s">
        <v>88</v>
      </c>
      <c r="CD34" t="s">
        <v>113</v>
      </c>
      <c r="CE34" t="s">
        <v>1585</v>
      </c>
      <c r="CF34" t="s">
        <v>88</v>
      </c>
      <c r="CG34" t="s">
        <v>191</v>
      </c>
      <c r="CH34" t="s">
        <v>772</v>
      </c>
      <c r="CI34" t="s">
        <v>88</v>
      </c>
      <c r="CJ34" s="178" t="s">
        <v>88</v>
      </c>
      <c r="CK34"/>
      <c r="CL34" t="s">
        <v>1208</v>
      </c>
      <c r="CM34" t="s">
        <v>1704</v>
      </c>
      <c r="CN34" t="s">
        <v>472</v>
      </c>
      <c r="CO34" t="s">
        <v>16</v>
      </c>
      <c r="CP34" t="s">
        <v>1602</v>
      </c>
      <c r="CQ34" t="s">
        <v>88</v>
      </c>
      <c r="CR34" s="30"/>
      <c r="CS34">
        <v>432</v>
      </c>
      <c r="CT34" t="s">
        <v>1683</v>
      </c>
      <c r="CU34" t="s">
        <v>199</v>
      </c>
      <c r="CV34" t="s">
        <v>6</v>
      </c>
      <c r="CW34" t="s">
        <v>6</v>
      </c>
      <c r="CX34" t="s">
        <v>157</v>
      </c>
      <c r="CY34" t="s">
        <v>501</v>
      </c>
      <c r="CZ34">
        <v>1674</v>
      </c>
      <c r="DA34">
        <v>1739</v>
      </c>
    </row>
    <row r="35" spans="7:105">
      <c r="G35" s="123">
        <v>45313.905649259257</v>
      </c>
      <c r="H35" s="181">
        <v>5</v>
      </c>
      <c r="I35" t="s">
        <v>1696</v>
      </c>
      <c r="J35" t="s">
        <v>1697</v>
      </c>
      <c r="K35" t="s">
        <v>1679</v>
      </c>
      <c r="L35" t="s">
        <v>1555</v>
      </c>
      <c r="M35" s="30">
        <v>45289</v>
      </c>
      <c r="N35" t="s">
        <v>1540</v>
      </c>
      <c r="O35" t="s">
        <v>81</v>
      </c>
      <c r="P35">
        <v>0.85699999999999998</v>
      </c>
      <c r="Q35" t="s">
        <v>779</v>
      </c>
      <c r="R35" t="s">
        <v>779</v>
      </c>
      <c r="S35" t="s">
        <v>778</v>
      </c>
      <c r="T35" t="s">
        <v>88</v>
      </c>
      <c r="U35" t="s">
        <v>1537</v>
      </c>
      <c r="V35" t="s">
        <v>1538</v>
      </c>
      <c r="W35" t="s">
        <v>279</v>
      </c>
      <c r="X35" t="s">
        <v>1542</v>
      </c>
      <c r="Y35" t="s">
        <v>279</v>
      </c>
      <c r="Z35" t="s">
        <v>1543</v>
      </c>
      <c r="AA35">
        <v>9</v>
      </c>
      <c r="AB35" s="30">
        <v>45654</v>
      </c>
      <c r="AC35" t="s">
        <v>1545</v>
      </c>
      <c r="AD35" t="s">
        <v>88</v>
      </c>
      <c r="AE35" t="s">
        <v>88</v>
      </c>
      <c r="AF35"/>
      <c r="AG35" t="s">
        <v>282</v>
      </c>
      <c r="AH35" t="s">
        <v>294</v>
      </c>
      <c r="AI35" t="s">
        <v>88</v>
      </c>
      <c r="AJ35" t="s">
        <v>280</v>
      </c>
      <c r="AK35"/>
      <c r="AL35"/>
      <c r="AM35" t="s">
        <v>288</v>
      </c>
      <c r="AN35" t="s">
        <v>88</v>
      </c>
      <c r="AO35" t="s">
        <v>88</v>
      </c>
      <c r="AP35"/>
      <c r="AQ35"/>
      <c r="AR35"/>
      <c r="AS35"/>
      <c r="AT35" t="s">
        <v>88</v>
      </c>
      <c r="AU35" t="s">
        <v>228</v>
      </c>
      <c r="AV35" t="s">
        <v>807</v>
      </c>
      <c r="AW35" t="s">
        <v>279</v>
      </c>
      <c r="AX35" t="s">
        <v>88</v>
      </c>
      <c r="AY35" t="s">
        <v>88</v>
      </c>
      <c r="AZ35" t="s">
        <v>3</v>
      </c>
      <c r="BA35" t="s">
        <v>1547</v>
      </c>
      <c r="BB35" t="s">
        <v>1413</v>
      </c>
      <c r="BC35" t="s">
        <v>1548</v>
      </c>
      <c r="BD35"/>
      <c r="BE35" t="s">
        <v>88</v>
      </c>
      <c r="BF35" t="s">
        <v>88</v>
      </c>
      <c r="BG35" t="s">
        <v>88</v>
      </c>
      <c r="BH35" t="s">
        <v>1549</v>
      </c>
      <c r="BI35">
        <v>1</v>
      </c>
      <c r="BJ35">
        <v>0.85699999999999998</v>
      </c>
      <c r="BK35" s="30">
        <v>45289</v>
      </c>
      <c r="BL35" s="30">
        <v>45289</v>
      </c>
      <c r="BM35">
        <v>9</v>
      </c>
      <c r="BN35" t="s">
        <v>88</v>
      </c>
      <c r="BO35" s="30">
        <v>45471</v>
      </c>
      <c r="BP35" t="s">
        <v>1550</v>
      </c>
      <c r="BQ35" t="s">
        <v>1551</v>
      </c>
      <c r="BR35" s="30">
        <v>45289</v>
      </c>
      <c r="BS35" t="s">
        <v>88</v>
      </c>
      <c r="BT35" s="30">
        <v>45289</v>
      </c>
      <c r="BU35" t="s">
        <v>88</v>
      </c>
      <c r="BV35" t="s">
        <v>88</v>
      </c>
      <c r="BW35" t="s">
        <v>88</v>
      </c>
      <c r="BX35" t="s">
        <v>277</v>
      </c>
      <c r="BY35" t="s">
        <v>277</v>
      </c>
      <c r="BZ35" t="s">
        <v>1552</v>
      </c>
      <c r="CA35" t="s">
        <v>275</v>
      </c>
      <c r="CB35" t="s">
        <v>1553</v>
      </c>
      <c r="CC35" t="s">
        <v>88</v>
      </c>
      <c r="CD35" t="s">
        <v>113</v>
      </c>
      <c r="CE35" t="s">
        <v>88</v>
      </c>
      <c r="CF35" t="s">
        <v>88</v>
      </c>
      <c r="CG35" t="s">
        <v>191</v>
      </c>
      <c r="CH35" t="s">
        <v>1427</v>
      </c>
      <c r="CI35" t="s">
        <v>772</v>
      </c>
      <c r="CJ35" s="178" t="s">
        <v>88</v>
      </c>
      <c r="CK35"/>
      <c r="CL35" t="s">
        <v>79</v>
      </c>
      <c r="CM35" t="s">
        <v>79</v>
      </c>
      <c r="CN35" t="s">
        <v>472</v>
      </c>
      <c r="CO35" t="s">
        <v>11</v>
      </c>
      <c r="CP35" t="s">
        <v>1556</v>
      </c>
      <c r="CQ35" t="s">
        <v>88</v>
      </c>
      <c r="CR35" s="30">
        <v>44494</v>
      </c>
      <c r="CS35">
        <v>212</v>
      </c>
      <c r="CT35" t="s">
        <v>1684</v>
      </c>
      <c r="CU35" t="s">
        <v>201</v>
      </c>
      <c r="CV35" t="s">
        <v>6</v>
      </c>
      <c r="CW35" t="s">
        <v>6</v>
      </c>
      <c r="CX35" t="s">
        <v>158</v>
      </c>
      <c r="CY35" t="s">
        <v>6</v>
      </c>
      <c r="CZ35"/>
      <c r="DA35"/>
    </row>
    <row r="36" spans="7:105">
      <c r="G36" s="123">
        <v>45313.905649259257</v>
      </c>
      <c r="H36" s="181">
        <v>4</v>
      </c>
      <c r="I36" t="s">
        <v>1696</v>
      </c>
      <c r="J36" t="s">
        <v>1697</v>
      </c>
      <c r="K36" t="s">
        <v>1679</v>
      </c>
      <c r="L36" t="s">
        <v>1539</v>
      </c>
      <c r="M36" s="30">
        <v>45289</v>
      </c>
      <c r="N36" t="s">
        <v>1540</v>
      </c>
      <c r="O36" t="s">
        <v>81</v>
      </c>
      <c r="P36">
        <v>0.85699999999999998</v>
      </c>
      <c r="Q36" t="s">
        <v>779</v>
      </c>
      <c r="R36" t="s">
        <v>779</v>
      </c>
      <c r="S36" t="s">
        <v>778</v>
      </c>
      <c r="T36" t="s">
        <v>88</v>
      </c>
      <c r="U36" t="s">
        <v>1537</v>
      </c>
      <c r="V36" t="s">
        <v>1538</v>
      </c>
      <c r="W36" t="s">
        <v>279</v>
      </c>
      <c r="X36" t="s">
        <v>1542</v>
      </c>
      <c r="Y36" t="s">
        <v>279</v>
      </c>
      <c r="Z36" t="s">
        <v>1543</v>
      </c>
      <c r="AA36">
        <v>9</v>
      </c>
      <c r="AB36" s="30">
        <v>45654</v>
      </c>
      <c r="AC36" t="s">
        <v>1545</v>
      </c>
      <c r="AD36" t="s">
        <v>88</v>
      </c>
      <c r="AE36" t="s">
        <v>88</v>
      </c>
      <c r="AF36"/>
      <c r="AG36" t="s">
        <v>1546</v>
      </c>
      <c r="AH36" t="s">
        <v>294</v>
      </c>
      <c r="AI36" t="s">
        <v>88</v>
      </c>
      <c r="AJ36" t="s">
        <v>280</v>
      </c>
      <c r="AK36"/>
      <c r="AL36"/>
      <c r="AM36" t="s">
        <v>288</v>
      </c>
      <c r="AN36" t="s">
        <v>88</v>
      </c>
      <c r="AO36" t="s">
        <v>88</v>
      </c>
      <c r="AP36"/>
      <c r="AQ36"/>
      <c r="AR36"/>
      <c r="AS36"/>
      <c r="AT36" t="s">
        <v>88</v>
      </c>
      <c r="AU36" t="s">
        <v>228</v>
      </c>
      <c r="AV36" t="s">
        <v>807</v>
      </c>
      <c r="AW36" t="s">
        <v>279</v>
      </c>
      <c r="AX36" t="s">
        <v>88</v>
      </c>
      <c r="AY36" t="s">
        <v>88</v>
      </c>
      <c r="AZ36" t="s">
        <v>3</v>
      </c>
      <c r="BA36" t="s">
        <v>1547</v>
      </c>
      <c r="BB36" t="s">
        <v>1413</v>
      </c>
      <c r="BC36" t="s">
        <v>1548</v>
      </c>
      <c r="BD36"/>
      <c r="BE36" t="s">
        <v>88</v>
      </c>
      <c r="BF36" t="s">
        <v>88</v>
      </c>
      <c r="BG36" t="s">
        <v>88</v>
      </c>
      <c r="BH36" t="s">
        <v>1549</v>
      </c>
      <c r="BI36">
        <v>1</v>
      </c>
      <c r="BJ36">
        <v>0.85699999999999998</v>
      </c>
      <c r="BK36" s="30">
        <v>45289</v>
      </c>
      <c r="BL36" s="30"/>
      <c r="BM36">
        <v>9</v>
      </c>
      <c r="BN36" t="s">
        <v>88</v>
      </c>
      <c r="BO36" s="30">
        <v>45471</v>
      </c>
      <c r="BP36" t="s">
        <v>1550</v>
      </c>
      <c r="BQ36" t="s">
        <v>1551</v>
      </c>
      <c r="BR36" s="30">
        <v>45289</v>
      </c>
      <c r="BS36" t="s">
        <v>88</v>
      </c>
      <c r="BT36" s="30">
        <v>45289</v>
      </c>
      <c r="BU36" t="s">
        <v>88</v>
      </c>
      <c r="BV36" t="s">
        <v>88</v>
      </c>
      <c r="BW36" t="s">
        <v>88</v>
      </c>
      <c r="BX36" t="s">
        <v>277</v>
      </c>
      <c r="BY36" t="s">
        <v>277</v>
      </c>
      <c r="BZ36" t="s">
        <v>1552</v>
      </c>
      <c r="CA36" t="s">
        <v>275</v>
      </c>
      <c r="CB36" t="s">
        <v>1553</v>
      </c>
      <c r="CC36" t="s">
        <v>88</v>
      </c>
      <c r="CD36" t="s">
        <v>113</v>
      </c>
      <c r="CE36" t="s">
        <v>88</v>
      </c>
      <c r="CF36" t="s">
        <v>88</v>
      </c>
      <c r="CG36" t="s">
        <v>191</v>
      </c>
      <c r="CH36" t="s">
        <v>1427</v>
      </c>
      <c r="CI36" t="s">
        <v>772</v>
      </c>
      <c r="CJ36" s="178" t="s">
        <v>88</v>
      </c>
      <c r="CK36"/>
      <c r="CL36" t="s">
        <v>79</v>
      </c>
      <c r="CM36" t="s">
        <v>79</v>
      </c>
      <c r="CN36" t="s">
        <v>472</v>
      </c>
      <c r="CO36" t="s">
        <v>11</v>
      </c>
      <c r="CP36" t="s">
        <v>1554</v>
      </c>
      <c r="CQ36" t="s">
        <v>88</v>
      </c>
      <c r="CR36" s="30">
        <v>44494</v>
      </c>
      <c r="CS36">
        <v>212</v>
      </c>
      <c r="CT36" t="s">
        <v>1684</v>
      </c>
      <c r="CU36" t="s">
        <v>201</v>
      </c>
      <c r="CV36" t="s">
        <v>6</v>
      </c>
      <c r="CW36" t="s">
        <v>6</v>
      </c>
      <c r="CX36" t="s">
        <v>158</v>
      </c>
      <c r="CY36" t="s">
        <v>6</v>
      </c>
      <c r="CZ36"/>
      <c r="DA36"/>
    </row>
    <row r="37" spans="7:105">
      <c r="G37" s="123">
        <v>45313.905649259257</v>
      </c>
      <c r="H37" s="181">
        <v>3</v>
      </c>
      <c r="I37" t="s">
        <v>88</v>
      </c>
      <c r="J37" t="s">
        <v>88</v>
      </c>
      <c r="K37" t="s">
        <v>702</v>
      </c>
      <c r="L37" t="s">
        <v>1640</v>
      </c>
      <c r="M37" s="30">
        <v>45289</v>
      </c>
      <c r="N37" t="s">
        <v>1641</v>
      </c>
      <c r="O37" t="s">
        <v>104</v>
      </c>
      <c r="P37">
        <v>0.1</v>
      </c>
      <c r="Q37" t="s">
        <v>779</v>
      </c>
      <c r="R37" t="s">
        <v>779</v>
      </c>
      <c r="S37" t="s">
        <v>778</v>
      </c>
      <c r="T37" t="s">
        <v>88</v>
      </c>
      <c r="U37" t="s">
        <v>1638</v>
      </c>
      <c r="V37" t="s">
        <v>1639</v>
      </c>
      <c r="W37" t="s">
        <v>712</v>
      </c>
      <c r="X37" t="s">
        <v>700</v>
      </c>
      <c r="Y37" t="s">
        <v>279</v>
      </c>
      <c r="Z37" t="s">
        <v>785</v>
      </c>
      <c r="AA37">
        <v>4.55</v>
      </c>
      <c r="AB37" s="30">
        <v>45385</v>
      </c>
      <c r="AC37" t="s">
        <v>105</v>
      </c>
      <c r="AD37" t="s">
        <v>88</v>
      </c>
      <c r="AE37" t="s">
        <v>88</v>
      </c>
      <c r="AF37"/>
      <c r="AG37" t="s">
        <v>88</v>
      </c>
      <c r="AH37" t="s">
        <v>294</v>
      </c>
      <c r="AI37" t="s">
        <v>88</v>
      </c>
      <c r="AJ37" t="s">
        <v>280</v>
      </c>
      <c r="AK37"/>
      <c r="AL37"/>
      <c r="AM37" t="s">
        <v>288</v>
      </c>
      <c r="AN37" t="s">
        <v>88</v>
      </c>
      <c r="AO37" t="s">
        <v>88</v>
      </c>
      <c r="AP37"/>
      <c r="AQ37"/>
      <c r="AR37"/>
      <c r="AS37"/>
      <c r="AT37" t="s">
        <v>88</v>
      </c>
      <c r="AU37" t="s">
        <v>228</v>
      </c>
      <c r="AV37" t="s">
        <v>295</v>
      </c>
      <c r="AW37" t="s">
        <v>279</v>
      </c>
      <c r="AX37" t="s">
        <v>88</v>
      </c>
      <c r="AY37" t="s">
        <v>88</v>
      </c>
      <c r="AZ37" t="s">
        <v>80</v>
      </c>
      <c r="BA37" t="s">
        <v>1643</v>
      </c>
      <c r="BB37" t="s">
        <v>278</v>
      </c>
      <c r="BC37" t="s">
        <v>285</v>
      </c>
      <c r="BD37"/>
      <c r="BE37" t="s">
        <v>88</v>
      </c>
      <c r="BF37" t="s">
        <v>88</v>
      </c>
      <c r="BG37" t="s">
        <v>88</v>
      </c>
      <c r="BH37" t="s">
        <v>1644</v>
      </c>
      <c r="BI37">
        <v>100000</v>
      </c>
      <c r="BJ37">
        <v>0.1</v>
      </c>
      <c r="BK37" s="30">
        <v>45294</v>
      </c>
      <c r="BL37" s="30">
        <v>45327</v>
      </c>
      <c r="BM37">
        <v>4.55</v>
      </c>
      <c r="BN37" t="s">
        <v>88</v>
      </c>
      <c r="BO37" s="30">
        <v>45385</v>
      </c>
      <c r="BP37" t="s">
        <v>1645</v>
      </c>
      <c r="BQ37" t="s">
        <v>1638</v>
      </c>
      <c r="BR37" s="30">
        <v>45294</v>
      </c>
      <c r="BS37" t="s">
        <v>88</v>
      </c>
      <c r="BT37" s="30">
        <v>45294</v>
      </c>
      <c r="BU37" t="s">
        <v>88</v>
      </c>
      <c r="BV37" t="s">
        <v>88</v>
      </c>
      <c r="BW37" t="s">
        <v>88</v>
      </c>
      <c r="BX37" t="s">
        <v>277</v>
      </c>
      <c r="BY37" t="s">
        <v>277</v>
      </c>
      <c r="BZ37" t="s">
        <v>276</v>
      </c>
      <c r="CA37" t="s">
        <v>275</v>
      </c>
      <c r="CB37" t="s">
        <v>1646</v>
      </c>
      <c r="CC37" t="s">
        <v>88</v>
      </c>
      <c r="CD37" t="s">
        <v>711</v>
      </c>
      <c r="CE37" t="s">
        <v>88</v>
      </c>
      <c r="CF37" t="s">
        <v>88</v>
      </c>
      <c r="CG37" t="s">
        <v>191</v>
      </c>
      <c r="CH37" t="s">
        <v>772</v>
      </c>
      <c r="CI37" t="s">
        <v>88</v>
      </c>
      <c r="CJ37" s="178" t="s">
        <v>88</v>
      </c>
      <c r="CK37"/>
      <c r="CL37" t="s">
        <v>1208</v>
      </c>
      <c r="CM37" t="s">
        <v>1706</v>
      </c>
      <c r="CN37" t="s">
        <v>472</v>
      </c>
      <c r="CO37" t="s">
        <v>11</v>
      </c>
      <c r="CP37" t="s">
        <v>1647</v>
      </c>
      <c r="CQ37" t="s">
        <v>88</v>
      </c>
      <c r="CR37" s="30"/>
      <c r="CS37">
        <v>316</v>
      </c>
      <c r="CT37" t="s">
        <v>1685</v>
      </c>
      <c r="CU37" t="s">
        <v>198</v>
      </c>
      <c r="CV37" t="s">
        <v>505</v>
      </c>
      <c r="CW37" t="s">
        <v>518</v>
      </c>
      <c r="CX37" t="s">
        <v>156</v>
      </c>
      <c r="CY37" t="s">
        <v>6</v>
      </c>
      <c r="CZ37"/>
      <c r="DA37"/>
    </row>
    <row r="38" spans="7:105">
      <c r="G38" s="123">
        <v>45313.905649259257</v>
      </c>
      <c r="H38" s="181">
        <v>2</v>
      </c>
      <c r="I38" t="s">
        <v>88</v>
      </c>
      <c r="J38" t="s">
        <v>88</v>
      </c>
      <c r="K38" t="s">
        <v>1472</v>
      </c>
      <c r="L38" t="s">
        <v>1655</v>
      </c>
      <c r="M38" s="30">
        <v>45288</v>
      </c>
      <c r="N38" t="s">
        <v>1656</v>
      </c>
      <c r="O38" t="s">
        <v>102</v>
      </c>
      <c r="P38">
        <v>3</v>
      </c>
      <c r="Q38" t="s">
        <v>778</v>
      </c>
      <c r="R38" t="s">
        <v>778</v>
      </c>
      <c r="S38" t="s">
        <v>779</v>
      </c>
      <c r="T38" t="s">
        <v>88</v>
      </c>
      <c r="U38" t="s">
        <v>1653</v>
      </c>
      <c r="V38" t="s">
        <v>1654</v>
      </c>
      <c r="W38" t="s">
        <v>279</v>
      </c>
      <c r="X38" t="s">
        <v>279</v>
      </c>
      <c r="Y38" t="s">
        <v>279</v>
      </c>
      <c r="Z38" t="s">
        <v>284</v>
      </c>
      <c r="AA38">
        <v>4.8</v>
      </c>
      <c r="AB38" s="30">
        <v>46395</v>
      </c>
      <c r="AC38" t="s">
        <v>283</v>
      </c>
      <c r="AD38" t="s">
        <v>88</v>
      </c>
      <c r="AE38" t="s">
        <v>88</v>
      </c>
      <c r="AF38"/>
      <c r="AG38" t="s">
        <v>282</v>
      </c>
      <c r="AH38" t="s">
        <v>708</v>
      </c>
      <c r="AI38" t="s">
        <v>569</v>
      </c>
      <c r="AJ38" t="s">
        <v>280</v>
      </c>
      <c r="AK38">
        <v>100</v>
      </c>
      <c r="AL38"/>
      <c r="AM38" t="s">
        <v>795</v>
      </c>
      <c r="AN38" t="s">
        <v>1657</v>
      </c>
      <c r="AO38" t="s">
        <v>88</v>
      </c>
      <c r="AP38"/>
      <c r="AQ38"/>
      <c r="AR38"/>
      <c r="AS38"/>
      <c r="AT38" t="s">
        <v>1658</v>
      </c>
      <c r="AU38" t="s">
        <v>228</v>
      </c>
      <c r="AV38" t="s">
        <v>695</v>
      </c>
      <c r="AW38" t="s">
        <v>279</v>
      </c>
      <c r="AX38" t="s">
        <v>1504</v>
      </c>
      <c r="AY38" t="s">
        <v>88</v>
      </c>
      <c r="AZ38" t="s">
        <v>1</v>
      </c>
      <c r="BA38" t="s">
        <v>1579</v>
      </c>
      <c r="BB38" t="s">
        <v>278</v>
      </c>
      <c r="BC38" t="s">
        <v>286</v>
      </c>
      <c r="BD38"/>
      <c r="BE38" t="s">
        <v>88</v>
      </c>
      <c r="BF38" t="s">
        <v>88</v>
      </c>
      <c r="BG38" t="s">
        <v>88</v>
      </c>
      <c r="BH38" t="s">
        <v>1659</v>
      </c>
      <c r="BI38">
        <v>10000</v>
      </c>
      <c r="BJ38">
        <v>3</v>
      </c>
      <c r="BK38" s="30">
        <v>45299</v>
      </c>
      <c r="BL38" s="30"/>
      <c r="BM38">
        <v>4.8</v>
      </c>
      <c r="BN38" t="s">
        <v>88</v>
      </c>
      <c r="BO38" s="30">
        <v>45481</v>
      </c>
      <c r="BP38" t="s">
        <v>1653</v>
      </c>
      <c r="BQ38" t="s">
        <v>88</v>
      </c>
      <c r="BR38" s="30">
        <v>45299</v>
      </c>
      <c r="BS38" t="s">
        <v>88</v>
      </c>
      <c r="BT38" s="30">
        <v>45299</v>
      </c>
      <c r="BU38" t="s">
        <v>88</v>
      </c>
      <c r="BV38" t="s">
        <v>1660</v>
      </c>
      <c r="BW38" t="s">
        <v>1661</v>
      </c>
      <c r="BX38" t="s">
        <v>277</v>
      </c>
      <c r="BY38" t="s">
        <v>277</v>
      </c>
      <c r="BZ38" t="s">
        <v>276</v>
      </c>
      <c r="CA38" t="s">
        <v>275</v>
      </c>
      <c r="CB38" t="s">
        <v>274</v>
      </c>
      <c r="CC38" t="s">
        <v>88</v>
      </c>
      <c r="CD38" t="s">
        <v>113</v>
      </c>
      <c r="CE38" t="s">
        <v>88</v>
      </c>
      <c r="CF38" t="s">
        <v>88</v>
      </c>
      <c r="CG38" t="s">
        <v>191</v>
      </c>
      <c r="CH38" t="s">
        <v>192</v>
      </c>
      <c r="CI38" t="s">
        <v>88</v>
      </c>
      <c r="CJ38" s="178" t="s">
        <v>88</v>
      </c>
      <c r="CK38"/>
      <c r="CL38" t="s">
        <v>79</v>
      </c>
      <c r="CM38" t="s">
        <v>79</v>
      </c>
      <c r="CN38" t="s">
        <v>472</v>
      </c>
      <c r="CO38" t="s">
        <v>18</v>
      </c>
      <c r="CP38" t="s">
        <v>1662</v>
      </c>
      <c r="CQ38" t="s">
        <v>88</v>
      </c>
      <c r="CR38" s="30"/>
      <c r="CS38">
        <v>1047</v>
      </c>
      <c r="CT38" t="s">
        <v>1719</v>
      </c>
      <c r="CU38" t="s">
        <v>199</v>
      </c>
      <c r="CV38" t="s">
        <v>6</v>
      </c>
      <c r="CW38" t="s">
        <v>6</v>
      </c>
      <c r="CX38" t="s">
        <v>157</v>
      </c>
      <c r="CY38" t="s">
        <v>524</v>
      </c>
      <c r="CZ38">
        <v>1673</v>
      </c>
      <c r="DA38">
        <v>1738</v>
      </c>
    </row>
    <row r="39" spans="7:105">
      <c r="G39" s="123">
        <v>45313.905649259257</v>
      </c>
      <c r="H39" s="181">
        <v>1</v>
      </c>
      <c r="I39" t="s">
        <v>88</v>
      </c>
      <c r="J39" t="s">
        <v>88</v>
      </c>
      <c r="K39" t="s">
        <v>707</v>
      </c>
      <c r="L39" t="s">
        <v>1665</v>
      </c>
      <c r="M39" s="30">
        <v>45288</v>
      </c>
      <c r="N39" t="s">
        <v>1666</v>
      </c>
      <c r="O39" t="s">
        <v>81</v>
      </c>
      <c r="P39">
        <v>0.56999999999999995</v>
      </c>
      <c r="Q39" t="s">
        <v>778</v>
      </c>
      <c r="R39" t="s">
        <v>778</v>
      </c>
      <c r="S39" t="s">
        <v>778</v>
      </c>
      <c r="T39" t="s">
        <v>88</v>
      </c>
      <c r="U39" t="s">
        <v>1663</v>
      </c>
      <c r="V39" t="s">
        <v>1664</v>
      </c>
      <c r="W39" t="s">
        <v>279</v>
      </c>
      <c r="X39" t="s">
        <v>279</v>
      </c>
      <c r="Y39" t="s">
        <v>279</v>
      </c>
      <c r="Z39" t="s">
        <v>284</v>
      </c>
      <c r="AA39">
        <v>5.6</v>
      </c>
      <c r="AB39" s="30">
        <v>46390</v>
      </c>
      <c r="AC39" t="s">
        <v>283</v>
      </c>
      <c r="AD39" t="s">
        <v>1667</v>
      </c>
      <c r="AE39" t="s">
        <v>88</v>
      </c>
      <c r="AF39"/>
      <c r="AG39" t="s">
        <v>282</v>
      </c>
      <c r="AH39" t="s">
        <v>708</v>
      </c>
      <c r="AI39" t="s">
        <v>1388</v>
      </c>
      <c r="AJ39" t="s">
        <v>280</v>
      </c>
      <c r="AK39">
        <v>100</v>
      </c>
      <c r="AL39"/>
      <c r="AM39" t="s">
        <v>710</v>
      </c>
      <c r="AN39" t="s">
        <v>1389</v>
      </c>
      <c r="AO39" t="s">
        <v>1668</v>
      </c>
      <c r="AP39"/>
      <c r="AQ39"/>
      <c r="AR39"/>
      <c r="AS39"/>
      <c r="AT39" t="s">
        <v>1669</v>
      </c>
      <c r="AU39" t="s">
        <v>228</v>
      </c>
      <c r="AV39" t="s">
        <v>695</v>
      </c>
      <c r="AW39" t="s">
        <v>279</v>
      </c>
      <c r="AX39" t="s">
        <v>494</v>
      </c>
      <c r="AY39" t="s">
        <v>88</v>
      </c>
      <c r="AZ39" t="s">
        <v>1</v>
      </c>
      <c r="BA39" t="s">
        <v>1564</v>
      </c>
      <c r="BB39" t="s">
        <v>278</v>
      </c>
      <c r="BC39" t="s">
        <v>286</v>
      </c>
      <c r="BD39"/>
      <c r="BE39" t="s">
        <v>88</v>
      </c>
      <c r="BF39" t="s">
        <v>88</v>
      </c>
      <c r="BG39" t="s">
        <v>1670</v>
      </c>
      <c r="BH39" t="s">
        <v>1671</v>
      </c>
      <c r="BI39">
        <v>1000</v>
      </c>
      <c r="BJ39">
        <v>0.56999999999999995</v>
      </c>
      <c r="BK39" s="30">
        <v>45294</v>
      </c>
      <c r="BL39" s="30"/>
      <c r="BM39">
        <v>5.6</v>
      </c>
      <c r="BN39" t="s">
        <v>88</v>
      </c>
      <c r="BO39" s="30">
        <v>45476</v>
      </c>
      <c r="BP39" t="s">
        <v>1663</v>
      </c>
      <c r="BQ39" t="s">
        <v>88</v>
      </c>
      <c r="BR39" s="30">
        <v>45294</v>
      </c>
      <c r="BS39" t="s">
        <v>1672</v>
      </c>
      <c r="BT39" s="30">
        <v>45294</v>
      </c>
      <c r="BU39" t="s">
        <v>709</v>
      </c>
      <c r="BV39" t="s">
        <v>1673</v>
      </c>
      <c r="BW39" t="s">
        <v>1674</v>
      </c>
      <c r="BX39" t="s">
        <v>277</v>
      </c>
      <c r="BY39" t="s">
        <v>277</v>
      </c>
      <c r="BZ39" t="s">
        <v>276</v>
      </c>
      <c r="CA39" t="s">
        <v>275</v>
      </c>
      <c r="CB39" t="s">
        <v>274</v>
      </c>
      <c r="CC39" t="s">
        <v>88</v>
      </c>
      <c r="CD39" t="s">
        <v>113</v>
      </c>
      <c r="CE39" t="s">
        <v>88</v>
      </c>
      <c r="CF39" t="s">
        <v>88</v>
      </c>
      <c r="CG39" t="s">
        <v>191</v>
      </c>
      <c r="CH39" t="s">
        <v>192</v>
      </c>
      <c r="CI39" t="s">
        <v>88</v>
      </c>
      <c r="CJ39" s="178" t="s">
        <v>88</v>
      </c>
      <c r="CK39"/>
      <c r="CL39" t="s">
        <v>79</v>
      </c>
      <c r="CM39" t="s">
        <v>79</v>
      </c>
      <c r="CN39" t="s">
        <v>472</v>
      </c>
      <c r="CO39" t="s">
        <v>16</v>
      </c>
      <c r="CP39" t="s">
        <v>1675</v>
      </c>
      <c r="CQ39" t="s">
        <v>88</v>
      </c>
      <c r="CR39" s="30"/>
      <c r="CS39">
        <v>676</v>
      </c>
      <c r="CT39" t="s">
        <v>1686</v>
      </c>
      <c r="CU39" t="s">
        <v>199</v>
      </c>
      <c r="CV39" t="s">
        <v>6</v>
      </c>
      <c r="CW39" t="s">
        <v>6</v>
      </c>
      <c r="CX39" t="s">
        <v>157</v>
      </c>
      <c r="CY39" t="s">
        <v>501</v>
      </c>
      <c r="CZ39">
        <v>1672</v>
      </c>
      <c r="DA39">
        <v>1737</v>
      </c>
    </row>
    <row r="40" spans="7:105">
      <c r="AP40" s="2"/>
      <c r="AQ40" s="2"/>
      <c r="AT40" s="1"/>
      <c r="AU40" s="1"/>
      <c r="AV40" s="2"/>
      <c r="AW40" s="2"/>
    </row>
    <row r="41" spans="7:105">
      <c r="AP41" s="2"/>
      <c r="AQ41" s="2"/>
      <c r="AT41" s="1"/>
      <c r="AU41" s="1"/>
      <c r="AV41" s="2"/>
      <c r="AW41" s="2"/>
    </row>
    <row r="42" spans="7:105">
      <c r="AP42" s="2"/>
      <c r="AQ42" s="2"/>
      <c r="AT42" s="1"/>
      <c r="AU42" s="1"/>
      <c r="AV42" s="2"/>
      <c r="AW42" s="2"/>
    </row>
    <row r="43" spans="7:105">
      <c r="AP43" s="2"/>
      <c r="AQ43" s="2"/>
      <c r="AT43" s="1"/>
      <c r="AU43" s="1"/>
      <c r="AV43" s="2"/>
      <c r="AW43" s="2"/>
    </row>
  </sheetData>
  <phoneticPr fontId="14" type="noConversion"/>
  <conditionalFormatting sqref="I6:K39 C6:C9">
    <cfRule type="containsText" dxfId="470" priority="3" operator="containsText" text="【">
      <formula>NOT(ISERROR(SEARCH("【",C6)))</formula>
    </cfRule>
    <cfRule type="notContainsBlanks" dxfId="469" priority="4">
      <formula>LEN(TRIM(C6))&gt;0</formula>
    </cfRule>
  </conditionalFormatting>
  <conditionalFormatting sqref="T1:V1">
    <cfRule type="containsText" dxfId="468" priority="1" operator="containsText" text="【">
      <formula>NOT(ISERROR(SEARCH("【",T1)))</formula>
    </cfRule>
    <cfRule type="notContainsBlanks" dxfId="467"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I6:J39 C6:C9"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39"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RefreshForFilter" altText="Refresh_x000a_Button">
                <anchor moveWithCells="1">
                  <from>
                    <xdr:col>0</xdr:col>
                    <xdr:colOff>114300</xdr:colOff>
                    <xdr:row>1</xdr:row>
                    <xdr:rowOff>209550</xdr:rowOff>
                  </from>
                  <to>
                    <xdr:col>1</xdr:col>
                    <xdr:colOff>180975</xdr:colOff>
                    <xdr:row>2</xdr:row>
                    <xdr:rowOff>476250</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60"/>
  <sheetViews>
    <sheetView topLeftCell="BM1" workbookViewId="0">
      <selection activeCell="BQ9" sqref="BQ9"/>
    </sheetView>
  </sheetViews>
  <sheetFormatPr defaultRowHeight="15"/>
  <cols>
    <col min="1" max="1" width="14.21875" bestFit="1" customWidth="1"/>
    <col min="2" max="2" width="33.21875" bestFit="1" customWidth="1"/>
    <col min="3" max="3" width="20" bestFit="1" customWidth="1"/>
    <col min="4" max="4" width="13.33203125" bestFit="1" customWidth="1"/>
    <col min="5" max="5" width="10.33203125" bestFit="1" customWidth="1"/>
    <col min="6" max="6" width="31.109375" bestFit="1" customWidth="1"/>
    <col min="7" max="7" width="10.21875" bestFit="1" customWidth="1"/>
    <col min="8" max="8" width="12.77734375" bestFit="1" customWidth="1"/>
    <col min="9" max="9" width="9.44140625" bestFit="1" customWidth="1"/>
    <col min="10" max="10" width="12.21875" bestFit="1" customWidth="1"/>
    <col min="11" max="11" width="6.109375" bestFit="1" customWidth="1"/>
    <col min="12" max="12" width="12.21875" bestFit="1" customWidth="1"/>
    <col min="13" max="13" width="18.5546875" bestFit="1" customWidth="1"/>
    <col min="14" max="14" width="10.33203125" bestFit="1" customWidth="1"/>
    <col min="15" max="15" width="40.44140625" bestFit="1" customWidth="1"/>
    <col min="16" max="16" width="9.5546875" bestFit="1" customWidth="1"/>
    <col min="17" max="17" width="6.21875" bestFit="1" customWidth="1"/>
    <col min="18" max="18" width="12.77734375" bestFit="1" customWidth="1"/>
    <col min="19" max="19" width="9.44140625" bestFit="1" customWidth="1"/>
    <col min="20" max="20" width="12.88671875" bestFit="1" customWidth="1"/>
    <col min="21" max="21" width="31.5546875" bestFit="1" customWidth="1"/>
    <col min="22" max="22" width="14.88671875" bestFit="1" customWidth="1"/>
    <col min="23" max="23" width="7.77734375" bestFit="1" customWidth="1"/>
    <col min="24" max="24" width="9.44140625" bestFit="1" customWidth="1"/>
    <col min="25" max="25" width="12.6640625" bestFit="1" customWidth="1"/>
    <col min="26" max="26" width="6.109375" bestFit="1" customWidth="1"/>
    <col min="27" max="27" width="23" bestFit="1" customWidth="1"/>
    <col min="28" max="28" width="10.5546875" bestFit="1" customWidth="1"/>
    <col min="29" max="31" width="9.44140625" bestFit="1" customWidth="1"/>
    <col min="32" max="32" width="80.88671875" bestFit="1" customWidth="1"/>
    <col min="33" max="34" width="9.44140625" bestFit="1" customWidth="1"/>
    <col min="35" max="36" width="12.77734375" bestFit="1" customWidth="1"/>
    <col min="37" max="37" width="9.44140625" bestFit="1" customWidth="1"/>
    <col min="38" max="38" width="6.109375" bestFit="1" customWidth="1"/>
    <col min="39" max="39" width="9.88671875" bestFit="1" customWidth="1"/>
    <col min="40" max="40" width="14.44140625" bestFit="1" customWidth="1"/>
    <col min="41" max="41" width="9.44140625" bestFit="1" customWidth="1"/>
    <col min="42" max="42" width="12.77734375" bestFit="1" customWidth="1"/>
    <col min="43" max="43" width="48.109375" bestFit="1" customWidth="1"/>
    <col min="44" max="44" width="11.109375" bestFit="1" customWidth="1"/>
    <col min="45" max="45" width="80.5546875" bestFit="1" customWidth="1"/>
    <col min="46" max="46" width="8.5546875" bestFit="1" customWidth="1"/>
    <col min="47" max="47" width="12.77734375" bestFit="1" customWidth="1"/>
    <col min="48" max="48" width="9.44140625" bestFit="1" customWidth="1"/>
    <col min="49" max="49" width="10.33203125" bestFit="1" customWidth="1"/>
    <col min="50" max="50" width="11.109375" bestFit="1" customWidth="1"/>
    <col min="51" max="51" width="12.77734375" bestFit="1" customWidth="1"/>
    <col min="52" max="52" width="16.21875" bestFit="1" customWidth="1"/>
    <col min="53" max="53" width="11.109375" bestFit="1" customWidth="1"/>
    <col min="54" max="54" width="61" bestFit="1" customWidth="1"/>
    <col min="55" max="55" width="28.109375" bestFit="1" customWidth="1"/>
    <col min="56" max="56" width="11.109375" bestFit="1" customWidth="1"/>
    <col min="57" max="57" width="27.6640625" bestFit="1" customWidth="1"/>
    <col min="58" max="58" width="10.33203125" bestFit="1" customWidth="1"/>
    <col min="59" max="59" width="19" bestFit="1" customWidth="1"/>
    <col min="60" max="61" width="80.88671875" bestFit="1" customWidth="1"/>
    <col min="62" max="62" width="11.109375" bestFit="1" customWidth="1"/>
    <col min="63" max="65" width="9.44140625" bestFit="1" customWidth="1"/>
    <col min="66" max="66" width="14.44140625" bestFit="1" customWidth="1"/>
    <col min="67" max="67" width="9.44140625" bestFit="1" customWidth="1"/>
    <col min="68" max="68" width="14.44140625" bestFit="1" customWidth="1"/>
    <col min="69" max="69" width="28.109375" bestFit="1" customWidth="1"/>
    <col min="70" max="70" width="11.5546875" bestFit="1" customWidth="1"/>
    <col min="71" max="71" width="12.21875" bestFit="1" customWidth="1"/>
    <col min="72" max="72" width="19.44140625" bestFit="1" customWidth="1"/>
    <col min="73" max="73" width="12.77734375" bestFit="1" customWidth="1"/>
    <col min="74" max="74" width="14.44140625" bestFit="1" customWidth="1"/>
    <col min="75" max="75" width="18.44140625" bestFit="1" customWidth="1"/>
    <col min="76" max="77" width="9.44140625" bestFit="1" customWidth="1"/>
    <col min="78" max="78" width="12.109375" bestFit="1" customWidth="1"/>
    <col min="79" max="79" width="14" bestFit="1" customWidth="1"/>
    <col min="80" max="80" width="15.88671875" bestFit="1" customWidth="1"/>
    <col min="81" max="81" width="23.6640625" bestFit="1" customWidth="1"/>
    <col min="82" max="82" width="12.109375" bestFit="1" customWidth="1"/>
    <col min="83" max="83" width="14" bestFit="1" customWidth="1"/>
    <col min="84" max="84" width="13.88671875" bestFit="1" customWidth="1"/>
  </cols>
  <sheetData>
    <row r="1" spans="1:81">
      <c r="A1" t="s">
        <v>174</v>
      </c>
      <c r="B1" t="s">
        <v>90</v>
      </c>
      <c r="C1" t="s">
        <v>189</v>
      </c>
      <c r="D1" t="s">
        <v>45</v>
      </c>
      <c r="E1" t="s">
        <v>46</v>
      </c>
      <c r="F1" t="s">
        <v>44</v>
      </c>
      <c r="G1" t="s">
        <v>94</v>
      </c>
      <c r="H1" t="s">
        <v>95</v>
      </c>
      <c r="I1" t="s">
        <v>47</v>
      </c>
      <c r="J1" t="s">
        <v>54</v>
      </c>
      <c r="K1" t="s">
        <v>61</v>
      </c>
      <c r="L1" t="s">
        <v>55</v>
      </c>
      <c r="M1" t="s">
        <v>112</v>
      </c>
      <c r="N1" t="s">
        <v>49</v>
      </c>
      <c r="O1" t="s">
        <v>96</v>
      </c>
      <c r="P1" t="s">
        <v>225</v>
      </c>
      <c r="Q1" t="s">
        <v>50</v>
      </c>
      <c r="R1" t="s">
        <v>51</v>
      </c>
      <c r="S1" t="s">
        <v>227</v>
      </c>
      <c r="T1" t="s">
        <v>190</v>
      </c>
      <c r="U1" t="s">
        <v>52</v>
      </c>
      <c r="V1" t="s">
        <v>53</v>
      </c>
      <c r="W1" t="s">
        <v>56</v>
      </c>
      <c r="X1" t="s">
        <v>57</v>
      </c>
      <c r="Y1" t="s">
        <v>91</v>
      </c>
      <c r="Z1" t="s">
        <v>42</v>
      </c>
      <c r="AA1" t="s">
        <v>43</v>
      </c>
      <c r="AB1" t="s">
        <v>114</v>
      </c>
      <c r="AC1" t="s">
        <v>58</v>
      </c>
      <c r="AD1" t="s">
        <v>59</v>
      </c>
      <c r="AE1" t="s">
        <v>60</v>
      </c>
      <c r="AF1" t="s">
        <v>62</v>
      </c>
      <c r="AG1" t="s">
        <v>160</v>
      </c>
      <c r="AH1" t="s">
        <v>41</v>
      </c>
      <c r="AI1" t="s">
        <v>140</v>
      </c>
      <c r="AJ1" t="s">
        <v>48</v>
      </c>
      <c r="AK1" t="s">
        <v>92</v>
      </c>
      <c r="AL1" t="s">
        <v>40</v>
      </c>
      <c r="AM1" t="s">
        <v>175</v>
      </c>
      <c r="AN1" t="s">
        <v>39</v>
      </c>
      <c r="AO1" t="s">
        <v>93</v>
      </c>
      <c r="AP1" t="s">
        <v>176</v>
      </c>
      <c r="AQ1" t="s">
        <v>177</v>
      </c>
      <c r="AR1" t="s">
        <v>178</v>
      </c>
      <c r="AS1" t="s">
        <v>179</v>
      </c>
      <c r="AT1" t="s">
        <v>469</v>
      </c>
      <c r="AU1" t="s">
        <v>97</v>
      </c>
      <c r="AV1" t="s">
        <v>98</v>
      </c>
      <c r="AW1" t="s">
        <v>63</v>
      </c>
      <c r="AX1" t="s">
        <v>64</v>
      </c>
      <c r="AY1" t="s">
        <v>99</v>
      </c>
      <c r="AZ1" t="s">
        <v>65</v>
      </c>
      <c r="BA1" t="s">
        <v>66</v>
      </c>
      <c r="BB1" t="s">
        <v>67</v>
      </c>
      <c r="BC1" t="s">
        <v>68</v>
      </c>
      <c r="BD1" t="s">
        <v>69</v>
      </c>
      <c r="BE1" t="s">
        <v>130</v>
      </c>
      <c r="BF1" t="s">
        <v>70</v>
      </c>
      <c r="BG1" t="s">
        <v>100</v>
      </c>
      <c r="BH1" t="s">
        <v>71</v>
      </c>
      <c r="BI1" t="s">
        <v>180</v>
      </c>
      <c r="BJ1" t="s">
        <v>72</v>
      </c>
      <c r="BK1" t="s">
        <v>73</v>
      </c>
      <c r="BL1" t="s">
        <v>74</v>
      </c>
      <c r="BM1" t="s">
        <v>75</v>
      </c>
      <c r="BN1" t="s">
        <v>76</v>
      </c>
      <c r="BO1" t="s">
        <v>101</v>
      </c>
      <c r="BP1" t="s">
        <v>77</v>
      </c>
      <c r="BQ1" t="s">
        <v>78</v>
      </c>
      <c r="BR1" t="s">
        <v>716</v>
      </c>
      <c r="BS1" t="s">
        <v>252</v>
      </c>
      <c r="BT1" t="s">
        <v>119</v>
      </c>
      <c r="BU1" t="s">
        <v>694</v>
      </c>
      <c r="BV1" t="s">
        <v>202</v>
      </c>
      <c r="BW1" t="s">
        <v>124</v>
      </c>
      <c r="BX1" t="s">
        <v>111</v>
      </c>
      <c r="BY1" t="s">
        <v>117</v>
      </c>
      <c r="BZ1" t="s">
        <v>141</v>
      </c>
      <c r="CA1" t="s">
        <v>802</v>
      </c>
      <c r="CB1" t="s">
        <v>1206</v>
      </c>
      <c r="CC1" t="s">
        <v>1207</v>
      </c>
    </row>
    <row r="2" spans="1:81">
      <c r="A2" s="123">
        <v>45313.423773784722</v>
      </c>
      <c r="B2" s="178" t="s">
        <v>1711</v>
      </c>
      <c r="C2" s="178" t="s">
        <v>88</v>
      </c>
      <c r="D2" s="178" t="s">
        <v>1712</v>
      </c>
      <c r="E2" s="30">
        <v>45310</v>
      </c>
      <c r="F2" s="178" t="s">
        <v>88</v>
      </c>
      <c r="G2" s="178" t="s">
        <v>88</v>
      </c>
      <c r="H2" s="178" t="s">
        <v>88</v>
      </c>
      <c r="I2" s="178" t="s">
        <v>88</v>
      </c>
      <c r="K2" s="178" t="s">
        <v>88</v>
      </c>
      <c r="L2" s="178" t="s">
        <v>88</v>
      </c>
      <c r="M2" s="178" t="s">
        <v>88</v>
      </c>
      <c r="N2" s="30"/>
      <c r="O2" s="178" t="s">
        <v>501</v>
      </c>
      <c r="P2" s="178" t="s">
        <v>501</v>
      </c>
      <c r="Q2" s="178" t="s">
        <v>501</v>
      </c>
      <c r="S2" s="178" t="s">
        <v>88</v>
      </c>
      <c r="T2" s="178" t="s">
        <v>501</v>
      </c>
      <c r="U2" s="178" t="s">
        <v>88</v>
      </c>
      <c r="V2" s="178" t="s">
        <v>88</v>
      </c>
      <c r="Y2" s="178" t="s">
        <v>501</v>
      </c>
      <c r="Z2" s="178" t="s">
        <v>501</v>
      </c>
      <c r="AA2" s="178" t="s">
        <v>501</v>
      </c>
      <c r="AF2" s="178" t="s">
        <v>501</v>
      </c>
      <c r="AG2" s="178" t="s">
        <v>88</v>
      </c>
      <c r="AH2" s="178" t="s">
        <v>88</v>
      </c>
      <c r="AI2" s="178" t="s">
        <v>88</v>
      </c>
      <c r="AJ2" s="178" t="s">
        <v>88</v>
      </c>
      <c r="AK2" s="178" t="s">
        <v>501</v>
      </c>
      <c r="AL2" s="178" t="s">
        <v>88</v>
      </c>
      <c r="AM2" s="178"/>
      <c r="AN2" s="178" t="s">
        <v>88</v>
      </c>
      <c r="AO2" s="178" t="s">
        <v>88</v>
      </c>
      <c r="AQ2" s="178" t="s">
        <v>88</v>
      </c>
      <c r="AR2" s="178" t="s">
        <v>88</v>
      </c>
      <c r="AS2" s="178" t="s">
        <v>88</v>
      </c>
      <c r="AT2" s="178" t="s">
        <v>88</v>
      </c>
      <c r="AW2" s="30"/>
      <c r="AX2" s="30"/>
      <c r="AZ2" s="178" t="s">
        <v>88</v>
      </c>
      <c r="BA2" s="30"/>
      <c r="BB2" s="178" t="s">
        <v>501</v>
      </c>
      <c r="BC2" s="178" t="s">
        <v>88</v>
      </c>
      <c r="BD2" s="30"/>
      <c r="BE2" s="178" t="s">
        <v>88</v>
      </c>
      <c r="BF2" s="30"/>
      <c r="BG2" s="178" t="s">
        <v>88</v>
      </c>
      <c r="BH2" s="178" t="s">
        <v>88</v>
      </c>
      <c r="BI2" s="178" t="s">
        <v>88</v>
      </c>
      <c r="BJ2" s="178" t="s">
        <v>88</v>
      </c>
      <c r="BK2" s="178" t="s">
        <v>88</v>
      </c>
      <c r="BL2" s="178" t="s">
        <v>88</v>
      </c>
      <c r="BM2" s="178" t="s">
        <v>88</v>
      </c>
      <c r="BN2" s="178" t="s">
        <v>88</v>
      </c>
      <c r="BO2" s="178" t="s">
        <v>88</v>
      </c>
      <c r="BP2" s="178" t="s">
        <v>88</v>
      </c>
      <c r="BQ2" s="178" t="s">
        <v>88</v>
      </c>
      <c r="BR2" s="178" t="s">
        <v>88</v>
      </c>
      <c r="BS2" s="178" t="s">
        <v>1314</v>
      </c>
      <c r="BT2" s="178" t="s">
        <v>1713</v>
      </c>
      <c r="BU2" s="178" t="s">
        <v>88</v>
      </c>
      <c r="BV2" s="178" t="s">
        <v>88</v>
      </c>
      <c r="BW2" s="178" t="s">
        <v>88</v>
      </c>
      <c r="BY2" s="178" t="s">
        <v>501</v>
      </c>
      <c r="BZ2" s="178" t="s">
        <v>501</v>
      </c>
      <c r="CA2" s="178"/>
      <c r="CB2" s="178" t="s">
        <v>88</v>
      </c>
      <c r="CC2" s="178" t="s">
        <v>88</v>
      </c>
    </row>
    <row r="3" spans="1:81">
      <c r="A3" s="123">
        <v>45313.423773784722</v>
      </c>
      <c r="B3" s="178" t="s">
        <v>1497</v>
      </c>
      <c r="C3" s="178" t="s">
        <v>1498</v>
      </c>
      <c r="D3" s="178" t="s">
        <v>1499</v>
      </c>
      <c r="E3" s="30">
        <v>45310</v>
      </c>
      <c r="F3" s="178" t="s">
        <v>1500</v>
      </c>
      <c r="G3" s="178" t="s">
        <v>279</v>
      </c>
      <c r="H3" s="178" t="s">
        <v>279</v>
      </c>
      <c r="I3" s="178" t="s">
        <v>279</v>
      </c>
      <c r="J3">
        <v>5.27</v>
      </c>
      <c r="K3" s="178" t="s">
        <v>102</v>
      </c>
      <c r="L3" s="178" t="s">
        <v>799</v>
      </c>
      <c r="M3" s="178" t="s">
        <v>1501</v>
      </c>
      <c r="N3" s="30">
        <v>46047</v>
      </c>
      <c r="O3" s="178" t="s">
        <v>287</v>
      </c>
      <c r="P3" s="178" t="s">
        <v>88</v>
      </c>
      <c r="Q3" s="178" t="s">
        <v>88</v>
      </c>
      <c r="S3" s="178" t="s">
        <v>282</v>
      </c>
      <c r="T3" s="178" t="s">
        <v>281</v>
      </c>
      <c r="U3" s="178" t="s">
        <v>88</v>
      </c>
      <c r="V3" s="178" t="s">
        <v>280</v>
      </c>
      <c r="W3">
        <v>100</v>
      </c>
      <c r="Y3" s="178" t="s">
        <v>500</v>
      </c>
      <c r="Z3" s="178" t="s">
        <v>1502</v>
      </c>
      <c r="AA3" s="178" t="s">
        <v>88</v>
      </c>
      <c r="AF3" s="178" t="s">
        <v>1503</v>
      </c>
      <c r="AG3" s="178" t="s">
        <v>228</v>
      </c>
      <c r="AH3" s="178" t="s">
        <v>695</v>
      </c>
      <c r="AI3" s="178" t="s">
        <v>279</v>
      </c>
      <c r="AJ3" s="178" t="s">
        <v>1504</v>
      </c>
      <c r="AK3" s="178" t="s">
        <v>88</v>
      </c>
      <c r="AL3" s="178" t="s">
        <v>1</v>
      </c>
      <c r="AM3" s="178" t="s">
        <v>800</v>
      </c>
      <c r="AN3" s="178" t="s">
        <v>278</v>
      </c>
      <c r="AO3" s="178" t="s">
        <v>286</v>
      </c>
      <c r="AQ3" s="178" t="s">
        <v>88</v>
      </c>
      <c r="AR3" s="178" t="s">
        <v>88</v>
      </c>
      <c r="AS3" s="178" t="s">
        <v>1505</v>
      </c>
      <c r="AT3" s="178" t="s">
        <v>1506</v>
      </c>
      <c r="AU3">
        <v>10000</v>
      </c>
      <c r="AV3">
        <v>5.27</v>
      </c>
      <c r="AW3" s="30">
        <v>45316</v>
      </c>
      <c r="AX3" s="30"/>
      <c r="AY3">
        <v>7.8</v>
      </c>
      <c r="AZ3" s="178" t="s">
        <v>88</v>
      </c>
      <c r="BA3" s="30">
        <v>45498</v>
      </c>
      <c r="BB3" s="178" t="s">
        <v>1497</v>
      </c>
      <c r="BC3" s="178" t="s">
        <v>88</v>
      </c>
      <c r="BD3" s="30">
        <v>45316</v>
      </c>
      <c r="BE3" s="178" t="s">
        <v>1507</v>
      </c>
      <c r="BF3" s="30">
        <v>45316</v>
      </c>
      <c r="BG3" s="178" t="s">
        <v>692</v>
      </c>
      <c r="BH3" s="178" t="s">
        <v>1508</v>
      </c>
      <c r="BI3" s="178" t="s">
        <v>1509</v>
      </c>
      <c r="BJ3" s="178" t="s">
        <v>277</v>
      </c>
      <c r="BK3" s="178" t="s">
        <v>277</v>
      </c>
      <c r="BL3" s="178" t="s">
        <v>276</v>
      </c>
      <c r="BM3" s="178" t="s">
        <v>275</v>
      </c>
      <c r="BN3" s="178" t="s">
        <v>274</v>
      </c>
      <c r="BO3" s="178" t="s">
        <v>88</v>
      </c>
      <c r="BP3" s="178" t="s">
        <v>113</v>
      </c>
      <c r="BQ3" s="178" t="s">
        <v>88</v>
      </c>
      <c r="BR3" s="178" t="s">
        <v>88</v>
      </c>
      <c r="BS3" s="178" t="s">
        <v>191</v>
      </c>
      <c r="BT3" s="178" t="s">
        <v>1510</v>
      </c>
      <c r="BU3" s="178" t="s">
        <v>192</v>
      </c>
      <c r="BV3" s="178" t="s">
        <v>88</v>
      </c>
      <c r="BW3" s="178" t="s">
        <v>88</v>
      </c>
      <c r="BY3" s="178" t="s">
        <v>79</v>
      </c>
      <c r="BZ3" s="178" t="s">
        <v>79</v>
      </c>
      <c r="CA3" s="178" t="s">
        <v>472</v>
      </c>
      <c r="CB3" s="178" t="s">
        <v>88</v>
      </c>
      <c r="CC3" s="178" t="s">
        <v>88</v>
      </c>
    </row>
    <row r="4" spans="1:81">
      <c r="A4" s="123">
        <v>45313.423773784722</v>
      </c>
      <c r="B4" s="178" t="s">
        <v>1153</v>
      </c>
      <c r="C4" s="178" t="s">
        <v>88</v>
      </c>
      <c r="D4" s="178" t="s">
        <v>1152</v>
      </c>
      <c r="E4" s="30">
        <v>45309</v>
      </c>
      <c r="F4" s="178" t="s">
        <v>88</v>
      </c>
      <c r="G4" s="178" t="s">
        <v>88</v>
      </c>
      <c r="H4" s="178" t="s">
        <v>88</v>
      </c>
      <c r="I4" s="178" t="s">
        <v>88</v>
      </c>
      <c r="K4" s="178" t="s">
        <v>88</v>
      </c>
      <c r="L4" s="178" t="s">
        <v>88</v>
      </c>
      <c r="M4" s="178" t="s">
        <v>88</v>
      </c>
      <c r="N4" s="30"/>
      <c r="O4" s="178" t="s">
        <v>501</v>
      </c>
      <c r="P4" s="178" t="s">
        <v>501</v>
      </c>
      <c r="Q4" s="178" t="s">
        <v>501</v>
      </c>
      <c r="S4" s="178" t="s">
        <v>88</v>
      </c>
      <c r="T4" s="178" t="s">
        <v>501</v>
      </c>
      <c r="U4" s="178" t="s">
        <v>88</v>
      </c>
      <c r="V4" s="178" t="s">
        <v>88</v>
      </c>
      <c r="Y4" s="178" t="s">
        <v>501</v>
      </c>
      <c r="Z4" s="178" t="s">
        <v>501</v>
      </c>
      <c r="AA4" s="178" t="s">
        <v>501</v>
      </c>
      <c r="AF4" s="178" t="s">
        <v>501</v>
      </c>
      <c r="AG4" s="178" t="s">
        <v>88</v>
      </c>
      <c r="AH4" s="178" t="s">
        <v>88</v>
      </c>
      <c r="AI4" s="178" t="s">
        <v>88</v>
      </c>
      <c r="AJ4" s="178" t="s">
        <v>88</v>
      </c>
      <c r="AK4" s="178" t="s">
        <v>501</v>
      </c>
      <c r="AL4" s="178" t="s">
        <v>88</v>
      </c>
      <c r="AM4" s="178"/>
      <c r="AN4" s="178" t="s">
        <v>88</v>
      </c>
      <c r="AO4" s="178" t="s">
        <v>88</v>
      </c>
      <c r="AQ4" s="178" t="s">
        <v>88</v>
      </c>
      <c r="AR4" s="178" t="s">
        <v>88</v>
      </c>
      <c r="AS4" s="178" t="s">
        <v>88</v>
      </c>
      <c r="AT4" s="178" t="s">
        <v>88</v>
      </c>
      <c r="AW4" s="30"/>
      <c r="AX4" s="30"/>
      <c r="AZ4" s="178" t="s">
        <v>88</v>
      </c>
      <c r="BA4" s="30"/>
      <c r="BB4" s="178" t="s">
        <v>501</v>
      </c>
      <c r="BC4" s="178" t="s">
        <v>88</v>
      </c>
      <c r="BD4" s="30"/>
      <c r="BE4" s="178" t="s">
        <v>88</v>
      </c>
      <c r="BF4" s="30"/>
      <c r="BG4" s="178" t="s">
        <v>88</v>
      </c>
      <c r="BH4" s="178" t="s">
        <v>88</v>
      </c>
      <c r="BI4" s="178" t="s">
        <v>88</v>
      </c>
      <c r="BJ4" s="178" t="s">
        <v>88</v>
      </c>
      <c r="BK4" s="178" t="s">
        <v>88</v>
      </c>
      <c r="BL4" s="178" t="s">
        <v>88</v>
      </c>
      <c r="BM4" s="178" t="s">
        <v>88</v>
      </c>
      <c r="BN4" s="178" t="s">
        <v>88</v>
      </c>
      <c r="BO4" s="178" t="s">
        <v>88</v>
      </c>
      <c r="BP4" s="178" t="s">
        <v>88</v>
      </c>
      <c r="BQ4" s="178" t="s">
        <v>88</v>
      </c>
      <c r="BR4" s="178" t="s">
        <v>88</v>
      </c>
      <c r="BS4" s="178" t="s">
        <v>1314</v>
      </c>
      <c r="BT4" s="178" t="s">
        <v>1154</v>
      </c>
      <c r="BU4" s="178" t="s">
        <v>88</v>
      </c>
      <c r="BV4" s="178" t="s">
        <v>88</v>
      </c>
      <c r="BW4" s="178" t="s">
        <v>88</v>
      </c>
      <c r="BY4" s="178" t="s">
        <v>501</v>
      </c>
      <c r="BZ4" s="178" t="s">
        <v>501</v>
      </c>
      <c r="CA4" s="178"/>
      <c r="CB4" s="178" t="s">
        <v>88</v>
      </c>
      <c r="CC4" s="178" t="s">
        <v>88</v>
      </c>
    </row>
    <row r="5" spans="1:81">
      <c r="A5" s="123">
        <v>45313.423773784722</v>
      </c>
      <c r="B5" s="178" t="s">
        <v>1511</v>
      </c>
      <c r="C5" s="178" t="s">
        <v>1512</v>
      </c>
      <c r="D5" s="178" t="s">
        <v>1513</v>
      </c>
      <c r="E5" s="30">
        <v>45310</v>
      </c>
      <c r="F5" s="178" t="s">
        <v>1514</v>
      </c>
      <c r="G5" s="178" t="s">
        <v>279</v>
      </c>
      <c r="H5" s="178" t="s">
        <v>279</v>
      </c>
      <c r="I5" s="178" t="s">
        <v>279</v>
      </c>
      <c r="J5">
        <v>10.5</v>
      </c>
      <c r="K5" s="178" t="s">
        <v>102</v>
      </c>
      <c r="L5" s="178" t="s">
        <v>284</v>
      </c>
      <c r="M5" s="178" t="s">
        <v>1515</v>
      </c>
      <c r="N5" s="30">
        <v>46413</v>
      </c>
      <c r="O5" s="178" t="s">
        <v>287</v>
      </c>
      <c r="P5" s="178" t="s">
        <v>1516</v>
      </c>
      <c r="Q5" s="178" t="s">
        <v>1517</v>
      </c>
      <c r="R5">
        <v>15</v>
      </c>
      <c r="S5" s="178" t="s">
        <v>282</v>
      </c>
      <c r="T5" s="178" t="s">
        <v>281</v>
      </c>
      <c r="U5" s="178" t="s">
        <v>88</v>
      </c>
      <c r="V5" s="178" t="s">
        <v>280</v>
      </c>
      <c r="W5">
        <v>100</v>
      </c>
      <c r="Y5" s="178" t="s">
        <v>1518</v>
      </c>
      <c r="Z5" s="178" t="s">
        <v>1519</v>
      </c>
      <c r="AA5" s="178" t="s">
        <v>88</v>
      </c>
      <c r="AF5" s="178" t="s">
        <v>1520</v>
      </c>
      <c r="AG5" s="178" t="s">
        <v>228</v>
      </c>
      <c r="AH5" s="178" t="s">
        <v>695</v>
      </c>
      <c r="AI5" s="178" t="s">
        <v>279</v>
      </c>
      <c r="AJ5" s="178" t="s">
        <v>1504</v>
      </c>
      <c r="AK5" s="178" t="s">
        <v>88</v>
      </c>
      <c r="AL5" s="178" t="s">
        <v>1</v>
      </c>
      <c r="AM5" s="178" t="s">
        <v>1521</v>
      </c>
      <c r="AN5" s="178" t="s">
        <v>278</v>
      </c>
      <c r="AO5" s="178" t="s">
        <v>286</v>
      </c>
      <c r="AQ5" s="178" t="s">
        <v>88</v>
      </c>
      <c r="AR5" s="178" t="s">
        <v>88</v>
      </c>
      <c r="AS5" s="178" t="s">
        <v>1522</v>
      </c>
      <c r="AT5" s="178" t="s">
        <v>1523</v>
      </c>
      <c r="AU5">
        <v>10000</v>
      </c>
      <c r="AV5">
        <v>10.5</v>
      </c>
      <c r="AW5" s="30">
        <v>45317</v>
      </c>
      <c r="AX5" s="30">
        <v>46048</v>
      </c>
      <c r="AY5">
        <v>5.15</v>
      </c>
      <c r="AZ5" s="178" t="s">
        <v>88</v>
      </c>
      <c r="BA5" s="30">
        <v>45683</v>
      </c>
      <c r="BB5" s="178" t="s">
        <v>1511</v>
      </c>
      <c r="BC5" s="178" t="s">
        <v>88</v>
      </c>
      <c r="BD5" s="30">
        <v>45317</v>
      </c>
      <c r="BE5" s="178" t="s">
        <v>1517</v>
      </c>
      <c r="BF5" s="30">
        <v>45317</v>
      </c>
      <c r="BG5" s="178" t="s">
        <v>692</v>
      </c>
      <c r="BH5" s="178" t="s">
        <v>1524</v>
      </c>
      <c r="BI5" s="178" t="s">
        <v>1525</v>
      </c>
      <c r="BJ5" s="178" t="s">
        <v>277</v>
      </c>
      <c r="BK5" s="178" t="s">
        <v>277</v>
      </c>
      <c r="BL5" s="178" t="s">
        <v>276</v>
      </c>
      <c r="BM5" s="178" t="s">
        <v>275</v>
      </c>
      <c r="BN5" s="178" t="s">
        <v>1526</v>
      </c>
      <c r="BO5" s="178" t="s">
        <v>88</v>
      </c>
      <c r="BP5" s="178" t="s">
        <v>1385</v>
      </c>
      <c r="BQ5" s="178" t="s">
        <v>88</v>
      </c>
      <c r="BR5" s="178" t="s">
        <v>88</v>
      </c>
      <c r="BS5" s="178" t="s">
        <v>191</v>
      </c>
      <c r="BT5" s="178" t="s">
        <v>1527</v>
      </c>
      <c r="BU5" s="178" t="s">
        <v>192</v>
      </c>
      <c r="BV5" s="178" t="s">
        <v>88</v>
      </c>
      <c r="BW5" s="178" t="s">
        <v>88</v>
      </c>
      <c r="BY5" s="178" t="s">
        <v>79</v>
      </c>
      <c r="BZ5" s="178" t="s">
        <v>79</v>
      </c>
      <c r="CA5" s="178" t="s">
        <v>472</v>
      </c>
      <c r="CB5" s="178" t="s">
        <v>88</v>
      </c>
      <c r="CC5" s="178" t="s">
        <v>88</v>
      </c>
    </row>
    <row r="6" spans="1:81">
      <c r="A6" s="123">
        <v>45313.423773784722</v>
      </c>
      <c r="B6" s="178" t="s">
        <v>601</v>
      </c>
      <c r="C6" s="178" t="s">
        <v>1315</v>
      </c>
      <c r="D6" s="178" t="s">
        <v>1089</v>
      </c>
      <c r="E6" s="30">
        <v>45309</v>
      </c>
      <c r="F6" s="178" t="s">
        <v>1126</v>
      </c>
      <c r="G6" s="178" t="s">
        <v>1316</v>
      </c>
      <c r="H6" s="178" t="s">
        <v>790</v>
      </c>
      <c r="I6" s="178" t="s">
        <v>279</v>
      </c>
      <c r="J6">
        <v>10</v>
      </c>
      <c r="K6" s="178" t="s">
        <v>102</v>
      </c>
      <c r="L6" s="178" t="s">
        <v>799</v>
      </c>
      <c r="M6" s="178" t="s">
        <v>1317</v>
      </c>
      <c r="N6" s="30">
        <v>46047</v>
      </c>
      <c r="O6" s="178" t="s">
        <v>283</v>
      </c>
      <c r="P6" s="178" t="s">
        <v>1318</v>
      </c>
      <c r="Q6" s="178" t="s">
        <v>1319</v>
      </c>
      <c r="R6">
        <v>40</v>
      </c>
      <c r="S6" s="178" t="s">
        <v>282</v>
      </c>
      <c r="T6" s="178" t="s">
        <v>294</v>
      </c>
      <c r="U6" s="178" t="s">
        <v>88</v>
      </c>
      <c r="V6" s="178" t="s">
        <v>280</v>
      </c>
      <c r="W6">
        <v>100</v>
      </c>
      <c r="Y6" s="178" t="s">
        <v>288</v>
      </c>
      <c r="Z6" s="178" t="s">
        <v>1289</v>
      </c>
      <c r="AA6" s="178" t="s">
        <v>88</v>
      </c>
      <c r="AF6" s="178" t="s">
        <v>1320</v>
      </c>
      <c r="AG6" s="178" t="s">
        <v>228</v>
      </c>
      <c r="AH6" s="178" t="s">
        <v>1321</v>
      </c>
      <c r="AI6" s="178" t="s">
        <v>279</v>
      </c>
      <c r="AJ6" s="178" t="s">
        <v>787</v>
      </c>
      <c r="AK6" s="178" t="s">
        <v>88</v>
      </c>
      <c r="AL6" s="178" t="s">
        <v>233</v>
      </c>
      <c r="AM6" s="178" t="s">
        <v>800</v>
      </c>
      <c r="AN6" s="178" t="s">
        <v>1290</v>
      </c>
      <c r="AO6" s="178" t="s">
        <v>285</v>
      </c>
      <c r="AQ6" s="178" t="s">
        <v>88</v>
      </c>
      <c r="AR6" s="178" t="s">
        <v>88</v>
      </c>
      <c r="AS6" s="178" t="s">
        <v>1322</v>
      </c>
      <c r="AT6" s="178" t="s">
        <v>1323</v>
      </c>
      <c r="AU6">
        <v>10000</v>
      </c>
      <c r="AV6">
        <v>10</v>
      </c>
      <c r="AW6" s="30">
        <v>45316</v>
      </c>
      <c r="AX6" s="30"/>
      <c r="AY6">
        <v>2.6</v>
      </c>
      <c r="AZ6" s="178" t="s">
        <v>88</v>
      </c>
      <c r="BA6" s="30">
        <v>45498</v>
      </c>
      <c r="BB6" s="178" t="s">
        <v>1300</v>
      </c>
      <c r="BC6" s="178" t="s">
        <v>601</v>
      </c>
      <c r="BD6" s="30">
        <v>45316</v>
      </c>
      <c r="BE6" s="178" t="s">
        <v>1324</v>
      </c>
      <c r="BF6" s="30">
        <v>45316</v>
      </c>
      <c r="BG6" s="178" t="s">
        <v>709</v>
      </c>
      <c r="BH6" s="178" t="s">
        <v>1325</v>
      </c>
      <c r="BI6" s="178" t="s">
        <v>1326</v>
      </c>
      <c r="BJ6" s="178" t="s">
        <v>277</v>
      </c>
      <c r="BK6" s="178" t="s">
        <v>277</v>
      </c>
      <c r="BL6" s="178" t="s">
        <v>276</v>
      </c>
      <c r="BM6" s="178" t="s">
        <v>275</v>
      </c>
      <c r="BN6" s="178" t="s">
        <v>274</v>
      </c>
      <c r="BO6" s="178" t="s">
        <v>88</v>
      </c>
      <c r="BP6" s="178" t="s">
        <v>113</v>
      </c>
      <c r="BQ6" s="178" t="s">
        <v>88</v>
      </c>
      <c r="BR6" s="178" t="s">
        <v>88</v>
      </c>
      <c r="BS6" s="178" t="s">
        <v>191</v>
      </c>
      <c r="BT6" s="178" t="s">
        <v>1091</v>
      </c>
      <c r="BU6" s="178" t="s">
        <v>490</v>
      </c>
      <c r="BV6" s="178" t="s">
        <v>88</v>
      </c>
      <c r="BW6" s="178" t="s">
        <v>88</v>
      </c>
      <c r="BY6" s="178" t="s">
        <v>1146</v>
      </c>
      <c r="BZ6" s="178" t="s">
        <v>1090</v>
      </c>
      <c r="CA6" s="178" t="s">
        <v>472</v>
      </c>
      <c r="CB6" s="178" t="s">
        <v>88</v>
      </c>
      <c r="CC6" s="178" t="s">
        <v>88</v>
      </c>
    </row>
    <row r="7" spans="1:81">
      <c r="A7" s="123">
        <v>45313.423773784722</v>
      </c>
      <c r="B7" s="178" t="s">
        <v>1093</v>
      </c>
      <c r="C7" s="178" t="s">
        <v>1327</v>
      </c>
      <c r="D7" s="178" t="s">
        <v>1092</v>
      </c>
      <c r="E7" s="30">
        <v>45309</v>
      </c>
      <c r="F7" s="178" t="s">
        <v>1123</v>
      </c>
      <c r="G7" s="178" t="s">
        <v>279</v>
      </c>
      <c r="H7" s="178" t="s">
        <v>279</v>
      </c>
      <c r="I7" s="178" t="s">
        <v>279</v>
      </c>
      <c r="J7">
        <v>72</v>
      </c>
      <c r="K7" s="178" t="s">
        <v>203</v>
      </c>
      <c r="L7" s="178" t="s">
        <v>284</v>
      </c>
      <c r="M7" s="178" t="s">
        <v>1328</v>
      </c>
      <c r="N7" s="30">
        <v>46411</v>
      </c>
      <c r="O7" s="178" t="s">
        <v>283</v>
      </c>
      <c r="P7" s="178" t="s">
        <v>1329</v>
      </c>
      <c r="Q7" s="178" t="s">
        <v>1124</v>
      </c>
      <c r="R7">
        <v>12</v>
      </c>
      <c r="S7" s="178" t="s">
        <v>282</v>
      </c>
      <c r="T7" s="178" t="s">
        <v>708</v>
      </c>
      <c r="U7" s="178" t="s">
        <v>1330</v>
      </c>
      <c r="V7" s="178" t="s">
        <v>280</v>
      </c>
      <c r="W7">
        <v>100</v>
      </c>
      <c r="Y7" s="178" t="s">
        <v>710</v>
      </c>
      <c r="Z7" s="178" t="s">
        <v>1125</v>
      </c>
      <c r="AA7" s="178" t="s">
        <v>88</v>
      </c>
      <c r="AF7" s="178" t="s">
        <v>1331</v>
      </c>
      <c r="AG7" s="178" t="s">
        <v>228</v>
      </c>
      <c r="AH7" s="178" t="s">
        <v>1332</v>
      </c>
      <c r="AI7" s="178" t="s">
        <v>279</v>
      </c>
      <c r="AJ7" s="178" t="s">
        <v>88</v>
      </c>
      <c r="AK7" s="178" t="s">
        <v>226</v>
      </c>
      <c r="AL7" s="178" t="s">
        <v>232</v>
      </c>
      <c r="AM7" s="178" t="s">
        <v>693</v>
      </c>
      <c r="AN7" s="178" t="s">
        <v>278</v>
      </c>
      <c r="AO7" s="178" t="s">
        <v>286</v>
      </c>
      <c r="AQ7" s="178" t="s">
        <v>88</v>
      </c>
      <c r="AR7" s="178" t="s">
        <v>88</v>
      </c>
      <c r="AS7" s="178" t="s">
        <v>1333</v>
      </c>
      <c r="AT7" s="178" t="s">
        <v>1334</v>
      </c>
      <c r="AU7">
        <v>100</v>
      </c>
      <c r="AV7">
        <v>72</v>
      </c>
      <c r="AW7" s="30">
        <v>45315</v>
      </c>
      <c r="AX7" s="30"/>
      <c r="AY7">
        <v>1.68</v>
      </c>
      <c r="AZ7" s="178" t="s">
        <v>88</v>
      </c>
      <c r="BA7" s="30">
        <v>45497</v>
      </c>
      <c r="BB7" s="178" t="s">
        <v>1093</v>
      </c>
      <c r="BC7" s="178" t="s">
        <v>88</v>
      </c>
      <c r="BD7" s="30">
        <v>45315</v>
      </c>
      <c r="BE7" s="178" t="s">
        <v>1124</v>
      </c>
      <c r="BF7" s="30">
        <v>45315</v>
      </c>
      <c r="BG7" s="178" t="s">
        <v>709</v>
      </c>
      <c r="BH7" s="178" t="s">
        <v>1335</v>
      </c>
      <c r="BI7" s="178" t="s">
        <v>1336</v>
      </c>
      <c r="BJ7" s="178" t="s">
        <v>277</v>
      </c>
      <c r="BK7" s="178" t="s">
        <v>277</v>
      </c>
      <c r="BL7" s="178" t="s">
        <v>276</v>
      </c>
      <c r="BM7" s="178" t="s">
        <v>275</v>
      </c>
      <c r="BN7" s="178" t="s">
        <v>274</v>
      </c>
      <c r="BO7" s="178" t="s">
        <v>88</v>
      </c>
      <c r="BP7" s="178" t="s">
        <v>113</v>
      </c>
      <c r="BQ7" s="178" t="s">
        <v>88</v>
      </c>
      <c r="BR7" s="178" t="s">
        <v>88</v>
      </c>
      <c r="BS7" s="178" t="s">
        <v>191</v>
      </c>
      <c r="BT7" s="178" t="s">
        <v>1094</v>
      </c>
      <c r="BU7" s="178" t="s">
        <v>192</v>
      </c>
      <c r="BV7" s="178" t="s">
        <v>88</v>
      </c>
      <c r="BW7" s="178" t="s">
        <v>88</v>
      </c>
      <c r="BY7" s="178" t="s">
        <v>79</v>
      </c>
      <c r="BZ7" s="178" t="s">
        <v>79</v>
      </c>
      <c r="CA7" s="178" t="s">
        <v>1292</v>
      </c>
      <c r="CB7" s="178" t="s">
        <v>88</v>
      </c>
      <c r="CC7" s="178" t="s">
        <v>1337</v>
      </c>
    </row>
    <row r="8" spans="1:81">
      <c r="A8" s="123">
        <v>45313.423773784722</v>
      </c>
      <c r="B8" s="178" t="s">
        <v>1096</v>
      </c>
      <c r="C8" s="178" t="s">
        <v>1338</v>
      </c>
      <c r="D8" s="178" t="s">
        <v>1095</v>
      </c>
      <c r="E8" s="30">
        <v>45309</v>
      </c>
      <c r="F8" s="178" t="s">
        <v>1121</v>
      </c>
      <c r="G8" s="178" t="s">
        <v>279</v>
      </c>
      <c r="H8" s="178" t="s">
        <v>279</v>
      </c>
      <c r="I8" s="178" t="s">
        <v>279</v>
      </c>
      <c r="J8">
        <v>9</v>
      </c>
      <c r="K8" s="178" t="s">
        <v>102</v>
      </c>
      <c r="L8" s="178" t="s">
        <v>284</v>
      </c>
      <c r="M8" s="178" t="s">
        <v>1339</v>
      </c>
      <c r="N8" s="30">
        <v>46412</v>
      </c>
      <c r="O8" s="178" t="s">
        <v>287</v>
      </c>
      <c r="P8" s="178" t="s">
        <v>1340</v>
      </c>
      <c r="Q8" s="178" t="s">
        <v>1122</v>
      </c>
      <c r="R8">
        <v>45</v>
      </c>
      <c r="S8" s="178" t="s">
        <v>282</v>
      </c>
      <c r="T8" s="178" t="s">
        <v>1341</v>
      </c>
      <c r="U8" s="178" t="s">
        <v>1342</v>
      </c>
      <c r="V8" s="178" t="s">
        <v>280</v>
      </c>
      <c r="W8">
        <v>100</v>
      </c>
      <c r="Y8" s="178" t="s">
        <v>500</v>
      </c>
      <c r="Z8" s="178" t="s">
        <v>1343</v>
      </c>
      <c r="AA8" s="178" t="s">
        <v>1528</v>
      </c>
      <c r="AF8" s="178" t="s">
        <v>1344</v>
      </c>
      <c r="AG8" s="178" t="s">
        <v>228</v>
      </c>
      <c r="AH8" s="178" t="s">
        <v>1345</v>
      </c>
      <c r="AI8" s="178" t="s">
        <v>279</v>
      </c>
      <c r="AJ8" s="178" t="s">
        <v>494</v>
      </c>
      <c r="AK8" s="178" t="s">
        <v>88</v>
      </c>
      <c r="AL8" s="178" t="s">
        <v>1</v>
      </c>
      <c r="AM8" s="178" t="s">
        <v>1254</v>
      </c>
      <c r="AN8" s="178" t="s">
        <v>278</v>
      </c>
      <c r="AO8" s="178" t="s">
        <v>286</v>
      </c>
      <c r="AQ8" s="178" t="s">
        <v>88</v>
      </c>
      <c r="AR8" s="178" t="s">
        <v>88</v>
      </c>
      <c r="AS8" s="178" t="s">
        <v>88</v>
      </c>
      <c r="AT8" s="178" t="s">
        <v>1346</v>
      </c>
      <c r="AU8">
        <v>10000</v>
      </c>
      <c r="AV8">
        <v>9</v>
      </c>
      <c r="AW8" s="30">
        <v>45316</v>
      </c>
      <c r="AX8" s="30"/>
      <c r="AY8">
        <v>4.05</v>
      </c>
      <c r="AZ8" s="178" t="s">
        <v>88</v>
      </c>
      <c r="BA8" s="30">
        <v>45498</v>
      </c>
      <c r="BB8" s="178" t="s">
        <v>1301</v>
      </c>
      <c r="BC8" s="178" t="s">
        <v>88</v>
      </c>
      <c r="BD8" s="30">
        <v>45316</v>
      </c>
      <c r="BE8" s="178" t="s">
        <v>1122</v>
      </c>
      <c r="BF8" s="30">
        <v>45316</v>
      </c>
      <c r="BG8" s="178" t="s">
        <v>709</v>
      </c>
      <c r="BH8" s="178" t="s">
        <v>1347</v>
      </c>
      <c r="BI8" s="178" t="s">
        <v>1348</v>
      </c>
      <c r="BJ8" s="178" t="s">
        <v>277</v>
      </c>
      <c r="BK8" s="178" t="s">
        <v>277</v>
      </c>
      <c r="BL8" s="178" t="s">
        <v>276</v>
      </c>
      <c r="BM8" s="178" t="s">
        <v>275</v>
      </c>
      <c r="BN8" s="178" t="s">
        <v>274</v>
      </c>
      <c r="BO8" s="178" t="s">
        <v>88</v>
      </c>
      <c r="BP8" s="178" t="s">
        <v>113</v>
      </c>
      <c r="BQ8" s="178" t="s">
        <v>1096</v>
      </c>
      <c r="BR8" s="178" t="s">
        <v>88</v>
      </c>
      <c r="BS8" s="178" t="s">
        <v>191</v>
      </c>
      <c r="BT8" s="178" t="s">
        <v>1097</v>
      </c>
      <c r="BU8" s="178" t="s">
        <v>490</v>
      </c>
      <c r="BV8" s="178" t="s">
        <v>88</v>
      </c>
      <c r="BW8" s="178" t="s">
        <v>88</v>
      </c>
      <c r="BY8" s="178" t="s">
        <v>79</v>
      </c>
      <c r="BZ8" s="178" t="s">
        <v>79</v>
      </c>
      <c r="CA8" s="178" t="s">
        <v>472</v>
      </c>
      <c r="CB8" s="178" t="s">
        <v>88</v>
      </c>
      <c r="CC8" s="178" t="s">
        <v>1349</v>
      </c>
    </row>
    <row r="9" spans="1:81">
      <c r="A9" s="123">
        <v>45313.423773784722</v>
      </c>
      <c r="B9" s="178" t="s">
        <v>1099</v>
      </c>
      <c r="C9" s="178" t="s">
        <v>1350</v>
      </c>
      <c r="D9" s="178" t="s">
        <v>1098</v>
      </c>
      <c r="E9" s="30">
        <v>45309</v>
      </c>
      <c r="F9" s="178" t="s">
        <v>1127</v>
      </c>
      <c r="G9" s="178" t="s">
        <v>712</v>
      </c>
      <c r="H9" s="178" t="s">
        <v>700</v>
      </c>
      <c r="I9" s="178" t="s">
        <v>279</v>
      </c>
      <c r="J9">
        <v>147</v>
      </c>
      <c r="K9" s="178" t="s">
        <v>203</v>
      </c>
      <c r="L9" s="178" t="s">
        <v>284</v>
      </c>
      <c r="M9" s="178" t="s">
        <v>1145</v>
      </c>
      <c r="N9" s="30">
        <v>46412</v>
      </c>
      <c r="O9" s="178" t="s">
        <v>1351</v>
      </c>
      <c r="P9" s="178" t="s">
        <v>88</v>
      </c>
      <c r="Q9" s="178" t="s">
        <v>88</v>
      </c>
      <c r="S9" s="178" t="s">
        <v>282</v>
      </c>
      <c r="T9" s="178" t="s">
        <v>294</v>
      </c>
      <c r="U9" s="178" t="s">
        <v>88</v>
      </c>
      <c r="V9" s="178" t="s">
        <v>280</v>
      </c>
      <c r="W9">
        <v>100</v>
      </c>
      <c r="Y9" s="178" t="s">
        <v>698</v>
      </c>
      <c r="Z9" s="178" t="s">
        <v>1352</v>
      </c>
      <c r="AA9" s="178" t="s">
        <v>88</v>
      </c>
      <c r="AF9" s="178" t="s">
        <v>1353</v>
      </c>
      <c r="AG9" s="178" t="s">
        <v>228</v>
      </c>
      <c r="AH9" s="178" t="s">
        <v>518</v>
      </c>
      <c r="AI9" s="178" t="s">
        <v>279</v>
      </c>
      <c r="AJ9" s="178" t="s">
        <v>88</v>
      </c>
      <c r="AK9" s="178" t="s">
        <v>88</v>
      </c>
      <c r="AL9" s="178" t="s">
        <v>80</v>
      </c>
      <c r="AM9" s="178" t="s">
        <v>1254</v>
      </c>
      <c r="AN9" s="178" t="s">
        <v>536</v>
      </c>
      <c r="AO9" s="178" t="s">
        <v>285</v>
      </c>
      <c r="AQ9" s="178" t="s">
        <v>88</v>
      </c>
      <c r="AR9" s="178" t="s">
        <v>88</v>
      </c>
      <c r="AS9" s="178" t="s">
        <v>88</v>
      </c>
      <c r="AT9" s="178" t="s">
        <v>1354</v>
      </c>
      <c r="AU9">
        <v>100000000</v>
      </c>
      <c r="AV9">
        <v>147</v>
      </c>
      <c r="AW9" s="30">
        <v>45316</v>
      </c>
      <c r="AX9" s="30"/>
      <c r="AY9">
        <v>1</v>
      </c>
      <c r="AZ9" s="178" t="s">
        <v>88</v>
      </c>
      <c r="BA9" s="30">
        <v>45498</v>
      </c>
      <c r="BB9" s="178" t="s">
        <v>1302</v>
      </c>
      <c r="BC9" s="178" t="s">
        <v>1099</v>
      </c>
      <c r="BD9" s="30">
        <v>45316</v>
      </c>
      <c r="BE9" s="178" t="s">
        <v>1355</v>
      </c>
      <c r="BF9" s="30">
        <v>45316</v>
      </c>
      <c r="BG9" s="178" t="s">
        <v>88</v>
      </c>
      <c r="BH9" s="178" t="s">
        <v>1356</v>
      </c>
      <c r="BI9" s="178" t="s">
        <v>1357</v>
      </c>
      <c r="BJ9" s="178" t="s">
        <v>277</v>
      </c>
      <c r="BK9" s="178" t="s">
        <v>277</v>
      </c>
      <c r="BL9" s="178" t="s">
        <v>276</v>
      </c>
      <c r="BM9" s="178" t="s">
        <v>275</v>
      </c>
      <c r="BN9" s="178" t="s">
        <v>274</v>
      </c>
      <c r="BO9" s="178" t="s">
        <v>88</v>
      </c>
      <c r="BP9" s="178" t="s">
        <v>113</v>
      </c>
      <c r="BQ9" s="178" t="s">
        <v>88</v>
      </c>
      <c r="BR9" s="178" t="s">
        <v>88</v>
      </c>
      <c r="BS9" s="178" t="s">
        <v>191</v>
      </c>
      <c r="BT9" s="178" t="s">
        <v>1101</v>
      </c>
      <c r="BU9" s="178" t="s">
        <v>490</v>
      </c>
      <c r="BV9" s="178" t="s">
        <v>88</v>
      </c>
      <c r="BW9" s="178" t="s">
        <v>88</v>
      </c>
      <c r="BY9" s="178" t="s">
        <v>1100</v>
      </c>
      <c r="BZ9" s="178" t="s">
        <v>1100</v>
      </c>
      <c r="CA9" s="178" t="s">
        <v>472</v>
      </c>
      <c r="CB9" s="178" t="s">
        <v>88</v>
      </c>
      <c r="CC9" s="178" t="s">
        <v>88</v>
      </c>
    </row>
    <row r="10" spans="1:81">
      <c r="A10" s="123">
        <v>45313.423773784722</v>
      </c>
      <c r="B10" s="178" t="s">
        <v>701</v>
      </c>
      <c r="C10" s="178" t="s">
        <v>1358</v>
      </c>
      <c r="D10" s="178" t="s">
        <v>1102</v>
      </c>
      <c r="E10" s="30">
        <v>45308</v>
      </c>
      <c r="F10" s="178" t="s">
        <v>1359</v>
      </c>
      <c r="G10" s="178" t="s">
        <v>703</v>
      </c>
      <c r="H10" s="178" t="s">
        <v>700</v>
      </c>
      <c r="I10" s="178" t="s">
        <v>279</v>
      </c>
      <c r="J10">
        <v>0.1</v>
      </c>
      <c r="K10" s="178" t="s">
        <v>81</v>
      </c>
      <c r="L10" s="178" t="s">
        <v>730</v>
      </c>
      <c r="M10" s="178" t="s">
        <v>805</v>
      </c>
      <c r="N10" s="30">
        <v>45491</v>
      </c>
      <c r="O10" s="178" t="s">
        <v>105</v>
      </c>
      <c r="P10" s="178" t="s">
        <v>88</v>
      </c>
      <c r="Q10" s="178" t="s">
        <v>88</v>
      </c>
      <c r="S10" s="178" t="s">
        <v>88</v>
      </c>
      <c r="T10" s="178" t="s">
        <v>294</v>
      </c>
      <c r="U10" s="178" t="s">
        <v>88</v>
      </c>
      <c r="V10" s="178" t="s">
        <v>280</v>
      </c>
      <c r="W10">
        <v>100</v>
      </c>
      <c r="Y10" s="178" t="s">
        <v>698</v>
      </c>
      <c r="Z10" s="178" t="s">
        <v>699</v>
      </c>
      <c r="AA10" s="178" t="s">
        <v>88</v>
      </c>
      <c r="AF10" s="178" t="s">
        <v>88</v>
      </c>
      <c r="AG10" s="178" t="s">
        <v>228</v>
      </c>
      <c r="AH10" s="178" t="s">
        <v>295</v>
      </c>
      <c r="AI10" s="178" t="s">
        <v>279</v>
      </c>
      <c r="AJ10" s="178" t="s">
        <v>88</v>
      </c>
      <c r="AK10" s="178" t="s">
        <v>88</v>
      </c>
      <c r="AL10" s="178" t="s">
        <v>80</v>
      </c>
      <c r="AM10" s="178" t="s">
        <v>1529</v>
      </c>
      <c r="AN10" s="178" t="s">
        <v>704</v>
      </c>
      <c r="AO10" s="178" t="s">
        <v>285</v>
      </c>
      <c r="AQ10" s="178" t="s">
        <v>88</v>
      </c>
      <c r="AR10" s="178" t="s">
        <v>88</v>
      </c>
      <c r="AS10" s="178" t="s">
        <v>88</v>
      </c>
      <c r="AT10" s="178" t="s">
        <v>705</v>
      </c>
      <c r="AU10">
        <v>200000</v>
      </c>
      <c r="AV10">
        <v>0.1</v>
      </c>
      <c r="AW10" s="30">
        <v>45309</v>
      </c>
      <c r="AX10" s="30"/>
      <c r="AY10">
        <v>6</v>
      </c>
      <c r="AZ10" s="178" t="s">
        <v>88</v>
      </c>
      <c r="BA10" s="30">
        <v>45491</v>
      </c>
      <c r="BB10" s="178" t="s">
        <v>706</v>
      </c>
      <c r="BC10" s="178" t="s">
        <v>701</v>
      </c>
      <c r="BD10" s="30">
        <v>45309</v>
      </c>
      <c r="BE10" s="178" t="s">
        <v>88</v>
      </c>
      <c r="BF10" s="30">
        <v>45309</v>
      </c>
      <c r="BG10" s="178" t="s">
        <v>88</v>
      </c>
      <c r="BH10" s="178" t="s">
        <v>88</v>
      </c>
      <c r="BI10" s="178" t="s">
        <v>88</v>
      </c>
      <c r="BJ10" s="178" t="s">
        <v>277</v>
      </c>
      <c r="BK10" s="178" t="s">
        <v>277</v>
      </c>
      <c r="BL10" s="178" t="s">
        <v>276</v>
      </c>
      <c r="BM10" s="178" t="s">
        <v>275</v>
      </c>
      <c r="BN10" s="178" t="s">
        <v>274</v>
      </c>
      <c r="BO10" s="178" t="s">
        <v>88</v>
      </c>
      <c r="BP10" s="178" t="s">
        <v>711</v>
      </c>
      <c r="BQ10" s="178" t="s">
        <v>88</v>
      </c>
      <c r="BR10" s="178" t="s">
        <v>88</v>
      </c>
      <c r="BS10" s="178" t="s">
        <v>191</v>
      </c>
      <c r="BT10" s="178" t="s">
        <v>1103</v>
      </c>
      <c r="BU10" s="178" t="s">
        <v>772</v>
      </c>
      <c r="BV10" s="178" t="s">
        <v>88</v>
      </c>
      <c r="BW10" s="178" t="s">
        <v>88</v>
      </c>
      <c r="BY10" s="178" t="s">
        <v>79</v>
      </c>
      <c r="BZ10" s="178" t="s">
        <v>773</v>
      </c>
      <c r="CA10" s="178" t="s">
        <v>472</v>
      </c>
      <c r="CB10" s="178" t="s">
        <v>88</v>
      </c>
      <c r="CC10" s="178" t="s">
        <v>88</v>
      </c>
    </row>
    <row r="11" spans="1:81">
      <c r="A11" s="123">
        <v>45313.423773784722</v>
      </c>
      <c r="B11" s="178" t="s">
        <v>701</v>
      </c>
      <c r="C11" s="178" t="s">
        <v>1360</v>
      </c>
      <c r="D11" s="178" t="s">
        <v>1104</v>
      </c>
      <c r="E11" s="30">
        <v>45308</v>
      </c>
      <c r="F11" s="178" t="s">
        <v>1361</v>
      </c>
      <c r="G11" s="178" t="s">
        <v>703</v>
      </c>
      <c r="H11" s="178" t="s">
        <v>700</v>
      </c>
      <c r="I11" s="178" t="s">
        <v>279</v>
      </c>
      <c r="J11">
        <v>1.2</v>
      </c>
      <c r="K11" s="178" t="s">
        <v>102</v>
      </c>
      <c r="L11" s="178" t="s">
        <v>785</v>
      </c>
      <c r="M11" s="178" t="s">
        <v>1362</v>
      </c>
      <c r="N11" s="30">
        <v>45400</v>
      </c>
      <c r="O11" s="178" t="s">
        <v>105</v>
      </c>
      <c r="P11" s="178" t="s">
        <v>88</v>
      </c>
      <c r="Q11" s="178" t="s">
        <v>88</v>
      </c>
      <c r="S11" s="178" t="s">
        <v>88</v>
      </c>
      <c r="T11" s="178" t="s">
        <v>294</v>
      </c>
      <c r="U11" s="178" t="s">
        <v>88</v>
      </c>
      <c r="V11" s="178" t="s">
        <v>280</v>
      </c>
      <c r="W11">
        <v>100</v>
      </c>
      <c r="Y11" s="178" t="s">
        <v>698</v>
      </c>
      <c r="Z11" s="178" t="s">
        <v>699</v>
      </c>
      <c r="AA11" s="178" t="s">
        <v>88</v>
      </c>
      <c r="AF11" s="178" t="s">
        <v>88</v>
      </c>
      <c r="AG11" s="178" t="s">
        <v>228</v>
      </c>
      <c r="AH11" s="178" t="s">
        <v>295</v>
      </c>
      <c r="AI11" s="178" t="s">
        <v>279</v>
      </c>
      <c r="AJ11" s="178" t="s">
        <v>88</v>
      </c>
      <c r="AK11" s="178" t="s">
        <v>88</v>
      </c>
      <c r="AL11" s="178" t="s">
        <v>80</v>
      </c>
      <c r="AM11" s="178" t="s">
        <v>1530</v>
      </c>
      <c r="AN11" s="178" t="s">
        <v>704</v>
      </c>
      <c r="AO11" s="178" t="s">
        <v>285</v>
      </c>
      <c r="AQ11" s="178" t="s">
        <v>88</v>
      </c>
      <c r="AR11" s="178" t="s">
        <v>88</v>
      </c>
      <c r="AS11" s="178" t="s">
        <v>88</v>
      </c>
      <c r="AT11" s="178" t="s">
        <v>705</v>
      </c>
      <c r="AU11">
        <v>200</v>
      </c>
      <c r="AV11">
        <v>1.2</v>
      </c>
      <c r="AW11" s="30">
        <v>45309</v>
      </c>
      <c r="AX11" s="30"/>
      <c r="AY11">
        <v>3.6</v>
      </c>
      <c r="AZ11" s="178" t="s">
        <v>88</v>
      </c>
      <c r="BA11" s="30">
        <v>45400</v>
      </c>
      <c r="BB11" s="178" t="s">
        <v>706</v>
      </c>
      <c r="BC11" s="178" t="s">
        <v>701</v>
      </c>
      <c r="BD11" s="30">
        <v>45309</v>
      </c>
      <c r="BE11" s="178" t="s">
        <v>88</v>
      </c>
      <c r="BF11" s="30">
        <v>45309</v>
      </c>
      <c r="BG11" s="178" t="s">
        <v>88</v>
      </c>
      <c r="BH11" s="178" t="s">
        <v>88</v>
      </c>
      <c r="BI11" s="178" t="s">
        <v>88</v>
      </c>
      <c r="BJ11" s="178" t="s">
        <v>277</v>
      </c>
      <c r="BK11" s="178" t="s">
        <v>277</v>
      </c>
      <c r="BL11" s="178" t="s">
        <v>276</v>
      </c>
      <c r="BM11" s="178" t="s">
        <v>275</v>
      </c>
      <c r="BN11" s="178" t="s">
        <v>274</v>
      </c>
      <c r="BO11" s="178" t="s">
        <v>88</v>
      </c>
      <c r="BP11" s="178" t="s">
        <v>711</v>
      </c>
      <c r="BQ11" s="178" t="s">
        <v>88</v>
      </c>
      <c r="BR11" s="178" t="s">
        <v>88</v>
      </c>
      <c r="BS11" s="178" t="s">
        <v>191</v>
      </c>
      <c r="BT11" s="178" t="s">
        <v>1105</v>
      </c>
      <c r="BU11" s="178" t="s">
        <v>772</v>
      </c>
      <c r="BV11" s="178" t="s">
        <v>88</v>
      </c>
      <c r="BW11" s="178" t="s">
        <v>88</v>
      </c>
      <c r="BY11" s="178" t="s">
        <v>79</v>
      </c>
      <c r="BZ11" s="178" t="s">
        <v>773</v>
      </c>
      <c r="CA11" s="178" t="s">
        <v>472</v>
      </c>
      <c r="CB11" s="178" t="s">
        <v>88</v>
      </c>
      <c r="CC11" s="178" t="s">
        <v>88</v>
      </c>
    </row>
    <row r="12" spans="1:81">
      <c r="A12" s="123">
        <v>45313.423773784722</v>
      </c>
      <c r="B12" s="178" t="s">
        <v>535</v>
      </c>
      <c r="C12" s="178" t="s">
        <v>1363</v>
      </c>
      <c r="D12" s="178" t="s">
        <v>1106</v>
      </c>
      <c r="E12" s="30">
        <v>45308</v>
      </c>
      <c r="F12" s="178" t="s">
        <v>1133</v>
      </c>
      <c r="G12" s="178" t="s">
        <v>1288</v>
      </c>
      <c r="H12" s="178" t="s">
        <v>790</v>
      </c>
      <c r="I12" s="178" t="s">
        <v>279</v>
      </c>
      <c r="J12">
        <v>6</v>
      </c>
      <c r="K12" s="178" t="s">
        <v>81</v>
      </c>
      <c r="L12" s="178" t="s">
        <v>284</v>
      </c>
      <c r="M12" s="178" t="s">
        <v>1364</v>
      </c>
      <c r="N12" s="30">
        <v>46411</v>
      </c>
      <c r="O12" s="178" t="s">
        <v>283</v>
      </c>
      <c r="P12" s="178" t="s">
        <v>88</v>
      </c>
      <c r="Q12" s="178" t="s">
        <v>88</v>
      </c>
      <c r="S12" s="178" t="s">
        <v>282</v>
      </c>
      <c r="T12" s="178" t="s">
        <v>281</v>
      </c>
      <c r="U12" s="178" t="s">
        <v>88</v>
      </c>
      <c r="V12" s="178" t="s">
        <v>280</v>
      </c>
      <c r="W12">
        <v>100</v>
      </c>
      <c r="Y12" s="178" t="s">
        <v>288</v>
      </c>
      <c r="Z12" s="178" t="s">
        <v>1365</v>
      </c>
      <c r="AA12" s="178" t="s">
        <v>88</v>
      </c>
      <c r="AB12">
        <v>12</v>
      </c>
      <c r="AC12">
        <v>2</v>
      </c>
      <c r="AF12" s="178" t="s">
        <v>1366</v>
      </c>
      <c r="AG12" s="178" t="s">
        <v>228</v>
      </c>
      <c r="AH12" s="178" t="s">
        <v>269</v>
      </c>
      <c r="AI12" s="178" t="s">
        <v>279</v>
      </c>
      <c r="AJ12" s="178" t="s">
        <v>787</v>
      </c>
      <c r="AK12" s="178" t="s">
        <v>88</v>
      </c>
      <c r="AL12" s="178" t="s">
        <v>80</v>
      </c>
      <c r="AM12" s="178" t="s">
        <v>693</v>
      </c>
      <c r="AN12" s="178" t="s">
        <v>1290</v>
      </c>
      <c r="AO12" s="178" t="s">
        <v>285</v>
      </c>
      <c r="AP12">
        <v>53</v>
      </c>
      <c r="AQ12" s="178" t="s">
        <v>1367</v>
      </c>
      <c r="AR12" s="178" t="s">
        <v>1309</v>
      </c>
      <c r="AS12" s="178" t="s">
        <v>1368</v>
      </c>
      <c r="AT12" s="178" t="s">
        <v>1369</v>
      </c>
      <c r="AU12">
        <v>1000</v>
      </c>
      <c r="AV12">
        <v>6</v>
      </c>
      <c r="AW12" s="30">
        <v>45315</v>
      </c>
      <c r="AX12" s="30"/>
      <c r="AY12">
        <v>5.9851000000000001</v>
      </c>
      <c r="AZ12" s="178" t="s">
        <v>1370</v>
      </c>
      <c r="BA12" s="30">
        <v>45406</v>
      </c>
      <c r="BB12" s="178" t="s">
        <v>1303</v>
      </c>
      <c r="BC12" s="178" t="s">
        <v>88</v>
      </c>
      <c r="BD12" s="30">
        <v>45315</v>
      </c>
      <c r="BE12" s="178" t="s">
        <v>1371</v>
      </c>
      <c r="BF12" s="30">
        <v>45315</v>
      </c>
      <c r="BG12" s="178" t="s">
        <v>88</v>
      </c>
      <c r="BH12" s="178" t="s">
        <v>1372</v>
      </c>
      <c r="BI12" s="178" t="s">
        <v>1373</v>
      </c>
      <c r="BJ12" s="178" t="s">
        <v>277</v>
      </c>
      <c r="BK12" s="178" t="s">
        <v>277</v>
      </c>
      <c r="BL12" s="178" t="s">
        <v>1287</v>
      </c>
      <c r="BM12" s="178" t="s">
        <v>275</v>
      </c>
      <c r="BN12" s="178" t="s">
        <v>274</v>
      </c>
      <c r="BO12" s="178" t="s">
        <v>88</v>
      </c>
      <c r="BP12" s="178" t="s">
        <v>789</v>
      </c>
      <c r="BQ12" s="178" t="s">
        <v>88</v>
      </c>
      <c r="BR12" s="178" t="s">
        <v>88</v>
      </c>
      <c r="BS12" s="178" t="s">
        <v>191</v>
      </c>
      <c r="BT12" s="178" t="s">
        <v>1108</v>
      </c>
      <c r="BU12" s="178" t="s">
        <v>192</v>
      </c>
      <c r="BV12" s="178" t="s">
        <v>88</v>
      </c>
      <c r="BW12" s="178" t="s">
        <v>88</v>
      </c>
      <c r="BY12" s="178" t="s">
        <v>1107</v>
      </c>
      <c r="BZ12" s="178" t="s">
        <v>804</v>
      </c>
      <c r="CA12" s="178" t="s">
        <v>472</v>
      </c>
      <c r="CB12" s="178" t="s">
        <v>1374</v>
      </c>
      <c r="CC12" s="178" t="s">
        <v>88</v>
      </c>
    </row>
    <row r="13" spans="1:81">
      <c r="A13" s="123">
        <v>45313.423773784722</v>
      </c>
      <c r="B13" s="178" t="s">
        <v>1110</v>
      </c>
      <c r="C13" s="178" t="s">
        <v>1375</v>
      </c>
      <c r="D13" s="178" t="s">
        <v>1109</v>
      </c>
      <c r="E13" s="30">
        <v>45308</v>
      </c>
      <c r="F13" s="178" t="s">
        <v>1128</v>
      </c>
      <c r="G13" s="178" t="s">
        <v>279</v>
      </c>
      <c r="H13" s="178" t="s">
        <v>279</v>
      </c>
      <c r="I13" s="178" t="s">
        <v>279</v>
      </c>
      <c r="J13">
        <v>20</v>
      </c>
      <c r="K13" s="178" t="s">
        <v>102</v>
      </c>
      <c r="L13" s="178" t="s">
        <v>284</v>
      </c>
      <c r="M13" s="178" t="s">
        <v>1376</v>
      </c>
      <c r="N13" s="30">
        <v>46411</v>
      </c>
      <c r="O13" s="178" t="s">
        <v>287</v>
      </c>
      <c r="P13" s="178" t="s">
        <v>1377</v>
      </c>
      <c r="Q13" s="178" t="s">
        <v>1378</v>
      </c>
      <c r="R13">
        <v>14</v>
      </c>
      <c r="S13" s="178" t="s">
        <v>282</v>
      </c>
      <c r="T13" s="178" t="s">
        <v>281</v>
      </c>
      <c r="U13" s="178" t="s">
        <v>88</v>
      </c>
      <c r="V13" s="178" t="s">
        <v>280</v>
      </c>
      <c r="W13">
        <v>100</v>
      </c>
      <c r="Y13" s="178" t="s">
        <v>797</v>
      </c>
      <c r="Z13" s="178" t="s">
        <v>1129</v>
      </c>
      <c r="AA13" s="178" t="s">
        <v>88</v>
      </c>
      <c r="AF13" s="178" t="s">
        <v>1379</v>
      </c>
      <c r="AG13" s="178" t="s">
        <v>228</v>
      </c>
      <c r="AH13" s="178" t="s">
        <v>695</v>
      </c>
      <c r="AI13" s="178" t="s">
        <v>279</v>
      </c>
      <c r="AJ13" s="178" t="s">
        <v>494</v>
      </c>
      <c r="AK13" s="178" t="s">
        <v>88</v>
      </c>
      <c r="AL13" s="178" t="s">
        <v>1</v>
      </c>
      <c r="AM13" s="178" t="s">
        <v>693</v>
      </c>
      <c r="AN13" s="178" t="s">
        <v>1380</v>
      </c>
      <c r="AO13" s="178" t="s">
        <v>286</v>
      </c>
      <c r="AQ13" s="178" t="s">
        <v>88</v>
      </c>
      <c r="AR13" s="178" t="s">
        <v>88</v>
      </c>
      <c r="AS13" s="178" t="s">
        <v>1381</v>
      </c>
      <c r="AT13" s="178" t="s">
        <v>1382</v>
      </c>
      <c r="AU13">
        <v>10000</v>
      </c>
      <c r="AV13">
        <v>20</v>
      </c>
      <c r="AW13" s="30">
        <v>45315</v>
      </c>
      <c r="AX13" s="30"/>
      <c r="AY13">
        <v>4.8600000000000003</v>
      </c>
      <c r="AZ13" s="178" t="s">
        <v>88</v>
      </c>
      <c r="BA13" s="30">
        <v>45681</v>
      </c>
      <c r="BB13" s="178" t="s">
        <v>1110</v>
      </c>
      <c r="BC13" s="178" t="s">
        <v>88</v>
      </c>
      <c r="BD13" s="30">
        <v>45315</v>
      </c>
      <c r="BE13" s="178" t="s">
        <v>1378</v>
      </c>
      <c r="BF13" s="30">
        <v>45315</v>
      </c>
      <c r="BG13" s="178" t="s">
        <v>692</v>
      </c>
      <c r="BH13" s="178" t="s">
        <v>1383</v>
      </c>
      <c r="BI13" s="178" t="s">
        <v>1384</v>
      </c>
      <c r="BJ13" s="178" t="s">
        <v>277</v>
      </c>
      <c r="BK13" s="178" t="s">
        <v>277</v>
      </c>
      <c r="BL13" s="178" t="s">
        <v>276</v>
      </c>
      <c r="BM13" s="178" t="s">
        <v>275</v>
      </c>
      <c r="BN13" s="178" t="s">
        <v>274</v>
      </c>
      <c r="BO13" s="178" t="s">
        <v>88</v>
      </c>
      <c r="BP13" s="178" t="s">
        <v>1385</v>
      </c>
      <c r="BQ13" s="178" t="s">
        <v>88</v>
      </c>
      <c r="BR13" s="178" t="s">
        <v>88</v>
      </c>
      <c r="BS13" s="178" t="s">
        <v>191</v>
      </c>
      <c r="BT13" s="178" t="s">
        <v>1111</v>
      </c>
      <c r="BU13" s="178" t="s">
        <v>192</v>
      </c>
      <c r="BV13" s="178" t="s">
        <v>88</v>
      </c>
      <c r="BW13" s="178" t="s">
        <v>88</v>
      </c>
      <c r="BY13" s="178" t="s">
        <v>79</v>
      </c>
      <c r="BZ13" s="178" t="s">
        <v>79</v>
      </c>
      <c r="CA13" s="178" t="s">
        <v>472</v>
      </c>
      <c r="CB13" s="178" t="s">
        <v>88</v>
      </c>
      <c r="CC13" s="178" t="s">
        <v>88</v>
      </c>
    </row>
    <row r="14" spans="1:81">
      <c r="A14" s="123">
        <v>45313.423773784722</v>
      </c>
      <c r="B14" s="178" t="s">
        <v>1113</v>
      </c>
      <c r="C14" s="178" t="s">
        <v>1386</v>
      </c>
      <c r="D14" s="178" t="s">
        <v>1112</v>
      </c>
      <c r="E14" s="30">
        <v>45308</v>
      </c>
      <c r="F14" s="178" t="s">
        <v>1130</v>
      </c>
      <c r="G14" s="178" t="s">
        <v>279</v>
      </c>
      <c r="H14" s="178" t="s">
        <v>279</v>
      </c>
      <c r="I14" s="178" t="s">
        <v>279</v>
      </c>
      <c r="J14">
        <v>1.9790000000000001</v>
      </c>
      <c r="K14" s="178" t="s">
        <v>102</v>
      </c>
      <c r="L14" s="178" t="s">
        <v>284</v>
      </c>
      <c r="M14" s="178" t="s">
        <v>1387</v>
      </c>
      <c r="N14" s="30">
        <v>46411</v>
      </c>
      <c r="O14" s="178" t="s">
        <v>287</v>
      </c>
      <c r="P14" s="178" t="s">
        <v>88</v>
      </c>
      <c r="Q14" s="178" t="s">
        <v>1131</v>
      </c>
      <c r="S14" s="178" t="s">
        <v>282</v>
      </c>
      <c r="T14" s="178" t="s">
        <v>708</v>
      </c>
      <c r="U14" s="178" t="s">
        <v>1388</v>
      </c>
      <c r="V14" s="178" t="s">
        <v>280</v>
      </c>
      <c r="W14">
        <v>100</v>
      </c>
      <c r="Y14" s="178" t="s">
        <v>710</v>
      </c>
      <c r="Z14" s="178" t="s">
        <v>1389</v>
      </c>
      <c r="AA14" s="178" t="s">
        <v>88</v>
      </c>
      <c r="AF14" s="178" t="s">
        <v>1390</v>
      </c>
      <c r="AG14" s="178" t="s">
        <v>228</v>
      </c>
      <c r="AH14" s="178" t="s">
        <v>695</v>
      </c>
      <c r="AI14" s="178" t="s">
        <v>279</v>
      </c>
      <c r="AJ14" s="178" t="s">
        <v>88</v>
      </c>
      <c r="AK14" s="178" t="s">
        <v>88</v>
      </c>
      <c r="AL14" s="178" t="s">
        <v>2</v>
      </c>
      <c r="AM14" s="178" t="s">
        <v>693</v>
      </c>
      <c r="AN14" s="178" t="s">
        <v>1380</v>
      </c>
      <c r="AO14" s="178" t="s">
        <v>286</v>
      </c>
      <c r="AQ14" s="178" t="s">
        <v>88</v>
      </c>
      <c r="AR14" s="178" t="s">
        <v>88</v>
      </c>
      <c r="AS14" s="178" t="s">
        <v>1391</v>
      </c>
      <c r="AT14" s="178" t="s">
        <v>1392</v>
      </c>
      <c r="AU14">
        <v>10000</v>
      </c>
      <c r="AV14">
        <v>1.9790000000000001</v>
      </c>
      <c r="AW14" s="30">
        <v>45315</v>
      </c>
      <c r="AX14" s="30"/>
      <c r="AY14">
        <v>3.58</v>
      </c>
      <c r="AZ14" s="178" t="s">
        <v>88</v>
      </c>
      <c r="BA14" s="30">
        <v>45497</v>
      </c>
      <c r="BB14" s="178" t="s">
        <v>1113</v>
      </c>
      <c r="BC14" s="178" t="s">
        <v>88</v>
      </c>
      <c r="BD14" s="30">
        <v>45315</v>
      </c>
      <c r="BE14" s="178" t="s">
        <v>1131</v>
      </c>
      <c r="BF14" s="30">
        <v>45315</v>
      </c>
      <c r="BG14" s="178" t="s">
        <v>709</v>
      </c>
      <c r="BH14" s="178" t="s">
        <v>1393</v>
      </c>
      <c r="BI14" s="178" t="s">
        <v>1394</v>
      </c>
      <c r="BJ14" s="178" t="s">
        <v>277</v>
      </c>
      <c r="BK14" s="178" t="s">
        <v>277</v>
      </c>
      <c r="BL14" s="178" t="s">
        <v>276</v>
      </c>
      <c r="BM14" s="178" t="s">
        <v>275</v>
      </c>
      <c r="BN14" s="178" t="s">
        <v>274</v>
      </c>
      <c r="BO14" s="178" t="s">
        <v>88</v>
      </c>
      <c r="BP14" s="178" t="s">
        <v>113</v>
      </c>
      <c r="BQ14" s="178" t="s">
        <v>88</v>
      </c>
      <c r="BR14" s="178" t="s">
        <v>88</v>
      </c>
      <c r="BS14" s="178" t="s">
        <v>191</v>
      </c>
      <c r="BT14" s="178" t="s">
        <v>1114</v>
      </c>
      <c r="BU14" s="178" t="s">
        <v>192</v>
      </c>
      <c r="BV14" s="178" t="s">
        <v>88</v>
      </c>
      <c r="BW14" s="178" t="s">
        <v>88</v>
      </c>
      <c r="BY14" s="178" t="s">
        <v>79</v>
      </c>
      <c r="BZ14" s="178" t="s">
        <v>79</v>
      </c>
      <c r="CA14" s="178" t="s">
        <v>472</v>
      </c>
      <c r="CB14" s="178" t="s">
        <v>88</v>
      </c>
      <c r="CC14" s="178" t="s">
        <v>1224</v>
      </c>
    </row>
    <row r="15" spans="1:81">
      <c r="A15" s="123">
        <v>45313.423773784722</v>
      </c>
      <c r="B15" s="178" t="s">
        <v>1116</v>
      </c>
      <c r="C15" s="178" t="s">
        <v>1395</v>
      </c>
      <c r="D15" s="178" t="s">
        <v>1115</v>
      </c>
      <c r="E15" s="30">
        <v>45308</v>
      </c>
      <c r="F15" s="178" t="s">
        <v>1132</v>
      </c>
      <c r="G15" s="178" t="s">
        <v>279</v>
      </c>
      <c r="H15" s="178" t="s">
        <v>279</v>
      </c>
      <c r="I15" s="178" t="s">
        <v>279</v>
      </c>
      <c r="J15">
        <v>7.5</v>
      </c>
      <c r="K15" s="178" t="s">
        <v>102</v>
      </c>
      <c r="L15" s="178" t="s">
        <v>284</v>
      </c>
      <c r="M15" s="178" t="s">
        <v>1387</v>
      </c>
      <c r="N15" s="30">
        <v>46411</v>
      </c>
      <c r="O15" s="178" t="s">
        <v>283</v>
      </c>
      <c r="P15" s="178" t="s">
        <v>1396</v>
      </c>
      <c r="Q15" s="178" t="s">
        <v>1131</v>
      </c>
      <c r="R15">
        <v>42</v>
      </c>
      <c r="S15" s="178" t="s">
        <v>282</v>
      </c>
      <c r="T15" s="178" t="s">
        <v>713</v>
      </c>
      <c r="U15" s="178" t="s">
        <v>1397</v>
      </c>
      <c r="V15" s="178" t="s">
        <v>280</v>
      </c>
      <c r="W15">
        <v>100</v>
      </c>
      <c r="Y15" s="178" t="s">
        <v>710</v>
      </c>
      <c r="Z15" s="178" t="s">
        <v>1398</v>
      </c>
      <c r="AA15" s="178" t="s">
        <v>1399</v>
      </c>
      <c r="AF15" s="178" t="s">
        <v>1400</v>
      </c>
      <c r="AG15" s="178" t="s">
        <v>228</v>
      </c>
      <c r="AH15" s="178" t="s">
        <v>1401</v>
      </c>
      <c r="AI15" s="178" t="s">
        <v>279</v>
      </c>
      <c r="AJ15" s="178" t="s">
        <v>494</v>
      </c>
      <c r="AK15" s="178" t="s">
        <v>88</v>
      </c>
      <c r="AL15" s="178" t="s">
        <v>1</v>
      </c>
      <c r="AM15" s="178" t="s">
        <v>693</v>
      </c>
      <c r="AN15" s="178" t="s">
        <v>278</v>
      </c>
      <c r="AO15" s="178" t="s">
        <v>286</v>
      </c>
      <c r="AQ15" s="178" t="s">
        <v>88</v>
      </c>
      <c r="AR15" s="178" t="s">
        <v>88</v>
      </c>
      <c r="AS15" s="178" t="s">
        <v>1402</v>
      </c>
      <c r="AT15" s="178" t="s">
        <v>1403</v>
      </c>
      <c r="AU15">
        <v>10000</v>
      </c>
      <c r="AV15">
        <v>7.5</v>
      </c>
      <c r="AW15" s="30">
        <v>45315</v>
      </c>
      <c r="AX15" s="30"/>
      <c r="AY15">
        <v>3.58</v>
      </c>
      <c r="AZ15" s="178" t="s">
        <v>88</v>
      </c>
      <c r="BA15" s="30">
        <v>45497</v>
      </c>
      <c r="BB15" s="178" t="s">
        <v>1304</v>
      </c>
      <c r="BC15" s="178" t="s">
        <v>1116</v>
      </c>
      <c r="BD15" s="30">
        <v>45315</v>
      </c>
      <c r="BE15" s="178" t="s">
        <v>1131</v>
      </c>
      <c r="BF15" s="30">
        <v>45315</v>
      </c>
      <c r="BG15" s="178" t="s">
        <v>709</v>
      </c>
      <c r="BH15" s="178" t="s">
        <v>1404</v>
      </c>
      <c r="BI15" s="178" t="s">
        <v>1405</v>
      </c>
      <c r="BJ15" s="178" t="s">
        <v>277</v>
      </c>
      <c r="BK15" s="178" t="s">
        <v>277</v>
      </c>
      <c r="BL15" s="178" t="s">
        <v>276</v>
      </c>
      <c r="BM15" s="178" t="s">
        <v>275</v>
      </c>
      <c r="BN15" s="178" t="s">
        <v>274</v>
      </c>
      <c r="BO15" s="178" t="s">
        <v>88</v>
      </c>
      <c r="BP15" s="178" t="s">
        <v>113</v>
      </c>
      <c r="BQ15" s="178" t="s">
        <v>88</v>
      </c>
      <c r="BR15" s="178" t="s">
        <v>88</v>
      </c>
      <c r="BS15" s="178" t="s">
        <v>191</v>
      </c>
      <c r="BT15" s="178" t="s">
        <v>1117</v>
      </c>
      <c r="BU15" s="178" t="s">
        <v>490</v>
      </c>
      <c r="BV15" s="178" t="s">
        <v>88</v>
      </c>
      <c r="BW15" s="178" t="s">
        <v>88</v>
      </c>
      <c r="BY15" s="178" t="s">
        <v>79</v>
      </c>
      <c r="BZ15" s="178" t="s">
        <v>79</v>
      </c>
      <c r="CA15" s="178" t="s">
        <v>472</v>
      </c>
      <c r="CB15" s="178" t="s">
        <v>88</v>
      </c>
      <c r="CC15" s="178" t="s">
        <v>1337</v>
      </c>
    </row>
    <row r="16" spans="1:81">
      <c r="A16" s="123">
        <v>45313.423773784722</v>
      </c>
      <c r="B16" s="178" t="s">
        <v>336</v>
      </c>
      <c r="C16" s="178" t="s">
        <v>1406</v>
      </c>
      <c r="D16" s="178" t="s">
        <v>1407</v>
      </c>
      <c r="E16" s="30">
        <v>45307</v>
      </c>
      <c r="F16" s="178" t="s">
        <v>1408</v>
      </c>
      <c r="G16" s="178" t="s">
        <v>1409</v>
      </c>
      <c r="H16" s="178" t="s">
        <v>788</v>
      </c>
      <c r="I16" s="178" t="s">
        <v>279</v>
      </c>
      <c r="J16">
        <v>8</v>
      </c>
      <c r="K16" s="178" t="s">
        <v>104</v>
      </c>
      <c r="L16" s="178" t="s">
        <v>284</v>
      </c>
      <c r="M16" s="178" t="s">
        <v>1410</v>
      </c>
      <c r="N16" s="30">
        <v>46412</v>
      </c>
      <c r="O16" s="178" t="s">
        <v>105</v>
      </c>
      <c r="P16" s="178" t="s">
        <v>88</v>
      </c>
      <c r="Q16" s="178" t="s">
        <v>88</v>
      </c>
      <c r="S16" s="178" t="s">
        <v>282</v>
      </c>
      <c r="T16" s="178" t="s">
        <v>281</v>
      </c>
      <c r="U16" s="178" t="s">
        <v>88</v>
      </c>
      <c r="V16" s="178" t="s">
        <v>280</v>
      </c>
      <c r="Y16" s="178" t="s">
        <v>792</v>
      </c>
      <c r="Z16" s="178" t="s">
        <v>806</v>
      </c>
      <c r="AA16" s="178" t="s">
        <v>88</v>
      </c>
      <c r="AF16" s="178" t="s">
        <v>1411</v>
      </c>
      <c r="AG16" s="178" t="s">
        <v>228</v>
      </c>
      <c r="AH16" s="178" t="s">
        <v>1412</v>
      </c>
      <c r="AI16" s="178" t="s">
        <v>279</v>
      </c>
      <c r="AJ16" s="178" t="s">
        <v>88</v>
      </c>
      <c r="AK16" s="178" t="s">
        <v>88</v>
      </c>
      <c r="AL16" s="178" t="s">
        <v>2</v>
      </c>
      <c r="AM16" s="178" t="s">
        <v>1254</v>
      </c>
      <c r="AN16" s="178" t="s">
        <v>1413</v>
      </c>
      <c r="AO16" s="178" t="s">
        <v>285</v>
      </c>
      <c r="AQ16" s="178" t="s">
        <v>88</v>
      </c>
      <c r="AR16" s="178" t="s">
        <v>88</v>
      </c>
      <c r="AS16" s="178" t="s">
        <v>88</v>
      </c>
      <c r="AT16" s="178" t="s">
        <v>1414</v>
      </c>
      <c r="AU16">
        <v>500000</v>
      </c>
      <c r="AV16">
        <v>8</v>
      </c>
      <c r="AW16" s="30">
        <v>45316</v>
      </c>
      <c r="AX16" s="30"/>
      <c r="AY16">
        <v>3.9</v>
      </c>
      <c r="AZ16" s="178" t="s">
        <v>88</v>
      </c>
      <c r="BA16" s="30">
        <v>45407</v>
      </c>
      <c r="BB16" s="178" t="s">
        <v>1415</v>
      </c>
      <c r="BC16" s="178" t="s">
        <v>88</v>
      </c>
      <c r="BD16" s="30">
        <v>45316</v>
      </c>
      <c r="BE16" s="178" t="s">
        <v>88</v>
      </c>
      <c r="BF16" s="30">
        <v>45316</v>
      </c>
      <c r="BG16" s="178" t="s">
        <v>88</v>
      </c>
      <c r="BH16" s="178" t="s">
        <v>88</v>
      </c>
      <c r="BI16" s="178" t="s">
        <v>1411</v>
      </c>
      <c r="BJ16" s="178" t="s">
        <v>277</v>
      </c>
      <c r="BK16" s="178" t="s">
        <v>277</v>
      </c>
      <c r="BL16" s="178" t="s">
        <v>276</v>
      </c>
      <c r="BM16" s="178" t="s">
        <v>275</v>
      </c>
      <c r="BN16" s="178" t="s">
        <v>274</v>
      </c>
      <c r="BO16" s="178" t="s">
        <v>88</v>
      </c>
      <c r="BP16" s="178" t="s">
        <v>88</v>
      </c>
      <c r="BQ16" s="178" t="s">
        <v>88</v>
      </c>
      <c r="BR16" s="178" t="s">
        <v>88</v>
      </c>
      <c r="BS16" s="178" t="s">
        <v>191</v>
      </c>
      <c r="BT16" s="178" t="s">
        <v>1416</v>
      </c>
      <c r="BU16" s="178" t="s">
        <v>772</v>
      </c>
      <c r="BV16" s="178" t="s">
        <v>88</v>
      </c>
      <c r="BW16" s="178" t="s">
        <v>88</v>
      </c>
      <c r="BY16" s="178" t="s">
        <v>79</v>
      </c>
      <c r="BZ16" s="178" t="s">
        <v>1417</v>
      </c>
      <c r="CA16" s="178" t="s">
        <v>472</v>
      </c>
      <c r="CB16" s="178" t="s">
        <v>88</v>
      </c>
      <c r="CC16" s="178" t="s">
        <v>88</v>
      </c>
    </row>
    <row r="17" spans="1:81">
      <c r="A17" s="123">
        <v>45313.423773784722</v>
      </c>
      <c r="B17" s="178" t="s">
        <v>307</v>
      </c>
      <c r="C17" s="178" t="s">
        <v>1418</v>
      </c>
      <c r="D17" s="178" t="s">
        <v>1419</v>
      </c>
      <c r="E17" s="30">
        <v>45307</v>
      </c>
      <c r="F17" s="178" t="s">
        <v>1420</v>
      </c>
      <c r="G17" s="178" t="s">
        <v>1421</v>
      </c>
      <c r="H17" s="178" t="s">
        <v>700</v>
      </c>
      <c r="I17" s="178" t="s">
        <v>279</v>
      </c>
      <c r="J17">
        <v>3</v>
      </c>
      <c r="K17" s="178" t="s">
        <v>102</v>
      </c>
      <c r="L17" s="178" t="s">
        <v>799</v>
      </c>
      <c r="M17" s="178" t="s">
        <v>129</v>
      </c>
      <c r="N17" s="30">
        <v>46045</v>
      </c>
      <c r="O17" s="178" t="s">
        <v>105</v>
      </c>
      <c r="P17" s="178" t="s">
        <v>88</v>
      </c>
      <c r="Q17" s="178" t="s">
        <v>88</v>
      </c>
      <c r="S17" s="178" t="s">
        <v>88</v>
      </c>
      <c r="T17" s="178" t="s">
        <v>294</v>
      </c>
      <c r="U17" s="178" t="s">
        <v>88</v>
      </c>
      <c r="V17" s="178" t="s">
        <v>280</v>
      </c>
      <c r="Y17" s="178" t="s">
        <v>792</v>
      </c>
      <c r="Z17" s="178" t="s">
        <v>806</v>
      </c>
      <c r="AA17" s="178" t="s">
        <v>88</v>
      </c>
      <c r="AF17" s="178" t="s">
        <v>1422</v>
      </c>
      <c r="AG17" s="178" t="s">
        <v>228</v>
      </c>
      <c r="AH17" s="178" t="s">
        <v>807</v>
      </c>
      <c r="AI17" s="178" t="s">
        <v>279</v>
      </c>
      <c r="AJ17" s="178" t="s">
        <v>787</v>
      </c>
      <c r="AK17" s="178" t="s">
        <v>88</v>
      </c>
      <c r="AL17" s="178" t="s">
        <v>3</v>
      </c>
      <c r="AM17" s="178" t="s">
        <v>1449</v>
      </c>
      <c r="AN17" s="178" t="s">
        <v>1423</v>
      </c>
      <c r="AO17" s="178" t="s">
        <v>285</v>
      </c>
      <c r="AQ17" s="178" t="s">
        <v>88</v>
      </c>
      <c r="AR17" s="178" t="s">
        <v>88</v>
      </c>
      <c r="AS17" s="178" t="s">
        <v>88</v>
      </c>
      <c r="AT17" s="178" t="s">
        <v>1424</v>
      </c>
      <c r="AU17">
        <v>1000000</v>
      </c>
      <c r="AV17">
        <v>3</v>
      </c>
      <c r="AW17" s="30">
        <v>45314</v>
      </c>
      <c r="AX17" s="30"/>
      <c r="AY17">
        <v>3</v>
      </c>
      <c r="AZ17" s="178" t="s">
        <v>88</v>
      </c>
      <c r="BA17" s="30">
        <v>45496</v>
      </c>
      <c r="BB17" s="178" t="s">
        <v>1425</v>
      </c>
      <c r="BC17" s="178" t="s">
        <v>307</v>
      </c>
      <c r="BD17" s="30">
        <v>45314</v>
      </c>
      <c r="BE17" s="178" t="s">
        <v>88</v>
      </c>
      <c r="BF17" s="30">
        <v>45314</v>
      </c>
      <c r="BG17" s="178" t="s">
        <v>88</v>
      </c>
      <c r="BH17" s="178" t="s">
        <v>88</v>
      </c>
      <c r="BI17" s="178" t="s">
        <v>1422</v>
      </c>
      <c r="BJ17" s="178" t="s">
        <v>277</v>
      </c>
      <c r="BK17" s="178" t="s">
        <v>277</v>
      </c>
      <c r="BL17" s="178" t="s">
        <v>276</v>
      </c>
      <c r="BM17" s="178" t="s">
        <v>275</v>
      </c>
      <c r="BN17" s="178" t="s">
        <v>274</v>
      </c>
      <c r="BO17" s="178" t="s">
        <v>88</v>
      </c>
      <c r="BP17" s="178" t="s">
        <v>113</v>
      </c>
      <c r="BQ17" s="178" t="s">
        <v>88</v>
      </c>
      <c r="BR17" s="178" t="s">
        <v>88</v>
      </c>
      <c r="BS17" s="178" t="s">
        <v>191</v>
      </c>
      <c r="BT17" s="178" t="s">
        <v>1426</v>
      </c>
      <c r="BU17" s="178" t="s">
        <v>1427</v>
      </c>
      <c r="BV17" s="178" t="s">
        <v>88</v>
      </c>
      <c r="BW17" s="178" t="s">
        <v>88</v>
      </c>
      <c r="BY17" s="178" t="s">
        <v>1146</v>
      </c>
      <c r="BZ17" s="178" t="s">
        <v>1428</v>
      </c>
      <c r="CA17" s="178" t="s">
        <v>472</v>
      </c>
      <c r="CB17" s="178" t="s">
        <v>88</v>
      </c>
      <c r="CC17" s="178" t="s">
        <v>88</v>
      </c>
    </row>
    <row r="18" spans="1:81">
      <c r="A18" s="123">
        <v>45313.423773784722</v>
      </c>
      <c r="B18" s="178" t="s">
        <v>290</v>
      </c>
      <c r="C18" s="178" t="s">
        <v>1429</v>
      </c>
      <c r="D18" s="178" t="s">
        <v>1430</v>
      </c>
      <c r="E18" s="30">
        <v>45307</v>
      </c>
      <c r="F18" s="178" t="s">
        <v>1431</v>
      </c>
      <c r="G18" s="178" t="s">
        <v>1432</v>
      </c>
      <c r="H18" s="178" t="s">
        <v>790</v>
      </c>
      <c r="I18" s="178" t="s">
        <v>279</v>
      </c>
      <c r="J18">
        <v>2</v>
      </c>
      <c r="K18" s="178" t="s">
        <v>104</v>
      </c>
      <c r="L18" s="178" t="s">
        <v>729</v>
      </c>
      <c r="M18" s="178" t="s">
        <v>1433</v>
      </c>
      <c r="N18" s="30">
        <v>45681</v>
      </c>
      <c r="O18" s="178" t="s">
        <v>105</v>
      </c>
      <c r="P18" s="178" t="s">
        <v>88</v>
      </c>
      <c r="Q18" s="178" t="s">
        <v>88</v>
      </c>
      <c r="S18" s="178" t="s">
        <v>88</v>
      </c>
      <c r="T18" s="178" t="s">
        <v>281</v>
      </c>
      <c r="U18" s="178" t="s">
        <v>88</v>
      </c>
      <c r="V18" s="178" t="s">
        <v>280</v>
      </c>
      <c r="W18">
        <v>100</v>
      </c>
      <c r="Y18" s="178" t="s">
        <v>792</v>
      </c>
      <c r="Z18" s="178" t="s">
        <v>806</v>
      </c>
      <c r="AA18" s="178" t="s">
        <v>88</v>
      </c>
      <c r="AF18" s="178" t="s">
        <v>1434</v>
      </c>
      <c r="AG18" s="178" t="s">
        <v>228</v>
      </c>
      <c r="AH18" s="178" t="s">
        <v>295</v>
      </c>
      <c r="AI18" s="178" t="s">
        <v>279</v>
      </c>
      <c r="AJ18" s="178" t="s">
        <v>88</v>
      </c>
      <c r="AK18" s="178" t="s">
        <v>88</v>
      </c>
      <c r="AL18" s="178" t="s">
        <v>80</v>
      </c>
      <c r="AM18" s="178" t="s">
        <v>1531</v>
      </c>
      <c r="AN18" s="178" t="s">
        <v>1413</v>
      </c>
      <c r="AO18" s="178" t="s">
        <v>285</v>
      </c>
      <c r="AQ18" s="178" t="s">
        <v>88</v>
      </c>
      <c r="AR18" s="178" t="s">
        <v>88</v>
      </c>
      <c r="AS18" s="178" t="s">
        <v>88</v>
      </c>
      <c r="AT18" s="178" t="s">
        <v>1435</v>
      </c>
      <c r="AU18">
        <v>1000000</v>
      </c>
      <c r="AV18">
        <v>2</v>
      </c>
      <c r="AW18" s="30">
        <v>45315</v>
      </c>
      <c r="AX18" s="30"/>
      <c r="AY18">
        <v>4.34</v>
      </c>
      <c r="AZ18" s="178" t="s">
        <v>88</v>
      </c>
      <c r="BA18" s="30">
        <v>45681</v>
      </c>
      <c r="BB18" s="178" t="s">
        <v>1436</v>
      </c>
      <c r="BC18" s="178" t="s">
        <v>88</v>
      </c>
      <c r="BD18" s="30">
        <v>45315</v>
      </c>
      <c r="BE18" s="178" t="s">
        <v>88</v>
      </c>
      <c r="BF18" s="30">
        <v>45315</v>
      </c>
      <c r="BG18" s="178" t="s">
        <v>88</v>
      </c>
      <c r="BH18" s="178" t="s">
        <v>88</v>
      </c>
      <c r="BI18" s="178" t="s">
        <v>1434</v>
      </c>
      <c r="BJ18" s="178" t="s">
        <v>277</v>
      </c>
      <c r="BK18" s="178" t="s">
        <v>277</v>
      </c>
      <c r="BL18" s="178" t="s">
        <v>276</v>
      </c>
      <c r="BM18" s="178" t="s">
        <v>275</v>
      </c>
      <c r="BN18" s="178" t="s">
        <v>274</v>
      </c>
      <c r="BO18" s="178" t="s">
        <v>88</v>
      </c>
      <c r="BP18" s="178" t="s">
        <v>711</v>
      </c>
      <c r="BQ18" s="178" t="s">
        <v>88</v>
      </c>
      <c r="BR18" s="178" t="s">
        <v>88</v>
      </c>
      <c r="BS18" s="178" t="s">
        <v>191</v>
      </c>
      <c r="BT18" s="178" t="s">
        <v>1437</v>
      </c>
      <c r="BU18" s="178" t="s">
        <v>772</v>
      </c>
      <c r="BV18" s="178" t="s">
        <v>88</v>
      </c>
      <c r="BW18" s="178" t="s">
        <v>88</v>
      </c>
      <c r="BY18" s="178" t="s">
        <v>79</v>
      </c>
      <c r="BZ18" s="178" t="s">
        <v>1438</v>
      </c>
      <c r="CA18" s="178" t="s">
        <v>472</v>
      </c>
      <c r="CB18" s="178" t="s">
        <v>88</v>
      </c>
      <c r="CC18" s="178" t="s">
        <v>88</v>
      </c>
    </row>
    <row r="19" spans="1:81">
      <c r="A19" s="123">
        <v>45313.423773784722</v>
      </c>
      <c r="B19" s="178" t="s">
        <v>543</v>
      </c>
      <c r="C19" s="178" t="s">
        <v>1439</v>
      </c>
      <c r="D19" s="178" t="s">
        <v>1440</v>
      </c>
      <c r="E19" s="30">
        <v>45307</v>
      </c>
      <c r="F19" s="178" t="s">
        <v>1441</v>
      </c>
      <c r="G19" s="178" t="s">
        <v>1288</v>
      </c>
      <c r="H19" s="178" t="s">
        <v>790</v>
      </c>
      <c r="I19" s="178" t="s">
        <v>279</v>
      </c>
      <c r="J19">
        <v>1</v>
      </c>
      <c r="K19" s="178" t="s">
        <v>81</v>
      </c>
      <c r="L19" s="178" t="s">
        <v>785</v>
      </c>
      <c r="M19" s="178" t="s">
        <v>88</v>
      </c>
      <c r="N19" s="30">
        <v>45405</v>
      </c>
      <c r="O19" s="178" t="s">
        <v>105</v>
      </c>
      <c r="P19" s="178" t="s">
        <v>88</v>
      </c>
      <c r="Q19" s="178" t="s">
        <v>88</v>
      </c>
      <c r="S19" s="178" t="s">
        <v>282</v>
      </c>
      <c r="T19" s="178" t="s">
        <v>281</v>
      </c>
      <c r="U19" s="178" t="s">
        <v>88</v>
      </c>
      <c r="V19" s="178" t="s">
        <v>280</v>
      </c>
      <c r="Y19" s="178" t="s">
        <v>288</v>
      </c>
      <c r="Z19" s="178" t="s">
        <v>1289</v>
      </c>
      <c r="AA19" s="178" t="s">
        <v>88</v>
      </c>
      <c r="AF19" s="178" t="s">
        <v>1442</v>
      </c>
      <c r="AG19" s="178" t="s">
        <v>228</v>
      </c>
      <c r="AH19" s="178" t="s">
        <v>269</v>
      </c>
      <c r="AI19" s="178" t="s">
        <v>279</v>
      </c>
      <c r="AJ19" s="178" t="s">
        <v>787</v>
      </c>
      <c r="AK19" s="178" t="s">
        <v>88</v>
      </c>
      <c r="AL19" s="178" t="s">
        <v>80</v>
      </c>
      <c r="AM19" s="178" t="s">
        <v>1532</v>
      </c>
      <c r="AN19" s="178" t="s">
        <v>1290</v>
      </c>
      <c r="AO19" s="178" t="s">
        <v>285</v>
      </c>
      <c r="AQ19" s="178" t="s">
        <v>88</v>
      </c>
      <c r="AR19" s="178" t="s">
        <v>88</v>
      </c>
      <c r="AS19" s="178" t="s">
        <v>88</v>
      </c>
      <c r="AT19" s="178" t="s">
        <v>1291</v>
      </c>
      <c r="AU19">
        <v>1000000</v>
      </c>
      <c r="AV19">
        <v>1</v>
      </c>
      <c r="AW19" s="30"/>
      <c r="AX19" s="30"/>
      <c r="AY19">
        <v>0</v>
      </c>
      <c r="AZ19" s="178" t="s">
        <v>88</v>
      </c>
      <c r="BA19" s="30"/>
      <c r="BB19" s="178" t="s">
        <v>1443</v>
      </c>
      <c r="BC19" s="178" t="s">
        <v>88</v>
      </c>
      <c r="BD19" s="30">
        <v>45314</v>
      </c>
      <c r="BE19" s="178" t="s">
        <v>88</v>
      </c>
      <c r="BF19" s="30">
        <v>45314</v>
      </c>
      <c r="BG19" s="178" t="s">
        <v>88</v>
      </c>
      <c r="BH19" s="178" t="s">
        <v>88</v>
      </c>
      <c r="BI19" s="178" t="s">
        <v>1442</v>
      </c>
      <c r="BJ19" s="178" t="s">
        <v>277</v>
      </c>
      <c r="BK19" s="178" t="s">
        <v>277</v>
      </c>
      <c r="BL19" s="178" t="s">
        <v>1286</v>
      </c>
      <c r="BM19" s="178" t="s">
        <v>275</v>
      </c>
      <c r="BN19" s="178" t="s">
        <v>274</v>
      </c>
      <c r="BO19" s="178" t="s">
        <v>88</v>
      </c>
      <c r="BP19" s="178" t="s">
        <v>88</v>
      </c>
      <c r="BQ19" s="178" t="s">
        <v>88</v>
      </c>
      <c r="BR19" s="178" t="s">
        <v>88</v>
      </c>
      <c r="BS19" s="178" t="s">
        <v>191</v>
      </c>
      <c r="BT19" s="178" t="s">
        <v>1444</v>
      </c>
      <c r="BU19" s="178" t="s">
        <v>192</v>
      </c>
      <c r="BV19" s="178" t="s">
        <v>88</v>
      </c>
      <c r="BW19" s="178" t="s">
        <v>88</v>
      </c>
      <c r="BY19" s="178" t="s">
        <v>79</v>
      </c>
      <c r="BZ19" s="178" t="s">
        <v>804</v>
      </c>
      <c r="CA19" s="178" t="s">
        <v>472</v>
      </c>
      <c r="CB19" s="178" t="s">
        <v>88</v>
      </c>
      <c r="CC19" s="178" t="s">
        <v>88</v>
      </c>
    </row>
    <row r="20" spans="1:81">
      <c r="A20" s="123">
        <v>45313.423773784722</v>
      </c>
      <c r="B20" s="178" t="s">
        <v>1119</v>
      </c>
      <c r="C20" s="178" t="s">
        <v>1445</v>
      </c>
      <c r="D20" s="178" t="s">
        <v>1118</v>
      </c>
      <c r="E20" s="30">
        <v>45306</v>
      </c>
      <c r="F20" s="178" t="s">
        <v>1134</v>
      </c>
      <c r="G20" s="178" t="s">
        <v>279</v>
      </c>
      <c r="H20" s="178" t="s">
        <v>279</v>
      </c>
      <c r="I20" s="178" t="s">
        <v>279</v>
      </c>
      <c r="J20">
        <v>2</v>
      </c>
      <c r="K20" s="178" t="s">
        <v>102</v>
      </c>
      <c r="L20" s="178" t="s">
        <v>284</v>
      </c>
      <c r="M20" s="178" t="s">
        <v>805</v>
      </c>
      <c r="N20" s="30">
        <v>46405</v>
      </c>
      <c r="O20" s="178" t="s">
        <v>287</v>
      </c>
      <c r="P20" s="178" t="s">
        <v>88</v>
      </c>
      <c r="Q20" s="178" t="s">
        <v>88</v>
      </c>
      <c r="S20" s="178" t="s">
        <v>282</v>
      </c>
      <c r="T20" s="178" t="s">
        <v>281</v>
      </c>
      <c r="U20" s="178" t="s">
        <v>88</v>
      </c>
      <c r="V20" s="178" t="s">
        <v>280</v>
      </c>
      <c r="W20">
        <v>100</v>
      </c>
      <c r="Y20" s="178" t="s">
        <v>710</v>
      </c>
      <c r="Z20" s="178" t="s">
        <v>784</v>
      </c>
      <c r="AA20" s="178" t="s">
        <v>88</v>
      </c>
      <c r="AF20" s="178" t="s">
        <v>88</v>
      </c>
      <c r="AG20" s="178" t="s">
        <v>228</v>
      </c>
      <c r="AH20" s="178" t="s">
        <v>295</v>
      </c>
      <c r="AI20" s="178" t="s">
        <v>279</v>
      </c>
      <c r="AJ20" s="178" t="s">
        <v>88</v>
      </c>
      <c r="AK20" s="178" t="s">
        <v>88</v>
      </c>
      <c r="AL20" s="178" t="s">
        <v>80</v>
      </c>
      <c r="AM20" s="178" t="s">
        <v>1533</v>
      </c>
      <c r="AN20" s="178" t="s">
        <v>1380</v>
      </c>
      <c r="AO20" s="178" t="s">
        <v>286</v>
      </c>
      <c r="AQ20" s="178" t="s">
        <v>88</v>
      </c>
      <c r="AR20" s="178" t="s">
        <v>88</v>
      </c>
      <c r="AS20" s="178" t="s">
        <v>88</v>
      </c>
      <c r="AT20" s="178" t="s">
        <v>1446</v>
      </c>
      <c r="AU20">
        <v>10000</v>
      </c>
      <c r="AV20">
        <v>2</v>
      </c>
      <c r="AW20" s="30">
        <v>45309</v>
      </c>
      <c r="AX20" s="30"/>
      <c r="AY20">
        <v>6</v>
      </c>
      <c r="AZ20" s="178" t="s">
        <v>88</v>
      </c>
      <c r="BA20" s="30">
        <v>45491</v>
      </c>
      <c r="BB20" s="178" t="s">
        <v>1119</v>
      </c>
      <c r="BC20" s="178" t="s">
        <v>88</v>
      </c>
      <c r="BD20" s="30">
        <v>45309</v>
      </c>
      <c r="BE20" s="178" t="s">
        <v>88</v>
      </c>
      <c r="BF20" s="30">
        <v>45309</v>
      </c>
      <c r="BG20" s="178" t="s">
        <v>88</v>
      </c>
      <c r="BH20" s="178" t="s">
        <v>1447</v>
      </c>
      <c r="BI20" s="178" t="s">
        <v>1448</v>
      </c>
      <c r="BJ20" s="178" t="s">
        <v>277</v>
      </c>
      <c r="BK20" s="178" t="s">
        <v>277</v>
      </c>
      <c r="BL20" s="178" t="s">
        <v>276</v>
      </c>
      <c r="BM20" s="178" t="s">
        <v>275</v>
      </c>
      <c r="BN20" s="178" t="s">
        <v>274</v>
      </c>
      <c r="BO20" s="178" t="s">
        <v>88</v>
      </c>
      <c r="BP20" s="178" t="s">
        <v>113</v>
      </c>
      <c r="BQ20" s="178" t="s">
        <v>88</v>
      </c>
      <c r="BR20" s="178" t="s">
        <v>88</v>
      </c>
      <c r="BS20" s="178" t="s">
        <v>191</v>
      </c>
      <c r="BT20" s="178" t="s">
        <v>1120</v>
      </c>
      <c r="BU20" s="178" t="s">
        <v>192</v>
      </c>
      <c r="BV20" s="178" t="s">
        <v>88</v>
      </c>
      <c r="BW20" s="178" t="s">
        <v>88</v>
      </c>
      <c r="BY20" s="178" t="s">
        <v>79</v>
      </c>
      <c r="BZ20" s="178" t="s">
        <v>79</v>
      </c>
      <c r="CA20" s="178" t="s">
        <v>472</v>
      </c>
      <c r="CB20" s="178" t="s">
        <v>88</v>
      </c>
      <c r="CC20" s="178" t="s">
        <v>88</v>
      </c>
    </row>
    <row r="21" spans="1:81">
      <c r="A21" s="123">
        <v>45313.423773784722</v>
      </c>
      <c r="B21" s="178" t="s">
        <v>701</v>
      </c>
      <c r="C21" s="178" t="s">
        <v>1230</v>
      </c>
      <c r="D21" s="178" t="s">
        <v>1231</v>
      </c>
      <c r="E21" s="30">
        <v>45303</v>
      </c>
      <c r="F21" s="178" t="s">
        <v>1232</v>
      </c>
      <c r="G21" s="178" t="s">
        <v>703</v>
      </c>
      <c r="H21" s="178" t="s">
        <v>700</v>
      </c>
      <c r="I21" s="178" t="s">
        <v>279</v>
      </c>
      <c r="J21">
        <v>0.15</v>
      </c>
      <c r="K21" s="178" t="s">
        <v>81</v>
      </c>
      <c r="L21" s="178" t="s">
        <v>489</v>
      </c>
      <c r="M21" s="178" t="s">
        <v>1233</v>
      </c>
      <c r="N21" s="30">
        <v>45673</v>
      </c>
      <c r="O21" s="178" t="s">
        <v>105</v>
      </c>
      <c r="P21" s="178" t="s">
        <v>88</v>
      </c>
      <c r="Q21" s="178" t="s">
        <v>88</v>
      </c>
      <c r="S21" s="178" t="s">
        <v>88</v>
      </c>
      <c r="T21" s="178" t="s">
        <v>294</v>
      </c>
      <c r="U21" s="178" t="s">
        <v>88</v>
      </c>
      <c r="V21" s="178" t="s">
        <v>280</v>
      </c>
      <c r="W21">
        <v>100</v>
      </c>
      <c r="Y21" s="178" t="s">
        <v>698</v>
      </c>
      <c r="Z21" s="178" t="s">
        <v>699</v>
      </c>
      <c r="AA21" s="178" t="s">
        <v>88</v>
      </c>
      <c r="AF21" s="178" t="s">
        <v>88</v>
      </c>
      <c r="AG21" s="178" t="s">
        <v>228</v>
      </c>
      <c r="AH21" s="178" t="s">
        <v>295</v>
      </c>
      <c r="AI21" s="178" t="s">
        <v>279</v>
      </c>
      <c r="AJ21" s="178" t="s">
        <v>88</v>
      </c>
      <c r="AK21" s="178" t="s">
        <v>88</v>
      </c>
      <c r="AL21" s="178" t="s">
        <v>80</v>
      </c>
      <c r="AM21" s="178" t="s">
        <v>1534</v>
      </c>
      <c r="AN21" s="178" t="s">
        <v>704</v>
      </c>
      <c r="AO21" s="178" t="s">
        <v>285</v>
      </c>
      <c r="AQ21" s="178" t="s">
        <v>88</v>
      </c>
      <c r="AR21" s="178" t="s">
        <v>88</v>
      </c>
      <c r="AS21" s="178" t="s">
        <v>88</v>
      </c>
      <c r="AT21" s="178" t="s">
        <v>705</v>
      </c>
      <c r="AU21">
        <v>1000</v>
      </c>
      <c r="AV21">
        <v>0.15</v>
      </c>
      <c r="AW21" s="30">
        <v>45309</v>
      </c>
      <c r="AX21" s="30"/>
      <c r="AY21">
        <v>6.05</v>
      </c>
      <c r="AZ21" s="178" t="s">
        <v>88</v>
      </c>
      <c r="BA21" s="30">
        <v>45673</v>
      </c>
      <c r="BB21" s="178" t="s">
        <v>706</v>
      </c>
      <c r="BC21" s="178" t="s">
        <v>701</v>
      </c>
      <c r="BD21" s="30">
        <v>45309</v>
      </c>
      <c r="BE21" s="178" t="s">
        <v>88</v>
      </c>
      <c r="BF21" s="30">
        <v>45309</v>
      </c>
      <c r="BG21" s="178" t="s">
        <v>88</v>
      </c>
      <c r="BH21" s="178" t="s">
        <v>88</v>
      </c>
      <c r="BI21" s="178" t="s">
        <v>88</v>
      </c>
      <c r="BJ21" s="178" t="s">
        <v>277</v>
      </c>
      <c r="BK21" s="178" t="s">
        <v>277</v>
      </c>
      <c r="BL21" s="178" t="s">
        <v>276</v>
      </c>
      <c r="BM21" s="178" t="s">
        <v>275</v>
      </c>
      <c r="BN21" s="178" t="s">
        <v>274</v>
      </c>
      <c r="BO21" s="178" t="s">
        <v>88</v>
      </c>
      <c r="BP21" s="178" t="s">
        <v>711</v>
      </c>
      <c r="BQ21" s="178" t="s">
        <v>88</v>
      </c>
      <c r="BR21" s="178" t="s">
        <v>88</v>
      </c>
      <c r="BS21" s="178" t="s">
        <v>191</v>
      </c>
      <c r="BT21" s="178" t="s">
        <v>1234</v>
      </c>
      <c r="BU21" s="178" t="s">
        <v>772</v>
      </c>
      <c r="BV21" s="178" t="s">
        <v>88</v>
      </c>
      <c r="BW21" s="178" t="s">
        <v>88</v>
      </c>
      <c r="BY21" s="178" t="s">
        <v>79</v>
      </c>
      <c r="BZ21" s="178" t="s">
        <v>773</v>
      </c>
      <c r="CA21" s="178" t="s">
        <v>472</v>
      </c>
      <c r="CB21" s="178" t="s">
        <v>88</v>
      </c>
      <c r="CC21" s="178" t="s">
        <v>88</v>
      </c>
    </row>
    <row r="22" spans="1:81">
      <c r="A22" s="123">
        <v>45313.423773784722</v>
      </c>
      <c r="B22" s="178" t="s">
        <v>312</v>
      </c>
      <c r="C22" s="178" t="s">
        <v>1235</v>
      </c>
      <c r="D22" s="178" t="s">
        <v>1236</v>
      </c>
      <c r="E22" s="30">
        <v>45303</v>
      </c>
      <c r="F22" s="178" t="s">
        <v>1237</v>
      </c>
      <c r="G22" s="178" t="s">
        <v>1238</v>
      </c>
      <c r="H22" s="178" t="s">
        <v>1239</v>
      </c>
      <c r="I22" s="178" t="s">
        <v>279</v>
      </c>
      <c r="J22">
        <v>2</v>
      </c>
      <c r="K22" s="178" t="s">
        <v>102</v>
      </c>
      <c r="L22" s="178" t="s">
        <v>799</v>
      </c>
      <c r="M22" s="178" t="s">
        <v>1240</v>
      </c>
      <c r="N22" s="30">
        <v>46041</v>
      </c>
      <c r="O22" s="178" t="s">
        <v>105</v>
      </c>
      <c r="P22" s="178" t="s">
        <v>88</v>
      </c>
      <c r="Q22" s="178" t="s">
        <v>88</v>
      </c>
      <c r="S22" s="178" t="s">
        <v>282</v>
      </c>
      <c r="T22" s="178" t="s">
        <v>294</v>
      </c>
      <c r="U22" s="178" t="s">
        <v>88</v>
      </c>
      <c r="V22" s="178" t="s">
        <v>280</v>
      </c>
      <c r="Y22" s="178" t="s">
        <v>792</v>
      </c>
      <c r="Z22" s="178" t="s">
        <v>806</v>
      </c>
      <c r="AA22" s="178" t="s">
        <v>88</v>
      </c>
      <c r="AF22" s="178" t="s">
        <v>1241</v>
      </c>
      <c r="AG22" s="178" t="s">
        <v>228</v>
      </c>
      <c r="AH22" s="178" t="s">
        <v>807</v>
      </c>
      <c r="AI22" s="178" t="s">
        <v>279</v>
      </c>
      <c r="AJ22" s="178" t="s">
        <v>88</v>
      </c>
      <c r="AK22" s="178" t="s">
        <v>88</v>
      </c>
      <c r="AL22" s="178" t="s">
        <v>3</v>
      </c>
      <c r="AM22" s="178" t="s">
        <v>1535</v>
      </c>
      <c r="AN22" s="178" t="s">
        <v>704</v>
      </c>
      <c r="AO22" s="178" t="s">
        <v>285</v>
      </c>
      <c r="AQ22" s="178" t="s">
        <v>88</v>
      </c>
      <c r="AR22" s="178" t="s">
        <v>88</v>
      </c>
      <c r="AS22" s="178" t="s">
        <v>88</v>
      </c>
      <c r="AT22" s="178" t="s">
        <v>1242</v>
      </c>
      <c r="AU22">
        <v>1000000</v>
      </c>
      <c r="AV22">
        <v>2</v>
      </c>
      <c r="AW22" s="30">
        <v>45310</v>
      </c>
      <c r="AX22" s="30"/>
      <c r="AY22">
        <v>3.29</v>
      </c>
      <c r="AZ22" s="178" t="s">
        <v>88</v>
      </c>
      <c r="BA22" s="30">
        <v>45492</v>
      </c>
      <c r="BB22" s="178" t="s">
        <v>1243</v>
      </c>
      <c r="BC22" s="178" t="s">
        <v>312</v>
      </c>
      <c r="BD22" s="30">
        <v>45310</v>
      </c>
      <c r="BE22" s="178" t="s">
        <v>88</v>
      </c>
      <c r="BF22" s="30">
        <v>45310</v>
      </c>
      <c r="BG22" s="178" t="s">
        <v>88</v>
      </c>
      <c r="BH22" s="178" t="s">
        <v>88</v>
      </c>
      <c r="BI22" s="178" t="s">
        <v>1241</v>
      </c>
      <c r="BJ22" s="178" t="s">
        <v>277</v>
      </c>
      <c r="BK22" s="178" t="s">
        <v>277</v>
      </c>
      <c r="BL22" s="178" t="s">
        <v>276</v>
      </c>
      <c r="BM22" s="178" t="s">
        <v>275</v>
      </c>
      <c r="BN22" s="178" t="s">
        <v>274</v>
      </c>
      <c r="BO22" s="178" t="s">
        <v>88</v>
      </c>
      <c r="BP22" s="178" t="s">
        <v>113</v>
      </c>
      <c r="BQ22" s="178" t="s">
        <v>88</v>
      </c>
      <c r="BR22" s="178" t="s">
        <v>88</v>
      </c>
      <c r="BS22" s="178" t="s">
        <v>191</v>
      </c>
      <c r="BT22" s="178" t="s">
        <v>1244</v>
      </c>
      <c r="BU22" s="178" t="s">
        <v>772</v>
      </c>
      <c r="BV22" s="178" t="s">
        <v>88</v>
      </c>
      <c r="BW22" s="178" t="s">
        <v>88</v>
      </c>
      <c r="BY22" s="178" t="s">
        <v>1450</v>
      </c>
      <c r="BZ22" s="178" t="s">
        <v>1245</v>
      </c>
      <c r="CA22" s="178" t="s">
        <v>472</v>
      </c>
      <c r="CB22" s="178" t="s">
        <v>88</v>
      </c>
      <c r="CC22" s="178" t="s">
        <v>88</v>
      </c>
    </row>
    <row r="23" spans="1:81">
      <c r="A23" s="123">
        <v>45313.423773784722</v>
      </c>
      <c r="B23" s="178" t="s">
        <v>1246</v>
      </c>
      <c r="C23" s="178" t="s">
        <v>1247</v>
      </c>
      <c r="D23" s="178" t="s">
        <v>1248</v>
      </c>
      <c r="E23" s="30">
        <v>45303</v>
      </c>
      <c r="F23" s="178" t="s">
        <v>1249</v>
      </c>
      <c r="G23" s="178" t="s">
        <v>279</v>
      </c>
      <c r="H23" s="178" t="s">
        <v>279</v>
      </c>
      <c r="I23" s="178" t="s">
        <v>279</v>
      </c>
      <c r="J23">
        <v>12.6</v>
      </c>
      <c r="K23" s="178" t="s">
        <v>102</v>
      </c>
      <c r="L23" s="178" t="s">
        <v>284</v>
      </c>
      <c r="M23" s="178" t="s">
        <v>803</v>
      </c>
      <c r="N23" s="30">
        <v>46406</v>
      </c>
      <c r="O23" s="178" t="s">
        <v>1250</v>
      </c>
      <c r="P23" s="178" t="s">
        <v>1251</v>
      </c>
      <c r="Q23" s="178" t="s">
        <v>796</v>
      </c>
      <c r="R23">
        <v>0</v>
      </c>
      <c r="S23" s="178" t="s">
        <v>282</v>
      </c>
      <c r="T23" s="178" t="s">
        <v>708</v>
      </c>
      <c r="U23" s="178" t="s">
        <v>562</v>
      </c>
      <c r="V23" s="178" t="s">
        <v>280</v>
      </c>
      <c r="W23">
        <v>100</v>
      </c>
      <c r="Y23" s="178" t="s">
        <v>797</v>
      </c>
      <c r="Z23" s="178" t="s">
        <v>1252</v>
      </c>
      <c r="AA23" s="178" t="s">
        <v>88</v>
      </c>
      <c r="AF23" s="178" t="s">
        <v>1253</v>
      </c>
      <c r="AG23" s="178" t="s">
        <v>228</v>
      </c>
      <c r="AH23" s="178" t="s">
        <v>695</v>
      </c>
      <c r="AI23" s="178" t="s">
        <v>279</v>
      </c>
      <c r="AJ23" s="178" t="s">
        <v>88</v>
      </c>
      <c r="AK23" s="178" t="s">
        <v>798</v>
      </c>
      <c r="AL23" s="178" t="s">
        <v>2</v>
      </c>
      <c r="AM23" s="178" t="s">
        <v>1533</v>
      </c>
      <c r="AN23" s="178" t="s">
        <v>278</v>
      </c>
      <c r="AO23" s="178" t="s">
        <v>286</v>
      </c>
      <c r="AQ23" s="178" t="s">
        <v>88</v>
      </c>
      <c r="AR23" s="178" t="s">
        <v>88</v>
      </c>
      <c r="AS23" s="178" t="s">
        <v>1255</v>
      </c>
      <c r="AT23" s="178" t="s">
        <v>1256</v>
      </c>
      <c r="AU23">
        <v>10000</v>
      </c>
      <c r="AV23">
        <v>12.6</v>
      </c>
      <c r="AW23" s="30">
        <v>45310</v>
      </c>
      <c r="AX23" s="30"/>
      <c r="AY23">
        <v>4.4000000000000004</v>
      </c>
      <c r="AZ23" s="178" t="s">
        <v>88</v>
      </c>
      <c r="BA23" s="30">
        <v>45492</v>
      </c>
      <c r="BB23" s="178" t="s">
        <v>1246</v>
      </c>
      <c r="BC23" s="178" t="s">
        <v>88</v>
      </c>
      <c r="BD23" s="30">
        <v>45310</v>
      </c>
      <c r="BE23" s="178" t="s">
        <v>796</v>
      </c>
      <c r="BF23" s="30">
        <v>45310</v>
      </c>
      <c r="BG23" s="178" t="s">
        <v>709</v>
      </c>
      <c r="BH23" s="178" t="s">
        <v>1257</v>
      </c>
      <c r="BI23" s="178" t="s">
        <v>1258</v>
      </c>
      <c r="BJ23" s="178" t="s">
        <v>277</v>
      </c>
      <c r="BK23" s="178" t="s">
        <v>277</v>
      </c>
      <c r="BL23" s="178" t="s">
        <v>276</v>
      </c>
      <c r="BM23" s="178" t="s">
        <v>275</v>
      </c>
      <c r="BN23" s="178" t="s">
        <v>274</v>
      </c>
      <c r="BO23" s="178" t="s">
        <v>88</v>
      </c>
      <c r="BP23" s="178" t="s">
        <v>113</v>
      </c>
      <c r="BQ23" s="178" t="s">
        <v>88</v>
      </c>
      <c r="BR23" s="178" t="s">
        <v>88</v>
      </c>
      <c r="BS23" s="178" t="s">
        <v>191</v>
      </c>
      <c r="BT23" s="178" t="s">
        <v>1259</v>
      </c>
      <c r="BU23" s="178" t="s">
        <v>192</v>
      </c>
      <c r="BV23" s="178" t="s">
        <v>88</v>
      </c>
      <c r="BW23" s="178" t="s">
        <v>88</v>
      </c>
      <c r="BY23" s="178" t="s">
        <v>79</v>
      </c>
      <c r="BZ23" s="178" t="s">
        <v>79</v>
      </c>
      <c r="CA23" s="178" t="s">
        <v>472</v>
      </c>
      <c r="CB23" s="178" t="s">
        <v>88</v>
      </c>
      <c r="CC23" s="178" t="s">
        <v>1260</v>
      </c>
    </row>
    <row r="24" spans="1:81">
      <c r="A24" s="123">
        <v>45313.423773784722</v>
      </c>
      <c r="B24" s="178" t="s">
        <v>794</v>
      </c>
      <c r="C24" s="178" t="s">
        <v>1261</v>
      </c>
      <c r="D24" s="178" t="s">
        <v>793</v>
      </c>
      <c r="E24" s="30">
        <v>45303</v>
      </c>
      <c r="F24" s="178" t="s">
        <v>1262</v>
      </c>
      <c r="G24" s="178" t="s">
        <v>279</v>
      </c>
      <c r="H24" s="178" t="s">
        <v>279</v>
      </c>
      <c r="I24" s="178" t="s">
        <v>279</v>
      </c>
      <c r="J24">
        <v>4.5999999999999996</v>
      </c>
      <c r="K24" s="178" t="s">
        <v>102</v>
      </c>
      <c r="L24" s="178" t="s">
        <v>284</v>
      </c>
      <c r="M24" s="178" t="s">
        <v>1263</v>
      </c>
      <c r="N24" s="30">
        <v>46406</v>
      </c>
      <c r="O24" s="178" t="s">
        <v>283</v>
      </c>
      <c r="P24" s="178" t="s">
        <v>1264</v>
      </c>
      <c r="Q24" s="178" t="s">
        <v>1265</v>
      </c>
      <c r="R24">
        <v>10</v>
      </c>
      <c r="S24" s="178" t="s">
        <v>282</v>
      </c>
      <c r="T24" s="178" t="s">
        <v>708</v>
      </c>
      <c r="U24" s="178" t="s">
        <v>586</v>
      </c>
      <c r="V24" s="178" t="s">
        <v>280</v>
      </c>
      <c r="W24">
        <v>100</v>
      </c>
      <c r="Y24" s="178" t="s">
        <v>795</v>
      </c>
      <c r="Z24" s="178" t="s">
        <v>1266</v>
      </c>
      <c r="AA24" s="178" t="s">
        <v>1451</v>
      </c>
      <c r="AF24" s="178" t="s">
        <v>1267</v>
      </c>
      <c r="AG24" s="178" t="s">
        <v>228</v>
      </c>
      <c r="AH24" s="178" t="s">
        <v>1268</v>
      </c>
      <c r="AI24" s="178" t="s">
        <v>279</v>
      </c>
      <c r="AJ24" s="178" t="s">
        <v>88</v>
      </c>
      <c r="AK24" s="178" t="s">
        <v>226</v>
      </c>
      <c r="AL24" s="178" t="s">
        <v>1</v>
      </c>
      <c r="AM24" s="178" t="s">
        <v>1533</v>
      </c>
      <c r="AN24" s="178" t="s">
        <v>278</v>
      </c>
      <c r="AO24" s="178" t="s">
        <v>286</v>
      </c>
      <c r="AQ24" s="178" t="s">
        <v>88</v>
      </c>
      <c r="AR24" s="178" t="s">
        <v>88</v>
      </c>
      <c r="AS24" s="178" t="s">
        <v>1269</v>
      </c>
      <c r="AT24" s="178" t="s">
        <v>1270</v>
      </c>
      <c r="AU24">
        <v>10000</v>
      </c>
      <c r="AV24">
        <v>4.5999999999999996</v>
      </c>
      <c r="AW24" s="30">
        <v>45310</v>
      </c>
      <c r="AX24" s="30"/>
      <c r="AY24">
        <v>4.7</v>
      </c>
      <c r="AZ24" s="178" t="s">
        <v>88</v>
      </c>
      <c r="BA24" s="30">
        <v>45492</v>
      </c>
      <c r="BB24" s="178" t="s">
        <v>794</v>
      </c>
      <c r="BC24" s="178" t="s">
        <v>88</v>
      </c>
      <c r="BD24" s="30">
        <v>45310</v>
      </c>
      <c r="BE24" s="178" t="s">
        <v>1265</v>
      </c>
      <c r="BF24" s="30">
        <v>45310</v>
      </c>
      <c r="BG24" s="178" t="s">
        <v>709</v>
      </c>
      <c r="BH24" s="178" t="s">
        <v>1271</v>
      </c>
      <c r="BI24" s="178" t="s">
        <v>1272</v>
      </c>
      <c r="BJ24" s="178" t="s">
        <v>277</v>
      </c>
      <c r="BK24" s="178" t="s">
        <v>277</v>
      </c>
      <c r="BL24" s="178" t="s">
        <v>276</v>
      </c>
      <c r="BM24" s="178" t="s">
        <v>275</v>
      </c>
      <c r="BN24" s="178" t="s">
        <v>274</v>
      </c>
      <c r="BO24" s="178" t="s">
        <v>88</v>
      </c>
      <c r="BP24" s="178" t="s">
        <v>113</v>
      </c>
      <c r="BQ24" s="178" t="s">
        <v>88</v>
      </c>
      <c r="BR24" s="178" t="s">
        <v>88</v>
      </c>
      <c r="BS24" s="178" t="s">
        <v>191</v>
      </c>
      <c r="BT24" s="178" t="s">
        <v>1273</v>
      </c>
      <c r="BU24" s="178" t="s">
        <v>192</v>
      </c>
      <c r="BV24" s="178" t="s">
        <v>88</v>
      </c>
      <c r="BW24" s="178" t="s">
        <v>88</v>
      </c>
      <c r="BY24" s="178" t="s">
        <v>79</v>
      </c>
      <c r="BZ24" s="178" t="s">
        <v>79</v>
      </c>
      <c r="CA24" s="178" t="s">
        <v>472</v>
      </c>
      <c r="CB24" s="178" t="s">
        <v>88</v>
      </c>
      <c r="CC24" s="178" t="s">
        <v>88</v>
      </c>
    </row>
    <row r="25" spans="1:81">
      <c r="A25" s="123">
        <v>45313.423773784722</v>
      </c>
      <c r="B25" s="178" t="s">
        <v>1274</v>
      </c>
      <c r="C25" s="178" t="s">
        <v>1275</v>
      </c>
      <c r="D25" s="178" t="s">
        <v>1276</v>
      </c>
      <c r="E25" s="30">
        <v>45303</v>
      </c>
      <c r="F25" s="178" t="s">
        <v>1277</v>
      </c>
      <c r="G25" s="178" t="s">
        <v>279</v>
      </c>
      <c r="H25" s="178" t="s">
        <v>279</v>
      </c>
      <c r="I25" s="178" t="s">
        <v>279</v>
      </c>
      <c r="J25">
        <v>6.7</v>
      </c>
      <c r="K25" s="178" t="s">
        <v>102</v>
      </c>
      <c r="L25" s="178" t="s">
        <v>799</v>
      </c>
      <c r="M25" s="178" t="s">
        <v>1278</v>
      </c>
      <c r="N25" s="30">
        <v>46040</v>
      </c>
      <c r="O25" s="178" t="s">
        <v>287</v>
      </c>
      <c r="P25" s="178" t="s">
        <v>88</v>
      </c>
      <c r="Q25" s="178" t="s">
        <v>1279</v>
      </c>
      <c r="S25" s="178" t="s">
        <v>282</v>
      </c>
      <c r="T25" s="178" t="s">
        <v>281</v>
      </c>
      <c r="U25" s="178" t="s">
        <v>88</v>
      </c>
      <c r="V25" s="178" t="s">
        <v>280</v>
      </c>
      <c r="W25">
        <v>100</v>
      </c>
      <c r="Y25" s="178" t="s">
        <v>795</v>
      </c>
      <c r="Z25" s="178" t="s">
        <v>1266</v>
      </c>
      <c r="AA25" s="178" t="s">
        <v>1452</v>
      </c>
      <c r="AF25" s="178" t="s">
        <v>1280</v>
      </c>
      <c r="AG25" s="178" t="s">
        <v>228</v>
      </c>
      <c r="AH25" s="178" t="s">
        <v>295</v>
      </c>
      <c r="AI25" s="178" t="s">
        <v>279</v>
      </c>
      <c r="AJ25" s="178" t="s">
        <v>88</v>
      </c>
      <c r="AK25" s="178" t="s">
        <v>88</v>
      </c>
      <c r="AL25" s="178" t="s">
        <v>1</v>
      </c>
      <c r="AM25" s="178" t="s">
        <v>1535</v>
      </c>
      <c r="AN25" s="178" t="s">
        <v>278</v>
      </c>
      <c r="AO25" s="178" t="s">
        <v>286</v>
      </c>
      <c r="AQ25" s="178" t="s">
        <v>88</v>
      </c>
      <c r="AR25" s="178" t="s">
        <v>88</v>
      </c>
      <c r="AS25" s="178" t="s">
        <v>1281</v>
      </c>
      <c r="AT25" s="178" t="s">
        <v>1282</v>
      </c>
      <c r="AU25">
        <v>10000</v>
      </c>
      <c r="AV25">
        <v>6.7</v>
      </c>
      <c r="AW25" s="30">
        <v>45309</v>
      </c>
      <c r="AX25" s="30"/>
      <c r="AY25">
        <v>7.6</v>
      </c>
      <c r="AZ25" s="178" t="s">
        <v>88</v>
      </c>
      <c r="BA25" s="30">
        <v>45491</v>
      </c>
      <c r="BB25" s="178" t="s">
        <v>1274</v>
      </c>
      <c r="BC25" s="178" t="s">
        <v>88</v>
      </c>
      <c r="BD25" s="30">
        <v>45309</v>
      </c>
      <c r="BE25" s="178" t="s">
        <v>88</v>
      </c>
      <c r="BF25" s="30">
        <v>45309</v>
      </c>
      <c r="BG25" s="178" t="s">
        <v>692</v>
      </c>
      <c r="BH25" s="178" t="s">
        <v>1283</v>
      </c>
      <c r="BI25" s="178" t="s">
        <v>1284</v>
      </c>
      <c r="BJ25" s="178" t="s">
        <v>277</v>
      </c>
      <c r="BK25" s="178" t="s">
        <v>277</v>
      </c>
      <c r="BL25" s="178" t="s">
        <v>276</v>
      </c>
      <c r="BM25" s="178" t="s">
        <v>275</v>
      </c>
      <c r="BN25" s="178" t="s">
        <v>274</v>
      </c>
      <c r="BO25" s="178" t="s">
        <v>88</v>
      </c>
      <c r="BP25" s="178" t="s">
        <v>113</v>
      </c>
      <c r="BQ25" s="178" t="s">
        <v>88</v>
      </c>
      <c r="BR25" s="178" t="s">
        <v>88</v>
      </c>
      <c r="BS25" s="178" t="s">
        <v>191</v>
      </c>
      <c r="BT25" s="178" t="s">
        <v>1285</v>
      </c>
      <c r="BU25" s="178" t="s">
        <v>192</v>
      </c>
      <c r="BV25" s="178" t="s">
        <v>88</v>
      </c>
      <c r="BW25" s="178" t="s">
        <v>88</v>
      </c>
      <c r="BY25" s="178" t="s">
        <v>79</v>
      </c>
      <c r="BZ25" s="178" t="s">
        <v>79</v>
      </c>
      <c r="CA25" s="178" t="s">
        <v>472</v>
      </c>
      <c r="CB25" s="178" t="s">
        <v>88</v>
      </c>
      <c r="CC25" s="178" t="s">
        <v>88</v>
      </c>
    </row>
    <row r="26" spans="1:81">
      <c r="A26" s="123">
        <v>45313.423773784722</v>
      </c>
      <c r="B26" s="178" t="s">
        <v>319</v>
      </c>
      <c r="C26" s="178" t="s">
        <v>1453</v>
      </c>
      <c r="D26" s="178" t="s">
        <v>1454</v>
      </c>
      <c r="E26" s="30">
        <v>45303</v>
      </c>
      <c r="F26" s="178" t="s">
        <v>1455</v>
      </c>
      <c r="G26" s="178" t="s">
        <v>1456</v>
      </c>
      <c r="H26" s="178" t="s">
        <v>1457</v>
      </c>
      <c r="I26" s="178" t="s">
        <v>1458</v>
      </c>
      <c r="J26">
        <v>7</v>
      </c>
      <c r="K26" s="178" t="s">
        <v>102</v>
      </c>
      <c r="L26" s="178" t="s">
        <v>284</v>
      </c>
      <c r="M26" s="178" t="s">
        <v>1147</v>
      </c>
      <c r="N26" s="30">
        <v>46341</v>
      </c>
      <c r="O26" s="178" t="s">
        <v>287</v>
      </c>
      <c r="P26" s="178" t="s">
        <v>88</v>
      </c>
      <c r="Q26" s="178" t="s">
        <v>1459</v>
      </c>
      <c r="S26" s="178" t="s">
        <v>282</v>
      </c>
      <c r="T26" s="178" t="s">
        <v>294</v>
      </c>
      <c r="U26" s="178" t="s">
        <v>88</v>
      </c>
      <c r="V26" s="178" t="s">
        <v>280</v>
      </c>
      <c r="W26">
        <v>99.995000000000005</v>
      </c>
      <c r="Y26" s="178" t="s">
        <v>792</v>
      </c>
      <c r="Z26" s="178" t="s">
        <v>806</v>
      </c>
      <c r="AA26" s="178" t="s">
        <v>88</v>
      </c>
      <c r="AF26" s="178" t="s">
        <v>1460</v>
      </c>
      <c r="AG26" s="178" t="s">
        <v>194</v>
      </c>
      <c r="AH26" s="178" t="s">
        <v>807</v>
      </c>
      <c r="AI26" s="178" t="s">
        <v>1458</v>
      </c>
      <c r="AJ26" s="178" t="s">
        <v>88</v>
      </c>
      <c r="AK26" s="178" t="s">
        <v>88</v>
      </c>
      <c r="AL26" s="178" t="s">
        <v>3</v>
      </c>
      <c r="AM26" s="178" t="s">
        <v>1536</v>
      </c>
      <c r="AN26" s="178" t="s">
        <v>278</v>
      </c>
      <c r="AO26" s="178" t="s">
        <v>285</v>
      </c>
      <c r="AQ26" s="178" t="s">
        <v>88</v>
      </c>
      <c r="AR26" s="178" t="s">
        <v>88</v>
      </c>
      <c r="AS26" s="178" t="s">
        <v>1461</v>
      </c>
      <c r="AT26" s="178" t="s">
        <v>1462</v>
      </c>
      <c r="AU26">
        <v>10000</v>
      </c>
      <c r="AV26">
        <v>12.1</v>
      </c>
      <c r="AW26" s="30">
        <v>45245</v>
      </c>
      <c r="AX26" s="30"/>
      <c r="AY26">
        <v>4</v>
      </c>
      <c r="AZ26" s="178" t="s">
        <v>88</v>
      </c>
      <c r="BA26" s="30">
        <v>45427</v>
      </c>
      <c r="BB26" s="178" t="s">
        <v>1463</v>
      </c>
      <c r="BC26" s="178" t="s">
        <v>319</v>
      </c>
      <c r="BD26" s="30">
        <v>45245</v>
      </c>
      <c r="BE26" s="178" t="s">
        <v>1464</v>
      </c>
      <c r="BF26" s="30">
        <v>45245</v>
      </c>
      <c r="BG26" s="178" t="s">
        <v>88</v>
      </c>
      <c r="BH26" s="178" t="s">
        <v>1465</v>
      </c>
      <c r="BI26" s="178" t="s">
        <v>1466</v>
      </c>
      <c r="BJ26" s="178" t="s">
        <v>277</v>
      </c>
      <c r="BK26" s="178" t="s">
        <v>277</v>
      </c>
      <c r="BL26" s="178" t="s">
        <v>276</v>
      </c>
      <c r="BM26" s="178" t="s">
        <v>275</v>
      </c>
      <c r="BN26" s="178" t="s">
        <v>274</v>
      </c>
      <c r="BO26" s="178" t="s">
        <v>88</v>
      </c>
      <c r="BP26" s="178" t="s">
        <v>113</v>
      </c>
      <c r="BQ26" s="178" t="s">
        <v>88</v>
      </c>
      <c r="BR26" s="178" t="s">
        <v>88</v>
      </c>
      <c r="BS26" s="178" t="s">
        <v>191</v>
      </c>
      <c r="BT26" s="178" t="s">
        <v>1467</v>
      </c>
      <c r="BU26" s="178" t="s">
        <v>490</v>
      </c>
      <c r="BV26" s="178" t="s">
        <v>88</v>
      </c>
      <c r="BW26" s="178" t="s">
        <v>88</v>
      </c>
      <c r="BY26" s="178" t="s">
        <v>1468</v>
      </c>
      <c r="BZ26" s="178" t="s">
        <v>1469</v>
      </c>
      <c r="CA26" s="178" t="s">
        <v>472</v>
      </c>
      <c r="CB26" s="178" t="s">
        <v>88</v>
      </c>
      <c r="CC26" s="178" t="s">
        <v>88</v>
      </c>
    </row>
    <row r="27" spans="1:81">
      <c r="A27" s="123">
        <v>45313.423773784722</v>
      </c>
      <c r="B27" s="178" t="s">
        <v>1537</v>
      </c>
      <c r="C27" s="178" t="s">
        <v>1538</v>
      </c>
      <c r="D27" s="178" t="s">
        <v>1539</v>
      </c>
      <c r="E27" s="30">
        <v>45289</v>
      </c>
      <c r="F27" s="178" t="s">
        <v>1540</v>
      </c>
      <c r="G27" s="178" t="s">
        <v>1541</v>
      </c>
      <c r="H27" s="178" t="s">
        <v>1542</v>
      </c>
      <c r="I27" s="178" t="s">
        <v>279</v>
      </c>
      <c r="J27">
        <v>0.85699999999999998</v>
      </c>
      <c r="K27" s="178" t="s">
        <v>81</v>
      </c>
      <c r="L27" s="178" t="s">
        <v>1543</v>
      </c>
      <c r="M27" s="178" t="s">
        <v>1544</v>
      </c>
      <c r="N27" s="30">
        <v>45654</v>
      </c>
      <c r="O27" s="178" t="s">
        <v>1545</v>
      </c>
      <c r="P27" s="178" t="s">
        <v>88</v>
      </c>
      <c r="Q27" s="178" t="s">
        <v>88</v>
      </c>
      <c r="S27" s="178" t="s">
        <v>1546</v>
      </c>
      <c r="T27" s="178" t="s">
        <v>294</v>
      </c>
      <c r="U27" s="178" t="s">
        <v>88</v>
      </c>
      <c r="V27" s="178" t="s">
        <v>280</v>
      </c>
      <c r="Y27" s="178" t="s">
        <v>288</v>
      </c>
      <c r="Z27" s="178" t="s">
        <v>88</v>
      </c>
      <c r="AA27" s="178" t="s">
        <v>88</v>
      </c>
      <c r="AF27" s="178" t="s">
        <v>88</v>
      </c>
      <c r="AG27" s="178" t="s">
        <v>228</v>
      </c>
      <c r="AH27" s="178" t="s">
        <v>807</v>
      </c>
      <c r="AI27" s="178" t="s">
        <v>279</v>
      </c>
      <c r="AJ27" s="178" t="s">
        <v>88</v>
      </c>
      <c r="AK27" s="178" t="s">
        <v>88</v>
      </c>
      <c r="AL27" s="178" t="s">
        <v>3</v>
      </c>
      <c r="AM27" s="178" t="s">
        <v>1547</v>
      </c>
      <c r="AN27" s="178" t="s">
        <v>1413</v>
      </c>
      <c r="AO27" s="178" t="s">
        <v>1548</v>
      </c>
      <c r="AQ27" s="178" t="s">
        <v>88</v>
      </c>
      <c r="AR27" s="178" t="s">
        <v>88</v>
      </c>
      <c r="AS27" s="178" t="s">
        <v>88</v>
      </c>
      <c r="AT27" s="178" t="s">
        <v>1549</v>
      </c>
      <c r="AU27">
        <v>1</v>
      </c>
      <c r="AV27">
        <v>0.85699999999999998</v>
      </c>
      <c r="AW27" s="30">
        <v>45289</v>
      </c>
      <c r="AX27" s="30"/>
      <c r="AY27">
        <v>9</v>
      </c>
      <c r="AZ27" s="178" t="s">
        <v>88</v>
      </c>
      <c r="BA27" s="30">
        <v>45471</v>
      </c>
      <c r="BB27" s="178" t="s">
        <v>1550</v>
      </c>
      <c r="BC27" s="178" t="s">
        <v>1551</v>
      </c>
      <c r="BD27" s="30">
        <v>45289</v>
      </c>
      <c r="BE27" s="178" t="s">
        <v>88</v>
      </c>
      <c r="BF27" s="30">
        <v>45289</v>
      </c>
      <c r="BG27" s="178" t="s">
        <v>88</v>
      </c>
      <c r="BH27" s="178" t="s">
        <v>88</v>
      </c>
      <c r="BI27" s="178" t="s">
        <v>88</v>
      </c>
      <c r="BJ27" s="178" t="s">
        <v>277</v>
      </c>
      <c r="BK27" s="178" t="s">
        <v>277</v>
      </c>
      <c r="BL27" s="178" t="s">
        <v>1552</v>
      </c>
      <c r="BM27" s="178" t="s">
        <v>275</v>
      </c>
      <c r="BN27" s="178" t="s">
        <v>1553</v>
      </c>
      <c r="BO27" s="178" t="s">
        <v>88</v>
      </c>
      <c r="BP27" s="178" t="s">
        <v>113</v>
      </c>
      <c r="BQ27" s="178" t="s">
        <v>88</v>
      </c>
      <c r="BR27" s="178" t="s">
        <v>88</v>
      </c>
      <c r="BS27" s="178" t="s">
        <v>191</v>
      </c>
      <c r="BT27" s="178" t="s">
        <v>1554</v>
      </c>
      <c r="BU27" s="178" t="s">
        <v>1427</v>
      </c>
      <c r="BV27" s="178" t="s">
        <v>772</v>
      </c>
      <c r="BW27" s="178" t="s">
        <v>88</v>
      </c>
      <c r="BY27" s="178" t="s">
        <v>79</v>
      </c>
      <c r="BZ27" s="178" t="s">
        <v>79</v>
      </c>
      <c r="CA27" s="178" t="s">
        <v>472</v>
      </c>
      <c r="CB27" s="178" t="s">
        <v>88</v>
      </c>
      <c r="CC27" s="178" t="s">
        <v>88</v>
      </c>
    </row>
    <row r="28" spans="1:81">
      <c r="A28" s="123">
        <v>45313.423773784722</v>
      </c>
      <c r="B28" s="178" t="s">
        <v>1537</v>
      </c>
      <c r="C28" s="178" t="s">
        <v>1538</v>
      </c>
      <c r="D28" s="178" t="s">
        <v>1555</v>
      </c>
      <c r="E28" s="30">
        <v>45289</v>
      </c>
      <c r="F28" s="178" t="s">
        <v>1540</v>
      </c>
      <c r="G28" s="178" t="s">
        <v>1541</v>
      </c>
      <c r="H28" s="178" t="s">
        <v>1542</v>
      </c>
      <c r="I28" s="178" t="s">
        <v>279</v>
      </c>
      <c r="J28">
        <v>0.85699999999999998</v>
      </c>
      <c r="K28" s="178" t="s">
        <v>81</v>
      </c>
      <c r="L28" s="178" t="s">
        <v>1543</v>
      </c>
      <c r="M28" s="178" t="s">
        <v>1544</v>
      </c>
      <c r="N28" s="30">
        <v>45654</v>
      </c>
      <c r="O28" s="178" t="s">
        <v>1545</v>
      </c>
      <c r="P28" s="178" t="s">
        <v>88</v>
      </c>
      <c r="Q28" s="178" t="s">
        <v>88</v>
      </c>
      <c r="S28" s="178" t="s">
        <v>282</v>
      </c>
      <c r="T28" s="178" t="s">
        <v>294</v>
      </c>
      <c r="U28" s="178" t="s">
        <v>88</v>
      </c>
      <c r="V28" s="178" t="s">
        <v>280</v>
      </c>
      <c r="Y28" s="178" t="s">
        <v>288</v>
      </c>
      <c r="Z28" s="178" t="s">
        <v>88</v>
      </c>
      <c r="AA28" s="178" t="s">
        <v>88</v>
      </c>
      <c r="AF28" s="178" t="s">
        <v>88</v>
      </c>
      <c r="AG28" s="178" t="s">
        <v>228</v>
      </c>
      <c r="AH28" s="178" t="s">
        <v>807</v>
      </c>
      <c r="AI28" s="178" t="s">
        <v>279</v>
      </c>
      <c r="AJ28" s="178" t="s">
        <v>88</v>
      </c>
      <c r="AK28" s="178" t="s">
        <v>88</v>
      </c>
      <c r="AL28" s="178" t="s">
        <v>3</v>
      </c>
      <c r="AM28" s="178" t="s">
        <v>1547</v>
      </c>
      <c r="AN28" s="178" t="s">
        <v>1413</v>
      </c>
      <c r="AO28" s="178" t="s">
        <v>1548</v>
      </c>
      <c r="AQ28" s="178" t="s">
        <v>88</v>
      </c>
      <c r="AR28" s="178" t="s">
        <v>88</v>
      </c>
      <c r="AS28" s="178" t="s">
        <v>88</v>
      </c>
      <c r="AT28" s="178" t="s">
        <v>1549</v>
      </c>
      <c r="AU28">
        <v>1</v>
      </c>
      <c r="AV28">
        <v>0.85699999999999998</v>
      </c>
      <c r="AW28" s="30">
        <v>45289</v>
      </c>
      <c r="AX28" s="30">
        <v>45289</v>
      </c>
      <c r="AY28">
        <v>9</v>
      </c>
      <c r="AZ28" s="178" t="s">
        <v>88</v>
      </c>
      <c r="BA28" s="30">
        <v>45471</v>
      </c>
      <c r="BB28" s="178" t="s">
        <v>1550</v>
      </c>
      <c r="BC28" s="178" t="s">
        <v>1551</v>
      </c>
      <c r="BD28" s="30">
        <v>45289</v>
      </c>
      <c r="BE28" s="178" t="s">
        <v>88</v>
      </c>
      <c r="BF28" s="30">
        <v>45289</v>
      </c>
      <c r="BG28" s="178" t="s">
        <v>88</v>
      </c>
      <c r="BH28" s="178" t="s">
        <v>88</v>
      </c>
      <c r="BI28" s="178" t="s">
        <v>88</v>
      </c>
      <c r="BJ28" s="178" t="s">
        <v>277</v>
      </c>
      <c r="BK28" s="178" t="s">
        <v>277</v>
      </c>
      <c r="BL28" s="178" t="s">
        <v>1552</v>
      </c>
      <c r="BM28" s="178" t="s">
        <v>275</v>
      </c>
      <c r="BN28" s="178" t="s">
        <v>1553</v>
      </c>
      <c r="BO28" s="178" t="s">
        <v>88</v>
      </c>
      <c r="BP28" s="178" t="s">
        <v>113</v>
      </c>
      <c r="BQ28" s="178" t="s">
        <v>88</v>
      </c>
      <c r="BR28" s="178" t="s">
        <v>88</v>
      </c>
      <c r="BS28" s="178" t="s">
        <v>191</v>
      </c>
      <c r="BT28" s="178" t="s">
        <v>1556</v>
      </c>
      <c r="BU28" s="178" t="s">
        <v>1427</v>
      </c>
      <c r="BV28" s="178" t="s">
        <v>772</v>
      </c>
      <c r="BW28" s="178" t="s">
        <v>88</v>
      </c>
      <c r="BY28" s="178" t="s">
        <v>79</v>
      </c>
      <c r="BZ28" s="178" t="s">
        <v>79</v>
      </c>
      <c r="CA28" s="178" t="s">
        <v>472</v>
      </c>
      <c r="CB28" s="178" t="s">
        <v>88</v>
      </c>
      <c r="CC28" s="178" t="s">
        <v>88</v>
      </c>
    </row>
    <row r="29" spans="1:81">
      <c r="A29" s="123">
        <v>45313.423773784722</v>
      </c>
      <c r="B29" s="178" t="s">
        <v>1557</v>
      </c>
      <c r="C29" s="178" t="s">
        <v>1558</v>
      </c>
      <c r="D29" s="178" t="s">
        <v>1559</v>
      </c>
      <c r="E29" s="30">
        <v>45289</v>
      </c>
      <c r="F29" s="178" t="s">
        <v>1560</v>
      </c>
      <c r="G29" s="178" t="s">
        <v>279</v>
      </c>
      <c r="H29" s="178" t="s">
        <v>279</v>
      </c>
      <c r="I29" s="178" t="s">
        <v>279</v>
      </c>
      <c r="J29">
        <v>1.5</v>
      </c>
      <c r="K29" s="178" t="s">
        <v>102</v>
      </c>
      <c r="L29" s="178" t="s">
        <v>284</v>
      </c>
      <c r="M29" s="178" t="s">
        <v>1501</v>
      </c>
      <c r="N29" s="30">
        <v>46392</v>
      </c>
      <c r="O29" s="178" t="s">
        <v>287</v>
      </c>
      <c r="P29" s="178" t="s">
        <v>88</v>
      </c>
      <c r="Q29" s="178" t="s">
        <v>88</v>
      </c>
      <c r="S29" s="178" t="s">
        <v>282</v>
      </c>
      <c r="T29" s="178" t="s">
        <v>294</v>
      </c>
      <c r="U29" s="178" t="s">
        <v>88</v>
      </c>
      <c r="V29" s="178" t="s">
        <v>280</v>
      </c>
      <c r="W29">
        <v>100</v>
      </c>
      <c r="Y29" s="178" t="s">
        <v>500</v>
      </c>
      <c r="Z29" s="178" t="s">
        <v>1561</v>
      </c>
      <c r="AA29" s="178" t="s">
        <v>1562</v>
      </c>
      <c r="AF29" s="178" t="s">
        <v>1563</v>
      </c>
      <c r="AG29" s="178" t="s">
        <v>228</v>
      </c>
      <c r="AH29" s="178" t="s">
        <v>695</v>
      </c>
      <c r="AI29" s="178" t="s">
        <v>279</v>
      </c>
      <c r="AJ29" s="178" t="s">
        <v>494</v>
      </c>
      <c r="AK29" s="178" t="s">
        <v>88</v>
      </c>
      <c r="AL29" s="178" t="s">
        <v>1</v>
      </c>
      <c r="AM29" s="178" t="s">
        <v>1564</v>
      </c>
      <c r="AN29" s="178" t="s">
        <v>278</v>
      </c>
      <c r="AO29" s="178" t="s">
        <v>286</v>
      </c>
      <c r="AQ29" s="178" t="s">
        <v>88</v>
      </c>
      <c r="AR29" s="178" t="s">
        <v>88</v>
      </c>
      <c r="AS29" s="178" t="s">
        <v>1565</v>
      </c>
      <c r="AT29" s="178" t="s">
        <v>1566</v>
      </c>
      <c r="AU29">
        <v>10000</v>
      </c>
      <c r="AV29">
        <v>1.5</v>
      </c>
      <c r="AW29" s="30">
        <v>45296</v>
      </c>
      <c r="AX29" s="30"/>
      <c r="AY29">
        <v>7.8</v>
      </c>
      <c r="AZ29" s="178" t="s">
        <v>88</v>
      </c>
      <c r="BA29" s="30">
        <v>45478</v>
      </c>
      <c r="BB29" s="178" t="s">
        <v>1567</v>
      </c>
      <c r="BC29" s="178" t="s">
        <v>1557</v>
      </c>
      <c r="BD29" s="30">
        <v>45296</v>
      </c>
      <c r="BE29" s="178" t="s">
        <v>1507</v>
      </c>
      <c r="BF29" s="30">
        <v>45296</v>
      </c>
      <c r="BG29" s="178" t="s">
        <v>692</v>
      </c>
      <c r="BH29" s="178" t="s">
        <v>1568</v>
      </c>
      <c r="BI29" s="178" t="s">
        <v>1569</v>
      </c>
      <c r="BJ29" s="178" t="s">
        <v>277</v>
      </c>
      <c r="BK29" s="178" t="s">
        <v>277</v>
      </c>
      <c r="BL29" s="178" t="s">
        <v>276</v>
      </c>
      <c r="BM29" s="178" t="s">
        <v>275</v>
      </c>
      <c r="BN29" s="178" t="s">
        <v>274</v>
      </c>
      <c r="BO29" s="178" t="s">
        <v>88</v>
      </c>
      <c r="BP29" s="178" t="s">
        <v>113</v>
      </c>
      <c r="BQ29" s="178" t="s">
        <v>88</v>
      </c>
      <c r="BR29" s="178" t="s">
        <v>88</v>
      </c>
      <c r="BS29" s="178" t="s">
        <v>191</v>
      </c>
      <c r="BT29" s="178" t="s">
        <v>1570</v>
      </c>
      <c r="BU29" s="178" t="s">
        <v>490</v>
      </c>
      <c r="BV29" s="178" t="s">
        <v>88</v>
      </c>
      <c r="BW29" s="178" t="s">
        <v>88</v>
      </c>
      <c r="BY29" s="178" t="s">
        <v>79</v>
      </c>
      <c r="BZ29" s="178" t="s">
        <v>79</v>
      </c>
      <c r="CA29" s="178" t="s">
        <v>472</v>
      </c>
      <c r="CB29" s="178" t="s">
        <v>88</v>
      </c>
      <c r="CC29" s="178" t="s">
        <v>88</v>
      </c>
    </row>
    <row r="30" spans="1:81">
      <c r="A30" s="123">
        <v>45313.423773784722</v>
      </c>
      <c r="B30" s="178" t="s">
        <v>1571</v>
      </c>
      <c r="C30" s="178" t="s">
        <v>1572</v>
      </c>
      <c r="D30" s="178" t="s">
        <v>1573</v>
      </c>
      <c r="E30" s="30">
        <v>45289</v>
      </c>
      <c r="F30" s="178" t="s">
        <v>1574</v>
      </c>
      <c r="G30" s="178" t="s">
        <v>279</v>
      </c>
      <c r="H30" s="178" t="s">
        <v>279</v>
      </c>
      <c r="I30" s="178" t="s">
        <v>279</v>
      </c>
      <c r="J30">
        <v>6.1</v>
      </c>
      <c r="K30" s="178" t="s">
        <v>102</v>
      </c>
      <c r="L30" s="178" t="s">
        <v>284</v>
      </c>
      <c r="M30" s="178" t="s">
        <v>1575</v>
      </c>
      <c r="N30" s="30">
        <v>46395</v>
      </c>
      <c r="O30" s="178" t="s">
        <v>105</v>
      </c>
      <c r="P30" s="178" t="s">
        <v>88</v>
      </c>
      <c r="Q30" s="178" t="s">
        <v>1576</v>
      </c>
      <c r="S30" s="178" t="s">
        <v>282</v>
      </c>
      <c r="T30" s="178" t="s">
        <v>708</v>
      </c>
      <c r="U30" s="178" t="s">
        <v>569</v>
      </c>
      <c r="V30" s="178" t="s">
        <v>280</v>
      </c>
      <c r="W30">
        <v>100</v>
      </c>
      <c r="Y30" s="178" t="s">
        <v>795</v>
      </c>
      <c r="Z30" s="178" t="s">
        <v>1577</v>
      </c>
      <c r="AA30" s="178" t="s">
        <v>88</v>
      </c>
      <c r="AF30" s="178" t="s">
        <v>1578</v>
      </c>
      <c r="AG30" s="178" t="s">
        <v>228</v>
      </c>
      <c r="AH30" s="178" t="s">
        <v>1345</v>
      </c>
      <c r="AI30" s="178" t="s">
        <v>279</v>
      </c>
      <c r="AJ30" s="178" t="s">
        <v>88</v>
      </c>
      <c r="AK30" s="178" t="s">
        <v>88</v>
      </c>
      <c r="AL30" s="178" t="s">
        <v>1</v>
      </c>
      <c r="AM30" s="178" t="s">
        <v>1579</v>
      </c>
      <c r="AN30" s="178" t="s">
        <v>278</v>
      </c>
      <c r="AO30" s="178" t="s">
        <v>286</v>
      </c>
      <c r="AQ30" s="178" t="s">
        <v>88</v>
      </c>
      <c r="AR30" s="178" t="s">
        <v>88</v>
      </c>
      <c r="AS30" s="178" t="s">
        <v>1580</v>
      </c>
      <c r="AT30" s="178" t="s">
        <v>1581</v>
      </c>
      <c r="AU30">
        <v>10000</v>
      </c>
      <c r="AV30">
        <v>6.1</v>
      </c>
      <c r="AW30" s="30">
        <v>45299</v>
      </c>
      <c r="AX30" s="30"/>
      <c r="AY30">
        <v>4.8</v>
      </c>
      <c r="AZ30" s="178" t="s">
        <v>88</v>
      </c>
      <c r="BA30" s="30">
        <v>45481</v>
      </c>
      <c r="BB30" s="178" t="s">
        <v>1571</v>
      </c>
      <c r="BC30" s="178" t="s">
        <v>88</v>
      </c>
      <c r="BD30" s="30">
        <v>45299</v>
      </c>
      <c r="BE30" s="178" t="s">
        <v>1576</v>
      </c>
      <c r="BF30" s="30">
        <v>45299</v>
      </c>
      <c r="BG30" s="178" t="s">
        <v>709</v>
      </c>
      <c r="BH30" s="178" t="s">
        <v>1582</v>
      </c>
      <c r="BI30" s="178" t="s">
        <v>1583</v>
      </c>
      <c r="BJ30" s="178" t="s">
        <v>277</v>
      </c>
      <c r="BK30" s="178" t="s">
        <v>277</v>
      </c>
      <c r="BL30" s="178" t="s">
        <v>276</v>
      </c>
      <c r="BM30" s="178" t="s">
        <v>275</v>
      </c>
      <c r="BN30" s="178" t="s">
        <v>274</v>
      </c>
      <c r="BO30" s="178" t="s">
        <v>88</v>
      </c>
      <c r="BP30" s="178" t="s">
        <v>113</v>
      </c>
      <c r="BQ30" s="178" t="s">
        <v>88</v>
      </c>
      <c r="BR30" s="178" t="s">
        <v>88</v>
      </c>
      <c r="BS30" s="178" t="s">
        <v>191</v>
      </c>
      <c r="BT30" s="178" t="s">
        <v>1584</v>
      </c>
      <c r="BU30" s="178" t="s">
        <v>192</v>
      </c>
      <c r="BV30" s="178" t="s">
        <v>88</v>
      </c>
      <c r="BW30" s="178" t="s">
        <v>88</v>
      </c>
      <c r="BY30" s="178" t="s">
        <v>79</v>
      </c>
      <c r="BZ30" s="178" t="s">
        <v>79</v>
      </c>
      <c r="CA30" s="178" t="s">
        <v>472</v>
      </c>
      <c r="CB30" s="178" t="s">
        <v>88</v>
      </c>
      <c r="CC30" s="178" t="s">
        <v>1703</v>
      </c>
    </row>
    <row r="31" spans="1:81">
      <c r="A31" s="123">
        <v>45313.423773784722</v>
      </c>
      <c r="B31" s="178" t="s">
        <v>1585</v>
      </c>
      <c r="C31" s="178" t="s">
        <v>1586</v>
      </c>
      <c r="D31" s="178" t="s">
        <v>1587</v>
      </c>
      <c r="E31" s="30">
        <v>45289</v>
      </c>
      <c r="F31" s="178" t="s">
        <v>1588</v>
      </c>
      <c r="G31" s="178" t="s">
        <v>279</v>
      </c>
      <c r="H31" s="178" t="s">
        <v>279</v>
      </c>
      <c r="I31" s="178" t="s">
        <v>279</v>
      </c>
      <c r="J31">
        <v>0.53500000000000003</v>
      </c>
      <c r="K31" s="178" t="s">
        <v>81</v>
      </c>
      <c r="L31" s="178" t="s">
        <v>284</v>
      </c>
      <c r="M31" s="178" t="s">
        <v>1589</v>
      </c>
      <c r="N31" s="30">
        <v>46391</v>
      </c>
      <c r="O31" s="178" t="s">
        <v>287</v>
      </c>
      <c r="P31" s="178" t="s">
        <v>1590</v>
      </c>
      <c r="Q31" s="178" t="s">
        <v>1591</v>
      </c>
      <c r="R31">
        <v>30</v>
      </c>
      <c r="S31" s="178" t="s">
        <v>282</v>
      </c>
      <c r="T31" s="178" t="s">
        <v>1341</v>
      </c>
      <c r="U31" s="178" t="s">
        <v>1592</v>
      </c>
      <c r="V31" s="178" t="s">
        <v>280</v>
      </c>
      <c r="W31">
        <v>100</v>
      </c>
      <c r="Y31" s="178" t="s">
        <v>710</v>
      </c>
      <c r="Z31" s="178" t="s">
        <v>784</v>
      </c>
      <c r="AA31" s="178" t="s">
        <v>1593</v>
      </c>
      <c r="AF31" s="178" t="s">
        <v>1594</v>
      </c>
      <c r="AG31" s="178" t="s">
        <v>228</v>
      </c>
      <c r="AH31" s="178" t="s">
        <v>1595</v>
      </c>
      <c r="AI31" s="178" t="s">
        <v>279</v>
      </c>
      <c r="AJ31" s="178" t="s">
        <v>494</v>
      </c>
      <c r="AK31" s="178" t="s">
        <v>88</v>
      </c>
      <c r="AL31" s="178" t="s">
        <v>1</v>
      </c>
      <c r="AM31" s="178" t="s">
        <v>1564</v>
      </c>
      <c r="AN31" s="178" t="s">
        <v>278</v>
      </c>
      <c r="AO31" s="178" t="s">
        <v>1596</v>
      </c>
      <c r="AQ31" s="178" t="s">
        <v>88</v>
      </c>
      <c r="AR31" s="178" t="s">
        <v>88</v>
      </c>
      <c r="AS31" s="178" t="s">
        <v>1597</v>
      </c>
      <c r="AT31" s="178" t="s">
        <v>1598</v>
      </c>
      <c r="AU31">
        <v>1000</v>
      </c>
      <c r="AV31">
        <v>0.53500000000000003</v>
      </c>
      <c r="AW31" s="30">
        <v>45295</v>
      </c>
      <c r="AX31" s="30"/>
      <c r="AY31">
        <v>5.6</v>
      </c>
      <c r="AZ31" s="178" t="s">
        <v>88</v>
      </c>
      <c r="BA31" s="30">
        <v>45477</v>
      </c>
      <c r="BB31" s="178" t="s">
        <v>1599</v>
      </c>
      <c r="BC31" s="178" t="s">
        <v>88</v>
      </c>
      <c r="BD31" s="30">
        <v>45295</v>
      </c>
      <c r="BE31" s="178" t="s">
        <v>1591</v>
      </c>
      <c r="BF31" s="30">
        <v>45295</v>
      </c>
      <c r="BG31" s="178" t="s">
        <v>709</v>
      </c>
      <c r="BH31" s="178" t="s">
        <v>1600</v>
      </c>
      <c r="BI31" s="178" t="s">
        <v>1601</v>
      </c>
      <c r="BJ31" s="178" t="s">
        <v>277</v>
      </c>
      <c r="BK31" s="178" t="s">
        <v>277</v>
      </c>
      <c r="BL31" s="178" t="s">
        <v>276</v>
      </c>
      <c r="BM31" s="178" t="s">
        <v>275</v>
      </c>
      <c r="BN31" s="178" t="s">
        <v>274</v>
      </c>
      <c r="BO31" s="178" t="s">
        <v>88</v>
      </c>
      <c r="BP31" s="178" t="s">
        <v>113</v>
      </c>
      <c r="BQ31" s="178" t="s">
        <v>1585</v>
      </c>
      <c r="BR31" s="178" t="s">
        <v>88</v>
      </c>
      <c r="BS31" s="178" t="s">
        <v>191</v>
      </c>
      <c r="BT31" s="178" t="s">
        <v>1602</v>
      </c>
      <c r="BU31" s="178" t="s">
        <v>772</v>
      </c>
      <c r="BV31" s="178" t="s">
        <v>88</v>
      </c>
      <c r="BW31" s="178" t="s">
        <v>88</v>
      </c>
      <c r="BY31" s="178" t="s">
        <v>79</v>
      </c>
      <c r="BZ31" s="178" t="s">
        <v>1704</v>
      </c>
      <c r="CA31" s="178" t="s">
        <v>472</v>
      </c>
      <c r="CB31" s="178" t="s">
        <v>88</v>
      </c>
      <c r="CC31" s="178" t="s">
        <v>1337</v>
      </c>
    </row>
    <row r="32" spans="1:81">
      <c r="A32" s="123">
        <v>45313.423773784722</v>
      </c>
      <c r="B32" s="178" t="s">
        <v>1603</v>
      </c>
      <c r="C32" s="178" t="s">
        <v>1604</v>
      </c>
      <c r="D32" s="178" t="s">
        <v>1605</v>
      </c>
      <c r="E32" s="30">
        <v>45289</v>
      </c>
      <c r="F32" s="178" t="s">
        <v>1606</v>
      </c>
      <c r="G32" s="178" t="s">
        <v>279</v>
      </c>
      <c r="H32" s="178" t="s">
        <v>279</v>
      </c>
      <c r="I32" s="178" t="s">
        <v>279</v>
      </c>
      <c r="J32">
        <v>3.43</v>
      </c>
      <c r="K32" s="178" t="s">
        <v>102</v>
      </c>
      <c r="L32" s="178" t="s">
        <v>1607</v>
      </c>
      <c r="M32" s="178" t="s">
        <v>1501</v>
      </c>
      <c r="N32" s="30">
        <v>46292</v>
      </c>
      <c r="O32" s="178" t="s">
        <v>287</v>
      </c>
      <c r="P32" s="178" t="s">
        <v>88</v>
      </c>
      <c r="Q32" s="178" t="s">
        <v>88</v>
      </c>
      <c r="S32" s="178" t="s">
        <v>282</v>
      </c>
      <c r="T32" s="178" t="s">
        <v>294</v>
      </c>
      <c r="U32" s="178" t="s">
        <v>88</v>
      </c>
      <c r="V32" s="178" t="s">
        <v>280</v>
      </c>
      <c r="W32">
        <v>100</v>
      </c>
      <c r="Y32" s="178" t="s">
        <v>500</v>
      </c>
      <c r="Z32" s="178" t="s">
        <v>1608</v>
      </c>
      <c r="AA32" s="178" t="s">
        <v>1609</v>
      </c>
      <c r="AF32" s="178" t="s">
        <v>1610</v>
      </c>
      <c r="AG32" s="178" t="s">
        <v>228</v>
      </c>
      <c r="AH32" s="178" t="s">
        <v>695</v>
      </c>
      <c r="AI32" s="178" t="s">
        <v>279</v>
      </c>
      <c r="AJ32" s="178" t="s">
        <v>494</v>
      </c>
      <c r="AK32" s="178" t="s">
        <v>88</v>
      </c>
      <c r="AL32" s="178" t="s">
        <v>1</v>
      </c>
      <c r="AM32" s="178" t="s">
        <v>1611</v>
      </c>
      <c r="AN32" s="178" t="s">
        <v>278</v>
      </c>
      <c r="AO32" s="178" t="s">
        <v>286</v>
      </c>
      <c r="AQ32" s="178" t="s">
        <v>88</v>
      </c>
      <c r="AR32" s="178" t="s">
        <v>88</v>
      </c>
      <c r="AS32" s="178" t="s">
        <v>88</v>
      </c>
      <c r="AT32" s="178" t="s">
        <v>1612</v>
      </c>
      <c r="AU32">
        <v>10000</v>
      </c>
      <c r="AV32">
        <v>3.43</v>
      </c>
      <c r="AW32" s="30">
        <v>45296</v>
      </c>
      <c r="AX32" s="30"/>
      <c r="AY32">
        <v>7.8</v>
      </c>
      <c r="AZ32" s="178" t="s">
        <v>88</v>
      </c>
      <c r="BA32" s="30">
        <v>45378</v>
      </c>
      <c r="BB32" s="178" t="s">
        <v>1613</v>
      </c>
      <c r="BC32" s="178" t="s">
        <v>1603</v>
      </c>
      <c r="BD32" s="30">
        <v>45296</v>
      </c>
      <c r="BE32" s="178" t="s">
        <v>88</v>
      </c>
      <c r="BF32" s="30">
        <v>45296</v>
      </c>
      <c r="BG32" s="178" t="s">
        <v>88</v>
      </c>
      <c r="BH32" s="178" t="s">
        <v>88</v>
      </c>
      <c r="BI32" s="178" t="s">
        <v>1614</v>
      </c>
      <c r="BJ32" s="178" t="s">
        <v>277</v>
      </c>
      <c r="BK32" s="178" t="s">
        <v>277</v>
      </c>
      <c r="BL32" s="178" t="s">
        <v>276</v>
      </c>
      <c r="BM32" s="178" t="s">
        <v>275</v>
      </c>
      <c r="BN32" s="178" t="s">
        <v>274</v>
      </c>
      <c r="BO32" s="178" t="s">
        <v>88</v>
      </c>
      <c r="BP32" s="178" t="s">
        <v>113</v>
      </c>
      <c r="BQ32" s="178" t="s">
        <v>88</v>
      </c>
      <c r="BR32" s="178" t="s">
        <v>88</v>
      </c>
      <c r="BS32" s="178" t="s">
        <v>191</v>
      </c>
      <c r="BT32" s="178" t="s">
        <v>1615</v>
      </c>
      <c r="BU32" s="178" t="s">
        <v>1705</v>
      </c>
      <c r="BV32" s="178" t="s">
        <v>88</v>
      </c>
      <c r="BW32" s="178" t="s">
        <v>88</v>
      </c>
      <c r="BY32" s="178" t="s">
        <v>79</v>
      </c>
      <c r="BZ32" s="178" t="s">
        <v>79</v>
      </c>
      <c r="CA32" s="178" t="s">
        <v>472</v>
      </c>
      <c r="CB32" s="178" t="s">
        <v>88</v>
      </c>
      <c r="CC32" s="178" t="s">
        <v>88</v>
      </c>
    </row>
    <row r="33" spans="1:81">
      <c r="A33" s="123">
        <v>45313.423773784722</v>
      </c>
      <c r="B33" s="178" t="s">
        <v>1616</v>
      </c>
      <c r="C33" s="178" t="s">
        <v>1617</v>
      </c>
      <c r="D33" s="178" t="s">
        <v>1618</v>
      </c>
      <c r="E33" s="30">
        <v>45289</v>
      </c>
      <c r="F33" s="178" t="s">
        <v>1619</v>
      </c>
      <c r="G33" s="178" t="s">
        <v>1541</v>
      </c>
      <c r="H33" s="178" t="s">
        <v>1542</v>
      </c>
      <c r="I33" s="178" t="s">
        <v>279</v>
      </c>
      <c r="J33">
        <v>5.2999999999999999E-2</v>
      </c>
      <c r="K33" s="178" t="s">
        <v>81</v>
      </c>
      <c r="L33" s="178" t="s">
        <v>489</v>
      </c>
      <c r="M33" s="178" t="s">
        <v>1620</v>
      </c>
      <c r="N33" s="30">
        <v>45659</v>
      </c>
      <c r="O33" s="178" t="s">
        <v>105</v>
      </c>
      <c r="P33" s="178" t="s">
        <v>88</v>
      </c>
      <c r="Q33" s="178" t="s">
        <v>88</v>
      </c>
      <c r="S33" s="178" t="s">
        <v>282</v>
      </c>
      <c r="T33" s="178" t="s">
        <v>294</v>
      </c>
      <c r="U33" s="178" t="s">
        <v>88</v>
      </c>
      <c r="V33" s="178" t="s">
        <v>280</v>
      </c>
      <c r="W33">
        <v>99.75</v>
      </c>
      <c r="Y33" s="178" t="s">
        <v>698</v>
      </c>
      <c r="Z33" s="178" t="s">
        <v>1352</v>
      </c>
      <c r="AA33" s="178" t="s">
        <v>88</v>
      </c>
      <c r="AF33" s="178" t="s">
        <v>1621</v>
      </c>
      <c r="AG33" s="178" t="s">
        <v>228</v>
      </c>
      <c r="AH33" s="178" t="s">
        <v>807</v>
      </c>
      <c r="AI33" s="178" t="s">
        <v>279</v>
      </c>
      <c r="AJ33" s="178" t="s">
        <v>494</v>
      </c>
      <c r="AK33" s="178" t="s">
        <v>88</v>
      </c>
      <c r="AL33" s="178" t="s">
        <v>3</v>
      </c>
      <c r="AM33" s="178" t="s">
        <v>1622</v>
      </c>
      <c r="AN33" s="178" t="s">
        <v>1423</v>
      </c>
      <c r="AO33" s="178" t="s">
        <v>286</v>
      </c>
      <c r="AQ33" s="178" t="s">
        <v>88</v>
      </c>
      <c r="AR33" s="178" t="s">
        <v>88</v>
      </c>
      <c r="AS33" s="178" t="s">
        <v>88</v>
      </c>
      <c r="AT33" s="178" t="s">
        <v>1623</v>
      </c>
      <c r="AU33">
        <v>1000</v>
      </c>
      <c r="AV33">
        <v>5.2999999999999999E-2</v>
      </c>
      <c r="AW33" s="30">
        <v>45295</v>
      </c>
      <c r="AX33" s="30">
        <v>45628</v>
      </c>
      <c r="AY33">
        <v>8</v>
      </c>
      <c r="AZ33" s="178" t="s">
        <v>88</v>
      </c>
      <c r="BA33" s="30">
        <v>45477</v>
      </c>
      <c r="BB33" s="178" t="s">
        <v>1624</v>
      </c>
      <c r="BC33" s="178" t="s">
        <v>1616</v>
      </c>
      <c r="BD33" s="30">
        <v>45295</v>
      </c>
      <c r="BE33" s="178" t="s">
        <v>88</v>
      </c>
      <c r="BF33" s="30">
        <v>45295</v>
      </c>
      <c r="BG33" s="178" t="s">
        <v>88</v>
      </c>
      <c r="BH33" s="178" t="s">
        <v>1625</v>
      </c>
      <c r="BI33" s="178" t="s">
        <v>1626</v>
      </c>
      <c r="BJ33" s="178" t="s">
        <v>277</v>
      </c>
      <c r="BK33" s="178" t="s">
        <v>277</v>
      </c>
      <c r="BL33" s="178" t="s">
        <v>276</v>
      </c>
      <c r="BM33" s="178" t="s">
        <v>275</v>
      </c>
      <c r="BN33" s="178" t="s">
        <v>1553</v>
      </c>
      <c r="BO33" s="178" t="s">
        <v>88</v>
      </c>
      <c r="BP33" s="178" t="s">
        <v>113</v>
      </c>
      <c r="BQ33" s="178" t="s">
        <v>88</v>
      </c>
      <c r="BR33" s="178" t="s">
        <v>88</v>
      </c>
      <c r="BS33" s="178" t="s">
        <v>191</v>
      </c>
      <c r="BT33" s="178" t="s">
        <v>1627</v>
      </c>
      <c r="BU33" s="178" t="s">
        <v>490</v>
      </c>
      <c r="BV33" s="178" t="s">
        <v>88</v>
      </c>
      <c r="BW33" s="178" t="s">
        <v>88</v>
      </c>
      <c r="BY33" s="178" t="s">
        <v>79</v>
      </c>
      <c r="BZ33" s="178" t="s">
        <v>79</v>
      </c>
      <c r="CA33" s="178" t="s">
        <v>472</v>
      </c>
      <c r="CB33" s="178" t="s">
        <v>88</v>
      </c>
      <c r="CC33" s="178" t="s">
        <v>88</v>
      </c>
    </row>
    <row r="34" spans="1:81">
      <c r="A34" s="123">
        <v>45313.423773784722</v>
      </c>
      <c r="B34" s="178" t="s">
        <v>1616</v>
      </c>
      <c r="C34" s="178" t="s">
        <v>1617</v>
      </c>
      <c r="D34" s="178" t="s">
        <v>1628</v>
      </c>
      <c r="E34" s="30">
        <v>45289</v>
      </c>
      <c r="F34" s="178" t="s">
        <v>1619</v>
      </c>
      <c r="G34" s="178" t="s">
        <v>1541</v>
      </c>
      <c r="H34" s="178" t="s">
        <v>1542</v>
      </c>
      <c r="I34" s="178" t="s">
        <v>279</v>
      </c>
      <c r="J34">
        <v>0.40500000000000003</v>
      </c>
      <c r="K34" s="178" t="s">
        <v>102</v>
      </c>
      <c r="L34" s="178" t="s">
        <v>489</v>
      </c>
      <c r="M34" s="178" t="s">
        <v>1620</v>
      </c>
      <c r="N34" s="30">
        <v>45659</v>
      </c>
      <c r="O34" s="178" t="s">
        <v>105</v>
      </c>
      <c r="P34" s="178" t="s">
        <v>88</v>
      </c>
      <c r="Q34" s="178" t="s">
        <v>88</v>
      </c>
      <c r="S34" s="178" t="s">
        <v>282</v>
      </c>
      <c r="T34" s="178" t="s">
        <v>294</v>
      </c>
      <c r="U34" s="178" t="s">
        <v>88</v>
      </c>
      <c r="V34" s="178" t="s">
        <v>280</v>
      </c>
      <c r="W34">
        <v>99.75</v>
      </c>
      <c r="Y34" s="178" t="s">
        <v>698</v>
      </c>
      <c r="Z34" s="178" t="s">
        <v>1352</v>
      </c>
      <c r="AA34" s="178" t="s">
        <v>88</v>
      </c>
      <c r="AF34" s="178" t="s">
        <v>1621</v>
      </c>
      <c r="AG34" s="178" t="s">
        <v>228</v>
      </c>
      <c r="AH34" s="178" t="s">
        <v>807</v>
      </c>
      <c r="AI34" s="178" t="s">
        <v>279</v>
      </c>
      <c r="AJ34" s="178" t="s">
        <v>494</v>
      </c>
      <c r="AK34" s="178" t="s">
        <v>88</v>
      </c>
      <c r="AL34" s="178" t="s">
        <v>3</v>
      </c>
      <c r="AM34" s="178" t="s">
        <v>1622</v>
      </c>
      <c r="AN34" s="178" t="s">
        <v>1423</v>
      </c>
      <c r="AO34" s="178" t="s">
        <v>286</v>
      </c>
      <c r="AQ34" s="178" t="s">
        <v>88</v>
      </c>
      <c r="AR34" s="178" t="s">
        <v>88</v>
      </c>
      <c r="AS34" s="178" t="s">
        <v>88</v>
      </c>
      <c r="AT34" s="178" t="s">
        <v>1623</v>
      </c>
      <c r="AU34">
        <v>10000</v>
      </c>
      <c r="AV34">
        <v>0.40500000000000003</v>
      </c>
      <c r="AW34" s="30">
        <v>45295</v>
      </c>
      <c r="AX34" s="30">
        <v>45628</v>
      </c>
      <c r="AY34">
        <v>8</v>
      </c>
      <c r="AZ34" s="178" t="s">
        <v>88</v>
      </c>
      <c r="BA34" s="30">
        <v>45477</v>
      </c>
      <c r="BB34" s="178" t="s">
        <v>1624</v>
      </c>
      <c r="BC34" s="178" t="s">
        <v>1616</v>
      </c>
      <c r="BD34" s="30">
        <v>45295</v>
      </c>
      <c r="BE34" s="178" t="s">
        <v>88</v>
      </c>
      <c r="BF34" s="30">
        <v>45295</v>
      </c>
      <c r="BG34" s="178" t="s">
        <v>88</v>
      </c>
      <c r="BH34" s="178" t="s">
        <v>1625</v>
      </c>
      <c r="BI34" s="178" t="s">
        <v>1626</v>
      </c>
      <c r="BJ34" s="178" t="s">
        <v>277</v>
      </c>
      <c r="BK34" s="178" t="s">
        <v>277</v>
      </c>
      <c r="BL34" s="178" t="s">
        <v>276</v>
      </c>
      <c r="BM34" s="178" t="s">
        <v>275</v>
      </c>
      <c r="BN34" s="178" t="s">
        <v>1553</v>
      </c>
      <c r="BO34" s="178" t="s">
        <v>88</v>
      </c>
      <c r="BP34" s="178" t="s">
        <v>113</v>
      </c>
      <c r="BQ34" s="178" t="s">
        <v>88</v>
      </c>
      <c r="BR34" s="178" t="s">
        <v>88</v>
      </c>
      <c r="BS34" s="178" t="s">
        <v>191</v>
      </c>
      <c r="BT34" s="178" t="s">
        <v>1629</v>
      </c>
      <c r="BU34" s="178" t="s">
        <v>490</v>
      </c>
      <c r="BV34" s="178" t="s">
        <v>88</v>
      </c>
      <c r="BW34" s="178" t="s">
        <v>88</v>
      </c>
      <c r="BY34" s="178" t="s">
        <v>79</v>
      </c>
      <c r="BZ34" s="178" t="s">
        <v>79</v>
      </c>
      <c r="CA34" s="178" t="s">
        <v>472</v>
      </c>
      <c r="CB34" s="178" t="s">
        <v>88</v>
      </c>
      <c r="CC34" s="178" t="s">
        <v>88</v>
      </c>
    </row>
    <row r="35" spans="1:81">
      <c r="A35" s="123">
        <v>45313.423773784722</v>
      </c>
      <c r="B35" s="178" t="s">
        <v>1616</v>
      </c>
      <c r="C35" s="178" t="s">
        <v>1617</v>
      </c>
      <c r="D35" s="178" t="s">
        <v>1630</v>
      </c>
      <c r="E35" s="30">
        <v>45289</v>
      </c>
      <c r="F35" s="178" t="s">
        <v>1619</v>
      </c>
      <c r="G35" s="178" t="s">
        <v>1541</v>
      </c>
      <c r="H35" s="178" t="s">
        <v>1542</v>
      </c>
      <c r="I35" s="178" t="s">
        <v>279</v>
      </c>
      <c r="J35">
        <v>1.145</v>
      </c>
      <c r="K35" s="178" t="s">
        <v>104</v>
      </c>
      <c r="L35" s="178" t="s">
        <v>489</v>
      </c>
      <c r="M35" s="178" t="s">
        <v>1620</v>
      </c>
      <c r="N35" s="30">
        <v>45659</v>
      </c>
      <c r="O35" s="178" t="s">
        <v>105</v>
      </c>
      <c r="P35" s="178" t="s">
        <v>88</v>
      </c>
      <c r="Q35" s="178" t="s">
        <v>88</v>
      </c>
      <c r="S35" s="178" t="s">
        <v>282</v>
      </c>
      <c r="T35" s="178" t="s">
        <v>294</v>
      </c>
      <c r="U35" s="178" t="s">
        <v>88</v>
      </c>
      <c r="V35" s="178" t="s">
        <v>280</v>
      </c>
      <c r="W35">
        <v>99.75</v>
      </c>
      <c r="Y35" s="178" t="s">
        <v>698</v>
      </c>
      <c r="Z35" s="178" t="s">
        <v>1352</v>
      </c>
      <c r="AA35" s="178" t="s">
        <v>88</v>
      </c>
      <c r="AF35" s="178" t="s">
        <v>1621</v>
      </c>
      <c r="AG35" s="178" t="s">
        <v>228</v>
      </c>
      <c r="AH35" s="178" t="s">
        <v>807</v>
      </c>
      <c r="AI35" s="178" t="s">
        <v>279</v>
      </c>
      <c r="AJ35" s="178" t="s">
        <v>494</v>
      </c>
      <c r="AK35" s="178" t="s">
        <v>88</v>
      </c>
      <c r="AL35" s="178" t="s">
        <v>3</v>
      </c>
      <c r="AM35" s="178" t="s">
        <v>1622</v>
      </c>
      <c r="AN35" s="178" t="s">
        <v>1423</v>
      </c>
      <c r="AO35" s="178" t="s">
        <v>286</v>
      </c>
      <c r="AQ35" s="178" t="s">
        <v>88</v>
      </c>
      <c r="AR35" s="178" t="s">
        <v>88</v>
      </c>
      <c r="AS35" s="178" t="s">
        <v>88</v>
      </c>
      <c r="AT35" s="178" t="s">
        <v>1623</v>
      </c>
      <c r="AU35">
        <v>1000</v>
      </c>
      <c r="AV35">
        <v>1.145</v>
      </c>
      <c r="AW35" s="30">
        <v>45295</v>
      </c>
      <c r="AX35" s="30">
        <v>45628</v>
      </c>
      <c r="AY35">
        <v>8</v>
      </c>
      <c r="AZ35" s="178" t="s">
        <v>88</v>
      </c>
      <c r="BA35" s="30">
        <v>45477</v>
      </c>
      <c r="BB35" s="178" t="s">
        <v>1624</v>
      </c>
      <c r="BC35" s="178" t="s">
        <v>1616</v>
      </c>
      <c r="BD35" s="30">
        <v>45295</v>
      </c>
      <c r="BE35" s="178" t="s">
        <v>88</v>
      </c>
      <c r="BF35" s="30">
        <v>45295</v>
      </c>
      <c r="BG35" s="178" t="s">
        <v>88</v>
      </c>
      <c r="BH35" s="178" t="s">
        <v>1625</v>
      </c>
      <c r="BI35" s="178" t="s">
        <v>1626</v>
      </c>
      <c r="BJ35" s="178" t="s">
        <v>277</v>
      </c>
      <c r="BK35" s="178" t="s">
        <v>277</v>
      </c>
      <c r="BL35" s="178" t="s">
        <v>276</v>
      </c>
      <c r="BM35" s="178" t="s">
        <v>275</v>
      </c>
      <c r="BN35" s="178" t="s">
        <v>1553</v>
      </c>
      <c r="BO35" s="178" t="s">
        <v>88</v>
      </c>
      <c r="BP35" s="178" t="s">
        <v>113</v>
      </c>
      <c r="BQ35" s="178" t="s">
        <v>88</v>
      </c>
      <c r="BR35" s="178" t="s">
        <v>88</v>
      </c>
      <c r="BS35" s="178" t="s">
        <v>191</v>
      </c>
      <c r="BT35" s="178" t="s">
        <v>1631</v>
      </c>
      <c r="BU35" s="178" t="s">
        <v>490</v>
      </c>
      <c r="BV35" s="178" t="s">
        <v>88</v>
      </c>
      <c r="BW35" s="178" t="s">
        <v>88</v>
      </c>
      <c r="BY35" s="178" t="s">
        <v>79</v>
      </c>
      <c r="BZ35" s="178" t="s">
        <v>79</v>
      </c>
      <c r="CA35" s="178" t="s">
        <v>472</v>
      </c>
      <c r="CB35" s="178" t="s">
        <v>88</v>
      </c>
      <c r="CC35" s="178" t="s">
        <v>88</v>
      </c>
    </row>
    <row r="36" spans="1:81">
      <c r="A36" s="123">
        <v>45313.423773784722</v>
      </c>
      <c r="B36" s="178" t="s">
        <v>1603</v>
      </c>
      <c r="C36" s="178" t="s">
        <v>1632</v>
      </c>
      <c r="D36" s="178" t="s">
        <v>1633</v>
      </c>
      <c r="E36" s="30">
        <v>45289</v>
      </c>
      <c r="F36" s="178" t="s">
        <v>1634</v>
      </c>
      <c r="G36" s="178" t="s">
        <v>279</v>
      </c>
      <c r="H36" s="178" t="s">
        <v>279</v>
      </c>
      <c r="I36" s="178" t="s">
        <v>279</v>
      </c>
      <c r="J36">
        <v>0.12</v>
      </c>
      <c r="K36" s="178" t="s">
        <v>102</v>
      </c>
      <c r="L36" s="178" t="s">
        <v>489</v>
      </c>
      <c r="M36" s="178" t="s">
        <v>1501</v>
      </c>
      <c r="N36" s="30">
        <v>45659</v>
      </c>
      <c r="O36" s="178" t="s">
        <v>287</v>
      </c>
      <c r="P36" s="178" t="s">
        <v>88</v>
      </c>
      <c r="Q36" s="178" t="s">
        <v>88</v>
      </c>
      <c r="S36" s="178" t="s">
        <v>282</v>
      </c>
      <c r="T36" s="178" t="s">
        <v>294</v>
      </c>
      <c r="U36" s="178" t="s">
        <v>88</v>
      </c>
      <c r="V36" s="178" t="s">
        <v>280</v>
      </c>
      <c r="Y36" s="178" t="s">
        <v>500</v>
      </c>
      <c r="Z36" s="178" t="s">
        <v>1608</v>
      </c>
      <c r="AA36" s="178" t="s">
        <v>1609</v>
      </c>
      <c r="AF36" s="178" t="s">
        <v>88</v>
      </c>
      <c r="AG36" s="178" t="s">
        <v>228</v>
      </c>
      <c r="AH36" s="178" t="s">
        <v>695</v>
      </c>
      <c r="AI36" s="178" t="s">
        <v>279</v>
      </c>
      <c r="AJ36" s="178" t="s">
        <v>494</v>
      </c>
      <c r="AK36" s="178" t="s">
        <v>88</v>
      </c>
      <c r="AL36" s="178" t="s">
        <v>1</v>
      </c>
      <c r="AM36" s="178" t="s">
        <v>1635</v>
      </c>
      <c r="AN36" s="178" t="s">
        <v>278</v>
      </c>
      <c r="AO36" s="178" t="s">
        <v>286</v>
      </c>
      <c r="AQ36" s="178" t="s">
        <v>88</v>
      </c>
      <c r="AR36" s="178" t="s">
        <v>88</v>
      </c>
      <c r="AS36" s="178" t="s">
        <v>88</v>
      </c>
      <c r="AT36" s="178" t="s">
        <v>1612</v>
      </c>
      <c r="AU36">
        <v>10000</v>
      </c>
      <c r="AV36">
        <v>0.12</v>
      </c>
      <c r="AW36" s="30">
        <v>45295</v>
      </c>
      <c r="AX36" s="30"/>
      <c r="AY36">
        <v>7.8</v>
      </c>
      <c r="AZ36" s="178" t="s">
        <v>88</v>
      </c>
      <c r="BA36" s="30">
        <v>45477</v>
      </c>
      <c r="BB36" s="178" t="s">
        <v>1613</v>
      </c>
      <c r="BC36" s="178" t="s">
        <v>1603</v>
      </c>
      <c r="BD36" s="30">
        <v>45295</v>
      </c>
      <c r="BE36" s="178" t="s">
        <v>88</v>
      </c>
      <c r="BF36" s="30">
        <v>45295</v>
      </c>
      <c r="BG36" s="178" t="s">
        <v>88</v>
      </c>
      <c r="BH36" s="178" t="s">
        <v>1636</v>
      </c>
      <c r="BI36" s="178" t="s">
        <v>1636</v>
      </c>
      <c r="BJ36" s="178" t="s">
        <v>277</v>
      </c>
      <c r="BK36" s="178" t="s">
        <v>277</v>
      </c>
      <c r="BL36" s="178" t="s">
        <v>276</v>
      </c>
      <c r="BM36" s="178" t="s">
        <v>275</v>
      </c>
      <c r="BN36" s="178" t="s">
        <v>274</v>
      </c>
      <c r="BO36" s="178" t="s">
        <v>88</v>
      </c>
      <c r="BP36" s="178" t="s">
        <v>113</v>
      </c>
      <c r="BQ36" s="178" t="s">
        <v>88</v>
      </c>
      <c r="BR36" s="178" t="s">
        <v>88</v>
      </c>
      <c r="BS36" s="178" t="s">
        <v>191</v>
      </c>
      <c r="BT36" s="178" t="s">
        <v>1637</v>
      </c>
      <c r="BU36" s="178" t="s">
        <v>1705</v>
      </c>
      <c r="BV36" s="178" t="s">
        <v>88</v>
      </c>
      <c r="BW36" s="178" t="s">
        <v>88</v>
      </c>
      <c r="BY36" s="178" t="s">
        <v>79</v>
      </c>
      <c r="BZ36" s="178" t="s">
        <v>79</v>
      </c>
      <c r="CA36" s="178" t="s">
        <v>472</v>
      </c>
      <c r="CB36" s="178" t="s">
        <v>88</v>
      </c>
      <c r="CC36" s="178" t="s">
        <v>88</v>
      </c>
    </row>
    <row r="37" spans="1:81">
      <c r="A37" s="123">
        <v>45313.423773784722</v>
      </c>
      <c r="B37" s="178" t="s">
        <v>1638</v>
      </c>
      <c r="C37" s="178" t="s">
        <v>1639</v>
      </c>
      <c r="D37" s="178" t="s">
        <v>1640</v>
      </c>
      <c r="E37" s="30">
        <v>45289</v>
      </c>
      <c r="F37" s="178" t="s">
        <v>1641</v>
      </c>
      <c r="G37" s="178" t="s">
        <v>712</v>
      </c>
      <c r="H37" s="178" t="s">
        <v>700</v>
      </c>
      <c r="I37" s="178" t="s">
        <v>279</v>
      </c>
      <c r="J37">
        <v>0.1</v>
      </c>
      <c r="K37" s="178" t="s">
        <v>104</v>
      </c>
      <c r="L37" s="178" t="s">
        <v>785</v>
      </c>
      <c r="M37" s="178" t="s">
        <v>1642</v>
      </c>
      <c r="N37" s="30">
        <v>45385</v>
      </c>
      <c r="O37" s="178" t="s">
        <v>105</v>
      </c>
      <c r="P37" s="178" t="s">
        <v>88</v>
      </c>
      <c r="Q37" s="178" t="s">
        <v>88</v>
      </c>
      <c r="S37" s="178" t="s">
        <v>88</v>
      </c>
      <c r="T37" s="178" t="s">
        <v>294</v>
      </c>
      <c r="U37" s="178" t="s">
        <v>88</v>
      </c>
      <c r="V37" s="178" t="s">
        <v>280</v>
      </c>
      <c r="Y37" s="178" t="s">
        <v>288</v>
      </c>
      <c r="Z37" s="178" t="s">
        <v>88</v>
      </c>
      <c r="AA37" s="178" t="s">
        <v>88</v>
      </c>
      <c r="AF37" s="178" t="s">
        <v>88</v>
      </c>
      <c r="AG37" s="178" t="s">
        <v>228</v>
      </c>
      <c r="AH37" s="178" t="s">
        <v>295</v>
      </c>
      <c r="AI37" s="178" t="s">
        <v>279</v>
      </c>
      <c r="AJ37" s="178" t="s">
        <v>88</v>
      </c>
      <c r="AK37" s="178" t="s">
        <v>88</v>
      </c>
      <c r="AL37" s="178" t="s">
        <v>80</v>
      </c>
      <c r="AM37" s="178" t="s">
        <v>1643</v>
      </c>
      <c r="AN37" s="178" t="s">
        <v>278</v>
      </c>
      <c r="AO37" s="178" t="s">
        <v>285</v>
      </c>
      <c r="AQ37" s="178" t="s">
        <v>88</v>
      </c>
      <c r="AR37" s="178" t="s">
        <v>88</v>
      </c>
      <c r="AS37" s="178" t="s">
        <v>88</v>
      </c>
      <c r="AT37" s="178" t="s">
        <v>1644</v>
      </c>
      <c r="AU37">
        <v>100000</v>
      </c>
      <c r="AV37">
        <v>0.1</v>
      </c>
      <c r="AW37" s="30">
        <v>45294</v>
      </c>
      <c r="AX37" s="30">
        <v>45327</v>
      </c>
      <c r="AY37">
        <v>4.55</v>
      </c>
      <c r="AZ37" s="178" t="s">
        <v>88</v>
      </c>
      <c r="BA37" s="30">
        <v>45385</v>
      </c>
      <c r="BB37" s="178" t="s">
        <v>1645</v>
      </c>
      <c r="BC37" s="178" t="s">
        <v>1638</v>
      </c>
      <c r="BD37" s="30">
        <v>45294</v>
      </c>
      <c r="BE37" s="178" t="s">
        <v>88</v>
      </c>
      <c r="BF37" s="30">
        <v>45294</v>
      </c>
      <c r="BG37" s="178" t="s">
        <v>88</v>
      </c>
      <c r="BH37" s="178" t="s">
        <v>88</v>
      </c>
      <c r="BI37" s="178" t="s">
        <v>88</v>
      </c>
      <c r="BJ37" s="178" t="s">
        <v>277</v>
      </c>
      <c r="BK37" s="178" t="s">
        <v>277</v>
      </c>
      <c r="BL37" s="178" t="s">
        <v>276</v>
      </c>
      <c r="BM37" s="178" t="s">
        <v>275</v>
      </c>
      <c r="BN37" s="178" t="s">
        <v>1646</v>
      </c>
      <c r="BO37" s="178" t="s">
        <v>88</v>
      </c>
      <c r="BP37" s="178" t="s">
        <v>711</v>
      </c>
      <c r="BQ37" s="178" t="s">
        <v>88</v>
      </c>
      <c r="BR37" s="178" t="s">
        <v>88</v>
      </c>
      <c r="BS37" s="178" t="s">
        <v>191</v>
      </c>
      <c r="BT37" s="178" t="s">
        <v>1647</v>
      </c>
      <c r="BU37" s="178" t="s">
        <v>772</v>
      </c>
      <c r="BV37" s="178" t="s">
        <v>88</v>
      </c>
      <c r="BW37" s="178" t="s">
        <v>88</v>
      </c>
      <c r="BY37" s="178" t="s">
        <v>79</v>
      </c>
      <c r="BZ37" s="178" t="s">
        <v>1706</v>
      </c>
      <c r="CA37" s="178" t="s">
        <v>472</v>
      </c>
      <c r="CB37" s="178" t="s">
        <v>88</v>
      </c>
      <c r="CC37" s="178" t="s">
        <v>88</v>
      </c>
    </row>
    <row r="38" spans="1:81">
      <c r="A38" s="123">
        <v>45313.423773784722</v>
      </c>
      <c r="B38" s="178" t="s">
        <v>290</v>
      </c>
      <c r="C38" s="178" t="s">
        <v>1648</v>
      </c>
      <c r="D38" s="178" t="s">
        <v>1649</v>
      </c>
      <c r="E38" s="30">
        <v>45288</v>
      </c>
      <c r="F38" s="178" t="s">
        <v>1650</v>
      </c>
      <c r="G38" s="178" t="s">
        <v>1432</v>
      </c>
      <c r="H38" s="178" t="s">
        <v>790</v>
      </c>
      <c r="I38" s="178" t="s">
        <v>279</v>
      </c>
      <c r="J38">
        <v>10</v>
      </c>
      <c r="K38" s="178" t="s">
        <v>104</v>
      </c>
      <c r="L38" s="178" t="s">
        <v>729</v>
      </c>
      <c r="M38" s="178" t="s">
        <v>1433</v>
      </c>
      <c r="N38" s="30">
        <v>45665</v>
      </c>
      <c r="O38" s="178" t="s">
        <v>105</v>
      </c>
      <c r="P38" s="178" t="s">
        <v>88</v>
      </c>
      <c r="Q38" s="178" t="s">
        <v>88</v>
      </c>
      <c r="S38" s="178" t="s">
        <v>282</v>
      </c>
      <c r="T38" s="178" t="s">
        <v>281</v>
      </c>
      <c r="U38" s="178" t="s">
        <v>88</v>
      </c>
      <c r="V38" s="178" t="s">
        <v>280</v>
      </c>
      <c r="W38">
        <v>100</v>
      </c>
      <c r="Y38" s="178" t="s">
        <v>792</v>
      </c>
      <c r="Z38" s="178" t="s">
        <v>806</v>
      </c>
      <c r="AA38" s="178" t="s">
        <v>88</v>
      </c>
      <c r="AF38" s="178" t="s">
        <v>1411</v>
      </c>
      <c r="AG38" s="178" t="s">
        <v>228</v>
      </c>
      <c r="AH38" s="178" t="s">
        <v>295</v>
      </c>
      <c r="AI38" s="178" t="s">
        <v>279</v>
      </c>
      <c r="AJ38" s="178" t="s">
        <v>88</v>
      </c>
      <c r="AK38" s="178" t="s">
        <v>88</v>
      </c>
      <c r="AL38" s="178" t="s">
        <v>80</v>
      </c>
      <c r="AM38" s="178" t="s">
        <v>1651</v>
      </c>
      <c r="AN38" s="178" t="s">
        <v>1413</v>
      </c>
      <c r="AO38" s="178" t="s">
        <v>285</v>
      </c>
      <c r="AQ38" s="178" t="s">
        <v>88</v>
      </c>
      <c r="AR38" s="178" t="s">
        <v>88</v>
      </c>
      <c r="AS38" s="178" t="s">
        <v>88</v>
      </c>
      <c r="AT38" s="178" t="s">
        <v>1435</v>
      </c>
      <c r="AU38">
        <v>1000000</v>
      </c>
      <c r="AV38">
        <v>10</v>
      </c>
      <c r="AW38" s="30">
        <v>45299</v>
      </c>
      <c r="AX38" s="30"/>
      <c r="AY38">
        <v>4.34</v>
      </c>
      <c r="AZ38" s="178" t="s">
        <v>88</v>
      </c>
      <c r="BA38" s="30">
        <v>45665</v>
      </c>
      <c r="BB38" s="178" t="s">
        <v>290</v>
      </c>
      <c r="BC38" s="178" t="s">
        <v>88</v>
      </c>
      <c r="BD38" s="30">
        <v>45299</v>
      </c>
      <c r="BE38" s="178" t="s">
        <v>88</v>
      </c>
      <c r="BF38" s="30">
        <v>45299</v>
      </c>
      <c r="BG38" s="178" t="s">
        <v>88</v>
      </c>
      <c r="BH38" s="178" t="s">
        <v>88</v>
      </c>
      <c r="BI38" s="178" t="s">
        <v>1411</v>
      </c>
      <c r="BJ38" s="178" t="s">
        <v>277</v>
      </c>
      <c r="BK38" s="178" t="s">
        <v>277</v>
      </c>
      <c r="BL38" s="178" t="s">
        <v>276</v>
      </c>
      <c r="BM38" s="178" t="s">
        <v>275</v>
      </c>
      <c r="BN38" s="178" t="s">
        <v>274</v>
      </c>
      <c r="BO38" s="178" t="s">
        <v>88</v>
      </c>
      <c r="BP38" s="178" t="s">
        <v>711</v>
      </c>
      <c r="BQ38" s="178" t="s">
        <v>88</v>
      </c>
      <c r="BR38" s="178" t="s">
        <v>88</v>
      </c>
      <c r="BS38" s="178" t="s">
        <v>191</v>
      </c>
      <c r="BT38" s="178" t="s">
        <v>1652</v>
      </c>
      <c r="BU38" s="178" t="s">
        <v>772</v>
      </c>
      <c r="BV38" s="178" t="s">
        <v>88</v>
      </c>
      <c r="BW38" s="178" t="s">
        <v>88</v>
      </c>
      <c r="BY38" s="178" t="s">
        <v>1438</v>
      </c>
      <c r="BZ38" s="178" t="s">
        <v>1438</v>
      </c>
      <c r="CA38" s="178" t="s">
        <v>472</v>
      </c>
      <c r="CB38" s="178" t="s">
        <v>88</v>
      </c>
      <c r="CC38" s="178" t="s">
        <v>88</v>
      </c>
    </row>
    <row r="39" spans="1:81">
      <c r="A39" s="123">
        <v>45313.423773784722</v>
      </c>
      <c r="B39" s="178" t="s">
        <v>1653</v>
      </c>
      <c r="C39" s="178" t="s">
        <v>1654</v>
      </c>
      <c r="D39" s="178" t="s">
        <v>1655</v>
      </c>
      <c r="E39" s="30">
        <v>45288</v>
      </c>
      <c r="F39" s="178" t="s">
        <v>1656</v>
      </c>
      <c r="G39" s="178" t="s">
        <v>279</v>
      </c>
      <c r="H39" s="178" t="s">
        <v>279</v>
      </c>
      <c r="I39" s="178" t="s">
        <v>279</v>
      </c>
      <c r="J39">
        <v>3</v>
      </c>
      <c r="K39" s="178" t="s">
        <v>102</v>
      </c>
      <c r="L39" s="178" t="s">
        <v>284</v>
      </c>
      <c r="M39" s="178" t="s">
        <v>1575</v>
      </c>
      <c r="N39" s="30">
        <v>46395</v>
      </c>
      <c r="O39" s="178" t="s">
        <v>283</v>
      </c>
      <c r="P39" s="178" t="s">
        <v>88</v>
      </c>
      <c r="Q39" s="178" t="s">
        <v>88</v>
      </c>
      <c r="S39" s="178" t="s">
        <v>282</v>
      </c>
      <c r="T39" s="178" t="s">
        <v>708</v>
      </c>
      <c r="U39" s="178" t="s">
        <v>569</v>
      </c>
      <c r="V39" s="178" t="s">
        <v>280</v>
      </c>
      <c r="W39">
        <v>100</v>
      </c>
      <c r="Y39" s="178" t="s">
        <v>795</v>
      </c>
      <c r="Z39" s="178" t="s">
        <v>1657</v>
      </c>
      <c r="AA39" s="178" t="s">
        <v>88</v>
      </c>
      <c r="AF39" s="178" t="s">
        <v>1658</v>
      </c>
      <c r="AG39" s="178" t="s">
        <v>228</v>
      </c>
      <c r="AH39" s="178" t="s">
        <v>695</v>
      </c>
      <c r="AI39" s="178" t="s">
        <v>279</v>
      </c>
      <c r="AJ39" s="178" t="s">
        <v>1504</v>
      </c>
      <c r="AK39" s="178" t="s">
        <v>88</v>
      </c>
      <c r="AL39" s="178" t="s">
        <v>1</v>
      </c>
      <c r="AM39" s="178" t="s">
        <v>1579</v>
      </c>
      <c r="AN39" s="178" t="s">
        <v>278</v>
      </c>
      <c r="AO39" s="178" t="s">
        <v>286</v>
      </c>
      <c r="AQ39" s="178" t="s">
        <v>88</v>
      </c>
      <c r="AR39" s="178" t="s">
        <v>88</v>
      </c>
      <c r="AS39" s="178" t="s">
        <v>88</v>
      </c>
      <c r="AT39" s="178" t="s">
        <v>1659</v>
      </c>
      <c r="AU39">
        <v>10000</v>
      </c>
      <c r="AV39">
        <v>3</v>
      </c>
      <c r="AW39" s="30">
        <v>45299</v>
      </c>
      <c r="AX39" s="30"/>
      <c r="AY39">
        <v>4.8</v>
      </c>
      <c r="AZ39" s="178" t="s">
        <v>88</v>
      </c>
      <c r="BA39" s="30">
        <v>45481</v>
      </c>
      <c r="BB39" s="178" t="s">
        <v>1653</v>
      </c>
      <c r="BC39" s="178" t="s">
        <v>88</v>
      </c>
      <c r="BD39" s="30">
        <v>45299</v>
      </c>
      <c r="BE39" s="178" t="s">
        <v>88</v>
      </c>
      <c r="BF39" s="30">
        <v>45299</v>
      </c>
      <c r="BG39" s="178" t="s">
        <v>88</v>
      </c>
      <c r="BH39" s="178" t="s">
        <v>1660</v>
      </c>
      <c r="BI39" s="178" t="s">
        <v>1661</v>
      </c>
      <c r="BJ39" s="178" t="s">
        <v>277</v>
      </c>
      <c r="BK39" s="178" t="s">
        <v>277</v>
      </c>
      <c r="BL39" s="178" t="s">
        <v>276</v>
      </c>
      <c r="BM39" s="178" t="s">
        <v>275</v>
      </c>
      <c r="BN39" s="178" t="s">
        <v>274</v>
      </c>
      <c r="BO39" s="178" t="s">
        <v>88</v>
      </c>
      <c r="BP39" s="178" t="s">
        <v>113</v>
      </c>
      <c r="BQ39" s="178" t="s">
        <v>88</v>
      </c>
      <c r="BR39" s="178" t="s">
        <v>88</v>
      </c>
      <c r="BS39" s="178" t="s">
        <v>191</v>
      </c>
      <c r="BT39" s="178" t="s">
        <v>1662</v>
      </c>
      <c r="BU39" s="178" t="s">
        <v>192</v>
      </c>
      <c r="BV39" s="178" t="s">
        <v>88</v>
      </c>
      <c r="BW39" s="178" t="s">
        <v>88</v>
      </c>
      <c r="BY39" s="178" t="s">
        <v>79</v>
      </c>
      <c r="BZ39" s="178" t="s">
        <v>79</v>
      </c>
      <c r="CA39" s="178" t="s">
        <v>472</v>
      </c>
      <c r="CB39" s="178" t="s">
        <v>88</v>
      </c>
      <c r="CC39" s="178" t="s">
        <v>1703</v>
      </c>
    </row>
    <row r="40" spans="1:81">
      <c r="A40" s="123">
        <v>45313.423773784722</v>
      </c>
      <c r="B40" s="178" t="s">
        <v>1663</v>
      </c>
      <c r="C40" s="178" t="s">
        <v>1664</v>
      </c>
      <c r="D40" s="178" t="s">
        <v>1665</v>
      </c>
      <c r="E40" s="30">
        <v>45288</v>
      </c>
      <c r="F40" s="178" t="s">
        <v>1666</v>
      </c>
      <c r="G40" s="178" t="s">
        <v>279</v>
      </c>
      <c r="H40" s="178" t="s">
        <v>279</v>
      </c>
      <c r="I40" s="178" t="s">
        <v>279</v>
      </c>
      <c r="J40">
        <v>0.56999999999999995</v>
      </c>
      <c r="K40" s="178" t="s">
        <v>81</v>
      </c>
      <c r="L40" s="178" t="s">
        <v>284</v>
      </c>
      <c r="M40" s="178" t="s">
        <v>1589</v>
      </c>
      <c r="N40" s="30">
        <v>46390</v>
      </c>
      <c r="O40" s="178" t="s">
        <v>283</v>
      </c>
      <c r="P40" s="178" t="s">
        <v>1667</v>
      </c>
      <c r="Q40" s="178" t="s">
        <v>88</v>
      </c>
      <c r="S40" s="178" t="s">
        <v>282</v>
      </c>
      <c r="T40" s="178" t="s">
        <v>708</v>
      </c>
      <c r="U40" s="178" t="s">
        <v>1388</v>
      </c>
      <c r="V40" s="178" t="s">
        <v>280</v>
      </c>
      <c r="W40">
        <v>100</v>
      </c>
      <c r="Y40" s="178" t="s">
        <v>710</v>
      </c>
      <c r="Z40" s="178" t="s">
        <v>1389</v>
      </c>
      <c r="AA40" s="178" t="s">
        <v>1668</v>
      </c>
      <c r="AF40" s="178" t="s">
        <v>1669</v>
      </c>
      <c r="AG40" s="178" t="s">
        <v>228</v>
      </c>
      <c r="AH40" s="178" t="s">
        <v>695</v>
      </c>
      <c r="AI40" s="178" t="s">
        <v>279</v>
      </c>
      <c r="AJ40" s="178" t="s">
        <v>494</v>
      </c>
      <c r="AK40" s="178" t="s">
        <v>88</v>
      </c>
      <c r="AL40" s="178" t="s">
        <v>1</v>
      </c>
      <c r="AM40" s="178" t="s">
        <v>1564</v>
      </c>
      <c r="AN40" s="178" t="s">
        <v>278</v>
      </c>
      <c r="AO40" s="178" t="s">
        <v>286</v>
      </c>
      <c r="AQ40" s="178" t="s">
        <v>88</v>
      </c>
      <c r="AR40" s="178" t="s">
        <v>88</v>
      </c>
      <c r="AS40" s="178" t="s">
        <v>1670</v>
      </c>
      <c r="AT40" s="178" t="s">
        <v>1671</v>
      </c>
      <c r="AU40">
        <v>1000</v>
      </c>
      <c r="AV40">
        <v>0.56999999999999995</v>
      </c>
      <c r="AW40" s="30">
        <v>45294</v>
      </c>
      <c r="AX40" s="30"/>
      <c r="AY40">
        <v>5.6</v>
      </c>
      <c r="AZ40" s="178" t="s">
        <v>88</v>
      </c>
      <c r="BA40" s="30">
        <v>45476</v>
      </c>
      <c r="BB40" s="178" t="s">
        <v>1663</v>
      </c>
      <c r="BC40" s="178" t="s">
        <v>88</v>
      </c>
      <c r="BD40" s="30">
        <v>45294</v>
      </c>
      <c r="BE40" s="178" t="s">
        <v>1672</v>
      </c>
      <c r="BF40" s="30">
        <v>45294</v>
      </c>
      <c r="BG40" s="178" t="s">
        <v>709</v>
      </c>
      <c r="BH40" s="178" t="s">
        <v>1673</v>
      </c>
      <c r="BI40" s="178" t="s">
        <v>1674</v>
      </c>
      <c r="BJ40" s="178" t="s">
        <v>277</v>
      </c>
      <c r="BK40" s="178" t="s">
        <v>277</v>
      </c>
      <c r="BL40" s="178" t="s">
        <v>276</v>
      </c>
      <c r="BM40" s="178" t="s">
        <v>275</v>
      </c>
      <c r="BN40" s="178" t="s">
        <v>274</v>
      </c>
      <c r="BO40" s="178" t="s">
        <v>88</v>
      </c>
      <c r="BP40" s="178" t="s">
        <v>113</v>
      </c>
      <c r="BQ40" s="178" t="s">
        <v>88</v>
      </c>
      <c r="BR40" s="178" t="s">
        <v>88</v>
      </c>
      <c r="BS40" s="178" t="s">
        <v>191</v>
      </c>
      <c r="BT40" s="178" t="s">
        <v>1675</v>
      </c>
      <c r="BU40" s="178" t="s">
        <v>192</v>
      </c>
      <c r="BV40" s="178" t="s">
        <v>88</v>
      </c>
      <c r="BW40" s="178" t="s">
        <v>88</v>
      </c>
      <c r="BY40" s="178" t="s">
        <v>79</v>
      </c>
      <c r="BZ40" s="178" t="s">
        <v>79</v>
      </c>
      <c r="CA40" s="178" t="s">
        <v>472</v>
      </c>
      <c r="CB40" s="178" t="s">
        <v>88</v>
      </c>
      <c r="CC40" s="178" t="s">
        <v>1224</v>
      </c>
    </row>
    <row r="57" spans="1:3">
      <c r="B57" s="58"/>
      <c r="C57" s="58"/>
    </row>
    <row r="58" spans="1:3">
      <c r="A58" s="151"/>
    </row>
    <row r="59" spans="1:3">
      <c r="A59" s="151"/>
    </row>
    <row r="60" spans="1:3">
      <c r="A60" s="151"/>
    </row>
  </sheetData>
  <phoneticPr fontId="1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63"/>
  <sheetViews>
    <sheetView tabSelected="1" topLeftCell="A2" zoomScale="85" zoomScaleNormal="85" workbookViewId="0">
      <selection activeCell="U24" sqref="U24"/>
    </sheetView>
  </sheetViews>
  <sheetFormatPr defaultRowHeight="15" outlineLevelRow="2"/>
  <cols>
    <col min="1" max="1" width="33.109375" style="1" customWidth="1"/>
    <col min="2" max="3" width="4.6640625" style="1" customWidth="1"/>
    <col min="4" max="4" width="7.109375" style="1" bestFit="1" customWidth="1"/>
    <col min="5" max="5" width="8.44140625" style="1" bestFit="1" customWidth="1"/>
    <col min="6" max="6" width="13.33203125" style="1" bestFit="1" customWidth="1"/>
    <col min="7" max="7" width="10.33203125" style="1" bestFit="1" customWidth="1"/>
    <col min="8" max="8" width="33.21875" style="1" bestFit="1" customWidth="1"/>
    <col min="9" max="9" width="9.21875" style="1" bestFit="1" customWidth="1"/>
    <col min="10" max="10" width="11.109375" style="1" bestFit="1" customWidth="1"/>
    <col min="11" max="11" width="8.88671875" style="1" bestFit="1" customWidth="1"/>
    <col min="12" max="12" width="24.6640625" style="1" bestFit="1" customWidth="1"/>
    <col min="13" max="13" width="5.77734375" style="1" bestFit="1" customWidth="1"/>
    <col min="14" max="15" width="5.88671875" style="1" bestFit="1" customWidth="1"/>
    <col min="16" max="16" width="8.5546875" style="1" bestFit="1" customWidth="1"/>
    <col min="17" max="17" width="9.21875" style="1" bestFit="1" customWidth="1"/>
    <col min="18" max="18" width="11.33203125" style="1" bestFit="1" customWidth="1"/>
    <col min="19" max="19" width="9.109375" style="1" bestFit="1" customWidth="1"/>
    <col min="20" max="20" width="9.33203125" style="1" bestFit="1" customWidth="1"/>
    <col min="21" max="21" width="61" style="1" bestFit="1" customWidth="1"/>
    <col min="22" max="23" width="28.109375" style="1" bestFit="1" customWidth="1"/>
    <col min="24" max="24" width="13.6640625" style="1" bestFit="1" customWidth="1"/>
    <col min="25" max="16384" width="8.88671875" style="1"/>
  </cols>
  <sheetData>
    <row r="1" spans="1:25" ht="16.5" hidden="1" customHeight="1" outlineLevel="2">
      <c r="A1" s="135"/>
      <c r="H1" s="85" t="s">
        <v>90</v>
      </c>
      <c r="I1" s="120" t="s">
        <v>117</v>
      </c>
      <c r="J1" s="120" t="s">
        <v>141</v>
      </c>
      <c r="K1" s="40" t="s">
        <v>86</v>
      </c>
      <c r="L1" s="40" t="s">
        <v>540</v>
      </c>
      <c r="M1" s="40" t="s">
        <v>118</v>
      </c>
      <c r="N1" s="40" t="s">
        <v>61</v>
      </c>
      <c r="P1" s="40" t="s">
        <v>112</v>
      </c>
      <c r="Q1" s="40" t="s">
        <v>292</v>
      </c>
      <c r="R1" s="40" t="s">
        <v>87</v>
      </c>
      <c r="S1" s="115" t="s">
        <v>86</v>
      </c>
      <c r="T1" s="115"/>
      <c r="U1" s="115"/>
      <c r="V1" s="115"/>
      <c r="W1" s="115"/>
      <c r="X1" s="115"/>
      <c r="Y1" s="115"/>
    </row>
    <row r="2" spans="1:25" ht="49.5" customHeight="1" collapsed="1">
      <c r="C2" s="5" t="s">
        <v>1191</v>
      </c>
      <c r="I2" s="119"/>
      <c r="J2" s="119"/>
      <c r="K2" s="119"/>
      <c r="L2" s="119"/>
    </row>
    <row r="3" spans="1:25" ht="49.5" customHeight="1">
      <c r="D3" s="5"/>
    </row>
    <row r="4" spans="1:25" ht="49.5" customHeight="1"/>
    <row r="5" spans="1:25">
      <c r="D5" t="s">
        <v>82</v>
      </c>
      <c r="E5" t="s">
        <v>769</v>
      </c>
      <c r="F5" t="s">
        <v>45</v>
      </c>
      <c r="G5" t="s">
        <v>46</v>
      </c>
      <c r="H5" t="s">
        <v>90</v>
      </c>
      <c r="I5" t="s">
        <v>117</v>
      </c>
      <c r="J5" t="s">
        <v>141</v>
      </c>
      <c r="K5" t="s">
        <v>86</v>
      </c>
      <c r="L5" t="s">
        <v>540</v>
      </c>
      <c r="M5" t="s">
        <v>118</v>
      </c>
      <c r="N5" t="s">
        <v>61</v>
      </c>
      <c r="O5" t="s">
        <v>83</v>
      </c>
      <c r="P5" t="s">
        <v>112</v>
      </c>
      <c r="Q5" t="s">
        <v>292</v>
      </c>
      <c r="R5" t="s">
        <v>87</v>
      </c>
      <c r="S5" t="s">
        <v>1201</v>
      </c>
      <c r="T5" t="s">
        <v>1202</v>
      </c>
      <c r="U5" t="s">
        <v>67</v>
      </c>
      <c r="V5" t="s">
        <v>68</v>
      </c>
      <c r="W5" t="s">
        <v>78</v>
      </c>
      <c r="X5" t="s">
        <v>1308</v>
      </c>
    </row>
    <row r="6" spans="1:25">
      <c r="D6" s="179">
        <v>27</v>
      </c>
      <c r="E6" s="179" t="s">
        <v>779</v>
      </c>
      <c r="F6" s="179" t="s">
        <v>1712</v>
      </c>
      <c r="G6" s="182">
        <v>45310</v>
      </c>
      <c r="H6" s="179" t="s">
        <v>1711</v>
      </c>
      <c r="I6" s="180" t="s">
        <v>79</v>
      </c>
      <c r="J6" s="180" t="s">
        <v>79</v>
      </c>
      <c r="K6" s="180" t="s">
        <v>35</v>
      </c>
      <c r="L6" s="180" t="s">
        <v>88</v>
      </c>
      <c r="M6" s="180" t="s">
        <v>88</v>
      </c>
      <c r="N6" s="180" t="s">
        <v>102</v>
      </c>
      <c r="O6" s="180" t="s">
        <v>801</v>
      </c>
      <c r="P6" s="184" t="s">
        <v>697</v>
      </c>
      <c r="Q6" s="180" t="s">
        <v>88</v>
      </c>
      <c r="R6" s="180" t="s">
        <v>105</v>
      </c>
      <c r="S6" s="178" t="s">
        <v>1204</v>
      </c>
      <c r="T6" s="30">
        <v>45316</v>
      </c>
      <c r="U6" s="189" t="s">
        <v>1715</v>
      </c>
      <c r="V6" s="178" t="s">
        <v>88</v>
      </c>
      <c r="W6" s="178" t="s">
        <v>88</v>
      </c>
      <c r="X6" s="178" t="s">
        <v>88</v>
      </c>
    </row>
    <row r="7" spans="1:25">
      <c r="D7" s="179">
        <v>26</v>
      </c>
      <c r="E7" s="179" t="s">
        <v>779</v>
      </c>
      <c r="F7" s="179" t="s">
        <v>1499</v>
      </c>
      <c r="G7" s="182">
        <v>45310</v>
      </c>
      <c r="H7" s="179" t="s">
        <v>1497</v>
      </c>
      <c r="I7" s="180" t="s">
        <v>79</v>
      </c>
      <c r="J7" s="180" t="s">
        <v>79</v>
      </c>
      <c r="K7" s="180" t="s">
        <v>35</v>
      </c>
      <c r="L7" s="180" t="s">
        <v>88</v>
      </c>
      <c r="M7" s="180" t="s">
        <v>88</v>
      </c>
      <c r="N7" s="180" t="s">
        <v>102</v>
      </c>
      <c r="O7" s="180" t="s">
        <v>801</v>
      </c>
      <c r="P7" s="185" t="s">
        <v>1507</v>
      </c>
      <c r="Q7" s="180" t="s">
        <v>88</v>
      </c>
      <c r="R7" s="180" t="s">
        <v>193</v>
      </c>
      <c r="S7" s="178" t="s">
        <v>1204</v>
      </c>
      <c r="T7" s="30">
        <v>45316</v>
      </c>
      <c r="U7" s="178" t="s">
        <v>1497</v>
      </c>
      <c r="V7" s="178" t="s">
        <v>88</v>
      </c>
      <c r="W7" s="178" t="s">
        <v>88</v>
      </c>
      <c r="X7" s="178" t="s">
        <v>88</v>
      </c>
    </row>
    <row r="8" spans="1:25">
      <c r="D8" s="179">
        <v>25</v>
      </c>
      <c r="E8" s="179" t="s">
        <v>779</v>
      </c>
      <c r="F8" s="179" t="s">
        <v>1513</v>
      </c>
      <c r="G8" s="182">
        <v>45310</v>
      </c>
      <c r="H8" s="179" t="s">
        <v>1511</v>
      </c>
      <c r="I8" s="180" t="s">
        <v>79</v>
      </c>
      <c r="J8" s="180" t="s">
        <v>79</v>
      </c>
      <c r="K8" s="180" t="s">
        <v>35</v>
      </c>
      <c r="L8" s="180" t="s">
        <v>88</v>
      </c>
      <c r="M8" s="180" t="s">
        <v>88</v>
      </c>
      <c r="N8" s="180" t="s">
        <v>102</v>
      </c>
      <c r="O8" s="180" t="s">
        <v>129</v>
      </c>
      <c r="P8" s="185" t="s">
        <v>1517</v>
      </c>
      <c r="Q8" s="180" t="s">
        <v>88</v>
      </c>
      <c r="R8" s="180" t="s">
        <v>193</v>
      </c>
      <c r="S8" s="178" t="s">
        <v>1203</v>
      </c>
      <c r="T8" s="30">
        <v>45317</v>
      </c>
      <c r="U8" s="178" t="s">
        <v>1511</v>
      </c>
      <c r="V8" s="178" t="s">
        <v>88</v>
      </c>
      <c r="W8" s="178" t="s">
        <v>88</v>
      </c>
      <c r="X8" s="178" t="s">
        <v>88</v>
      </c>
    </row>
    <row r="9" spans="1:25">
      <c r="D9" s="179">
        <v>24</v>
      </c>
      <c r="E9" s="179" t="s">
        <v>779</v>
      </c>
      <c r="F9" s="179" t="s">
        <v>1095</v>
      </c>
      <c r="G9" s="182">
        <v>45309</v>
      </c>
      <c r="H9" s="179" t="s">
        <v>1096</v>
      </c>
      <c r="I9" s="183" t="s">
        <v>79</v>
      </c>
      <c r="J9" s="180" t="s">
        <v>79</v>
      </c>
      <c r="K9" s="180" t="s">
        <v>109</v>
      </c>
      <c r="L9" s="180" t="s">
        <v>553</v>
      </c>
      <c r="M9" s="180" t="s">
        <v>88</v>
      </c>
      <c r="N9" s="180" t="s">
        <v>102</v>
      </c>
      <c r="O9" s="180" t="s">
        <v>129</v>
      </c>
      <c r="P9" s="185" t="s">
        <v>1122</v>
      </c>
      <c r="Q9" s="180" t="s">
        <v>88</v>
      </c>
      <c r="R9" s="180" t="s">
        <v>193</v>
      </c>
      <c r="S9" s="178" t="s">
        <v>1203</v>
      </c>
      <c r="T9" s="30">
        <v>45316</v>
      </c>
      <c r="U9" s="178" t="s">
        <v>1301</v>
      </c>
      <c r="V9" s="178" t="s">
        <v>88</v>
      </c>
      <c r="W9" s="178" t="s">
        <v>1096</v>
      </c>
      <c r="X9" s="178" t="s">
        <v>88</v>
      </c>
    </row>
    <row r="10" spans="1:25">
      <c r="D10" s="179">
        <v>23</v>
      </c>
      <c r="E10" s="179" t="s">
        <v>779</v>
      </c>
      <c r="F10" s="179" t="s">
        <v>1092</v>
      </c>
      <c r="G10" s="182">
        <v>45309</v>
      </c>
      <c r="H10" s="179" t="s">
        <v>1093</v>
      </c>
      <c r="I10" s="183" t="s">
        <v>79</v>
      </c>
      <c r="J10" s="180" t="s">
        <v>79</v>
      </c>
      <c r="K10" s="180" t="s">
        <v>107</v>
      </c>
      <c r="L10" s="180" t="s">
        <v>555</v>
      </c>
      <c r="M10" s="180" t="s">
        <v>464</v>
      </c>
      <c r="N10" s="180" t="s">
        <v>203</v>
      </c>
      <c r="O10" s="180" t="s">
        <v>129</v>
      </c>
      <c r="P10" s="185" t="s">
        <v>1124</v>
      </c>
      <c r="Q10" s="180" t="s">
        <v>88</v>
      </c>
      <c r="R10" s="180" t="s">
        <v>204</v>
      </c>
      <c r="S10" s="178" t="s">
        <v>1204</v>
      </c>
      <c r="T10" s="30">
        <v>45315</v>
      </c>
      <c r="U10" s="178" t="s">
        <v>1093</v>
      </c>
      <c r="V10" s="178" t="s">
        <v>88</v>
      </c>
      <c r="W10" s="178" t="s">
        <v>88</v>
      </c>
      <c r="X10" s="178" t="s">
        <v>88</v>
      </c>
    </row>
    <row r="11" spans="1:25">
      <c r="D11" s="179">
        <v>22</v>
      </c>
      <c r="E11" s="179" t="s">
        <v>779</v>
      </c>
      <c r="F11" s="179" t="s">
        <v>1152</v>
      </c>
      <c r="G11" s="182">
        <v>45309</v>
      </c>
      <c r="H11" s="179" t="s">
        <v>1153</v>
      </c>
      <c r="I11" s="180" t="s">
        <v>79</v>
      </c>
      <c r="J11" s="180" t="s">
        <v>79</v>
      </c>
      <c r="K11" s="180" t="s">
        <v>35</v>
      </c>
      <c r="L11" s="180" t="s">
        <v>88</v>
      </c>
      <c r="M11" s="180" t="s">
        <v>88</v>
      </c>
      <c r="N11" s="180" t="s">
        <v>102</v>
      </c>
      <c r="O11" s="180" t="s">
        <v>1145</v>
      </c>
      <c r="P11" s="185" t="s">
        <v>1160</v>
      </c>
      <c r="Q11" s="180" t="s">
        <v>88</v>
      </c>
      <c r="R11" s="180" t="s">
        <v>105</v>
      </c>
      <c r="S11" s="178" t="s">
        <v>1205</v>
      </c>
      <c r="T11" s="30">
        <v>45314</v>
      </c>
      <c r="U11" s="178" t="s">
        <v>1153</v>
      </c>
      <c r="V11" s="178" t="s">
        <v>88</v>
      </c>
      <c r="W11" s="178" t="s">
        <v>88</v>
      </c>
      <c r="X11" s="178" t="s">
        <v>88</v>
      </c>
    </row>
    <row r="12" spans="1:25">
      <c r="D12" s="179">
        <v>21</v>
      </c>
      <c r="E12" s="179" t="s">
        <v>779</v>
      </c>
      <c r="F12" s="179" t="s">
        <v>1089</v>
      </c>
      <c r="G12" s="182">
        <v>45309</v>
      </c>
      <c r="H12" s="179" t="s">
        <v>601</v>
      </c>
      <c r="I12" s="180" t="s">
        <v>1146</v>
      </c>
      <c r="J12" s="180" t="s">
        <v>1090</v>
      </c>
      <c r="K12" s="180" t="s">
        <v>37</v>
      </c>
      <c r="L12" s="180" t="s">
        <v>88</v>
      </c>
      <c r="M12" s="180" t="s">
        <v>88</v>
      </c>
      <c r="N12" s="180" t="s">
        <v>102</v>
      </c>
      <c r="O12" s="180" t="s">
        <v>801</v>
      </c>
      <c r="P12" s="185" t="s">
        <v>1135</v>
      </c>
      <c r="Q12" s="180" t="s">
        <v>88</v>
      </c>
      <c r="R12" s="180" t="s">
        <v>204</v>
      </c>
      <c r="S12" s="178" t="s">
        <v>1203</v>
      </c>
      <c r="T12" s="30">
        <v>45316</v>
      </c>
      <c r="U12" s="178" t="s">
        <v>1300</v>
      </c>
      <c r="V12" s="178" t="s">
        <v>601</v>
      </c>
      <c r="W12" s="178" t="s">
        <v>88</v>
      </c>
      <c r="X12" s="178" t="s">
        <v>88</v>
      </c>
    </row>
    <row r="13" spans="1:25">
      <c r="D13" s="179">
        <v>20</v>
      </c>
      <c r="E13" s="179" t="s">
        <v>779</v>
      </c>
      <c r="F13" s="179" t="s">
        <v>1098</v>
      </c>
      <c r="G13" s="182">
        <v>45309</v>
      </c>
      <c r="H13" s="179" t="s">
        <v>1099</v>
      </c>
      <c r="I13" s="180" t="s">
        <v>1100</v>
      </c>
      <c r="J13" s="180" t="s">
        <v>1100</v>
      </c>
      <c r="K13" s="180" t="s">
        <v>37</v>
      </c>
      <c r="L13" s="180" t="s">
        <v>88</v>
      </c>
      <c r="M13" s="180" t="s">
        <v>88</v>
      </c>
      <c r="N13" s="180" t="s">
        <v>203</v>
      </c>
      <c r="O13" s="180" t="s">
        <v>129</v>
      </c>
      <c r="P13" s="185" t="s">
        <v>1136</v>
      </c>
      <c r="Q13" s="180" t="s">
        <v>88</v>
      </c>
      <c r="R13" s="180" t="s">
        <v>1137</v>
      </c>
      <c r="S13" s="178" t="s">
        <v>1203</v>
      </c>
      <c r="T13" s="30">
        <v>45316</v>
      </c>
      <c r="U13" s="178" t="s">
        <v>1302</v>
      </c>
      <c r="V13" s="178" t="s">
        <v>1099</v>
      </c>
      <c r="W13" s="178" t="s">
        <v>88</v>
      </c>
      <c r="X13" s="178" t="s">
        <v>1710</v>
      </c>
    </row>
    <row r="14" spans="1:25">
      <c r="D14" s="179">
        <v>19</v>
      </c>
      <c r="E14" s="179" t="s">
        <v>779</v>
      </c>
      <c r="F14" s="179" t="s">
        <v>1109</v>
      </c>
      <c r="G14" s="182">
        <v>45308</v>
      </c>
      <c r="H14" s="179" t="s">
        <v>1110</v>
      </c>
      <c r="I14" s="180" t="s">
        <v>79</v>
      </c>
      <c r="J14" s="180" t="s">
        <v>79</v>
      </c>
      <c r="K14" s="180" t="s">
        <v>35</v>
      </c>
      <c r="L14" s="180" t="s">
        <v>88</v>
      </c>
      <c r="M14" s="180" t="s">
        <v>88</v>
      </c>
      <c r="N14" s="180" t="s">
        <v>102</v>
      </c>
      <c r="O14" s="180" t="s">
        <v>129</v>
      </c>
      <c r="P14" s="185" t="s">
        <v>1138</v>
      </c>
      <c r="Q14" s="180" t="s">
        <v>88</v>
      </c>
      <c r="R14" s="180" t="s">
        <v>193</v>
      </c>
      <c r="S14" s="178" t="s">
        <v>1203</v>
      </c>
      <c r="T14" s="30">
        <v>45315</v>
      </c>
      <c r="U14" s="178" t="s">
        <v>1110</v>
      </c>
      <c r="V14" s="178" t="s">
        <v>88</v>
      </c>
      <c r="W14" s="178" t="s">
        <v>88</v>
      </c>
      <c r="X14" s="178" t="s">
        <v>88</v>
      </c>
    </row>
    <row r="15" spans="1:25">
      <c r="D15" s="179">
        <v>18</v>
      </c>
      <c r="E15" s="179" t="s">
        <v>779</v>
      </c>
      <c r="F15" s="179" t="s">
        <v>1112</v>
      </c>
      <c r="G15" s="182">
        <v>45308</v>
      </c>
      <c r="H15" s="179" t="s">
        <v>1113</v>
      </c>
      <c r="I15" s="180" t="s">
        <v>79</v>
      </c>
      <c r="J15" s="180" t="s">
        <v>79</v>
      </c>
      <c r="K15" s="180" t="s">
        <v>107</v>
      </c>
      <c r="L15" s="180" t="s">
        <v>545</v>
      </c>
      <c r="M15" s="180" t="s">
        <v>88</v>
      </c>
      <c r="N15" s="180" t="s">
        <v>102</v>
      </c>
      <c r="O15" s="180" t="s">
        <v>129</v>
      </c>
      <c r="P15" s="185" t="s">
        <v>1131</v>
      </c>
      <c r="Q15" s="180" t="s">
        <v>88</v>
      </c>
      <c r="R15" s="180" t="s">
        <v>193</v>
      </c>
      <c r="S15" s="178" t="s">
        <v>1203</v>
      </c>
      <c r="T15" s="30">
        <v>45315</v>
      </c>
      <c r="U15" s="178" t="s">
        <v>1113</v>
      </c>
      <c r="V15" s="178" t="s">
        <v>88</v>
      </c>
      <c r="W15" s="178" t="s">
        <v>88</v>
      </c>
      <c r="X15" s="178" t="s">
        <v>88</v>
      </c>
    </row>
    <row r="16" spans="1:25">
      <c r="D16" s="179">
        <v>17</v>
      </c>
      <c r="E16" s="179" t="s">
        <v>779</v>
      </c>
      <c r="F16" s="179" t="s">
        <v>1115</v>
      </c>
      <c r="G16" s="182">
        <v>45308</v>
      </c>
      <c r="H16" s="179" t="s">
        <v>1116</v>
      </c>
      <c r="I16" s="180" t="s">
        <v>79</v>
      </c>
      <c r="J16" s="180" t="s">
        <v>79</v>
      </c>
      <c r="K16" s="180" t="s">
        <v>108</v>
      </c>
      <c r="L16" s="180" t="s">
        <v>555</v>
      </c>
      <c r="M16" s="180" t="s">
        <v>88</v>
      </c>
      <c r="N16" s="180" t="s">
        <v>102</v>
      </c>
      <c r="O16" s="180" t="s">
        <v>129</v>
      </c>
      <c r="P16" s="185" t="s">
        <v>1131</v>
      </c>
      <c r="Q16" s="180" t="s">
        <v>88</v>
      </c>
      <c r="R16" s="180" t="s">
        <v>204</v>
      </c>
      <c r="S16" s="178" t="s">
        <v>1203</v>
      </c>
      <c r="T16" s="30">
        <v>45315</v>
      </c>
      <c r="U16" s="178" t="s">
        <v>1304</v>
      </c>
      <c r="V16" s="178" t="s">
        <v>1116</v>
      </c>
      <c r="W16" s="178" t="s">
        <v>88</v>
      </c>
      <c r="X16" s="178" t="s">
        <v>88</v>
      </c>
    </row>
    <row r="17" spans="4:24">
      <c r="D17" s="179">
        <v>16</v>
      </c>
      <c r="E17" s="179" t="s">
        <v>779</v>
      </c>
      <c r="F17" s="179" t="s">
        <v>1106</v>
      </c>
      <c r="G17" s="182">
        <v>45308</v>
      </c>
      <c r="H17" s="179" t="s">
        <v>535</v>
      </c>
      <c r="I17" s="180" t="s">
        <v>1107</v>
      </c>
      <c r="J17" s="180" t="s">
        <v>804</v>
      </c>
      <c r="K17" s="180" t="s">
        <v>35</v>
      </c>
      <c r="L17" s="180" t="s">
        <v>88</v>
      </c>
      <c r="M17" s="180" t="s">
        <v>88</v>
      </c>
      <c r="N17" s="180" t="s">
        <v>81</v>
      </c>
      <c r="O17" s="180" t="s">
        <v>129</v>
      </c>
      <c r="P17" s="185" t="s">
        <v>1139</v>
      </c>
      <c r="Q17" s="180" t="s">
        <v>791</v>
      </c>
      <c r="R17" s="180" t="s">
        <v>204</v>
      </c>
      <c r="S17" s="178" t="s">
        <v>1203</v>
      </c>
      <c r="T17" s="30">
        <v>45315</v>
      </c>
      <c r="U17" s="178" t="s">
        <v>1303</v>
      </c>
      <c r="V17" s="178" t="s">
        <v>88</v>
      </c>
      <c r="W17" s="178" t="s">
        <v>88</v>
      </c>
      <c r="X17" s="178" t="s">
        <v>88</v>
      </c>
    </row>
    <row r="18" spans="4:24">
      <c r="D18" s="179">
        <v>15</v>
      </c>
      <c r="E18" s="179" t="s">
        <v>779</v>
      </c>
      <c r="F18" s="179" t="s">
        <v>1118</v>
      </c>
      <c r="G18" s="182">
        <v>45306</v>
      </c>
      <c r="H18" s="179" t="s">
        <v>1119</v>
      </c>
      <c r="I18" s="180" t="s">
        <v>79</v>
      </c>
      <c r="J18" s="180" t="s">
        <v>79</v>
      </c>
      <c r="K18" s="180" t="s">
        <v>35</v>
      </c>
      <c r="L18" s="180" t="s">
        <v>88</v>
      </c>
      <c r="M18" s="180" t="s">
        <v>88</v>
      </c>
      <c r="N18" s="180" t="s">
        <v>102</v>
      </c>
      <c r="O18" s="180" t="s">
        <v>129</v>
      </c>
      <c r="P18" s="185" t="s">
        <v>786</v>
      </c>
      <c r="Q18" s="180" t="s">
        <v>88</v>
      </c>
      <c r="R18" s="180" t="s">
        <v>193</v>
      </c>
      <c r="S18" s="178" t="s">
        <v>1205</v>
      </c>
      <c r="T18" s="30">
        <v>45309</v>
      </c>
      <c r="U18" s="178" t="s">
        <v>1119</v>
      </c>
      <c r="V18" s="178" t="s">
        <v>88</v>
      </c>
      <c r="W18" s="178" t="s">
        <v>88</v>
      </c>
      <c r="X18" s="178" t="s">
        <v>88</v>
      </c>
    </row>
    <row r="19" spans="4:24">
      <c r="D19" s="179">
        <v>14</v>
      </c>
      <c r="E19" s="179" t="s">
        <v>778</v>
      </c>
      <c r="F19" s="179" t="s">
        <v>793</v>
      </c>
      <c r="G19" s="182">
        <v>45303</v>
      </c>
      <c r="H19" s="179" t="s">
        <v>794</v>
      </c>
      <c r="I19" s="180" t="s">
        <v>79</v>
      </c>
      <c r="J19" s="180" t="s">
        <v>79</v>
      </c>
      <c r="K19" s="180" t="s">
        <v>107</v>
      </c>
      <c r="L19" s="180" t="s">
        <v>586</v>
      </c>
      <c r="M19" s="180" t="s">
        <v>464</v>
      </c>
      <c r="N19" s="180" t="s">
        <v>102</v>
      </c>
      <c r="O19" s="180" t="s">
        <v>129</v>
      </c>
      <c r="P19" s="185" t="s">
        <v>1265</v>
      </c>
      <c r="Q19" s="180" t="s">
        <v>88</v>
      </c>
      <c r="R19" s="180" t="s">
        <v>204</v>
      </c>
      <c r="S19" s="178" t="s">
        <v>1203</v>
      </c>
      <c r="T19" s="30">
        <v>45310</v>
      </c>
      <c r="U19" s="178" t="s">
        <v>794</v>
      </c>
      <c r="V19" s="178" t="s">
        <v>88</v>
      </c>
      <c r="W19" s="178" t="s">
        <v>88</v>
      </c>
      <c r="X19" s="178" t="s">
        <v>88</v>
      </c>
    </row>
    <row r="20" spans="4:24">
      <c r="D20" s="179">
        <v>13</v>
      </c>
      <c r="E20" s="179" t="s">
        <v>778</v>
      </c>
      <c r="F20" s="179" t="s">
        <v>1454</v>
      </c>
      <c r="G20" s="182">
        <v>45303</v>
      </c>
      <c r="H20" s="179" t="s">
        <v>319</v>
      </c>
      <c r="I20" s="180" t="s">
        <v>1468</v>
      </c>
      <c r="J20" s="180" t="s">
        <v>1469</v>
      </c>
      <c r="K20" s="180" t="s">
        <v>37</v>
      </c>
      <c r="L20" s="180" t="s">
        <v>88</v>
      </c>
      <c r="M20" s="180" t="s">
        <v>88</v>
      </c>
      <c r="N20" s="180" t="s">
        <v>102</v>
      </c>
      <c r="O20" s="180" t="s">
        <v>129</v>
      </c>
      <c r="P20" s="185" t="s">
        <v>1459</v>
      </c>
      <c r="Q20" s="180" t="s">
        <v>88</v>
      </c>
      <c r="R20" s="180" t="s">
        <v>193</v>
      </c>
      <c r="S20" s="178" t="s">
        <v>1203</v>
      </c>
      <c r="T20" s="30">
        <v>45310</v>
      </c>
      <c r="U20" s="178" t="s">
        <v>1463</v>
      </c>
      <c r="V20" s="178" t="s">
        <v>319</v>
      </c>
      <c r="W20" s="178" t="s">
        <v>88</v>
      </c>
      <c r="X20" s="178" t="s">
        <v>88</v>
      </c>
    </row>
    <row r="21" spans="4:24">
      <c r="D21" s="179">
        <v>12</v>
      </c>
      <c r="E21" s="179" t="s">
        <v>778</v>
      </c>
      <c r="F21" s="179" t="s">
        <v>1248</v>
      </c>
      <c r="G21" s="182">
        <v>45303</v>
      </c>
      <c r="H21" s="179" t="s">
        <v>1246</v>
      </c>
      <c r="I21" s="180" t="s">
        <v>79</v>
      </c>
      <c r="J21" s="180" t="s">
        <v>79</v>
      </c>
      <c r="K21" s="180" t="s">
        <v>107</v>
      </c>
      <c r="L21" s="180" t="s">
        <v>562</v>
      </c>
      <c r="M21" s="180" t="s">
        <v>88</v>
      </c>
      <c r="N21" s="180" t="s">
        <v>102</v>
      </c>
      <c r="O21" s="180" t="s">
        <v>129</v>
      </c>
      <c r="P21" s="185" t="s">
        <v>796</v>
      </c>
      <c r="Q21" s="180" t="s">
        <v>88</v>
      </c>
      <c r="R21" s="180" t="s">
        <v>1209</v>
      </c>
      <c r="S21" s="178" t="s">
        <v>1203</v>
      </c>
      <c r="T21" s="30">
        <v>45310</v>
      </c>
      <c r="U21" s="178" t="s">
        <v>1246</v>
      </c>
      <c r="V21" s="178" t="s">
        <v>88</v>
      </c>
      <c r="W21" s="178" t="s">
        <v>88</v>
      </c>
      <c r="X21" s="178" t="s">
        <v>88</v>
      </c>
    </row>
    <row r="22" spans="4:24">
      <c r="D22" s="179">
        <v>11</v>
      </c>
      <c r="E22" s="179" t="s">
        <v>778</v>
      </c>
      <c r="F22" s="179" t="s">
        <v>1276</v>
      </c>
      <c r="G22" s="182">
        <v>45303</v>
      </c>
      <c r="H22" s="179" t="s">
        <v>1274</v>
      </c>
      <c r="I22" s="180" t="s">
        <v>79</v>
      </c>
      <c r="J22" s="180" t="s">
        <v>79</v>
      </c>
      <c r="K22" s="180" t="s">
        <v>35</v>
      </c>
      <c r="L22" s="180" t="s">
        <v>88</v>
      </c>
      <c r="M22" s="180" t="s">
        <v>88</v>
      </c>
      <c r="N22" s="180" t="s">
        <v>102</v>
      </c>
      <c r="O22" s="180" t="s">
        <v>801</v>
      </c>
      <c r="P22" s="185" t="s">
        <v>1279</v>
      </c>
      <c r="Q22" s="180" t="s">
        <v>88</v>
      </c>
      <c r="R22" s="180" t="s">
        <v>193</v>
      </c>
      <c r="S22" s="178" t="s">
        <v>1204</v>
      </c>
      <c r="T22" s="30">
        <v>45309</v>
      </c>
      <c r="U22" s="178" t="s">
        <v>1274</v>
      </c>
      <c r="V22" s="178" t="s">
        <v>88</v>
      </c>
      <c r="W22" s="178" t="s">
        <v>88</v>
      </c>
      <c r="X22" s="178" t="s">
        <v>88</v>
      </c>
    </row>
    <row r="23" spans="4:24">
      <c r="D23" s="179">
        <v>10</v>
      </c>
      <c r="E23" s="179" t="s">
        <v>779</v>
      </c>
      <c r="F23" s="179" t="s">
        <v>1605</v>
      </c>
      <c r="G23" s="182">
        <v>45289</v>
      </c>
      <c r="H23" s="179" t="s">
        <v>1603</v>
      </c>
      <c r="I23" s="180" t="s">
        <v>79</v>
      </c>
      <c r="J23" s="180" t="s">
        <v>79</v>
      </c>
      <c r="K23" s="180" t="s">
        <v>37</v>
      </c>
      <c r="L23" s="180" t="s">
        <v>88</v>
      </c>
      <c r="M23" s="180" t="s">
        <v>88</v>
      </c>
      <c r="N23" s="180" t="s">
        <v>102</v>
      </c>
      <c r="O23" s="180" t="s">
        <v>1688</v>
      </c>
      <c r="P23" s="185" t="s">
        <v>1507</v>
      </c>
      <c r="Q23" s="180" t="s">
        <v>88</v>
      </c>
      <c r="R23" s="180" t="s">
        <v>193</v>
      </c>
      <c r="S23" s="178" t="s">
        <v>1204</v>
      </c>
      <c r="T23" s="30">
        <v>45296</v>
      </c>
      <c r="U23" s="178" t="s">
        <v>1613</v>
      </c>
      <c r="V23" s="178" t="s">
        <v>1603</v>
      </c>
      <c r="W23" s="178" t="s">
        <v>88</v>
      </c>
      <c r="X23" s="178" t="s">
        <v>88</v>
      </c>
    </row>
    <row r="24" spans="4:24">
      <c r="D24" s="179">
        <v>9</v>
      </c>
      <c r="E24" s="179" t="s">
        <v>779</v>
      </c>
      <c r="F24" s="179" t="s">
        <v>1633</v>
      </c>
      <c r="G24" s="182">
        <v>45289</v>
      </c>
      <c r="H24" s="179" t="s">
        <v>1603</v>
      </c>
      <c r="I24" s="180" t="s">
        <v>79</v>
      </c>
      <c r="J24" s="180" t="s">
        <v>79</v>
      </c>
      <c r="K24" s="180" t="s">
        <v>37</v>
      </c>
      <c r="L24" s="180" t="s">
        <v>88</v>
      </c>
      <c r="M24" s="180" t="s">
        <v>88</v>
      </c>
      <c r="N24" s="180" t="s">
        <v>102</v>
      </c>
      <c r="O24" s="180" t="s">
        <v>1145</v>
      </c>
      <c r="P24" s="185" t="s">
        <v>1507</v>
      </c>
      <c r="Q24" s="180" t="s">
        <v>88</v>
      </c>
      <c r="R24" s="180" t="s">
        <v>193</v>
      </c>
      <c r="S24" s="178" t="s">
        <v>1205</v>
      </c>
      <c r="T24" s="30">
        <v>45295</v>
      </c>
      <c r="U24" s="178" t="s">
        <v>1613</v>
      </c>
      <c r="V24" s="178" t="s">
        <v>1603</v>
      </c>
      <c r="W24" s="178" t="s">
        <v>88</v>
      </c>
      <c r="X24" s="178" t="s">
        <v>88</v>
      </c>
    </row>
    <row r="25" spans="4:24">
      <c r="D25" s="179">
        <v>8</v>
      </c>
      <c r="E25" s="179" t="s">
        <v>779</v>
      </c>
      <c r="F25" s="179" t="s">
        <v>1618</v>
      </c>
      <c r="G25" s="182">
        <v>45289</v>
      </c>
      <c r="H25" s="179" t="s">
        <v>1616</v>
      </c>
      <c r="I25" s="180" t="s">
        <v>79</v>
      </c>
      <c r="J25" s="180" t="s">
        <v>79</v>
      </c>
      <c r="K25" s="180" t="s">
        <v>37</v>
      </c>
      <c r="L25" s="180" t="s">
        <v>88</v>
      </c>
      <c r="M25" s="180" t="s">
        <v>88</v>
      </c>
      <c r="N25" s="180" t="s">
        <v>81</v>
      </c>
      <c r="O25" s="180" t="s">
        <v>1145</v>
      </c>
      <c r="P25" s="185" t="s">
        <v>1160</v>
      </c>
      <c r="Q25" s="180" t="s">
        <v>88</v>
      </c>
      <c r="R25" s="180" t="s">
        <v>105</v>
      </c>
      <c r="S25" s="178" t="s">
        <v>1205</v>
      </c>
      <c r="T25" s="30">
        <v>45295</v>
      </c>
      <c r="U25" s="178" t="s">
        <v>1624</v>
      </c>
      <c r="V25" s="178" t="s">
        <v>1616</v>
      </c>
      <c r="W25" s="178" t="s">
        <v>88</v>
      </c>
      <c r="X25" s="178" t="s">
        <v>88</v>
      </c>
    </row>
    <row r="26" spans="4:24">
      <c r="D26" s="179">
        <v>7</v>
      </c>
      <c r="E26" s="179" t="s">
        <v>779</v>
      </c>
      <c r="F26" s="179" t="s">
        <v>1630</v>
      </c>
      <c r="G26" s="182">
        <v>45289</v>
      </c>
      <c r="H26" s="179" t="s">
        <v>1616</v>
      </c>
      <c r="I26" s="180" t="s">
        <v>79</v>
      </c>
      <c r="J26" s="180" t="s">
        <v>79</v>
      </c>
      <c r="K26" s="180" t="s">
        <v>37</v>
      </c>
      <c r="L26" s="180" t="s">
        <v>88</v>
      </c>
      <c r="M26" s="180" t="s">
        <v>88</v>
      </c>
      <c r="N26" s="180" t="s">
        <v>104</v>
      </c>
      <c r="O26" s="180" t="s">
        <v>1145</v>
      </c>
      <c r="P26" s="185" t="s">
        <v>1160</v>
      </c>
      <c r="Q26" s="180" t="s">
        <v>88</v>
      </c>
      <c r="R26" s="180" t="s">
        <v>105</v>
      </c>
      <c r="S26" s="178" t="s">
        <v>1205</v>
      </c>
      <c r="T26" s="30">
        <v>45295</v>
      </c>
      <c r="U26" s="178" t="s">
        <v>1624</v>
      </c>
      <c r="V26" s="178" t="s">
        <v>1616</v>
      </c>
      <c r="W26" s="178" t="s">
        <v>88</v>
      </c>
      <c r="X26" s="178" t="s">
        <v>88</v>
      </c>
    </row>
    <row r="27" spans="4:24">
      <c r="D27" s="179">
        <v>6</v>
      </c>
      <c r="E27" s="179" t="s">
        <v>779</v>
      </c>
      <c r="F27" s="179" t="s">
        <v>1628</v>
      </c>
      <c r="G27" s="182">
        <v>45289</v>
      </c>
      <c r="H27" s="179" t="s">
        <v>1616</v>
      </c>
      <c r="I27" s="180" t="s">
        <v>79</v>
      </c>
      <c r="J27" s="180" t="s">
        <v>79</v>
      </c>
      <c r="K27" s="180" t="s">
        <v>37</v>
      </c>
      <c r="L27" s="180" t="s">
        <v>88</v>
      </c>
      <c r="M27" s="180" t="s">
        <v>88</v>
      </c>
      <c r="N27" s="180" t="s">
        <v>102</v>
      </c>
      <c r="O27" s="180" t="s">
        <v>1145</v>
      </c>
      <c r="P27" s="185" t="s">
        <v>1160</v>
      </c>
      <c r="Q27" s="180" t="s">
        <v>88</v>
      </c>
      <c r="R27" s="180" t="s">
        <v>105</v>
      </c>
      <c r="S27" s="178" t="s">
        <v>1205</v>
      </c>
      <c r="T27" s="30">
        <v>45295</v>
      </c>
      <c r="U27" s="178" t="s">
        <v>1624</v>
      </c>
      <c r="V27" s="178" t="s">
        <v>1616</v>
      </c>
      <c r="W27" s="178" t="s">
        <v>88</v>
      </c>
      <c r="X27" s="178" t="s">
        <v>88</v>
      </c>
    </row>
    <row r="28" spans="4:24">
      <c r="D28" s="179">
        <v>5</v>
      </c>
      <c r="E28" s="179" t="s">
        <v>779</v>
      </c>
      <c r="F28" s="179" t="s">
        <v>1559</v>
      </c>
      <c r="G28" s="182">
        <v>45289</v>
      </c>
      <c r="H28" s="179" t="s">
        <v>1557</v>
      </c>
      <c r="I28" s="180" t="s">
        <v>79</v>
      </c>
      <c r="J28" s="180" t="s">
        <v>79</v>
      </c>
      <c r="K28" s="180" t="s">
        <v>37</v>
      </c>
      <c r="L28" s="180" t="s">
        <v>88</v>
      </c>
      <c r="M28" s="180" t="s">
        <v>88</v>
      </c>
      <c r="N28" s="180" t="s">
        <v>102</v>
      </c>
      <c r="O28" s="180" t="s">
        <v>129</v>
      </c>
      <c r="P28" s="185" t="s">
        <v>1507</v>
      </c>
      <c r="Q28" s="180" t="s">
        <v>88</v>
      </c>
      <c r="R28" s="180" t="s">
        <v>193</v>
      </c>
      <c r="S28" s="178" t="s">
        <v>1204</v>
      </c>
      <c r="T28" s="30">
        <v>45296</v>
      </c>
      <c r="U28" s="178" t="s">
        <v>1567</v>
      </c>
      <c r="V28" s="178" t="s">
        <v>1557</v>
      </c>
      <c r="W28" s="178" t="s">
        <v>88</v>
      </c>
      <c r="X28" s="178" t="s">
        <v>88</v>
      </c>
    </row>
    <row r="29" spans="4:24">
      <c r="D29" s="179">
        <v>4</v>
      </c>
      <c r="E29" s="179" t="s">
        <v>779</v>
      </c>
      <c r="F29" s="179" t="s">
        <v>1573</v>
      </c>
      <c r="G29" s="182">
        <v>45289</v>
      </c>
      <c r="H29" s="179" t="s">
        <v>1571</v>
      </c>
      <c r="I29" s="180" t="s">
        <v>79</v>
      </c>
      <c r="J29" s="180" t="s">
        <v>79</v>
      </c>
      <c r="K29" s="180" t="s">
        <v>107</v>
      </c>
      <c r="L29" s="180" t="s">
        <v>569</v>
      </c>
      <c r="M29" s="180" t="s">
        <v>88</v>
      </c>
      <c r="N29" s="180" t="s">
        <v>102</v>
      </c>
      <c r="O29" s="180" t="s">
        <v>129</v>
      </c>
      <c r="P29" s="185" t="s">
        <v>1576</v>
      </c>
      <c r="Q29" s="180" t="s">
        <v>88</v>
      </c>
      <c r="R29" s="180" t="s">
        <v>105</v>
      </c>
      <c r="S29" s="178" t="s">
        <v>1203</v>
      </c>
      <c r="T29" s="30">
        <v>45299</v>
      </c>
      <c r="U29" s="178" t="s">
        <v>1571</v>
      </c>
      <c r="V29" s="178" t="s">
        <v>88</v>
      </c>
      <c r="W29" s="178" t="s">
        <v>88</v>
      </c>
      <c r="X29" s="178" t="s">
        <v>88</v>
      </c>
    </row>
    <row r="30" spans="4:24">
      <c r="D30" s="179">
        <v>3</v>
      </c>
      <c r="E30" s="179" t="s">
        <v>779</v>
      </c>
      <c r="F30" s="179" t="s">
        <v>1587</v>
      </c>
      <c r="G30" s="182">
        <v>45289</v>
      </c>
      <c r="H30" s="179" t="s">
        <v>1585</v>
      </c>
      <c r="I30" s="180" t="s">
        <v>79</v>
      </c>
      <c r="J30" s="180" t="s">
        <v>1704</v>
      </c>
      <c r="K30" s="180" t="s">
        <v>109</v>
      </c>
      <c r="L30" s="180" t="s">
        <v>555</v>
      </c>
      <c r="M30" s="180" t="s">
        <v>88</v>
      </c>
      <c r="N30" s="180" t="s">
        <v>81</v>
      </c>
      <c r="O30" s="180" t="s">
        <v>129</v>
      </c>
      <c r="P30" s="185" t="s">
        <v>1591</v>
      </c>
      <c r="Q30" s="180" t="s">
        <v>88</v>
      </c>
      <c r="R30" s="180" t="s">
        <v>193</v>
      </c>
      <c r="S30" s="178" t="s">
        <v>1205</v>
      </c>
      <c r="T30" s="30">
        <v>45295</v>
      </c>
      <c r="U30" s="178" t="s">
        <v>1599</v>
      </c>
      <c r="V30" s="178" t="s">
        <v>88</v>
      </c>
      <c r="W30" s="178" t="s">
        <v>1585</v>
      </c>
      <c r="X30" s="178" t="s">
        <v>88</v>
      </c>
    </row>
    <row r="31" spans="4:24">
      <c r="D31" s="179">
        <v>2</v>
      </c>
      <c r="E31" s="179" t="s">
        <v>779</v>
      </c>
      <c r="F31" s="179" t="s">
        <v>1655</v>
      </c>
      <c r="G31" s="182">
        <v>45288</v>
      </c>
      <c r="H31" s="179" t="s">
        <v>1653</v>
      </c>
      <c r="I31" s="180" t="s">
        <v>79</v>
      </c>
      <c r="J31" s="180" t="s">
        <v>79</v>
      </c>
      <c r="K31" s="180" t="s">
        <v>107</v>
      </c>
      <c r="L31" s="180" t="s">
        <v>569</v>
      </c>
      <c r="M31" s="180" t="s">
        <v>88</v>
      </c>
      <c r="N31" s="180" t="s">
        <v>102</v>
      </c>
      <c r="O31" s="180" t="s">
        <v>129</v>
      </c>
      <c r="P31" s="185" t="s">
        <v>1576</v>
      </c>
      <c r="Q31" s="180" t="s">
        <v>88</v>
      </c>
      <c r="R31" s="180" t="s">
        <v>204</v>
      </c>
      <c r="S31" s="178" t="s">
        <v>1695</v>
      </c>
      <c r="T31" s="30">
        <v>45299</v>
      </c>
      <c r="U31" s="178" t="s">
        <v>1653</v>
      </c>
      <c r="V31" s="178" t="s">
        <v>88</v>
      </c>
      <c r="W31" s="178" t="s">
        <v>88</v>
      </c>
      <c r="X31" s="178" t="s">
        <v>88</v>
      </c>
    </row>
    <row r="32" spans="4:24">
      <c r="D32" s="179">
        <v>1</v>
      </c>
      <c r="E32" s="179" t="s">
        <v>779</v>
      </c>
      <c r="F32" s="179" t="s">
        <v>1665</v>
      </c>
      <c r="G32" s="182">
        <v>45288</v>
      </c>
      <c r="H32" s="179" t="s">
        <v>1663</v>
      </c>
      <c r="I32" s="180" t="s">
        <v>79</v>
      </c>
      <c r="J32" s="180" t="s">
        <v>79</v>
      </c>
      <c r="K32" s="180" t="s">
        <v>107</v>
      </c>
      <c r="L32" s="180" t="s">
        <v>545</v>
      </c>
      <c r="M32" s="180" t="s">
        <v>88</v>
      </c>
      <c r="N32" s="180" t="s">
        <v>81</v>
      </c>
      <c r="O32" s="180" t="s">
        <v>129</v>
      </c>
      <c r="P32" s="185" t="s">
        <v>1591</v>
      </c>
      <c r="Q32" s="180" t="s">
        <v>88</v>
      </c>
      <c r="R32" s="180" t="s">
        <v>204</v>
      </c>
      <c r="S32" s="178" t="s">
        <v>1205</v>
      </c>
      <c r="T32" s="30">
        <v>45294</v>
      </c>
      <c r="U32" s="178" t="s">
        <v>1663</v>
      </c>
      <c r="V32" s="178" t="s">
        <v>88</v>
      </c>
      <c r="W32" s="178" t="s">
        <v>88</v>
      </c>
      <c r="X32" s="178" t="s">
        <v>88</v>
      </c>
    </row>
    <row r="37" spans="4:24">
      <c r="D37" s="140" t="s">
        <v>82</v>
      </c>
      <c r="E37" s="140" t="s">
        <v>769</v>
      </c>
      <c r="F37" s="140" t="s">
        <v>45</v>
      </c>
      <c r="G37" s="140" t="s">
        <v>46</v>
      </c>
      <c r="H37" s="140" t="s">
        <v>90</v>
      </c>
      <c r="I37" s="140" t="s">
        <v>117</v>
      </c>
      <c r="J37" s="140" t="s">
        <v>141</v>
      </c>
      <c r="K37" s="140" t="s">
        <v>86</v>
      </c>
      <c r="L37" s="140" t="s">
        <v>540</v>
      </c>
      <c r="M37" s="140" t="s">
        <v>118</v>
      </c>
      <c r="N37" s="140" t="s">
        <v>61</v>
      </c>
      <c r="O37" s="140" t="s">
        <v>83</v>
      </c>
      <c r="P37" s="140" t="s">
        <v>112</v>
      </c>
      <c r="Q37" s="140" t="s">
        <v>292</v>
      </c>
      <c r="R37" s="140" t="s">
        <v>87</v>
      </c>
      <c r="S37" s="140" t="s">
        <v>1201</v>
      </c>
      <c r="T37" s="140" t="s">
        <v>1202</v>
      </c>
      <c r="U37" s="140" t="s">
        <v>67</v>
      </c>
      <c r="V37" s="140" t="s">
        <v>68</v>
      </c>
      <c r="W37" s="140" t="s">
        <v>78</v>
      </c>
      <c r="X37" s="140" t="s">
        <v>1308</v>
      </c>
    </row>
    <row r="38" spans="4:24">
      <c r="D38" s="140">
        <v>26</v>
      </c>
      <c r="E38" s="140" t="s">
        <v>779</v>
      </c>
      <c r="F38" s="140" t="s">
        <v>1499</v>
      </c>
      <c r="G38" s="140">
        <v>45310</v>
      </c>
      <c r="H38" s="140" t="s">
        <v>1497</v>
      </c>
      <c r="I38" s="140" t="s">
        <v>79</v>
      </c>
      <c r="J38" s="140" t="s">
        <v>79</v>
      </c>
      <c r="K38" s="140" t="s">
        <v>35</v>
      </c>
      <c r="L38" s="140" t="s">
        <v>88</v>
      </c>
      <c r="M38" s="140" t="s">
        <v>88</v>
      </c>
      <c r="N38" s="140" t="s">
        <v>102</v>
      </c>
      <c r="O38" s="140" t="s">
        <v>801</v>
      </c>
      <c r="P38" s="140" t="s">
        <v>1507</v>
      </c>
      <c r="Q38" s="140" t="s">
        <v>88</v>
      </c>
      <c r="R38" s="140" t="s">
        <v>193</v>
      </c>
      <c r="S38" s="140" t="s">
        <v>1204</v>
      </c>
      <c r="T38" s="140">
        <v>45316</v>
      </c>
      <c r="U38" s="140" t="s">
        <v>1497</v>
      </c>
      <c r="V38" s="140" t="s">
        <v>88</v>
      </c>
      <c r="W38" s="140" t="s">
        <v>88</v>
      </c>
      <c r="X38" s="140" t="s">
        <v>88</v>
      </c>
    </row>
    <row r="39" spans="4:24">
      <c r="D39" s="140">
        <v>25</v>
      </c>
      <c r="E39" s="140" t="s">
        <v>779</v>
      </c>
      <c r="F39" s="140" t="s">
        <v>1513</v>
      </c>
      <c r="G39" s="140">
        <v>45310</v>
      </c>
      <c r="H39" s="140" t="s">
        <v>1511</v>
      </c>
      <c r="I39" s="140" t="s">
        <v>79</v>
      </c>
      <c r="J39" s="140" t="s">
        <v>79</v>
      </c>
      <c r="K39" s="140" t="s">
        <v>35</v>
      </c>
      <c r="L39" s="140" t="s">
        <v>88</v>
      </c>
      <c r="M39" s="140" t="s">
        <v>88</v>
      </c>
      <c r="N39" s="140" t="s">
        <v>102</v>
      </c>
      <c r="O39" s="140" t="s">
        <v>129</v>
      </c>
      <c r="P39" s="140" t="s">
        <v>1517</v>
      </c>
      <c r="Q39" s="140" t="s">
        <v>88</v>
      </c>
      <c r="R39" s="140" t="s">
        <v>193</v>
      </c>
      <c r="S39" s="140" t="s">
        <v>1203</v>
      </c>
      <c r="T39" s="140">
        <v>45317</v>
      </c>
      <c r="U39" s="140" t="s">
        <v>1511</v>
      </c>
      <c r="V39" s="140" t="s">
        <v>88</v>
      </c>
      <c r="W39" s="140" t="s">
        <v>88</v>
      </c>
      <c r="X39" s="140" t="s">
        <v>88</v>
      </c>
    </row>
    <row r="40" spans="4:24">
      <c r="D40" s="140">
        <v>24</v>
      </c>
      <c r="E40" s="140" t="s">
        <v>779</v>
      </c>
      <c r="F40" s="140" t="s">
        <v>1095</v>
      </c>
      <c r="G40" s="140">
        <v>45309</v>
      </c>
      <c r="H40" s="140" t="s">
        <v>1096</v>
      </c>
      <c r="I40" s="140" t="s">
        <v>79</v>
      </c>
      <c r="J40" s="140" t="s">
        <v>79</v>
      </c>
      <c r="K40" s="140" t="s">
        <v>109</v>
      </c>
      <c r="L40" s="140" t="s">
        <v>553</v>
      </c>
      <c r="M40" s="140" t="s">
        <v>88</v>
      </c>
      <c r="N40" s="140" t="s">
        <v>102</v>
      </c>
      <c r="O40" s="140" t="s">
        <v>129</v>
      </c>
      <c r="P40" s="140" t="s">
        <v>1122</v>
      </c>
      <c r="Q40" s="140" t="s">
        <v>88</v>
      </c>
      <c r="R40" s="140" t="s">
        <v>193</v>
      </c>
      <c r="S40" s="140" t="s">
        <v>1203</v>
      </c>
      <c r="T40" s="140">
        <v>45316</v>
      </c>
      <c r="U40" s="140" t="s">
        <v>1301</v>
      </c>
      <c r="V40" s="140" t="s">
        <v>88</v>
      </c>
      <c r="W40" s="140" t="s">
        <v>1096</v>
      </c>
      <c r="X40" s="140" t="s">
        <v>88</v>
      </c>
    </row>
    <row r="41" spans="4:24">
      <c r="D41" s="140">
        <v>23</v>
      </c>
      <c r="E41" s="140" t="s">
        <v>779</v>
      </c>
      <c r="F41" s="140" t="s">
        <v>1092</v>
      </c>
      <c r="G41" s="140">
        <v>45309</v>
      </c>
      <c r="H41" s="140" t="s">
        <v>1093</v>
      </c>
      <c r="I41" s="140" t="s">
        <v>79</v>
      </c>
      <c r="J41" s="140" t="s">
        <v>79</v>
      </c>
      <c r="K41" s="140" t="s">
        <v>107</v>
      </c>
      <c r="L41" s="140" t="s">
        <v>555</v>
      </c>
      <c r="M41" s="140" t="s">
        <v>464</v>
      </c>
      <c r="N41" s="140" t="s">
        <v>203</v>
      </c>
      <c r="O41" s="140" t="s">
        <v>129</v>
      </c>
      <c r="P41" s="140" t="s">
        <v>1124</v>
      </c>
      <c r="Q41" s="140" t="s">
        <v>88</v>
      </c>
      <c r="R41" s="140" t="s">
        <v>204</v>
      </c>
      <c r="S41" s="140" t="s">
        <v>1204</v>
      </c>
      <c r="T41" s="140">
        <v>45315</v>
      </c>
      <c r="U41" s="140" t="s">
        <v>1093</v>
      </c>
      <c r="V41" s="140" t="s">
        <v>88</v>
      </c>
      <c r="W41" s="140" t="s">
        <v>88</v>
      </c>
      <c r="X41" s="140" t="s">
        <v>88</v>
      </c>
    </row>
    <row r="42" spans="4:24">
      <c r="D42" s="140">
        <v>22</v>
      </c>
      <c r="E42" s="140" t="s">
        <v>779</v>
      </c>
      <c r="F42" s="140" t="s">
        <v>1152</v>
      </c>
      <c r="G42" s="140">
        <v>45309</v>
      </c>
      <c r="H42" s="140" t="s">
        <v>1153</v>
      </c>
      <c r="I42" s="140" t="s">
        <v>79</v>
      </c>
      <c r="J42" s="140" t="s">
        <v>79</v>
      </c>
      <c r="K42" s="140" t="s">
        <v>35</v>
      </c>
      <c r="L42" s="140" t="s">
        <v>88</v>
      </c>
      <c r="M42" s="140" t="s">
        <v>88</v>
      </c>
      <c r="N42" s="140" t="s">
        <v>102</v>
      </c>
      <c r="O42" s="140">
        <v>1</v>
      </c>
      <c r="P42" s="140" t="s">
        <v>1160</v>
      </c>
      <c r="Q42" s="140" t="s">
        <v>88</v>
      </c>
      <c r="R42" s="140" t="s">
        <v>105</v>
      </c>
      <c r="S42" s="140" t="s">
        <v>1205</v>
      </c>
      <c r="T42" s="140">
        <v>45314</v>
      </c>
      <c r="U42" s="140" t="s">
        <v>1153</v>
      </c>
      <c r="V42" s="140" t="s">
        <v>88</v>
      </c>
      <c r="W42" s="140" t="s">
        <v>88</v>
      </c>
      <c r="X42" s="140" t="s">
        <v>88</v>
      </c>
    </row>
    <row r="43" spans="4:24">
      <c r="D43" s="140">
        <v>21</v>
      </c>
      <c r="E43" s="140" t="s">
        <v>779</v>
      </c>
      <c r="F43" s="140" t="s">
        <v>1089</v>
      </c>
      <c r="G43" s="140">
        <v>45309</v>
      </c>
      <c r="H43" s="140" t="s">
        <v>601</v>
      </c>
      <c r="I43" s="140" t="s">
        <v>1146</v>
      </c>
      <c r="J43" s="140" t="s">
        <v>1090</v>
      </c>
      <c r="K43" s="140" t="s">
        <v>37</v>
      </c>
      <c r="L43" s="140" t="s">
        <v>88</v>
      </c>
      <c r="M43" s="140" t="s">
        <v>88</v>
      </c>
      <c r="N43" s="140" t="s">
        <v>102</v>
      </c>
      <c r="O43" s="140" t="s">
        <v>801</v>
      </c>
      <c r="P43" s="140" t="s">
        <v>1135</v>
      </c>
      <c r="Q43" s="140" t="s">
        <v>88</v>
      </c>
      <c r="R43" s="140" t="s">
        <v>204</v>
      </c>
      <c r="S43" s="140" t="s">
        <v>1203</v>
      </c>
      <c r="T43" s="140">
        <v>45316</v>
      </c>
      <c r="U43" s="140" t="s">
        <v>1300</v>
      </c>
      <c r="V43" s="140" t="s">
        <v>601</v>
      </c>
      <c r="W43" s="140" t="s">
        <v>88</v>
      </c>
      <c r="X43" s="140" t="s">
        <v>88</v>
      </c>
    </row>
    <row r="44" spans="4:24">
      <c r="D44" s="140">
        <v>20</v>
      </c>
      <c r="E44" s="140" t="s">
        <v>779</v>
      </c>
      <c r="F44" s="140" t="s">
        <v>1098</v>
      </c>
      <c r="G44" s="140">
        <v>45309</v>
      </c>
      <c r="H44" s="140" t="s">
        <v>1099</v>
      </c>
      <c r="I44" s="140" t="s">
        <v>1100</v>
      </c>
      <c r="J44" s="140" t="s">
        <v>1100</v>
      </c>
      <c r="K44" s="140" t="s">
        <v>37</v>
      </c>
      <c r="L44" s="140" t="s">
        <v>88</v>
      </c>
      <c r="M44" s="140" t="s">
        <v>88</v>
      </c>
      <c r="N44" s="140" t="s">
        <v>203</v>
      </c>
      <c r="O44" s="140" t="s">
        <v>129</v>
      </c>
      <c r="P44" s="140" t="s">
        <v>1136</v>
      </c>
      <c r="Q44" s="140" t="s">
        <v>88</v>
      </c>
      <c r="R44" s="140" t="s">
        <v>1137</v>
      </c>
      <c r="S44" s="140" t="s">
        <v>1203</v>
      </c>
      <c r="T44" s="140">
        <v>45316</v>
      </c>
      <c r="U44" s="140" t="s">
        <v>1302</v>
      </c>
      <c r="V44" s="140" t="s">
        <v>1099</v>
      </c>
      <c r="W44" s="140" t="s">
        <v>88</v>
      </c>
      <c r="X44" s="140" t="s">
        <v>1710</v>
      </c>
    </row>
    <row r="45" spans="4:24">
      <c r="D45" s="140">
        <v>19</v>
      </c>
      <c r="E45" s="140" t="s">
        <v>779</v>
      </c>
      <c r="F45" s="140" t="s">
        <v>1109</v>
      </c>
      <c r="G45" s="140">
        <v>45308</v>
      </c>
      <c r="H45" s="140" t="s">
        <v>1110</v>
      </c>
      <c r="I45" s="140" t="s">
        <v>79</v>
      </c>
      <c r="J45" s="140" t="s">
        <v>79</v>
      </c>
      <c r="K45" s="140" t="s">
        <v>35</v>
      </c>
      <c r="L45" s="140" t="s">
        <v>88</v>
      </c>
      <c r="M45" s="140" t="s">
        <v>88</v>
      </c>
      <c r="N45" s="140" t="s">
        <v>102</v>
      </c>
      <c r="O45" s="140" t="s">
        <v>129</v>
      </c>
      <c r="P45" s="140" t="s">
        <v>1138</v>
      </c>
      <c r="Q45" s="140" t="s">
        <v>88</v>
      </c>
      <c r="R45" s="140" t="s">
        <v>193</v>
      </c>
      <c r="S45" s="140" t="s">
        <v>1203</v>
      </c>
      <c r="T45" s="140">
        <v>45315</v>
      </c>
      <c r="U45" s="140" t="s">
        <v>1110</v>
      </c>
      <c r="V45" s="140" t="s">
        <v>88</v>
      </c>
      <c r="W45" s="140" t="s">
        <v>88</v>
      </c>
      <c r="X45" s="140" t="s">
        <v>88</v>
      </c>
    </row>
    <row r="46" spans="4:24">
      <c r="D46" s="140">
        <v>18</v>
      </c>
      <c r="E46" s="140" t="s">
        <v>779</v>
      </c>
      <c r="F46" s="140" t="s">
        <v>1112</v>
      </c>
      <c r="G46" s="140">
        <v>45308</v>
      </c>
      <c r="H46" s="140" t="s">
        <v>1113</v>
      </c>
      <c r="I46" s="140" t="s">
        <v>79</v>
      </c>
      <c r="J46" s="140" t="s">
        <v>79</v>
      </c>
      <c r="K46" s="140" t="s">
        <v>107</v>
      </c>
      <c r="L46" s="140" t="s">
        <v>545</v>
      </c>
      <c r="M46" s="140" t="s">
        <v>88</v>
      </c>
      <c r="N46" s="140" t="s">
        <v>102</v>
      </c>
      <c r="O46" s="140" t="s">
        <v>129</v>
      </c>
      <c r="P46" s="140" t="s">
        <v>1131</v>
      </c>
      <c r="Q46" s="140" t="s">
        <v>88</v>
      </c>
      <c r="R46" s="140" t="s">
        <v>193</v>
      </c>
      <c r="S46" s="140" t="s">
        <v>1203</v>
      </c>
      <c r="T46" s="140">
        <v>45315</v>
      </c>
      <c r="U46" s="140" t="s">
        <v>1113</v>
      </c>
      <c r="V46" s="140" t="s">
        <v>88</v>
      </c>
      <c r="W46" s="140" t="s">
        <v>88</v>
      </c>
      <c r="X46" s="140" t="s">
        <v>88</v>
      </c>
    </row>
    <row r="47" spans="4:24">
      <c r="D47" s="140">
        <v>17</v>
      </c>
      <c r="E47" s="140" t="s">
        <v>779</v>
      </c>
      <c r="F47" s="140" t="s">
        <v>1115</v>
      </c>
      <c r="G47" s="140">
        <v>45308</v>
      </c>
      <c r="H47" s="140" t="s">
        <v>1116</v>
      </c>
      <c r="I47" s="140" t="s">
        <v>79</v>
      </c>
      <c r="J47" s="140" t="s">
        <v>79</v>
      </c>
      <c r="K47" s="140" t="s">
        <v>108</v>
      </c>
      <c r="L47" s="140" t="s">
        <v>555</v>
      </c>
      <c r="M47" s="140" t="s">
        <v>88</v>
      </c>
      <c r="N47" s="140" t="s">
        <v>102</v>
      </c>
      <c r="O47" s="140" t="s">
        <v>129</v>
      </c>
      <c r="P47" s="140" t="s">
        <v>1131</v>
      </c>
      <c r="Q47" s="140" t="s">
        <v>88</v>
      </c>
      <c r="R47" s="140" t="s">
        <v>204</v>
      </c>
      <c r="S47" s="140" t="s">
        <v>1203</v>
      </c>
      <c r="T47" s="140">
        <v>45315</v>
      </c>
      <c r="U47" s="140" t="s">
        <v>1304</v>
      </c>
      <c r="V47" s="140" t="s">
        <v>1116</v>
      </c>
      <c r="W47" s="140" t="s">
        <v>88</v>
      </c>
      <c r="X47" s="140" t="s">
        <v>88</v>
      </c>
    </row>
    <row r="48" spans="4:24">
      <c r="D48" s="140">
        <v>16</v>
      </c>
      <c r="E48" s="140" t="s">
        <v>779</v>
      </c>
      <c r="F48" s="140" t="s">
        <v>1106</v>
      </c>
      <c r="G48" s="140">
        <v>45308</v>
      </c>
      <c r="H48" s="140" t="s">
        <v>535</v>
      </c>
      <c r="I48" s="140" t="s">
        <v>1107</v>
      </c>
      <c r="J48" s="140" t="s">
        <v>804</v>
      </c>
      <c r="K48" s="140" t="s">
        <v>35</v>
      </c>
      <c r="L48" s="140" t="s">
        <v>88</v>
      </c>
      <c r="M48" s="140" t="s">
        <v>88</v>
      </c>
      <c r="N48" s="140" t="s">
        <v>81</v>
      </c>
      <c r="O48" s="140" t="s">
        <v>129</v>
      </c>
      <c r="P48" s="140" t="s">
        <v>1139</v>
      </c>
      <c r="Q48" s="140" t="s">
        <v>791</v>
      </c>
      <c r="R48" s="140" t="s">
        <v>204</v>
      </c>
      <c r="S48" s="140" t="s">
        <v>1203</v>
      </c>
      <c r="T48" s="140">
        <v>45315</v>
      </c>
      <c r="U48" s="140" t="s">
        <v>1303</v>
      </c>
      <c r="V48" s="140" t="s">
        <v>88</v>
      </c>
      <c r="W48" s="140" t="s">
        <v>88</v>
      </c>
      <c r="X48" s="140" t="s">
        <v>88</v>
      </c>
    </row>
    <row r="49" spans="4:24">
      <c r="D49" s="140">
        <v>15</v>
      </c>
      <c r="E49" s="140" t="s">
        <v>779</v>
      </c>
      <c r="F49" s="140" t="s">
        <v>1118</v>
      </c>
      <c r="G49" s="140">
        <v>45306</v>
      </c>
      <c r="H49" s="140" t="s">
        <v>1119</v>
      </c>
      <c r="I49" s="140" t="s">
        <v>79</v>
      </c>
      <c r="J49" s="140" t="s">
        <v>79</v>
      </c>
      <c r="K49" s="140" t="s">
        <v>35</v>
      </c>
      <c r="L49" s="140" t="s">
        <v>88</v>
      </c>
      <c r="M49" s="140" t="s">
        <v>88</v>
      </c>
      <c r="N49" s="140" t="s">
        <v>102</v>
      </c>
      <c r="O49" s="140" t="s">
        <v>129</v>
      </c>
      <c r="P49" s="140" t="s">
        <v>786</v>
      </c>
      <c r="Q49" s="140" t="s">
        <v>88</v>
      </c>
      <c r="R49" s="140" t="s">
        <v>193</v>
      </c>
      <c r="S49" s="140" t="s">
        <v>1205</v>
      </c>
      <c r="T49" s="140">
        <v>45309</v>
      </c>
      <c r="U49" s="140" t="s">
        <v>1119</v>
      </c>
      <c r="V49" s="140" t="s">
        <v>88</v>
      </c>
      <c r="W49" s="140" t="s">
        <v>88</v>
      </c>
      <c r="X49" s="140" t="s">
        <v>88</v>
      </c>
    </row>
    <row r="50" spans="4:24">
      <c r="D50" s="140">
        <v>14</v>
      </c>
      <c r="E50" s="140" t="s">
        <v>778</v>
      </c>
      <c r="F50" s="140" t="s">
        <v>793</v>
      </c>
      <c r="G50" s="140">
        <v>45303</v>
      </c>
      <c r="H50" s="140" t="s">
        <v>794</v>
      </c>
      <c r="I50" s="140" t="s">
        <v>79</v>
      </c>
      <c r="J50" s="140" t="s">
        <v>79</v>
      </c>
      <c r="K50" s="140" t="s">
        <v>107</v>
      </c>
      <c r="L50" s="140" t="s">
        <v>586</v>
      </c>
      <c r="M50" s="140" t="s">
        <v>464</v>
      </c>
      <c r="N50" s="140" t="s">
        <v>102</v>
      </c>
      <c r="O50" s="140" t="s">
        <v>129</v>
      </c>
      <c r="P50" s="140" t="s">
        <v>1265</v>
      </c>
      <c r="Q50" s="140" t="s">
        <v>88</v>
      </c>
      <c r="R50" s="140" t="s">
        <v>204</v>
      </c>
      <c r="S50" s="140" t="s">
        <v>1203</v>
      </c>
      <c r="T50" s="140">
        <v>45310</v>
      </c>
      <c r="U50" s="140" t="s">
        <v>794</v>
      </c>
      <c r="V50" s="140" t="s">
        <v>88</v>
      </c>
      <c r="W50" s="140" t="s">
        <v>88</v>
      </c>
      <c r="X50" s="140" t="s">
        <v>88</v>
      </c>
    </row>
    <row r="51" spans="4:24">
      <c r="D51" s="140">
        <v>13</v>
      </c>
      <c r="E51" s="140" t="s">
        <v>778</v>
      </c>
      <c r="F51" s="140" t="s">
        <v>1454</v>
      </c>
      <c r="G51" s="140">
        <v>45303</v>
      </c>
      <c r="H51" s="140" t="s">
        <v>319</v>
      </c>
      <c r="I51" s="140" t="s">
        <v>1468</v>
      </c>
      <c r="J51" s="140" t="s">
        <v>1469</v>
      </c>
      <c r="K51" s="140" t="s">
        <v>37</v>
      </c>
      <c r="L51" s="140" t="s">
        <v>88</v>
      </c>
      <c r="M51" s="140" t="s">
        <v>88</v>
      </c>
      <c r="N51" s="140" t="s">
        <v>102</v>
      </c>
      <c r="O51" s="140" t="s">
        <v>129</v>
      </c>
      <c r="P51" s="140" t="s">
        <v>1459</v>
      </c>
      <c r="Q51" s="140" t="s">
        <v>88</v>
      </c>
      <c r="R51" s="140" t="s">
        <v>193</v>
      </c>
      <c r="S51" s="140" t="s">
        <v>1203</v>
      </c>
      <c r="T51" s="140">
        <v>45310</v>
      </c>
      <c r="U51" s="140" t="s">
        <v>1463</v>
      </c>
      <c r="V51" s="140" t="s">
        <v>319</v>
      </c>
      <c r="W51" s="140" t="s">
        <v>88</v>
      </c>
      <c r="X51" s="140" t="s">
        <v>88</v>
      </c>
    </row>
    <row r="52" spans="4:24">
      <c r="D52" s="140">
        <v>12</v>
      </c>
      <c r="E52" s="140" t="s">
        <v>778</v>
      </c>
      <c r="F52" s="140" t="s">
        <v>1248</v>
      </c>
      <c r="G52" s="140">
        <v>45303</v>
      </c>
      <c r="H52" s="140" t="s">
        <v>1246</v>
      </c>
      <c r="I52" s="140" t="s">
        <v>79</v>
      </c>
      <c r="J52" s="140" t="s">
        <v>79</v>
      </c>
      <c r="K52" s="140" t="s">
        <v>107</v>
      </c>
      <c r="L52" s="140" t="s">
        <v>562</v>
      </c>
      <c r="M52" s="140" t="s">
        <v>88</v>
      </c>
      <c r="N52" s="140" t="s">
        <v>102</v>
      </c>
      <c r="O52" s="140" t="s">
        <v>129</v>
      </c>
      <c r="P52" s="140" t="s">
        <v>796</v>
      </c>
      <c r="Q52" s="140" t="s">
        <v>88</v>
      </c>
      <c r="R52" s="140" t="s">
        <v>1209</v>
      </c>
      <c r="S52" s="140" t="s">
        <v>1203</v>
      </c>
      <c r="T52" s="140">
        <v>45310</v>
      </c>
      <c r="U52" s="140" t="s">
        <v>1246</v>
      </c>
      <c r="V52" s="140" t="s">
        <v>88</v>
      </c>
      <c r="W52" s="140" t="s">
        <v>88</v>
      </c>
      <c r="X52" s="140" t="s">
        <v>88</v>
      </c>
    </row>
    <row r="53" spans="4:24">
      <c r="D53" s="140">
        <v>11</v>
      </c>
      <c r="E53" s="140" t="s">
        <v>778</v>
      </c>
      <c r="F53" s="140" t="s">
        <v>1276</v>
      </c>
      <c r="G53" s="140">
        <v>45303</v>
      </c>
      <c r="H53" s="140" t="s">
        <v>1274</v>
      </c>
      <c r="I53" s="140" t="s">
        <v>79</v>
      </c>
      <c r="J53" s="140" t="s">
        <v>79</v>
      </c>
      <c r="K53" s="140" t="s">
        <v>35</v>
      </c>
      <c r="L53" s="140" t="s">
        <v>88</v>
      </c>
      <c r="M53" s="140" t="s">
        <v>88</v>
      </c>
      <c r="N53" s="140" t="s">
        <v>102</v>
      </c>
      <c r="O53" s="140" t="s">
        <v>801</v>
      </c>
      <c r="P53" s="140" t="s">
        <v>1279</v>
      </c>
      <c r="Q53" s="140" t="s">
        <v>88</v>
      </c>
      <c r="R53" s="140" t="s">
        <v>193</v>
      </c>
      <c r="S53" s="140" t="s">
        <v>1204</v>
      </c>
      <c r="T53" s="140">
        <v>45309</v>
      </c>
      <c r="U53" s="140" t="s">
        <v>1274</v>
      </c>
      <c r="V53" s="140" t="s">
        <v>88</v>
      </c>
      <c r="W53" s="140" t="s">
        <v>88</v>
      </c>
      <c r="X53" s="140" t="s">
        <v>88</v>
      </c>
    </row>
    <row r="54" spans="4:24">
      <c r="D54" s="140">
        <v>10</v>
      </c>
      <c r="E54" s="140" t="s">
        <v>779</v>
      </c>
      <c r="F54" s="140" t="s">
        <v>1605</v>
      </c>
      <c r="G54" s="140">
        <v>45289</v>
      </c>
      <c r="H54" s="140" t="s">
        <v>1603</v>
      </c>
      <c r="I54" s="140" t="s">
        <v>79</v>
      </c>
      <c r="J54" s="140" t="s">
        <v>79</v>
      </c>
      <c r="K54" s="140" t="s">
        <v>37</v>
      </c>
      <c r="L54" s="140" t="s">
        <v>88</v>
      </c>
      <c r="M54" s="140" t="s">
        <v>88</v>
      </c>
      <c r="N54" s="140" t="s">
        <v>102</v>
      </c>
      <c r="O54" s="140" t="s">
        <v>1688</v>
      </c>
      <c r="P54" s="140" t="s">
        <v>1507</v>
      </c>
      <c r="Q54" s="140" t="s">
        <v>88</v>
      </c>
      <c r="R54" s="140" t="s">
        <v>193</v>
      </c>
      <c r="S54" s="140" t="s">
        <v>1204</v>
      </c>
      <c r="T54" s="140">
        <v>45296</v>
      </c>
      <c r="U54" s="140" t="s">
        <v>1613</v>
      </c>
      <c r="V54" s="140" t="s">
        <v>1603</v>
      </c>
      <c r="W54" s="140" t="s">
        <v>88</v>
      </c>
      <c r="X54" s="140" t="s">
        <v>88</v>
      </c>
    </row>
    <row r="55" spans="4:24">
      <c r="D55" s="140">
        <v>9</v>
      </c>
      <c r="E55" s="140" t="s">
        <v>779</v>
      </c>
      <c r="F55" s="140" t="s">
        <v>1633</v>
      </c>
      <c r="G55" s="140">
        <v>45289</v>
      </c>
      <c r="H55" s="140" t="s">
        <v>1603</v>
      </c>
      <c r="I55" s="140" t="s">
        <v>79</v>
      </c>
      <c r="J55" s="140" t="s">
        <v>79</v>
      </c>
      <c r="K55" s="140" t="s">
        <v>37</v>
      </c>
      <c r="L55" s="140" t="s">
        <v>88</v>
      </c>
      <c r="M55" s="140" t="s">
        <v>88</v>
      </c>
      <c r="N55" s="140" t="s">
        <v>102</v>
      </c>
      <c r="O55" s="140" t="s">
        <v>1145</v>
      </c>
      <c r="P55" s="140" t="s">
        <v>1507</v>
      </c>
      <c r="Q55" s="140" t="s">
        <v>88</v>
      </c>
      <c r="R55" s="140" t="s">
        <v>193</v>
      </c>
      <c r="S55" s="140" t="s">
        <v>1205</v>
      </c>
      <c r="T55" s="140">
        <v>45295</v>
      </c>
      <c r="U55" s="140" t="s">
        <v>1613</v>
      </c>
      <c r="V55" s="140" t="s">
        <v>1603</v>
      </c>
      <c r="W55" s="140" t="s">
        <v>88</v>
      </c>
      <c r="X55" s="140" t="s">
        <v>88</v>
      </c>
    </row>
    <row r="56" spans="4:24">
      <c r="D56" s="140">
        <v>8</v>
      </c>
      <c r="E56" s="140" t="s">
        <v>779</v>
      </c>
      <c r="F56" s="140" t="s">
        <v>1618</v>
      </c>
      <c r="G56" s="140">
        <v>45289</v>
      </c>
      <c r="H56" s="140" t="s">
        <v>1616</v>
      </c>
      <c r="I56" s="140" t="s">
        <v>79</v>
      </c>
      <c r="J56" s="140" t="s">
        <v>79</v>
      </c>
      <c r="K56" s="140" t="s">
        <v>37</v>
      </c>
      <c r="L56" s="140" t="s">
        <v>88</v>
      </c>
      <c r="M56" s="140" t="s">
        <v>88</v>
      </c>
      <c r="N56" s="140" t="s">
        <v>81</v>
      </c>
      <c r="O56" s="140" t="s">
        <v>1145</v>
      </c>
      <c r="P56" s="140" t="s">
        <v>1160</v>
      </c>
      <c r="Q56" s="140" t="s">
        <v>88</v>
      </c>
      <c r="R56" s="140" t="s">
        <v>105</v>
      </c>
      <c r="S56" s="140" t="s">
        <v>1205</v>
      </c>
      <c r="T56" s="140">
        <v>45295</v>
      </c>
      <c r="U56" s="140" t="s">
        <v>1624</v>
      </c>
      <c r="V56" s="140" t="s">
        <v>1616</v>
      </c>
      <c r="W56" s="140" t="s">
        <v>88</v>
      </c>
      <c r="X56" s="140" t="s">
        <v>88</v>
      </c>
    </row>
    <row r="57" spans="4:24">
      <c r="D57" s="140">
        <v>7</v>
      </c>
      <c r="E57" s="140" t="s">
        <v>779</v>
      </c>
      <c r="F57" s="140" t="s">
        <v>1630</v>
      </c>
      <c r="G57" s="140">
        <v>45289</v>
      </c>
      <c r="H57" s="140" t="s">
        <v>1616</v>
      </c>
      <c r="I57" s="140" t="s">
        <v>79</v>
      </c>
      <c r="J57" s="140" t="s">
        <v>79</v>
      </c>
      <c r="K57" s="140" t="s">
        <v>37</v>
      </c>
      <c r="L57" s="140" t="s">
        <v>88</v>
      </c>
      <c r="M57" s="140" t="s">
        <v>88</v>
      </c>
      <c r="N57" s="140" t="s">
        <v>104</v>
      </c>
      <c r="O57" s="140" t="s">
        <v>1145</v>
      </c>
      <c r="P57" s="140" t="s">
        <v>1160</v>
      </c>
      <c r="Q57" s="140" t="s">
        <v>88</v>
      </c>
      <c r="R57" s="140" t="s">
        <v>105</v>
      </c>
      <c r="S57" s="140" t="s">
        <v>1205</v>
      </c>
      <c r="T57" s="140">
        <v>45295</v>
      </c>
      <c r="U57" s="140" t="s">
        <v>1624</v>
      </c>
      <c r="V57" s="140" t="s">
        <v>1616</v>
      </c>
      <c r="W57" s="140" t="s">
        <v>88</v>
      </c>
      <c r="X57" s="140" t="s">
        <v>88</v>
      </c>
    </row>
    <row r="58" spans="4:24">
      <c r="D58" s="140">
        <v>6</v>
      </c>
      <c r="E58" s="140" t="s">
        <v>779</v>
      </c>
      <c r="F58" s="140" t="s">
        <v>1628</v>
      </c>
      <c r="G58" s="140">
        <v>45289</v>
      </c>
      <c r="H58" s="140" t="s">
        <v>1616</v>
      </c>
      <c r="I58" s="140" t="s">
        <v>79</v>
      </c>
      <c r="J58" s="140" t="s">
        <v>79</v>
      </c>
      <c r="K58" s="140" t="s">
        <v>37</v>
      </c>
      <c r="L58" s="140" t="s">
        <v>88</v>
      </c>
      <c r="M58" s="140" t="s">
        <v>88</v>
      </c>
      <c r="N58" s="140" t="s">
        <v>102</v>
      </c>
      <c r="O58" s="140" t="s">
        <v>1145</v>
      </c>
      <c r="P58" s="140" t="s">
        <v>1160</v>
      </c>
      <c r="Q58" s="140" t="s">
        <v>88</v>
      </c>
      <c r="R58" s="140" t="s">
        <v>105</v>
      </c>
      <c r="S58" s="140" t="s">
        <v>1205</v>
      </c>
      <c r="T58" s="140">
        <v>45295</v>
      </c>
      <c r="U58" s="140" t="s">
        <v>1624</v>
      </c>
      <c r="V58" s="140" t="s">
        <v>1616</v>
      </c>
      <c r="W58" s="140" t="s">
        <v>88</v>
      </c>
      <c r="X58" s="140" t="s">
        <v>88</v>
      </c>
    </row>
    <row r="59" spans="4:24">
      <c r="D59" s="140">
        <v>5</v>
      </c>
      <c r="E59" s="140" t="s">
        <v>779</v>
      </c>
      <c r="F59" s="140" t="s">
        <v>1559</v>
      </c>
      <c r="G59" s="140">
        <v>45289</v>
      </c>
      <c r="H59" s="140" t="s">
        <v>1557</v>
      </c>
      <c r="I59" s="140" t="s">
        <v>79</v>
      </c>
      <c r="J59" s="140" t="s">
        <v>79</v>
      </c>
      <c r="K59" s="140" t="s">
        <v>37</v>
      </c>
      <c r="L59" s="140" t="s">
        <v>88</v>
      </c>
      <c r="M59" s="140" t="s">
        <v>88</v>
      </c>
      <c r="N59" s="140" t="s">
        <v>102</v>
      </c>
      <c r="O59" s="140" t="s">
        <v>129</v>
      </c>
      <c r="P59" s="140" t="s">
        <v>1507</v>
      </c>
      <c r="Q59" s="140" t="s">
        <v>88</v>
      </c>
      <c r="R59" s="140" t="s">
        <v>193</v>
      </c>
      <c r="S59" s="140" t="s">
        <v>1204</v>
      </c>
      <c r="T59" s="140">
        <v>45296</v>
      </c>
      <c r="U59" s="140" t="s">
        <v>1567</v>
      </c>
      <c r="V59" s="140" t="s">
        <v>1557</v>
      </c>
      <c r="W59" s="140" t="s">
        <v>88</v>
      </c>
      <c r="X59" s="140" t="s">
        <v>88</v>
      </c>
    </row>
    <row r="60" spans="4:24">
      <c r="D60" s="140">
        <v>4</v>
      </c>
      <c r="E60" s="140" t="s">
        <v>779</v>
      </c>
      <c r="F60" s="140" t="s">
        <v>1573</v>
      </c>
      <c r="G60" s="140">
        <v>45289</v>
      </c>
      <c r="H60" s="140" t="s">
        <v>1571</v>
      </c>
      <c r="I60" s="140" t="s">
        <v>79</v>
      </c>
      <c r="J60" s="140" t="s">
        <v>79</v>
      </c>
      <c r="K60" s="140" t="s">
        <v>107</v>
      </c>
      <c r="L60" s="140" t="s">
        <v>569</v>
      </c>
      <c r="M60" s="140" t="s">
        <v>88</v>
      </c>
      <c r="N60" s="140" t="s">
        <v>102</v>
      </c>
      <c r="O60" s="140" t="s">
        <v>129</v>
      </c>
      <c r="P60" s="140" t="s">
        <v>1576</v>
      </c>
      <c r="Q60" s="140" t="s">
        <v>88</v>
      </c>
      <c r="R60" s="140" t="s">
        <v>105</v>
      </c>
      <c r="S60" s="140" t="s">
        <v>1203</v>
      </c>
      <c r="T60" s="140">
        <v>45299</v>
      </c>
      <c r="U60" s="140" t="s">
        <v>1571</v>
      </c>
      <c r="V60" s="140" t="s">
        <v>88</v>
      </c>
      <c r="W60" s="140" t="s">
        <v>88</v>
      </c>
      <c r="X60" s="140" t="s">
        <v>88</v>
      </c>
    </row>
    <row r="61" spans="4:24">
      <c r="D61" s="140">
        <v>3</v>
      </c>
      <c r="E61" s="140" t="s">
        <v>779</v>
      </c>
      <c r="F61" s="140" t="s">
        <v>1587</v>
      </c>
      <c r="G61" s="140">
        <v>45289</v>
      </c>
      <c r="H61" s="140" t="s">
        <v>1585</v>
      </c>
      <c r="I61" s="140" t="s">
        <v>79</v>
      </c>
      <c r="J61" s="140" t="s">
        <v>1704</v>
      </c>
      <c r="K61" s="140" t="s">
        <v>109</v>
      </c>
      <c r="L61" s="140" t="s">
        <v>555</v>
      </c>
      <c r="M61" s="140" t="s">
        <v>88</v>
      </c>
      <c r="N61" s="140" t="s">
        <v>81</v>
      </c>
      <c r="O61" s="140" t="s">
        <v>129</v>
      </c>
      <c r="P61" s="140" t="s">
        <v>1591</v>
      </c>
      <c r="Q61" s="140" t="s">
        <v>88</v>
      </c>
      <c r="R61" s="140" t="s">
        <v>193</v>
      </c>
      <c r="S61" s="140" t="s">
        <v>1205</v>
      </c>
      <c r="T61" s="140">
        <v>45295</v>
      </c>
      <c r="U61" s="140" t="s">
        <v>1599</v>
      </c>
      <c r="V61" s="140" t="s">
        <v>88</v>
      </c>
      <c r="W61" s="140" t="s">
        <v>1585</v>
      </c>
      <c r="X61" s="140" t="s">
        <v>88</v>
      </c>
    </row>
    <row r="62" spans="4:24">
      <c r="D62" s="140">
        <v>2</v>
      </c>
      <c r="E62" s="140" t="s">
        <v>779</v>
      </c>
      <c r="F62" s="140" t="s">
        <v>1655</v>
      </c>
      <c r="G62" s="140">
        <v>45288</v>
      </c>
      <c r="H62" s="140" t="s">
        <v>1653</v>
      </c>
      <c r="I62" s="140" t="s">
        <v>79</v>
      </c>
      <c r="J62" s="140" t="s">
        <v>79</v>
      </c>
      <c r="K62" s="140" t="s">
        <v>107</v>
      </c>
      <c r="L62" s="140" t="s">
        <v>569</v>
      </c>
      <c r="M62" s="140" t="s">
        <v>88</v>
      </c>
      <c r="N62" s="140" t="s">
        <v>102</v>
      </c>
      <c r="O62" s="140" t="s">
        <v>129</v>
      </c>
      <c r="P62" s="140" t="s">
        <v>1576</v>
      </c>
      <c r="Q62" s="140" t="s">
        <v>88</v>
      </c>
      <c r="R62" s="140" t="s">
        <v>204</v>
      </c>
      <c r="S62" s="140" t="s">
        <v>1695</v>
      </c>
      <c r="T62" s="140">
        <v>45299</v>
      </c>
      <c r="U62" s="140" t="s">
        <v>1653</v>
      </c>
      <c r="V62" s="140" t="s">
        <v>88</v>
      </c>
      <c r="W62" s="140" t="s">
        <v>88</v>
      </c>
      <c r="X62" s="140" t="s">
        <v>88</v>
      </c>
    </row>
    <row r="63" spans="4:24">
      <c r="D63" s="140">
        <v>1</v>
      </c>
      <c r="E63" s="140" t="s">
        <v>779</v>
      </c>
      <c r="F63" s="140" t="s">
        <v>1665</v>
      </c>
      <c r="G63" s="140">
        <v>45288</v>
      </c>
      <c r="H63" s="140" t="s">
        <v>1663</v>
      </c>
      <c r="I63" s="140" t="s">
        <v>79</v>
      </c>
      <c r="J63" s="140" t="s">
        <v>79</v>
      </c>
      <c r="K63" s="140" t="s">
        <v>107</v>
      </c>
      <c r="L63" s="140" t="s">
        <v>545</v>
      </c>
      <c r="M63" s="140" t="s">
        <v>88</v>
      </c>
      <c r="N63" s="140" t="s">
        <v>81</v>
      </c>
      <c r="O63" s="140" t="s">
        <v>129</v>
      </c>
      <c r="P63" s="140" t="s">
        <v>1591</v>
      </c>
      <c r="Q63" s="140" t="s">
        <v>88</v>
      </c>
      <c r="R63" s="140" t="s">
        <v>204</v>
      </c>
      <c r="S63" s="140" t="s">
        <v>1205</v>
      </c>
      <c r="T63" s="140">
        <v>45294</v>
      </c>
      <c r="U63" s="140" t="s">
        <v>1663</v>
      </c>
      <c r="V63" s="140" t="s">
        <v>88</v>
      </c>
      <c r="W63" s="140" t="s">
        <v>88</v>
      </c>
      <c r="X63" s="140" t="s">
        <v>88</v>
      </c>
    </row>
  </sheetData>
  <phoneticPr fontId="14" type="noConversion"/>
  <conditionalFormatting sqref="H7:W32 V6:W6 H6:T6">
    <cfRule type="containsText" dxfId="395" priority="2" operator="containsText" text="【">
      <formula>NOT(ISERROR(SEARCH("【",H6)))</formula>
    </cfRule>
  </conditionalFormatting>
  <conditionalFormatting sqref="H6:M32">
    <cfRule type="notContainsBlanks" dxfId="394" priority="3">
      <formula>LEN(TRIM(H6))&gt;0</formula>
    </cfRule>
  </conditionalFormatting>
  <conditionalFormatting sqref="N6:O32 T6:T32 K6:K32">
    <cfRule type="containsBlanks" dxfId="393" priority="1">
      <formula>LEN(TRIM(K6))=0</formula>
    </cfRule>
  </conditionalFormatting>
  <dataValidations count="6">
    <dataValidation type="list" allowBlank="1" showInputMessage="1" sqref="L1 L6:L32" xr:uid="{3E48C14B-C108-42DD-B185-EB6EB09CD121}">
      <formula1>dd_备证行</formula1>
    </dataValidation>
    <dataValidation type="list" allowBlank="1" showInputMessage="1" sqref="K1 S1:Y1 K6:K32" xr:uid="{63A64E8A-51DE-4C03-B181-47B42F1727CC}">
      <formula1>dd_结构</formula1>
    </dataValidation>
    <dataValidation type="list" allowBlank="1" showInputMessage="1" sqref="M1 M6:M32" xr:uid="{AEC1FCF3-4AB4-4C8B-8F08-89196D7D2D17}">
      <formula1>ESG</formula1>
    </dataValidation>
    <dataValidation type="list" allowBlank="1" showInputMessage="1" sqref="N1 N6:N32" xr:uid="{15B403DC-D66A-4455-9648-36970E94D830}">
      <formula1>dd_货币</formula1>
    </dataValidation>
    <dataValidation allowBlank="1" showInputMessage="1" showErrorMessage="1" promptTitle="票息 Format" prompt="添加apostrophe (')符号_x000a_再输入数字_x000a__x000a_3.20%_x000a_3.8%_x000a_SOFR+56_x000a_" sqref="P1" xr:uid="{42D03882-A929-40FB-AD27-B1EDF0627196}"/>
    <dataValidation type="list" allowBlank="1" showInputMessage="1" sqref="Q1:R1 Q6:R32" xr:uid="{F9AD8F6D-6742-46D4-B4E8-92A3BB8E4234}">
      <formula1>INDIRECT(Q$5)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B1:S63"/>
  <sheetViews>
    <sheetView topLeftCell="B2" zoomScale="85" zoomScaleNormal="85" workbookViewId="0">
      <selection activeCell="P14" sqref="P14"/>
    </sheetView>
  </sheetViews>
  <sheetFormatPr defaultRowHeight="15" outlineLevelRow="1"/>
  <cols>
    <col min="1" max="2" width="4.44140625" style="1" customWidth="1"/>
    <col min="3" max="3" width="6.6640625" style="1" customWidth="1"/>
    <col min="4" max="4" width="7.33203125" style="1" bestFit="1" customWidth="1"/>
    <col min="5" max="5" width="12.88671875" style="1" bestFit="1" customWidth="1"/>
    <col min="6" max="6" width="33.21875" style="1" bestFit="1" customWidth="1"/>
    <col min="7" max="7" width="13.33203125" style="1" bestFit="1" customWidth="1"/>
    <col min="8" max="8" width="10.33203125" style="1" bestFit="1" customWidth="1"/>
    <col min="9" max="9" width="9.44140625" style="1" bestFit="1" customWidth="1"/>
    <col min="10" max="10" width="11.5546875" style="1" bestFit="1" customWidth="1"/>
    <col min="11" max="11" width="12.21875" style="1" bestFit="1" customWidth="1"/>
    <col min="12" max="12" width="5.77734375" style="1" bestFit="1" customWidth="1"/>
    <col min="13" max="13" width="6" style="1" bestFit="1" customWidth="1"/>
    <col min="14" max="14" width="6.109375" style="1" bestFit="1" customWidth="1"/>
    <col min="15" max="15" width="9.44140625" style="1" bestFit="1" customWidth="1"/>
    <col min="16" max="17" width="11.109375" style="1" bestFit="1" customWidth="1"/>
    <col min="18" max="18" width="19.44140625" style="1" bestFit="1" customWidth="1"/>
    <col min="19" max="19" width="33.21875" style="1" bestFit="1" customWidth="1"/>
    <col min="20" max="20" width="6.109375" style="1" bestFit="1" customWidth="1"/>
    <col min="21" max="21" width="11.5546875" style="1" bestFit="1" customWidth="1"/>
    <col min="22" max="22" width="20.109375" style="1" customWidth="1"/>
    <col min="23" max="16384" width="8.88671875" style="1"/>
  </cols>
  <sheetData>
    <row r="1" spans="2:19" ht="41.25" hidden="1" customHeight="1" outlineLevel="1">
      <c r="H1" s="40" t="s">
        <v>261</v>
      </c>
      <c r="I1" s="40" t="s">
        <v>194</v>
      </c>
      <c r="J1" s="40" t="s">
        <v>84</v>
      </c>
      <c r="K1" s="40" t="s">
        <v>50</v>
      </c>
      <c r="L1" s="40" t="s">
        <v>130</v>
      </c>
      <c r="M1" s="40" t="s">
        <v>148</v>
      </c>
      <c r="N1" s="115" t="s">
        <v>88</v>
      </c>
      <c r="O1" s="115" t="s">
        <v>714</v>
      </c>
      <c r="P1" s="116" t="s">
        <v>88</v>
      </c>
    </row>
    <row r="2" spans="2:19" ht="41.25" customHeight="1" collapsed="1">
      <c r="B2" s="5"/>
      <c r="C2" s="5" t="s">
        <v>1190</v>
      </c>
    </row>
    <row r="3" spans="2:19" ht="41.25" customHeight="1"/>
    <row r="4" spans="2:19" ht="41.25" customHeight="1"/>
    <row r="5" spans="2:19">
      <c r="D5" t="s">
        <v>82</v>
      </c>
      <c r="E5" s="36" t="s">
        <v>261</v>
      </c>
      <c r="F5" t="s">
        <v>44</v>
      </c>
      <c r="G5" t="s">
        <v>45</v>
      </c>
      <c r="H5" t="s">
        <v>46</v>
      </c>
      <c r="I5" t="s">
        <v>120</v>
      </c>
      <c r="J5" t="s">
        <v>716</v>
      </c>
      <c r="K5" t="s">
        <v>54</v>
      </c>
      <c r="L5" t="s">
        <v>84</v>
      </c>
      <c r="M5" t="s">
        <v>50</v>
      </c>
      <c r="N5" t="s">
        <v>130</v>
      </c>
      <c r="O5" t="s">
        <v>132</v>
      </c>
      <c r="P5" t="s">
        <v>148</v>
      </c>
      <c r="Q5" t="s">
        <v>149</v>
      </c>
      <c r="R5" t="s">
        <v>119</v>
      </c>
      <c r="S5" t="s">
        <v>90</v>
      </c>
    </row>
    <row r="6" spans="2:19">
      <c r="D6" s="179">
        <v>27</v>
      </c>
      <c r="E6" s="186" t="s">
        <v>88</v>
      </c>
      <c r="F6" s="180" t="s">
        <v>1711</v>
      </c>
      <c r="G6" s="180" t="s">
        <v>1712</v>
      </c>
      <c r="H6" s="182">
        <v>45310</v>
      </c>
      <c r="I6" s="180" t="s">
        <v>88</v>
      </c>
      <c r="J6" s="180" t="s">
        <v>88</v>
      </c>
      <c r="K6" s="180">
        <v>7.57</v>
      </c>
      <c r="L6" s="180" t="s">
        <v>88</v>
      </c>
      <c r="M6" s="180" t="s">
        <v>88</v>
      </c>
      <c r="N6" s="187" t="s">
        <v>88</v>
      </c>
      <c r="O6" s="179"/>
      <c r="P6" s="180" t="s">
        <v>6</v>
      </c>
      <c r="Q6" s="180" t="s">
        <v>6</v>
      </c>
      <c r="R6" s="180" t="s">
        <v>1713</v>
      </c>
      <c r="S6" s="180" t="s">
        <v>1711</v>
      </c>
    </row>
    <row r="7" spans="2:19">
      <c r="D7" s="179">
        <v>26</v>
      </c>
      <c r="E7" s="186" t="s">
        <v>88</v>
      </c>
      <c r="F7" s="180" t="s">
        <v>1500</v>
      </c>
      <c r="G7" s="180" t="s">
        <v>1499</v>
      </c>
      <c r="H7" s="182">
        <v>45310</v>
      </c>
      <c r="I7" s="180" t="s">
        <v>88</v>
      </c>
      <c r="J7" s="180" t="s">
        <v>88</v>
      </c>
      <c r="K7" s="180">
        <v>5.27</v>
      </c>
      <c r="L7" s="180" t="s">
        <v>88</v>
      </c>
      <c r="M7" s="180" t="s">
        <v>88</v>
      </c>
      <c r="N7" s="180" t="s">
        <v>88</v>
      </c>
      <c r="O7" s="179"/>
      <c r="P7" s="180" t="s">
        <v>6</v>
      </c>
      <c r="Q7" s="180" t="s">
        <v>6</v>
      </c>
      <c r="R7" s="180" t="s">
        <v>1510</v>
      </c>
      <c r="S7" s="180" t="s">
        <v>1497</v>
      </c>
    </row>
    <row r="8" spans="2:19">
      <c r="D8" s="179">
        <v>25</v>
      </c>
      <c r="E8" s="186" t="s">
        <v>88</v>
      </c>
      <c r="F8" s="180" t="s">
        <v>1514</v>
      </c>
      <c r="G8" s="180" t="s">
        <v>1513</v>
      </c>
      <c r="H8" s="182">
        <v>45310</v>
      </c>
      <c r="I8" s="180" t="s">
        <v>88</v>
      </c>
      <c r="J8" s="180" t="s">
        <v>88</v>
      </c>
      <c r="K8" s="180">
        <v>10.5</v>
      </c>
      <c r="L8" s="180" t="s">
        <v>1687</v>
      </c>
      <c r="M8" s="187" t="s">
        <v>1517</v>
      </c>
      <c r="N8" s="187" t="s">
        <v>1517</v>
      </c>
      <c r="O8" s="179">
        <v>15</v>
      </c>
      <c r="P8" s="180" t="s">
        <v>6</v>
      </c>
      <c r="Q8" s="180" t="s">
        <v>6</v>
      </c>
      <c r="R8" s="180" t="s">
        <v>1527</v>
      </c>
      <c r="S8" s="180" t="s">
        <v>1511</v>
      </c>
    </row>
    <row r="9" spans="2:19">
      <c r="D9" s="179">
        <v>24</v>
      </c>
      <c r="E9" s="186" t="s">
        <v>88</v>
      </c>
      <c r="F9" s="180" t="s">
        <v>1123</v>
      </c>
      <c r="G9" s="180" t="s">
        <v>1092</v>
      </c>
      <c r="H9" s="182">
        <v>45309</v>
      </c>
      <c r="I9" s="180" t="s">
        <v>88</v>
      </c>
      <c r="J9" s="180" t="s">
        <v>88</v>
      </c>
      <c r="K9" s="180">
        <v>72</v>
      </c>
      <c r="L9" s="180" t="s">
        <v>1140</v>
      </c>
      <c r="M9" s="180" t="s">
        <v>1124</v>
      </c>
      <c r="N9" s="180" t="s">
        <v>1124</v>
      </c>
      <c r="O9" s="179">
        <v>12</v>
      </c>
      <c r="P9" s="180" t="s">
        <v>6</v>
      </c>
      <c r="Q9" s="180" t="s">
        <v>6</v>
      </c>
      <c r="R9" s="180" t="s">
        <v>1094</v>
      </c>
      <c r="S9" s="180" t="s">
        <v>1093</v>
      </c>
    </row>
    <row r="10" spans="2:19">
      <c r="D10" s="179">
        <v>23</v>
      </c>
      <c r="E10" s="186" t="s">
        <v>88</v>
      </c>
      <c r="F10" s="180" t="s">
        <v>1153</v>
      </c>
      <c r="G10" s="180" t="s">
        <v>1152</v>
      </c>
      <c r="H10" s="182">
        <v>45309</v>
      </c>
      <c r="I10" s="180" t="s">
        <v>88</v>
      </c>
      <c r="J10" s="180" t="s">
        <v>88</v>
      </c>
      <c r="K10" s="180">
        <v>1.075</v>
      </c>
      <c r="L10" s="180" t="s">
        <v>88</v>
      </c>
      <c r="M10" s="180" t="s">
        <v>1160</v>
      </c>
      <c r="N10" s="180" t="s">
        <v>88</v>
      </c>
      <c r="O10" s="179"/>
      <c r="P10" s="180" t="s">
        <v>6</v>
      </c>
      <c r="Q10" s="180" t="s">
        <v>6</v>
      </c>
      <c r="R10" s="180" t="s">
        <v>1154</v>
      </c>
      <c r="S10" s="180" t="s">
        <v>1153</v>
      </c>
    </row>
    <row r="11" spans="2:19">
      <c r="D11" s="179">
        <v>22</v>
      </c>
      <c r="E11" s="186" t="s">
        <v>88</v>
      </c>
      <c r="F11" s="180" t="s">
        <v>1121</v>
      </c>
      <c r="G11" s="180" t="s">
        <v>1095</v>
      </c>
      <c r="H11" s="182">
        <v>45309</v>
      </c>
      <c r="I11" s="180" t="s">
        <v>88</v>
      </c>
      <c r="J11" s="180" t="s">
        <v>88</v>
      </c>
      <c r="K11" s="180">
        <v>9</v>
      </c>
      <c r="L11" s="180" t="s">
        <v>1141</v>
      </c>
      <c r="M11" s="180" t="s">
        <v>1122</v>
      </c>
      <c r="N11" s="180" t="s">
        <v>1122</v>
      </c>
      <c r="O11" s="179">
        <v>45</v>
      </c>
      <c r="P11" s="180" t="s">
        <v>6</v>
      </c>
      <c r="Q11" s="180" t="s">
        <v>6</v>
      </c>
      <c r="R11" s="180" t="s">
        <v>1097</v>
      </c>
      <c r="S11" s="180" t="s">
        <v>1096</v>
      </c>
    </row>
    <row r="12" spans="2:19">
      <c r="D12" s="179">
        <v>21</v>
      </c>
      <c r="E12" s="186" t="s">
        <v>88</v>
      </c>
      <c r="F12" s="180" t="s">
        <v>1126</v>
      </c>
      <c r="G12" s="180" t="s">
        <v>1089</v>
      </c>
      <c r="H12" s="182">
        <v>45309</v>
      </c>
      <c r="I12" s="180" t="s">
        <v>88</v>
      </c>
      <c r="J12" s="180" t="s">
        <v>88</v>
      </c>
      <c r="K12" s="180">
        <v>10</v>
      </c>
      <c r="L12" s="180" t="s">
        <v>1142</v>
      </c>
      <c r="M12" s="180" t="s">
        <v>1135</v>
      </c>
      <c r="N12" s="180" t="s">
        <v>1135</v>
      </c>
      <c r="O12" s="179">
        <v>40</v>
      </c>
      <c r="P12" s="180" t="s">
        <v>128</v>
      </c>
      <c r="Q12" s="180" t="s">
        <v>6</v>
      </c>
      <c r="R12" s="180" t="s">
        <v>1091</v>
      </c>
      <c r="S12" s="180" t="s">
        <v>601</v>
      </c>
    </row>
    <row r="13" spans="2:19">
      <c r="D13" s="179">
        <v>20</v>
      </c>
      <c r="E13" s="186" t="s">
        <v>88</v>
      </c>
      <c r="F13" s="180" t="s">
        <v>1127</v>
      </c>
      <c r="G13" s="180" t="s">
        <v>1098</v>
      </c>
      <c r="H13" s="182">
        <v>45309</v>
      </c>
      <c r="I13" s="180" t="s">
        <v>88</v>
      </c>
      <c r="J13" s="180" t="s">
        <v>88</v>
      </c>
      <c r="K13" s="180">
        <v>147</v>
      </c>
      <c r="L13" s="180" t="s">
        <v>88</v>
      </c>
      <c r="M13" s="180" t="s">
        <v>88</v>
      </c>
      <c r="N13" s="180" t="s">
        <v>88</v>
      </c>
      <c r="O13" s="179"/>
      <c r="P13" s="180" t="s">
        <v>128</v>
      </c>
      <c r="Q13" s="180" t="s">
        <v>6</v>
      </c>
      <c r="R13" s="180" t="s">
        <v>1101</v>
      </c>
      <c r="S13" s="180" t="s">
        <v>1099</v>
      </c>
    </row>
    <row r="14" spans="2:19">
      <c r="D14" s="179">
        <v>19</v>
      </c>
      <c r="E14" s="186" t="s">
        <v>88</v>
      </c>
      <c r="F14" s="180" t="s">
        <v>1128</v>
      </c>
      <c r="G14" s="180" t="s">
        <v>1109</v>
      </c>
      <c r="H14" s="182">
        <v>45308</v>
      </c>
      <c r="I14" s="180" t="s">
        <v>88</v>
      </c>
      <c r="J14" s="180" t="s">
        <v>88</v>
      </c>
      <c r="K14" s="180">
        <v>20</v>
      </c>
      <c r="L14" s="180" t="s">
        <v>1143</v>
      </c>
      <c r="M14" s="180" t="s">
        <v>1138</v>
      </c>
      <c r="N14" s="180" t="s">
        <v>1138</v>
      </c>
      <c r="O14" s="179">
        <v>14</v>
      </c>
      <c r="P14" s="180" t="s">
        <v>6</v>
      </c>
      <c r="Q14" s="180" t="s">
        <v>6</v>
      </c>
      <c r="R14" s="180" t="s">
        <v>1111</v>
      </c>
      <c r="S14" s="180" t="s">
        <v>1110</v>
      </c>
    </row>
    <row r="15" spans="2:19">
      <c r="D15" s="179">
        <v>18</v>
      </c>
      <c r="E15" s="186" t="s">
        <v>88</v>
      </c>
      <c r="F15" s="180" t="s">
        <v>1132</v>
      </c>
      <c r="G15" s="180" t="s">
        <v>1115</v>
      </c>
      <c r="H15" s="182">
        <v>45308</v>
      </c>
      <c r="I15" s="180" t="s">
        <v>88</v>
      </c>
      <c r="J15" s="180" t="s">
        <v>88</v>
      </c>
      <c r="K15" s="180">
        <v>7.5</v>
      </c>
      <c r="L15" s="180" t="s">
        <v>1144</v>
      </c>
      <c r="M15" s="180" t="s">
        <v>1131</v>
      </c>
      <c r="N15" s="180" t="s">
        <v>1131</v>
      </c>
      <c r="O15" s="179">
        <v>42</v>
      </c>
      <c r="P15" s="180" t="s">
        <v>6</v>
      </c>
      <c r="Q15" s="180" t="s">
        <v>6</v>
      </c>
      <c r="R15" s="180" t="s">
        <v>1117</v>
      </c>
      <c r="S15" s="180" t="s">
        <v>1116</v>
      </c>
    </row>
    <row r="16" spans="2:19">
      <c r="D16" s="179">
        <v>17</v>
      </c>
      <c r="E16" s="186" t="s">
        <v>88</v>
      </c>
      <c r="F16" s="180" t="s">
        <v>1133</v>
      </c>
      <c r="G16" s="180" t="s">
        <v>1106</v>
      </c>
      <c r="H16" s="182">
        <v>45308</v>
      </c>
      <c r="I16" s="180" t="s">
        <v>88</v>
      </c>
      <c r="J16" s="180" t="s">
        <v>88</v>
      </c>
      <c r="K16" s="180">
        <v>6</v>
      </c>
      <c r="L16" s="180" t="s">
        <v>88</v>
      </c>
      <c r="M16" s="180" t="s">
        <v>88</v>
      </c>
      <c r="N16" s="180" t="s">
        <v>88</v>
      </c>
      <c r="O16" s="179"/>
      <c r="P16" s="180" t="s">
        <v>127</v>
      </c>
      <c r="Q16" s="180" t="s">
        <v>6</v>
      </c>
      <c r="R16" s="180" t="s">
        <v>1108</v>
      </c>
      <c r="S16" s="180" t="s">
        <v>535</v>
      </c>
    </row>
    <row r="17" spans="4:19">
      <c r="D17" s="179">
        <v>16</v>
      </c>
      <c r="E17" s="186" t="s">
        <v>88</v>
      </c>
      <c r="F17" s="180" t="s">
        <v>1130</v>
      </c>
      <c r="G17" s="180" t="s">
        <v>1112</v>
      </c>
      <c r="H17" s="182">
        <v>45308</v>
      </c>
      <c r="I17" s="180" t="s">
        <v>88</v>
      </c>
      <c r="J17" s="180" t="s">
        <v>88</v>
      </c>
      <c r="K17" s="180">
        <v>1.9790000000000001</v>
      </c>
      <c r="L17" s="180" t="s">
        <v>88</v>
      </c>
      <c r="M17" s="180" t="s">
        <v>1131</v>
      </c>
      <c r="N17" s="180" t="s">
        <v>88</v>
      </c>
      <c r="O17" s="179"/>
      <c r="P17" s="180" t="s">
        <v>6</v>
      </c>
      <c r="Q17" s="180" t="s">
        <v>6</v>
      </c>
      <c r="R17" s="180" t="s">
        <v>1114</v>
      </c>
      <c r="S17" s="180" t="s">
        <v>1113</v>
      </c>
    </row>
    <row r="18" spans="4:19">
      <c r="D18" s="179">
        <v>15</v>
      </c>
      <c r="E18" s="186" t="s">
        <v>88</v>
      </c>
      <c r="F18" s="180" t="s">
        <v>1134</v>
      </c>
      <c r="G18" s="180" t="s">
        <v>1118</v>
      </c>
      <c r="H18" s="182">
        <v>45306</v>
      </c>
      <c r="I18" s="180" t="s">
        <v>88</v>
      </c>
      <c r="J18" s="180" t="s">
        <v>88</v>
      </c>
      <c r="K18" s="180">
        <v>2</v>
      </c>
      <c r="L18" s="180" t="s">
        <v>88</v>
      </c>
      <c r="M18" s="180" t="s">
        <v>88</v>
      </c>
      <c r="N18" s="180" t="s">
        <v>88</v>
      </c>
      <c r="O18" s="179"/>
      <c r="P18" s="180" t="s">
        <v>6</v>
      </c>
      <c r="Q18" s="180" t="s">
        <v>6</v>
      </c>
      <c r="R18" s="180" t="s">
        <v>1120</v>
      </c>
      <c r="S18" s="180" t="s">
        <v>1119</v>
      </c>
    </row>
    <row r="19" spans="4:19">
      <c r="D19" s="179">
        <v>14</v>
      </c>
      <c r="E19" s="186" t="s">
        <v>88</v>
      </c>
      <c r="F19" s="180" t="s">
        <v>1262</v>
      </c>
      <c r="G19" s="180" t="s">
        <v>793</v>
      </c>
      <c r="H19" s="182">
        <v>45303</v>
      </c>
      <c r="I19" s="180" t="s">
        <v>88</v>
      </c>
      <c r="J19" s="180" t="s">
        <v>88</v>
      </c>
      <c r="K19" s="180">
        <v>4.5999999999999996</v>
      </c>
      <c r="L19" s="180" t="s">
        <v>1698</v>
      </c>
      <c r="M19" s="180" t="s">
        <v>1265</v>
      </c>
      <c r="N19" s="180" t="s">
        <v>1265</v>
      </c>
      <c r="O19" s="179">
        <v>10</v>
      </c>
      <c r="P19" s="180" t="s">
        <v>6</v>
      </c>
      <c r="Q19" s="180" t="s">
        <v>6</v>
      </c>
      <c r="R19" s="180" t="s">
        <v>1273</v>
      </c>
      <c r="S19" s="180" t="s">
        <v>794</v>
      </c>
    </row>
    <row r="20" spans="4:19" s="139" customFormat="1">
      <c r="D20" s="179">
        <v>13</v>
      </c>
      <c r="E20" s="186" t="s">
        <v>88</v>
      </c>
      <c r="F20" s="180" t="s">
        <v>1455</v>
      </c>
      <c r="G20" s="180" t="s">
        <v>1454</v>
      </c>
      <c r="H20" s="182">
        <v>45303</v>
      </c>
      <c r="I20" s="180" t="s">
        <v>194</v>
      </c>
      <c r="J20" s="180" t="s">
        <v>88</v>
      </c>
      <c r="K20" s="180">
        <v>7</v>
      </c>
      <c r="L20" s="180" t="s">
        <v>88</v>
      </c>
      <c r="M20" s="180" t="s">
        <v>1459</v>
      </c>
      <c r="N20" s="180" t="s">
        <v>88</v>
      </c>
      <c r="O20" s="179"/>
      <c r="P20" s="180" t="s">
        <v>6</v>
      </c>
      <c r="Q20" s="180" t="s">
        <v>6</v>
      </c>
      <c r="R20" s="180" t="s">
        <v>1467</v>
      </c>
      <c r="S20" s="180" t="s">
        <v>319</v>
      </c>
    </row>
    <row r="21" spans="4:19" s="139" customFormat="1">
      <c r="D21" s="179">
        <v>12</v>
      </c>
      <c r="E21" s="186" t="s">
        <v>88</v>
      </c>
      <c r="F21" s="180" t="s">
        <v>1249</v>
      </c>
      <c r="G21" s="180" t="s">
        <v>1248</v>
      </c>
      <c r="H21" s="182">
        <v>45303</v>
      </c>
      <c r="I21" s="180" t="s">
        <v>88</v>
      </c>
      <c r="J21" s="180" t="s">
        <v>88</v>
      </c>
      <c r="K21" s="180">
        <v>12.6</v>
      </c>
      <c r="L21" s="180" t="s">
        <v>1700</v>
      </c>
      <c r="M21" s="180" t="s">
        <v>796</v>
      </c>
      <c r="N21" s="180" t="s">
        <v>796</v>
      </c>
      <c r="O21" s="179">
        <v>0</v>
      </c>
      <c r="P21" s="180" t="s">
        <v>6</v>
      </c>
      <c r="Q21" s="180" t="s">
        <v>6</v>
      </c>
      <c r="R21" s="180" t="s">
        <v>1259</v>
      </c>
      <c r="S21" s="180" t="s">
        <v>1246</v>
      </c>
    </row>
    <row r="22" spans="4:19" s="139" customFormat="1">
      <c r="D22" s="179">
        <v>11</v>
      </c>
      <c r="E22" s="186" t="s">
        <v>88</v>
      </c>
      <c r="F22" s="180" t="s">
        <v>1277</v>
      </c>
      <c r="G22" s="180" t="s">
        <v>1276</v>
      </c>
      <c r="H22" s="182">
        <v>45303</v>
      </c>
      <c r="I22" s="180" t="s">
        <v>88</v>
      </c>
      <c r="J22" s="180" t="s">
        <v>88</v>
      </c>
      <c r="K22" s="180">
        <v>6.7</v>
      </c>
      <c r="L22" s="180" t="s">
        <v>88</v>
      </c>
      <c r="M22" s="180" t="s">
        <v>1279</v>
      </c>
      <c r="N22" s="180" t="s">
        <v>88</v>
      </c>
      <c r="O22" s="179"/>
      <c r="P22" s="180" t="s">
        <v>6</v>
      </c>
      <c r="Q22" s="180" t="s">
        <v>6</v>
      </c>
      <c r="R22" s="180" t="s">
        <v>1285</v>
      </c>
      <c r="S22" s="180" t="s">
        <v>1274</v>
      </c>
    </row>
    <row r="23" spans="4:19" s="139" customFormat="1">
      <c r="D23" s="179">
        <v>10</v>
      </c>
      <c r="E23" s="186" t="s">
        <v>88</v>
      </c>
      <c r="F23" s="180" t="s">
        <v>1606</v>
      </c>
      <c r="G23" s="180" t="s">
        <v>1605</v>
      </c>
      <c r="H23" s="182">
        <v>45289</v>
      </c>
      <c r="I23" s="180" t="s">
        <v>88</v>
      </c>
      <c r="J23" s="180" t="s">
        <v>88</v>
      </c>
      <c r="K23" s="180">
        <v>3.43</v>
      </c>
      <c r="L23" s="180" t="s">
        <v>88</v>
      </c>
      <c r="M23" s="180" t="s">
        <v>88</v>
      </c>
      <c r="N23" s="180" t="s">
        <v>88</v>
      </c>
      <c r="O23" s="179"/>
      <c r="P23" s="180" t="s">
        <v>6</v>
      </c>
      <c r="Q23" s="180" t="s">
        <v>6</v>
      </c>
      <c r="R23" s="180" t="s">
        <v>1615</v>
      </c>
      <c r="S23" s="180" t="s">
        <v>1603</v>
      </c>
    </row>
    <row r="24" spans="4:19" s="139" customFormat="1">
      <c r="D24" s="179">
        <v>9</v>
      </c>
      <c r="E24" s="186" t="s">
        <v>88</v>
      </c>
      <c r="F24" s="180" t="s">
        <v>1634</v>
      </c>
      <c r="G24" s="180" t="s">
        <v>1633</v>
      </c>
      <c r="H24" s="182">
        <v>45289</v>
      </c>
      <c r="I24" s="180" t="s">
        <v>88</v>
      </c>
      <c r="J24" s="180" t="s">
        <v>88</v>
      </c>
      <c r="K24" s="180">
        <v>0.12</v>
      </c>
      <c r="L24" s="180" t="s">
        <v>88</v>
      </c>
      <c r="M24" s="180" t="s">
        <v>88</v>
      </c>
      <c r="N24" s="180" t="s">
        <v>88</v>
      </c>
      <c r="O24" s="179"/>
      <c r="P24" s="180" t="s">
        <v>6</v>
      </c>
      <c r="Q24" s="180" t="s">
        <v>6</v>
      </c>
      <c r="R24" s="180" t="s">
        <v>1637</v>
      </c>
      <c r="S24" s="180" t="s">
        <v>1603</v>
      </c>
    </row>
    <row r="25" spans="4:19" s="139" customFormat="1">
      <c r="D25" s="179">
        <v>8</v>
      </c>
      <c r="E25" s="186" t="s">
        <v>88</v>
      </c>
      <c r="F25" s="180" t="s">
        <v>1619</v>
      </c>
      <c r="G25" s="180" t="s">
        <v>1630</v>
      </c>
      <c r="H25" s="182">
        <v>45289</v>
      </c>
      <c r="I25" s="180" t="s">
        <v>88</v>
      </c>
      <c r="J25" s="180" t="s">
        <v>88</v>
      </c>
      <c r="K25" s="180">
        <v>1.145</v>
      </c>
      <c r="L25" s="180" t="s">
        <v>88</v>
      </c>
      <c r="M25" s="180" t="s">
        <v>88</v>
      </c>
      <c r="N25" s="180" t="s">
        <v>88</v>
      </c>
      <c r="O25" s="179"/>
      <c r="P25" s="180" t="s">
        <v>6</v>
      </c>
      <c r="Q25" s="180" t="s">
        <v>6</v>
      </c>
      <c r="R25" s="180" t="s">
        <v>1631</v>
      </c>
      <c r="S25" s="180" t="s">
        <v>1616</v>
      </c>
    </row>
    <row r="26" spans="4:19" s="139" customFormat="1">
      <c r="D26" s="179">
        <v>7</v>
      </c>
      <c r="E26" s="186" t="s">
        <v>88</v>
      </c>
      <c r="F26" s="180" t="s">
        <v>1619</v>
      </c>
      <c r="G26" s="180" t="s">
        <v>1618</v>
      </c>
      <c r="H26" s="182">
        <v>45289</v>
      </c>
      <c r="I26" s="180" t="s">
        <v>88</v>
      </c>
      <c r="J26" s="180" t="s">
        <v>88</v>
      </c>
      <c r="K26" s="180">
        <v>5.2999999999999999E-2</v>
      </c>
      <c r="L26" s="180" t="s">
        <v>88</v>
      </c>
      <c r="M26" s="180" t="s">
        <v>88</v>
      </c>
      <c r="N26" s="180" t="s">
        <v>88</v>
      </c>
      <c r="O26" s="179"/>
      <c r="P26" s="180" t="s">
        <v>6</v>
      </c>
      <c r="Q26" s="180" t="s">
        <v>6</v>
      </c>
      <c r="R26" s="180" t="s">
        <v>1627</v>
      </c>
      <c r="S26" s="180" t="s">
        <v>1616</v>
      </c>
    </row>
    <row r="27" spans="4:19" s="139" customFormat="1">
      <c r="D27" s="179">
        <v>6</v>
      </c>
      <c r="E27" s="186" t="s">
        <v>88</v>
      </c>
      <c r="F27" s="180" t="s">
        <v>1619</v>
      </c>
      <c r="G27" s="180" t="s">
        <v>1628</v>
      </c>
      <c r="H27" s="182">
        <v>45289</v>
      </c>
      <c r="I27" s="180" t="s">
        <v>88</v>
      </c>
      <c r="J27" s="180" t="s">
        <v>88</v>
      </c>
      <c r="K27" s="180">
        <v>0.40500000000000003</v>
      </c>
      <c r="L27" s="180" t="s">
        <v>88</v>
      </c>
      <c r="M27" s="180" t="s">
        <v>88</v>
      </c>
      <c r="N27" s="180" t="s">
        <v>88</v>
      </c>
      <c r="O27" s="179"/>
      <c r="P27" s="180" t="s">
        <v>6</v>
      </c>
      <c r="Q27" s="180" t="s">
        <v>6</v>
      </c>
      <c r="R27" s="180" t="s">
        <v>1629</v>
      </c>
      <c r="S27" s="180" t="s">
        <v>1616</v>
      </c>
    </row>
    <row r="28" spans="4:19" s="139" customFormat="1">
      <c r="D28" s="179">
        <v>5</v>
      </c>
      <c r="E28" s="186" t="s">
        <v>88</v>
      </c>
      <c r="F28" s="180" t="s">
        <v>1574</v>
      </c>
      <c r="G28" s="180" t="s">
        <v>1573</v>
      </c>
      <c r="H28" s="182">
        <v>45289</v>
      </c>
      <c r="I28" s="180" t="s">
        <v>88</v>
      </c>
      <c r="J28" s="180" t="s">
        <v>88</v>
      </c>
      <c r="K28" s="180">
        <v>6.1</v>
      </c>
      <c r="L28" s="180" t="s">
        <v>88</v>
      </c>
      <c r="M28" s="180" t="s">
        <v>1576</v>
      </c>
      <c r="N28" s="180" t="s">
        <v>88</v>
      </c>
      <c r="O28" s="179"/>
      <c r="P28" s="180" t="s">
        <v>6</v>
      </c>
      <c r="Q28" s="180" t="s">
        <v>6</v>
      </c>
      <c r="R28" s="180" t="s">
        <v>1584</v>
      </c>
      <c r="S28" s="180" t="s">
        <v>1571</v>
      </c>
    </row>
    <row r="29" spans="4:19" s="139" customFormat="1">
      <c r="D29" s="179">
        <v>4</v>
      </c>
      <c r="E29" s="186" t="s">
        <v>88</v>
      </c>
      <c r="F29" s="180" t="s">
        <v>1560</v>
      </c>
      <c r="G29" s="180" t="s">
        <v>1559</v>
      </c>
      <c r="H29" s="182">
        <v>45289</v>
      </c>
      <c r="I29" s="180" t="s">
        <v>88</v>
      </c>
      <c r="J29" s="180" t="s">
        <v>88</v>
      </c>
      <c r="K29" s="180">
        <v>1.5</v>
      </c>
      <c r="L29" s="180" t="s">
        <v>88</v>
      </c>
      <c r="M29" s="180" t="s">
        <v>88</v>
      </c>
      <c r="N29" s="180" t="s">
        <v>88</v>
      </c>
      <c r="O29" s="179"/>
      <c r="P29" s="180" t="s">
        <v>6</v>
      </c>
      <c r="Q29" s="180" t="s">
        <v>6</v>
      </c>
      <c r="R29" s="180" t="s">
        <v>1570</v>
      </c>
      <c r="S29" s="180" t="s">
        <v>1557</v>
      </c>
    </row>
    <row r="30" spans="4:19" s="139" customFormat="1">
      <c r="D30" s="179">
        <v>3</v>
      </c>
      <c r="E30" s="186" t="s">
        <v>88</v>
      </c>
      <c r="F30" s="180" t="s">
        <v>1588</v>
      </c>
      <c r="G30" s="180" t="s">
        <v>1587</v>
      </c>
      <c r="H30" s="182">
        <v>45289</v>
      </c>
      <c r="I30" s="180" t="s">
        <v>88</v>
      </c>
      <c r="J30" s="180" t="s">
        <v>88</v>
      </c>
      <c r="K30" s="180">
        <v>0.53500000000000003</v>
      </c>
      <c r="L30" s="180" t="s">
        <v>1690</v>
      </c>
      <c r="M30" s="180" t="s">
        <v>1591</v>
      </c>
      <c r="N30" s="180" t="s">
        <v>1591</v>
      </c>
      <c r="O30" s="179">
        <v>30</v>
      </c>
      <c r="P30" s="180" t="s">
        <v>6</v>
      </c>
      <c r="Q30" s="180" t="s">
        <v>6</v>
      </c>
      <c r="R30" s="180" t="s">
        <v>1602</v>
      </c>
      <c r="S30" s="180" t="s">
        <v>1585</v>
      </c>
    </row>
    <row r="31" spans="4:19" s="139" customFormat="1">
      <c r="D31" s="179">
        <v>2</v>
      </c>
      <c r="E31" s="186" t="s">
        <v>88</v>
      </c>
      <c r="F31" s="180" t="s">
        <v>1666</v>
      </c>
      <c r="G31" s="180" t="s">
        <v>1665</v>
      </c>
      <c r="H31" s="182">
        <v>45288</v>
      </c>
      <c r="I31" s="180" t="s">
        <v>88</v>
      </c>
      <c r="J31" s="180" t="s">
        <v>88</v>
      </c>
      <c r="K31" s="180">
        <v>0.56999999999999995</v>
      </c>
      <c r="L31" s="180" t="s">
        <v>1694</v>
      </c>
      <c r="M31" s="180" t="s">
        <v>88</v>
      </c>
      <c r="N31" s="180" t="s">
        <v>88</v>
      </c>
      <c r="O31" s="179"/>
      <c r="P31" s="180" t="s">
        <v>6</v>
      </c>
      <c r="Q31" s="180" t="s">
        <v>6</v>
      </c>
      <c r="R31" s="180" t="s">
        <v>1675</v>
      </c>
      <c r="S31" s="180" t="s">
        <v>1663</v>
      </c>
    </row>
    <row r="32" spans="4:19" s="139" customFormat="1">
      <c r="D32" s="179">
        <v>1</v>
      </c>
      <c r="E32" s="186" t="s">
        <v>88</v>
      </c>
      <c r="F32" s="180" t="s">
        <v>1656</v>
      </c>
      <c r="G32" s="180" t="s">
        <v>1655</v>
      </c>
      <c r="H32" s="182">
        <v>45288</v>
      </c>
      <c r="I32" s="180" t="s">
        <v>88</v>
      </c>
      <c r="J32" s="180" t="s">
        <v>88</v>
      </c>
      <c r="K32" s="180">
        <v>3</v>
      </c>
      <c r="L32" s="180" t="s">
        <v>88</v>
      </c>
      <c r="M32" s="180" t="s">
        <v>88</v>
      </c>
      <c r="N32" s="180" t="s">
        <v>88</v>
      </c>
      <c r="O32" s="179"/>
      <c r="P32" s="180" t="s">
        <v>6</v>
      </c>
      <c r="Q32" s="180" t="s">
        <v>6</v>
      </c>
      <c r="R32" s="180" t="s">
        <v>1662</v>
      </c>
      <c r="S32" s="180" t="s">
        <v>1653</v>
      </c>
    </row>
    <row r="33" spans="4:19" s="139" customFormat="1">
      <c r="D33" s="1"/>
      <c r="E33" s="1"/>
      <c r="F33" s="1"/>
      <c r="G33" s="1"/>
      <c r="H33" s="1"/>
      <c r="I33" s="1"/>
      <c r="J33" s="1"/>
      <c r="K33" s="1"/>
      <c r="L33" s="1"/>
      <c r="M33" s="1"/>
      <c r="N33" s="1"/>
      <c r="O33" s="1"/>
      <c r="P33" s="1"/>
      <c r="Q33" s="1"/>
      <c r="R33" s="1"/>
      <c r="S33" s="1"/>
    </row>
    <row r="34" spans="4:19" s="139" customFormat="1">
      <c r="D34" s="1"/>
      <c r="E34" s="1"/>
      <c r="F34" s="1"/>
      <c r="G34" s="1"/>
      <c r="H34" s="1"/>
      <c r="I34" s="1"/>
      <c r="J34" s="1"/>
      <c r="K34" s="1"/>
      <c r="L34" s="1"/>
      <c r="M34" s="1"/>
      <c r="N34" s="1"/>
      <c r="O34" s="1"/>
      <c r="P34" s="1"/>
      <c r="Q34" s="1"/>
      <c r="R34" s="1"/>
      <c r="S34" s="1"/>
    </row>
    <row r="35" spans="4:19" s="139" customFormat="1">
      <c r="D35" s="1"/>
      <c r="E35" s="1"/>
      <c r="F35" s="1"/>
      <c r="G35" s="1"/>
      <c r="H35" s="1"/>
      <c r="I35" s="1"/>
      <c r="J35" s="1"/>
      <c r="K35" s="1"/>
      <c r="L35" s="1"/>
      <c r="M35" s="1"/>
      <c r="N35" s="1"/>
      <c r="O35" s="1"/>
      <c r="P35" s="1"/>
      <c r="Q35" s="1"/>
      <c r="R35" s="1"/>
      <c r="S35" s="1"/>
    </row>
    <row r="36" spans="4:19" s="139" customFormat="1">
      <c r="D36" s="1"/>
      <c r="E36" s="1"/>
      <c r="F36" s="1"/>
      <c r="G36" s="1"/>
      <c r="H36" s="1"/>
      <c r="I36" s="1"/>
      <c r="J36" s="1"/>
      <c r="K36" s="1"/>
      <c r="L36" s="1"/>
      <c r="M36" s="1"/>
      <c r="N36" s="1"/>
      <c r="O36" s="1"/>
      <c r="P36" s="1"/>
      <c r="Q36" s="1"/>
      <c r="R36" s="1"/>
      <c r="S36" s="1"/>
    </row>
    <row r="37" spans="4:19">
      <c r="D37" s="140" t="s">
        <v>82</v>
      </c>
      <c r="E37" s="140" t="s">
        <v>261</v>
      </c>
      <c r="F37" s="140" t="s">
        <v>44</v>
      </c>
      <c r="G37" s="140" t="s">
        <v>45</v>
      </c>
      <c r="H37" s="140" t="s">
        <v>46</v>
      </c>
      <c r="I37" s="140" t="s">
        <v>120</v>
      </c>
      <c r="J37" s="140" t="s">
        <v>716</v>
      </c>
      <c r="K37" s="140" t="s">
        <v>54</v>
      </c>
      <c r="L37" s="140" t="s">
        <v>84</v>
      </c>
      <c r="M37" s="140" t="s">
        <v>50</v>
      </c>
      <c r="N37" s="140" t="s">
        <v>130</v>
      </c>
      <c r="O37" s="140" t="s">
        <v>132</v>
      </c>
      <c r="P37" s="140" t="s">
        <v>148</v>
      </c>
      <c r="Q37" s="140" t="s">
        <v>149</v>
      </c>
      <c r="R37" s="140" t="s">
        <v>119</v>
      </c>
      <c r="S37" s="140" t="s">
        <v>90</v>
      </c>
    </row>
    <row r="38" spans="4:19">
      <c r="D38" s="140">
        <v>26</v>
      </c>
      <c r="E38" s="140" t="s">
        <v>88</v>
      </c>
      <c r="F38" s="140" t="s">
        <v>1500</v>
      </c>
      <c r="G38" s="140" t="s">
        <v>1499</v>
      </c>
      <c r="H38" s="140">
        <v>45310</v>
      </c>
      <c r="I38" s="140" t="s">
        <v>88</v>
      </c>
      <c r="J38" s="140" t="s">
        <v>88</v>
      </c>
      <c r="K38" s="140">
        <v>5.27</v>
      </c>
      <c r="L38" s="140" t="s">
        <v>88</v>
      </c>
      <c r="M38" s="140" t="s">
        <v>88</v>
      </c>
      <c r="N38" s="140" t="s">
        <v>88</v>
      </c>
      <c r="O38" s="140"/>
      <c r="P38" s="140" t="s">
        <v>6</v>
      </c>
      <c r="Q38" s="140" t="s">
        <v>6</v>
      </c>
      <c r="R38" s="140" t="s">
        <v>1510</v>
      </c>
      <c r="S38" s="140" t="s">
        <v>1497</v>
      </c>
    </row>
    <row r="39" spans="4:19">
      <c r="D39" s="140">
        <v>25</v>
      </c>
      <c r="E39" s="140" t="s">
        <v>88</v>
      </c>
      <c r="F39" s="140" t="s">
        <v>1514</v>
      </c>
      <c r="G39" s="140" t="s">
        <v>1513</v>
      </c>
      <c r="H39" s="140">
        <v>45310</v>
      </c>
      <c r="I39" s="140" t="s">
        <v>88</v>
      </c>
      <c r="J39" s="140" t="s">
        <v>88</v>
      </c>
      <c r="K39" s="140">
        <v>10.5</v>
      </c>
      <c r="L39" s="140" t="s">
        <v>1687</v>
      </c>
      <c r="M39" s="140" t="s">
        <v>1517</v>
      </c>
      <c r="N39" s="140" t="s">
        <v>1517</v>
      </c>
      <c r="O39" s="140">
        <v>15</v>
      </c>
      <c r="P39" s="140" t="s">
        <v>6</v>
      </c>
      <c r="Q39" s="140" t="s">
        <v>6</v>
      </c>
      <c r="R39" s="140" t="s">
        <v>1527</v>
      </c>
      <c r="S39" s="140" t="s">
        <v>1511</v>
      </c>
    </row>
    <row r="40" spans="4:19">
      <c r="D40" s="140">
        <v>24</v>
      </c>
      <c r="E40" s="140" t="s">
        <v>88</v>
      </c>
      <c r="F40" s="140" t="s">
        <v>1123</v>
      </c>
      <c r="G40" s="140" t="s">
        <v>1092</v>
      </c>
      <c r="H40" s="140">
        <v>45309</v>
      </c>
      <c r="I40" s="140" t="s">
        <v>88</v>
      </c>
      <c r="J40" s="140" t="s">
        <v>88</v>
      </c>
      <c r="K40" s="140">
        <v>72</v>
      </c>
      <c r="L40" s="140" t="s">
        <v>1140</v>
      </c>
      <c r="M40" s="140" t="s">
        <v>1124</v>
      </c>
      <c r="N40" s="140" t="s">
        <v>1124</v>
      </c>
      <c r="O40" s="140">
        <v>12</v>
      </c>
      <c r="P40" s="140" t="s">
        <v>6</v>
      </c>
      <c r="Q40" s="140" t="s">
        <v>6</v>
      </c>
      <c r="R40" s="140" t="s">
        <v>1094</v>
      </c>
      <c r="S40" s="140" t="s">
        <v>1093</v>
      </c>
    </row>
    <row r="41" spans="4:19">
      <c r="D41" s="140">
        <v>23</v>
      </c>
      <c r="E41" s="140" t="s">
        <v>88</v>
      </c>
      <c r="F41" s="140" t="s">
        <v>1153</v>
      </c>
      <c r="G41" s="140" t="s">
        <v>1152</v>
      </c>
      <c r="H41" s="140">
        <v>45309</v>
      </c>
      <c r="I41" s="140" t="s">
        <v>88</v>
      </c>
      <c r="J41" s="140" t="s">
        <v>88</v>
      </c>
      <c r="K41" s="140">
        <v>1.075</v>
      </c>
      <c r="L41" s="140" t="s">
        <v>88</v>
      </c>
      <c r="M41" s="140" t="s">
        <v>1160</v>
      </c>
      <c r="N41" s="140" t="s">
        <v>88</v>
      </c>
      <c r="O41" s="140"/>
      <c r="P41" s="140" t="s">
        <v>6</v>
      </c>
      <c r="Q41" s="140" t="s">
        <v>6</v>
      </c>
      <c r="R41" s="140" t="s">
        <v>1154</v>
      </c>
      <c r="S41" s="140" t="s">
        <v>1153</v>
      </c>
    </row>
    <row r="42" spans="4:19">
      <c r="D42" s="140">
        <v>22</v>
      </c>
      <c r="E42" s="140" t="s">
        <v>88</v>
      </c>
      <c r="F42" s="140" t="s">
        <v>1121</v>
      </c>
      <c r="G42" s="140" t="s">
        <v>1095</v>
      </c>
      <c r="H42" s="140">
        <v>45309</v>
      </c>
      <c r="I42" s="140" t="s">
        <v>88</v>
      </c>
      <c r="J42" s="140" t="s">
        <v>88</v>
      </c>
      <c r="K42" s="140">
        <v>9</v>
      </c>
      <c r="L42" s="140" t="s">
        <v>1141</v>
      </c>
      <c r="M42" s="140" t="s">
        <v>1122</v>
      </c>
      <c r="N42" s="140" t="s">
        <v>1122</v>
      </c>
      <c r="O42" s="140">
        <v>45</v>
      </c>
      <c r="P42" s="140" t="s">
        <v>6</v>
      </c>
      <c r="Q42" s="140" t="s">
        <v>6</v>
      </c>
      <c r="R42" s="140" t="s">
        <v>1097</v>
      </c>
      <c r="S42" s="140" t="s">
        <v>1096</v>
      </c>
    </row>
    <row r="43" spans="4:19">
      <c r="D43" s="140">
        <v>21</v>
      </c>
      <c r="E43" s="140" t="s">
        <v>88</v>
      </c>
      <c r="F43" s="140" t="s">
        <v>1126</v>
      </c>
      <c r="G43" s="140" t="s">
        <v>1089</v>
      </c>
      <c r="H43" s="140">
        <v>45309</v>
      </c>
      <c r="I43" s="140" t="s">
        <v>88</v>
      </c>
      <c r="J43" s="140" t="s">
        <v>88</v>
      </c>
      <c r="K43" s="140">
        <v>10</v>
      </c>
      <c r="L43" s="140" t="s">
        <v>1142</v>
      </c>
      <c r="M43" s="140" t="s">
        <v>1135</v>
      </c>
      <c r="N43" s="140" t="s">
        <v>1135</v>
      </c>
      <c r="O43" s="140">
        <v>40</v>
      </c>
      <c r="P43" s="140" t="s">
        <v>128</v>
      </c>
      <c r="Q43" s="140" t="s">
        <v>6</v>
      </c>
      <c r="R43" s="140" t="s">
        <v>1091</v>
      </c>
      <c r="S43" s="140" t="s">
        <v>601</v>
      </c>
    </row>
    <row r="44" spans="4:19">
      <c r="D44" s="140">
        <v>20</v>
      </c>
      <c r="E44" s="140" t="s">
        <v>88</v>
      </c>
      <c r="F44" s="140" t="s">
        <v>1127</v>
      </c>
      <c r="G44" s="140" t="s">
        <v>1098</v>
      </c>
      <c r="H44" s="140">
        <v>45309</v>
      </c>
      <c r="I44" s="140" t="s">
        <v>88</v>
      </c>
      <c r="J44" s="140" t="s">
        <v>88</v>
      </c>
      <c r="K44" s="140">
        <v>147</v>
      </c>
      <c r="L44" s="140" t="s">
        <v>88</v>
      </c>
      <c r="M44" s="140" t="s">
        <v>88</v>
      </c>
      <c r="N44" s="140" t="s">
        <v>88</v>
      </c>
      <c r="O44" s="140"/>
      <c r="P44" s="140" t="s">
        <v>128</v>
      </c>
      <c r="Q44" s="140" t="s">
        <v>6</v>
      </c>
      <c r="R44" s="140" t="s">
        <v>1101</v>
      </c>
      <c r="S44" s="140" t="s">
        <v>1099</v>
      </c>
    </row>
    <row r="45" spans="4:19">
      <c r="D45" s="140">
        <v>19</v>
      </c>
      <c r="E45" s="140" t="s">
        <v>88</v>
      </c>
      <c r="F45" s="140" t="s">
        <v>1128</v>
      </c>
      <c r="G45" s="140" t="s">
        <v>1109</v>
      </c>
      <c r="H45" s="140">
        <v>45308</v>
      </c>
      <c r="I45" s="140" t="s">
        <v>88</v>
      </c>
      <c r="J45" s="140" t="s">
        <v>88</v>
      </c>
      <c r="K45" s="140">
        <v>20</v>
      </c>
      <c r="L45" s="140" t="s">
        <v>1143</v>
      </c>
      <c r="M45" s="140" t="s">
        <v>1138</v>
      </c>
      <c r="N45" s="140" t="s">
        <v>1138</v>
      </c>
      <c r="O45" s="140">
        <v>14</v>
      </c>
      <c r="P45" s="140" t="s">
        <v>6</v>
      </c>
      <c r="Q45" s="140" t="s">
        <v>6</v>
      </c>
      <c r="R45" s="140" t="s">
        <v>1111</v>
      </c>
      <c r="S45" s="140" t="s">
        <v>1110</v>
      </c>
    </row>
    <row r="46" spans="4:19">
      <c r="D46" s="140">
        <v>18</v>
      </c>
      <c r="E46" s="140" t="s">
        <v>88</v>
      </c>
      <c r="F46" s="140" t="s">
        <v>1132</v>
      </c>
      <c r="G46" s="140" t="s">
        <v>1115</v>
      </c>
      <c r="H46" s="140">
        <v>45308</v>
      </c>
      <c r="I46" s="140" t="s">
        <v>88</v>
      </c>
      <c r="J46" s="140" t="s">
        <v>88</v>
      </c>
      <c r="K46" s="140">
        <v>7.5</v>
      </c>
      <c r="L46" s="140" t="s">
        <v>1144</v>
      </c>
      <c r="M46" s="140" t="s">
        <v>1131</v>
      </c>
      <c r="N46" s="140" t="s">
        <v>1131</v>
      </c>
      <c r="O46" s="140">
        <v>42</v>
      </c>
      <c r="P46" s="140" t="s">
        <v>6</v>
      </c>
      <c r="Q46" s="140" t="s">
        <v>6</v>
      </c>
      <c r="R46" s="140" t="s">
        <v>1117</v>
      </c>
      <c r="S46" s="140" t="s">
        <v>1116</v>
      </c>
    </row>
    <row r="47" spans="4:19">
      <c r="D47" s="140">
        <v>17</v>
      </c>
      <c r="E47" s="140" t="s">
        <v>88</v>
      </c>
      <c r="F47" s="140" t="s">
        <v>1133</v>
      </c>
      <c r="G47" s="140" t="s">
        <v>1106</v>
      </c>
      <c r="H47" s="140">
        <v>45308</v>
      </c>
      <c r="I47" s="140" t="s">
        <v>88</v>
      </c>
      <c r="J47" s="140" t="s">
        <v>88</v>
      </c>
      <c r="K47" s="140">
        <v>6</v>
      </c>
      <c r="L47" s="140" t="s">
        <v>88</v>
      </c>
      <c r="M47" s="140" t="s">
        <v>88</v>
      </c>
      <c r="N47" s="140" t="s">
        <v>88</v>
      </c>
      <c r="O47" s="140"/>
      <c r="P47" s="140" t="s">
        <v>127</v>
      </c>
      <c r="Q47" s="140" t="s">
        <v>6</v>
      </c>
      <c r="R47" s="140" t="s">
        <v>1108</v>
      </c>
      <c r="S47" s="140" t="s">
        <v>535</v>
      </c>
    </row>
    <row r="48" spans="4:19">
      <c r="D48" s="140">
        <v>16</v>
      </c>
      <c r="E48" s="140" t="s">
        <v>88</v>
      </c>
      <c r="F48" s="140" t="s">
        <v>1130</v>
      </c>
      <c r="G48" s="140" t="s">
        <v>1112</v>
      </c>
      <c r="H48" s="140">
        <v>45308</v>
      </c>
      <c r="I48" s="140" t="s">
        <v>88</v>
      </c>
      <c r="J48" s="140" t="s">
        <v>88</v>
      </c>
      <c r="K48" s="140">
        <v>1.9790000000000001</v>
      </c>
      <c r="L48" s="140" t="s">
        <v>88</v>
      </c>
      <c r="M48" s="140" t="s">
        <v>1131</v>
      </c>
      <c r="N48" s="140" t="s">
        <v>88</v>
      </c>
      <c r="O48" s="140"/>
      <c r="P48" s="140" t="s">
        <v>6</v>
      </c>
      <c r="Q48" s="140" t="s">
        <v>6</v>
      </c>
      <c r="R48" s="140" t="s">
        <v>1114</v>
      </c>
      <c r="S48" s="140" t="s">
        <v>1113</v>
      </c>
    </row>
    <row r="49" spans="4:19">
      <c r="D49" s="140">
        <v>15</v>
      </c>
      <c r="E49" s="140" t="s">
        <v>88</v>
      </c>
      <c r="F49" s="140" t="s">
        <v>1134</v>
      </c>
      <c r="G49" s="140" t="s">
        <v>1118</v>
      </c>
      <c r="H49" s="140">
        <v>45306</v>
      </c>
      <c r="I49" s="140" t="s">
        <v>88</v>
      </c>
      <c r="J49" s="140" t="s">
        <v>88</v>
      </c>
      <c r="K49" s="140">
        <v>2</v>
      </c>
      <c r="L49" s="140" t="s">
        <v>88</v>
      </c>
      <c r="M49" s="140" t="s">
        <v>88</v>
      </c>
      <c r="N49" s="140" t="s">
        <v>88</v>
      </c>
      <c r="O49" s="140"/>
      <c r="P49" s="140" t="s">
        <v>6</v>
      </c>
      <c r="Q49" s="140" t="s">
        <v>6</v>
      </c>
      <c r="R49" s="140" t="s">
        <v>1120</v>
      </c>
      <c r="S49" s="140" t="s">
        <v>1119</v>
      </c>
    </row>
    <row r="50" spans="4:19">
      <c r="D50" s="140">
        <v>14</v>
      </c>
      <c r="E50" s="140" t="s">
        <v>88</v>
      </c>
      <c r="F50" s="140" t="s">
        <v>1262</v>
      </c>
      <c r="G50" s="140" t="s">
        <v>793</v>
      </c>
      <c r="H50" s="140">
        <v>45303</v>
      </c>
      <c r="I50" s="140" t="s">
        <v>88</v>
      </c>
      <c r="J50" s="140" t="s">
        <v>88</v>
      </c>
      <c r="K50" s="140">
        <v>4.5999999999999996</v>
      </c>
      <c r="L50" s="140" t="s">
        <v>1698</v>
      </c>
      <c r="M50" s="140" t="s">
        <v>1265</v>
      </c>
      <c r="N50" s="140" t="s">
        <v>1265</v>
      </c>
      <c r="O50" s="140">
        <v>10</v>
      </c>
      <c r="P50" s="140" t="s">
        <v>6</v>
      </c>
      <c r="Q50" s="140" t="s">
        <v>6</v>
      </c>
      <c r="R50" s="140" t="s">
        <v>1273</v>
      </c>
      <c r="S50" s="140" t="s">
        <v>794</v>
      </c>
    </row>
    <row r="51" spans="4:19">
      <c r="D51" s="140">
        <v>13</v>
      </c>
      <c r="E51" s="140" t="s">
        <v>88</v>
      </c>
      <c r="F51" s="140" t="s">
        <v>1455</v>
      </c>
      <c r="G51" s="140" t="s">
        <v>1454</v>
      </c>
      <c r="H51" s="140">
        <v>45303</v>
      </c>
      <c r="I51" s="140" t="s">
        <v>194</v>
      </c>
      <c r="J51" s="140" t="s">
        <v>88</v>
      </c>
      <c r="K51" s="140">
        <v>7</v>
      </c>
      <c r="L51" s="140" t="s">
        <v>88</v>
      </c>
      <c r="M51" s="140" t="s">
        <v>1459</v>
      </c>
      <c r="N51" s="140" t="s">
        <v>88</v>
      </c>
      <c r="O51" s="140"/>
      <c r="P51" s="140" t="s">
        <v>6</v>
      </c>
      <c r="Q51" s="140" t="s">
        <v>6</v>
      </c>
      <c r="R51" s="140" t="s">
        <v>1467</v>
      </c>
      <c r="S51" s="140" t="s">
        <v>319</v>
      </c>
    </row>
    <row r="52" spans="4:19">
      <c r="D52" s="140">
        <v>12</v>
      </c>
      <c r="E52" s="140" t="s">
        <v>88</v>
      </c>
      <c r="F52" s="140" t="s">
        <v>1249</v>
      </c>
      <c r="G52" s="140" t="s">
        <v>1248</v>
      </c>
      <c r="H52" s="140">
        <v>45303</v>
      </c>
      <c r="I52" s="140" t="s">
        <v>88</v>
      </c>
      <c r="J52" s="140" t="s">
        <v>88</v>
      </c>
      <c r="K52" s="140">
        <v>12.6</v>
      </c>
      <c r="L52" s="140" t="s">
        <v>1700</v>
      </c>
      <c r="M52" s="140" t="s">
        <v>796</v>
      </c>
      <c r="N52" s="140" t="s">
        <v>796</v>
      </c>
      <c r="O52" s="140">
        <v>0</v>
      </c>
      <c r="P52" s="140" t="s">
        <v>6</v>
      </c>
      <c r="Q52" s="140" t="s">
        <v>6</v>
      </c>
      <c r="R52" s="140" t="s">
        <v>1259</v>
      </c>
      <c r="S52" s="140" t="s">
        <v>1246</v>
      </c>
    </row>
    <row r="53" spans="4:19">
      <c r="D53" s="140">
        <v>11</v>
      </c>
      <c r="E53" s="140" t="s">
        <v>88</v>
      </c>
      <c r="F53" s="140" t="s">
        <v>1277</v>
      </c>
      <c r="G53" s="140" t="s">
        <v>1276</v>
      </c>
      <c r="H53" s="140">
        <v>45303</v>
      </c>
      <c r="I53" s="140" t="s">
        <v>88</v>
      </c>
      <c r="J53" s="140" t="s">
        <v>88</v>
      </c>
      <c r="K53" s="140">
        <v>6.7</v>
      </c>
      <c r="L53" s="140" t="s">
        <v>88</v>
      </c>
      <c r="M53" s="140" t="s">
        <v>1279</v>
      </c>
      <c r="N53" s="140" t="s">
        <v>88</v>
      </c>
      <c r="O53" s="140"/>
      <c r="P53" s="140" t="s">
        <v>6</v>
      </c>
      <c r="Q53" s="140" t="s">
        <v>6</v>
      </c>
      <c r="R53" s="140" t="s">
        <v>1285</v>
      </c>
      <c r="S53" s="140" t="s">
        <v>1274</v>
      </c>
    </row>
    <row r="54" spans="4:19">
      <c r="D54" s="140">
        <v>10</v>
      </c>
      <c r="E54" s="140" t="s">
        <v>88</v>
      </c>
      <c r="F54" s="140" t="s">
        <v>1606</v>
      </c>
      <c r="G54" s="140" t="s">
        <v>1605</v>
      </c>
      <c r="H54" s="140">
        <v>45289</v>
      </c>
      <c r="I54" s="140" t="s">
        <v>88</v>
      </c>
      <c r="J54" s="140" t="s">
        <v>88</v>
      </c>
      <c r="K54" s="140">
        <v>3.43</v>
      </c>
      <c r="L54" s="140" t="s">
        <v>88</v>
      </c>
      <c r="M54" s="140" t="s">
        <v>88</v>
      </c>
      <c r="N54" s="140" t="s">
        <v>88</v>
      </c>
      <c r="O54" s="140"/>
      <c r="P54" s="140" t="s">
        <v>6</v>
      </c>
      <c r="Q54" s="140" t="s">
        <v>6</v>
      </c>
      <c r="R54" s="140" t="s">
        <v>1615</v>
      </c>
      <c r="S54" s="140" t="s">
        <v>1603</v>
      </c>
    </row>
    <row r="55" spans="4:19">
      <c r="D55" s="140">
        <v>9</v>
      </c>
      <c r="E55" s="140" t="s">
        <v>88</v>
      </c>
      <c r="F55" s="140" t="s">
        <v>1634</v>
      </c>
      <c r="G55" s="140" t="s">
        <v>1633</v>
      </c>
      <c r="H55" s="140">
        <v>45289</v>
      </c>
      <c r="I55" s="140" t="s">
        <v>88</v>
      </c>
      <c r="J55" s="140" t="s">
        <v>88</v>
      </c>
      <c r="K55" s="140">
        <v>0.12</v>
      </c>
      <c r="L55" s="140" t="s">
        <v>88</v>
      </c>
      <c r="M55" s="140" t="s">
        <v>88</v>
      </c>
      <c r="N55" s="140" t="s">
        <v>88</v>
      </c>
      <c r="O55" s="140"/>
      <c r="P55" s="140" t="s">
        <v>6</v>
      </c>
      <c r="Q55" s="140" t="s">
        <v>6</v>
      </c>
      <c r="R55" s="140" t="s">
        <v>1637</v>
      </c>
      <c r="S55" s="140" t="s">
        <v>1603</v>
      </c>
    </row>
    <row r="56" spans="4:19">
      <c r="D56" s="140">
        <v>8</v>
      </c>
      <c r="E56" s="140" t="s">
        <v>88</v>
      </c>
      <c r="F56" s="140" t="s">
        <v>1619</v>
      </c>
      <c r="G56" s="140" t="s">
        <v>1628</v>
      </c>
      <c r="H56" s="140">
        <v>45289</v>
      </c>
      <c r="I56" s="140" t="s">
        <v>88</v>
      </c>
      <c r="J56" s="140" t="s">
        <v>88</v>
      </c>
      <c r="K56" s="140">
        <v>0.40500000000000003</v>
      </c>
      <c r="L56" s="140" t="s">
        <v>88</v>
      </c>
      <c r="M56" s="140" t="s">
        <v>88</v>
      </c>
      <c r="N56" s="140" t="s">
        <v>88</v>
      </c>
      <c r="O56" s="140"/>
      <c r="P56" s="140" t="s">
        <v>6</v>
      </c>
      <c r="Q56" s="140" t="s">
        <v>6</v>
      </c>
      <c r="R56" s="140" t="s">
        <v>1629</v>
      </c>
      <c r="S56" s="140" t="s">
        <v>1616</v>
      </c>
    </row>
    <row r="57" spans="4:19">
      <c r="D57" s="140">
        <v>7</v>
      </c>
      <c r="E57" s="140" t="s">
        <v>88</v>
      </c>
      <c r="F57" s="140" t="s">
        <v>1619</v>
      </c>
      <c r="G57" s="140" t="s">
        <v>1630</v>
      </c>
      <c r="H57" s="140">
        <v>45289</v>
      </c>
      <c r="I57" s="140" t="s">
        <v>88</v>
      </c>
      <c r="J57" s="140" t="s">
        <v>88</v>
      </c>
      <c r="K57" s="140">
        <v>1.145</v>
      </c>
      <c r="L57" s="140" t="s">
        <v>88</v>
      </c>
      <c r="M57" s="140" t="s">
        <v>88</v>
      </c>
      <c r="N57" s="140" t="s">
        <v>88</v>
      </c>
      <c r="O57" s="140"/>
      <c r="P57" s="140" t="s">
        <v>6</v>
      </c>
      <c r="Q57" s="140" t="s">
        <v>6</v>
      </c>
      <c r="R57" s="140" t="s">
        <v>1631</v>
      </c>
      <c r="S57" s="140" t="s">
        <v>1616</v>
      </c>
    </row>
    <row r="58" spans="4:19">
      <c r="D58" s="140">
        <v>6</v>
      </c>
      <c r="E58" s="140" t="s">
        <v>88</v>
      </c>
      <c r="F58" s="140" t="s">
        <v>1619</v>
      </c>
      <c r="G58" s="140" t="s">
        <v>1618</v>
      </c>
      <c r="H58" s="140">
        <v>45289</v>
      </c>
      <c r="I58" s="140" t="s">
        <v>88</v>
      </c>
      <c r="J58" s="140" t="s">
        <v>88</v>
      </c>
      <c r="K58" s="140">
        <v>5.2999999999999999E-2</v>
      </c>
      <c r="L58" s="140" t="s">
        <v>88</v>
      </c>
      <c r="M58" s="140" t="s">
        <v>88</v>
      </c>
      <c r="N58" s="140" t="s">
        <v>88</v>
      </c>
      <c r="O58" s="140"/>
      <c r="P58" s="140" t="s">
        <v>6</v>
      </c>
      <c r="Q58" s="140" t="s">
        <v>6</v>
      </c>
      <c r="R58" s="140" t="s">
        <v>1627</v>
      </c>
      <c r="S58" s="140" t="s">
        <v>1616</v>
      </c>
    </row>
    <row r="59" spans="4:19">
      <c r="D59" s="140">
        <v>5</v>
      </c>
      <c r="E59" s="140" t="s">
        <v>88</v>
      </c>
      <c r="F59" s="140" t="s">
        <v>1574</v>
      </c>
      <c r="G59" s="140" t="s">
        <v>1573</v>
      </c>
      <c r="H59" s="140">
        <v>45289</v>
      </c>
      <c r="I59" s="140" t="s">
        <v>88</v>
      </c>
      <c r="J59" s="140" t="s">
        <v>88</v>
      </c>
      <c r="K59" s="140">
        <v>6.1</v>
      </c>
      <c r="L59" s="140" t="s">
        <v>88</v>
      </c>
      <c r="M59" s="140" t="s">
        <v>1576</v>
      </c>
      <c r="N59" s="140" t="s">
        <v>88</v>
      </c>
      <c r="O59" s="140"/>
      <c r="P59" s="140" t="s">
        <v>6</v>
      </c>
      <c r="Q59" s="140" t="s">
        <v>6</v>
      </c>
      <c r="R59" s="140" t="s">
        <v>1584</v>
      </c>
      <c r="S59" s="140" t="s">
        <v>1571</v>
      </c>
    </row>
    <row r="60" spans="4:19">
      <c r="D60" s="140">
        <v>4</v>
      </c>
      <c r="E60" s="140" t="s">
        <v>88</v>
      </c>
      <c r="F60" s="140" t="s">
        <v>1560</v>
      </c>
      <c r="G60" s="140" t="s">
        <v>1559</v>
      </c>
      <c r="H60" s="140">
        <v>45289</v>
      </c>
      <c r="I60" s="140" t="s">
        <v>88</v>
      </c>
      <c r="J60" s="140" t="s">
        <v>88</v>
      </c>
      <c r="K60" s="140">
        <v>1.5</v>
      </c>
      <c r="L60" s="140" t="s">
        <v>88</v>
      </c>
      <c r="M60" s="140" t="s">
        <v>88</v>
      </c>
      <c r="N60" s="140" t="s">
        <v>88</v>
      </c>
      <c r="O60" s="140"/>
      <c r="P60" s="140" t="s">
        <v>6</v>
      </c>
      <c r="Q60" s="140" t="s">
        <v>6</v>
      </c>
      <c r="R60" s="140" t="s">
        <v>1570</v>
      </c>
      <c r="S60" s="140" t="s">
        <v>1557</v>
      </c>
    </row>
    <row r="61" spans="4:19">
      <c r="D61" s="140">
        <v>3</v>
      </c>
      <c r="E61" s="140" t="s">
        <v>88</v>
      </c>
      <c r="F61" s="140" t="s">
        <v>1588</v>
      </c>
      <c r="G61" s="140" t="s">
        <v>1587</v>
      </c>
      <c r="H61" s="140">
        <v>45289</v>
      </c>
      <c r="I61" s="140" t="s">
        <v>88</v>
      </c>
      <c r="J61" s="140" t="s">
        <v>88</v>
      </c>
      <c r="K61" s="140">
        <v>0.53500000000000003</v>
      </c>
      <c r="L61" s="140" t="s">
        <v>1690</v>
      </c>
      <c r="M61" s="140" t="s">
        <v>1591</v>
      </c>
      <c r="N61" s="140" t="s">
        <v>1591</v>
      </c>
      <c r="O61" s="140">
        <v>30</v>
      </c>
      <c r="P61" s="140" t="s">
        <v>6</v>
      </c>
      <c r="Q61" s="140" t="s">
        <v>6</v>
      </c>
      <c r="R61" s="140" t="s">
        <v>1602</v>
      </c>
      <c r="S61" s="140" t="s">
        <v>1585</v>
      </c>
    </row>
    <row r="62" spans="4:19">
      <c r="D62" s="140">
        <v>2</v>
      </c>
      <c r="E62" s="140" t="s">
        <v>88</v>
      </c>
      <c r="F62" s="140" t="s">
        <v>1666</v>
      </c>
      <c r="G62" s="140" t="s">
        <v>1665</v>
      </c>
      <c r="H62" s="140">
        <v>45288</v>
      </c>
      <c r="I62" s="140" t="s">
        <v>88</v>
      </c>
      <c r="J62" s="140" t="s">
        <v>88</v>
      </c>
      <c r="K62" s="140">
        <v>0.56999999999999995</v>
      </c>
      <c r="L62" s="140" t="s">
        <v>1694</v>
      </c>
      <c r="M62" s="140" t="s">
        <v>88</v>
      </c>
      <c r="N62" s="140" t="s">
        <v>88</v>
      </c>
      <c r="O62" s="140"/>
      <c r="P62" s="140" t="s">
        <v>6</v>
      </c>
      <c r="Q62" s="140" t="s">
        <v>6</v>
      </c>
      <c r="R62" s="140" t="s">
        <v>1675</v>
      </c>
      <c r="S62" s="140" t="s">
        <v>1663</v>
      </c>
    </row>
    <row r="63" spans="4:19">
      <c r="D63" s="140">
        <v>1</v>
      </c>
      <c r="E63" s="140" t="s">
        <v>88</v>
      </c>
      <c r="F63" s="140" t="s">
        <v>1656</v>
      </c>
      <c r="G63" s="140" t="s">
        <v>1655</v>
      </c>
      <c r="H63" s="140">
        <v>45288</v>
      </c>
      <c r="I63" s="140" t="s">
        <v>88</v>
      </c>
      <c r="J63" s="140" t="s">
        <v>88</v>
      </c>
      <c r="K63" s="140">
        <v>3</v>
      </c>
      <c r="L63" s="140" t="s">
        <v>88</v>
      </c>
      <c r="M63" s="140" t="s">
        <v>88</v>
      </c>
      <c r="N63" s="140" t="s">
        <v>88</v>
      </c>
      <c r="O63" s="140"/>
      <c r="P63" s="140" t="s">
        <v>6</v>
      </c>
      <c r="Q63" s="140" t="s">
        <v>6</v>
      </c>
      <c r="R63" s="140" t="s">
        <v>1662</v>
      </c>
      <c r="S63" s="140" t="s">
        <v>1653</v>
      </c>
    </row>
  </sheetData>
  <conditionalFormatting sqref="N1:P1">
    <cfRule type="containsText" dxfId="371" priority="9" operator="containsText" text="【">
      <formula>NOT(ISERROR(SEARCH("【",N1)))</formula>
    </cfRule>
  </conditionalFormatting>
  <conditionalFormatting sqref="N1:P1">
    <cfRule type="notContainsBlanks" dxfId="370" priority="10">
      <formula>LEN(TRIM(N1))&gt;0</formula>
    </cfRule>
  </conditionalFormatting>
  <conditionalFormatting sqref="E6:E32">
    <cfRule type="containsText" dxfId="369" priority="4" operator="containsText" text="【">
      <formula>NOT(ISERROR(SEARCH("【",E6)))</formula>
    </cfRule>
  </conditionalFormatting>
  <conditionalFormatting sqref="I6:Q32">
    <cfRule type="notContainsBlanks" dxfId="368" priority="1">
      <formula>LEN(TRIM(I6))&gt;0</formula>
    </cfRule>
    <cfRule type="containsText" dxfId="367" priority="2" operator="containsText" text="【">
      <formula>NOT(ISERROR(SEARCH("【",I6)))</formula>
    </cfRule>
  </conditionalFormatting>
  <dataValidations count="6">
    <dataValidation allowBlank="1" showInputMessage="1" showErrorMessage="1" promptTitle="IPG Format" prompt="No need to write bp_x000a_Decimal follow BBG_x000a_Use &quot;a&quot; for &quot;area&quot;_x000a__x000a_3.50%a_x000a_4%a_x000a_T+120a_x000a_" sqref="N1 J1 M11:N31 L6:L32" xr:uid="{D6C1DEFC-EBF2-4E80-9AB5-1FEC6B2C3BEA}"/>
    <dataValidation allowBlank="1" showInputMessage="1" showErrorMessage="1" promptTitle="FPG Format" prompt="No need to write bp_x000a_Decimal follow BBG_x000a__x000a_3.20%_x000a_3.8%_x000a_T+100_x000a_" sqref="O1 K1 M6:M10 M32" xr:uid="{BE56D944-1B17-4BDA-A9AC-E1498E6D4ECC}"/>
    <dataValidation type="list" allowBlank="1" showInputMessage="1" showErrorMessage="1" sqref="I1 I6:I32" xr:uid="{3D3C0C2A-4ACA-4BCC-A18B-45CBF2E69DED}">
      <formula1>"增发,增发(临时ISIN),原始"</formula1>
    </dataValidation>
    <dataValidation allowBlank="1" showInputMessage="1" showErrorMessage="1" promptTitle="定价" prompt="仅适用有IPG的交易，FPG为WPIR或+/- bps时需填写" sqref="L1 P1 N6:N10 N32" xr:uid="{13BB1AAC-8EF4-4C72-A7A8-60E293480175}"/>
    <dataValidation type="list" allowBlank="1" showInputMessage="1" showErrorMessage="1" errorTitle="Clear Cell Value" error="If there is no need to hide or delete anymore" sqref="H1 E6:E32"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M1 P6:Q32" xr:uid="{E7317728-4AFE-4A11-9FA3-FA0D21296DE4}">
      <formula1>INDIRECT("港分_ROLE")</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63"/>
  <sheetViews>
    <sheetView topLeftCell="A2" workbookViewId="0">
      <selection activeCell="Q13" sqref="Q13"/>
    </sheetView>
  </sheetViews>
  <sheetFormatPr defaultRowHeight="15" outlineLevelRow="1"/>
  <cols>
    <col min="1" max="2" width="2.44140625" style="1" customWidth="1"/>
    <col min="3" max="3" width="10.33203125" style="1" bestFit="1" customWidth="1"/>
    <col min="4" max="4" width="7.109375" style="1" bestFit="1" customWidth="1"/>
    <col min="5" max="5" width="8.109375" style="1" bestFit="1" customWidth="1"/>
    <col min="6" max="6" width="10.33203125" style="1" bestFit="1" customWidth="1"/>
    <col min="7" max="7" width="13.33203125" style="1" bestFit="1" customWidth="1"/>
    <col min="8" max="8" width="33.21875" style="1" bestFit="1" customWidth="1"/>
    <col min="9" max="9" width="12" style="1" bestFit="1" customWidth="1"/>
    <col min="10" max="10" width="7.5546875" style="1" bestFit="1" customWidth="1"/>
    <col min="11" max="11" width="9.21875" style="1" bestFit="1" customWidth="1"/>
    <col min="12" max="12" width="48.33203125" style="1" bestFit="1" customWidth="1"/>
    <col min="13" max="13" width="19.44140625" style="1" customWidth="1"/>
    <col min="14" max="16384" width="8.88671875" style="1"/>
  </cols>
  <sheetData>
    <row r="1" spans="3:17" ht="27" hidden="1" customHeight="1" outlineLevel="1">
      <c r="I1" s="40" t="s">
        <v>717</v>
      </c>
      <c r="J1" s="40" t="s">
        <v>718</v>
      </c>
      <c r="K1" s="40" t="s">
        <v>719</v>
      </c>
      <c r="L1" s="40" t="s">
        <v>720</v>
      </c>
      <c r="M1" s="117"/>
      <c r="N1" s="117"/>
      <c r="O1" s="117"/>
      <c r="P1" s="118" t="s">
        <v>88</v>
      </c>
      <c r="Q1" s="118" t="s">
        <v>88</v>
      </c>
    </row>
    <row r="2" spans="3:17" ht="37.5" customHeight="1" collapsed="1">
      <c r="C2" s="5" t="s">
        <v>1192</v>
      </c>
    </row>
    <row r="3" spans="3:17" ht="60.75" customHeight="1"/>
    <row r="4" spans="3:17" ht="60.75" customHeight="1"/>
    <row r="5" spans="3:17">
      <c r="D5" s="191" t="s">
        <v>82</v>
      </c>
      <c r="E5" s="191" t="s">
        <v>771</v>
      </c>
      <c r="F5" s="191" t="s">
        <v>46</v>
      </c>
      <c r="G5" s="191" t="s">
        <v>45</v>
      </c>
      <c r="H5" s="191" t="s">
        <v>44</v>
      </c>
      <c r="I5" s="191" t="s">
        <v>717</v>
      </c>
      <c r="J5" s="191" t="s">
        <v>718</v>
      </c>
      <c r="K5" s="191" t="s">
        <v>719</v>
      </c>
      <c r="L5" s="191" t="s">
        <v>720</v>
      </c>
      <c r="M5" s="191" t="s">
        <v>119</v>
      </c>
    </row>
    <row r="6" spans="3:17">
      <c r="D6" s="191">
        <v>27</v>
      </c>
      <c r="E6" s="194" t="s">
        <v>88</v>
      </c>
      <c r="F6" s="199">
        <v>45310</v>
      </c>
      <c r="G6" s="194" t="s">
        <v>1712</v>
      </c>
      <c r="H6" s="194" t="s">
        <v>1711</v>
      </c>
      <c r="I6" s="200"/>
      <c r="J6" s="200"/>
      <c r="K6" s="201" t="s">
        <v>88</v>
      </c>
      <c r="L6" s="201" t="s">
        <v>88</v>
      </c>
      <c r="M6" s="194" t="s">
        <v>1713</v>
      </c>
    </row>
    <row r="7" spans="3:17">
      <c r="D7" s="191">
        <v>26</v>
      </c>
      <c r="E7" s="194" t="s">
        <v>88</v>
      </c>
      <c r="F7" s="199">
        <v>45310</v>
      </c>
      <c r="G7" s="194" t="s">
        <v>1499</v>
      </c>
      <c r="H7" s="194" t="s">
        <v>1500</v>
      </c>
      <c r="I7" s="200"/>
      <c r="J7" s="200"/>
      <c r="K7" s="201" t="s">
        <v>88</v>
      </c>
      <c r="L7" s="201" t="s">
        <v>88</v>
      </c>
      <c r="M7" s="194" t="s">
        <v>1510</v>
      </c>
    </row>
    <row r="8" spans="3:17">
      <c r="D8" s="191">
        <v>25</v>
      </c>
      <c r="E8" s="194" t="s">
        <v>88</v>
      </c>
      <c r="F8" s="199">
        <v>45310</v>
      </c>
      <c r="G8" s="194" t="s">
        <v>1513</v>
      </c>
      <c r="H8" s="194" t="s">
        <v>1514</v>
      </c>
      <c r="I8" s="200"/>
      <c r="J8" s="200"/>
      <c r="K8" s="201" t="s">
        <v>88</v>
      </c>
      <c r="L8" s="201" t="s">
        <v>88</v>
      </c>
      <c r="M8" s="194" t="s">
        <v>1527</v>
      </c>
    </row>
    <row r="9" spans="3:17">
      <c r="D9" s="191">
        <v>24</v>
      </c>
      <c r="E9" s="194" t="s">
        <v>88</v>
      </c>
      <c r="F9" s="199">
        <v>45309</v>
      </c>
      <c r="G9" s="194" t="s">
        <v>1092</v>
      </c>
      <c r="H9" s="194" t="s">
        <v>1123</v>
      </c>
      <c r="I9" s="200"/>
      <c r="J9" s="200"/>
      <c r="K9" s="201" t="s">
        <v>88</v>
      </c>
      <c r="L9" s="201" t="s">
        <v>88</v>
      </c>
      <c r="M9" s="194" t="s">
        <v>1094</v>
      </c>
    </row>
    <row r="10" spans="3:17">
      <c r="D10" s="191">
        <v>23</v>
      </c>
      <c r="E10" s="194" t="s">
        <v>88</v>
      </c>
      <c r="F10" s="199">
        <v>45309</v>
      </c>
      <c r="G10" s="194" t="s">
        <v>1152</v>
      </c>
      <c r="H10" s="194" t="s">
        <v>1153</v>
      </c>
      <c r="I10" s="200"/>
      <c r="J10" s="200"/>
      <c r="K10" s="201" t="s">
        <v>88</v>
      </c>
      <c r="L10" s="201" t="s">
        <v>88</v>
      </c>
      <c r="M10" s="194" t="s">
        <v>1154</v>
      </c>
    </row>
    <row r="11" spans="3:17">
      <c r="D11" s="191">
        <v>22</v>
      </c>
      <c r="E11" s="194" t="s">
        <v>88</v>
      </c>
      <c r="F11" s="199">
        <v>45309</v>
      </c>
      <c r="G11" s="194" t="s">
        <v>1095</v>
      </c>
      <c r="H11" s="194" t="s">
        <v>1121</v>
      </c>
      <c r="I11" s="200"/>
      <c r="J11" s="200"/>
      <c r="K11" s="201" t="s">
        <v>88</v>
      </c>
      <c r="L11" s="201" t="s">
        <v>88</v>
      </c>
      <c r="M11" s="194" t="s">
        <v>1097</v>
      </c>
    </row>
    <row r="12" spans="3:17">
      <c r="D12" s="191">
        <v>21</v>
      </c>
      <c r="E12" s="194" t="s">
        <v>88</v>
      </c>
      <c r="F12" s="199">
        <v>45309</v>
      </c>
      <c r="G12" s="194" t="s">
        <v>1089</v>
      </c>
      <c r="H12" s="194" t="s">
        <v>1126</v>
      </c>
      <c r="I12" s="200"/>
      <c r="J12" s="200"/>
      <c r="K12" s="201" t="s">
        <v>88</v>
      </c>
      <c r="L12" s="201" t="s">
        <v>88</v>
      </c>
      <c r="M12" s="194" t="s">
        <v>1091</v>
      </c>
    </row>
    <row r="13" spans="3:17">
      <c r="D13" s="191">
        <v>20</v>
      </c>
      <c r="E13" s="194" t="s">
        <v>88</v>
      </c>
      <c r="F13" s="199">
        <v>45309</v>
      </c>
      <c r="G13" s="194" t="s">
        <v>1098</v>
      </c>
      <c r="H13" s="194" t="s">
        <v>1127</v>
      </c>
      <c r="I13" s="200"/>
      <c r="J13" s="200"/>
      <c r="K13" s="201" t="s">
        <v>88</v>
      </c>
      <c r="L13" s="201" t="s">
        <v>88</v>
      </c>
      <c r="M13" s="194" t="s">
        <v>1101</v>
      </c>
    </row>
    <row r="14" spans="3:17">
      <c r="D14" s="191">
        <v>19</v>
      </c>
      <c r="E14" s="194" t="s">
        <v>88</v>
      </c>
      <c r="F14" s="199">
        <v>45308</v>
      </c>
      <c r="G14" s="194" t="s">
        <v>1109</v>
      </c>
      <c r="H14" s="194" t="s">
        <v>1128</v>
      </c>
      <c r="I14" s="200"/>
      <c r="J14" s="200"/>
      <c r="K14" s="201" t="s">
        <v>88</v>
      </c>
      <c r="L14" s="201" t="s">
        <v>88</v>
      </c>
      <c r="M14" s="194" t="s">
        <v>1111</v>
      </c>
    </row>
    <row r="15" spans="3:17">
      <c r="D15" s="191">
        <v>18</v>
      </c>
      <c r="E15" s="194" t="s">
        <v>88</v>
      </c>
      <c r="F15" s="199">
        <v>45308</v>
      </c>
      <c r="G15" s="194" t="s">
        <v>1115</v>
      </c>
      <c r="H15" s="194" t="s">
        <v>1132</v>
      </c>
      <c r="I15" s="200"/>
      <c r="J15" s="200"/>
      <c r="K15" s="201" t="s">
        <v>88</v>
      </c>
      <c r="L15" s="201" t="s">
        <v>88</v>
      </c>
      <c r="M15" s="194" t="s">
        <v>1117</v>
      </c>
    </row>
    <row r="16" spans="3:17">
      <c r="D16" s="191">
        <v>17</v>
      </c>
      <c r="E16" s="194" t="s">
        <v>779</v>
      </c>
      <c r="F16" s="199">
        <v>45308</v>
      </c>
      <c r="G16" s="194" t="s">
        <v>1106</v>
      </c>
      <c r="H16" s="194" t="s">
        <v>1133</v>
      </c>
      <c r="I16" s="200">
        <v>12</v>
      </c>
      <c r="J16" s="200">
        <v>53</v>
      </c>
      <c r="K16" s="201" t="s">
        <v>1310</v>
      </c>
      <c r="L16" s="201" t="s">
        <v>1312</v>
      </c>
      <c r="M16" s="194" t="s">
        <v>1108</v>
      </c>
    </row>
    <row r="17" spans="4:13">
      <c r="D17" s="191">
        <v>16</v>
      </c>
      <c r="E17" s="194" t="s">
        <v>88</v>
      </c>
      <c r="F17" s="199">
        <v>45308</v>
      </c>
      <c r="G17" s="194" t="s">
        <v>1112</v>
      </c>
      <c r="H17" s="194" t="s">
        <v>1130</v>
      </c>
      <c r="I17" s="200"/>
      <c r="J17" s="200"/>
      <c r="K17" s="201" t="s">
        <v>88</v>
      </c>
      <c r="L17" s="201" t="s">
        <v>88</v>
      </c>
      <c r="M17" s="194" t="s">
        <v>1114</v>
      </c>
    </row>
    <row r="18" spans="4:13">
      <c r="D18" s="191">
        <v>15</v>
      </c>
      <c r="E18" s="194" t="s">
        <v>88</v>
      </c>
      <c r="F18" s="199">
        <v>45306</v>
      </c>
      <c r="G18" s="194" t="s">
        <v>1118</v>
      </c>
      <c r="H18" s="194" t="s">
        <v>1134</v>
      </c>
      <c r="I18" s="200"/>
      <c r="J18" s="200"/>
      <c r="K18" s="201" t="s">
        <v>88</v>
      </c>
      <c r="L18" s="201" t="s">
        <v>88</v>
      </c>
      <c r="M18" s="194" t="s">
        <v>1120</v>
      </c>
    </row>
    <row r="19" spans="4:13">
      <c r="D19" s="191">
        <v>14</v>
      </c>
      <c r="E19" s="194" t="s">
        <v>88</v>
      </c>
      <c r="F19" s="199">
        <v>45303</v>
      </c>
      <c r="G19" s="194" t="s">
        <v>793</v>
      </c>
      <c r="H19" s="194" t="s">
        <v>1262</v>
      </c>
      <c r="I19" s="200"/>
      <c r="J19" s="200"/>
      <c r="K19" s="201" t="s">
        <v>88</v>
      </c>
      <c r="L19" s="201" t="s">
        <v>88</v>
      </c>
      <c r="M19" s="194" t="s">
        <v>1273</v>
      </c>
    </row>
    <row r="20" spans="4:13">
      <c r="D20" s="191">
        <v>13</v>
      </c>
      <c r="E20" s="194" t="s">
        <v>88</v>
      </c>
      <c r="F20" s="199">
        <v>45303</v>
      </c>
      <c r="G20" s="194" t="s">
        <v>1454</v>
      </c>
      <c r="H20" s="194" t="s">
        <v>1455</v>
      </c>
      <c r="I20" s="200"/>
      <c r="J20" s="200"/>
      <c r="K20" s="201" t="s">
        <v>88</v>
      </c>
      <c r="L20" s="201" t="s">
        <v>88</v>
      </c>
      <c r="M20" s="194" t="s">
        <v>1467</v>
      </c>
    </row>
    <row r="21" spans="4:13">
      <c r="D21" s="191">
        <v>12</v>
      </c>
      <c r="E21" s="194" t="s">
        <v>88</v>
      </c>
      <c r="F21" s="199">
        <v>45303</v>
      </c>
      <c r="G21" s="194" t="s">
        <v>1248</v>
      </c>
      <c r="H21" s="194" t="s">
        <v>1249</v>
      </c>
      <c r="I21" s="200"/>
      <c r="J21" s="200"/>
      <c r="K21" s="201" t="s">
        <v>88</v>
      </c>
      <c r="L21" s="201" t="s">
        <v>88</v>
      </c>
      <c r="M21" s="194" t="s">
        <v>1259</v>
      </c>
    </row>
    <row r="22" spans="4:13">
      <c r="D22" s="191">
        <v>11</v>
      </c>
      <c r="E22" s="194" t="s">
        <v>88</v>
      </c>
      <c r="F22" s="199">
        <v>45303</v>
      </c>
      <c r="G22" s="194" t="s">
        <v>1276</v>
      </c>
      <c r="H22" s="194" t="s">
        <v>1277</v>
      </c>
      <c r="I22" s="200"/>
      <c r="J22" s="200"/>
      <c r="K22" s="201" t="s">
        <v>88</v>
      </c>
      <c r="L22" s="201" t="s">
        <v>88</v>
      </c>
      <c r="M22" s="194" t="s">
        <v>1285</v>
      </c>
    </row>
    <row r="23" spans="4:13">
      <c r="D23" s="191">
        <v>10</v>
      </c>
      <c r="E23" s="194" t="s">
        <v>88</v>
      </c>
      <c r="F23" s="199">
        <v>45289</v>
      </c>
      <c r="G23" s="194" t="s">
        <v>1605</v>
      </c>
      <c r="H23" s="194" t="s">
        <v>1606</v>
      </c>
      <c r="I23" s="200"/>
      <c r="J23" s="200"/>
      <c r="K23" s="201" t="s">
        <v>88</v>
      </c>
      <c r="L23" s="201" t="s">
        <v>88</v>
      </c>
      <c r="M23" s="194" t="s">
        <v>1615</v>
      </c>
    </row>
    <row r="24" spans="4:13">
      <c r="D24" s="191">
        <v>9</v>
      </c>
      <c r="E24" s="194" t="s">
        <v>88</v>
      </c>
      <c r="F24" s="199">
        <v>45289</v>
      </c>
      <c r="G24" s="194" t="s">
        <v>1633</v>
      </c>
      <c r="H24" s="194" t="s">
        <v>1634</v>
      </c>
      <c r="I24" s="200"/>
      <c r="J24" s="200"/>
      <c r="K24" s="201" t="s">
        <v>88</v>
      </c>
      <c r="L24" s="201" t="s">
        <v>88</v>
      </c>
      <c r="M24" s="194" t="s">
        <v>1637</v>
      </c>
    </row>
    <row r="25" spans="4:13">
      <c r="D25" s="191">
        <v>8</v>
      </c>
      <c r="E25" s="194" t="s">
        <v>88</v>
      </c>
      <c r="F25" s="199">
        <v>45289</v>
      </c>
      <c r="G25" s="194" t="s">
        <v>1628</v>
      </c>
      <c r="H25" s="194" t="s">
        <v>1619</v>
      </c>
      <c r="I25" s="200"/>
      <c r="J25" s="200"/>
      <c r="K25" s="201" t="s">
        <v>88</v>
      </c>
      <c r="L25" s="201" t="s">
        <v>88</v>
      </c>
      <c r="M25" s="194" t="s">
        <v>1629</v>
      </c>
    </row>
    <row r="26" spans="4:13">
      <c r="D26" s="191">
        <v>7</v>
      </c>
      <c r="E26" s="194" t="s">
        <v>88</v>
      </c>
      <c r="F26" s="199">
        <v>45289</v>
      </c>
      <c r="G26" s="194" t="s">
        <v>1630</v>
      </c>
      <c r="H26" s="194" t="s">
        <v>1619</v>
      </c>
      <c r="I26" s="200"/>
      <c r="J26" s="200"/>
      <c r="K26" s="201" t="s">
        <v>88</v>
      </c>
      <c r="L26" s="201" t="s">
        <v>88</v>
      </c>
      <c r="M26" s="194" t="s">
        <v>1631</v>
      </c>
    </row>
    <row r="27" spans="4:13">
      <c r="D27" s="191">
        <v>6</v>
      </c>
      <c r="E27" s="194" t="s">
        <v>88</v>
      </c>
      <c r="F27" s="199">
        <v>45289</v>
      </c>
      <c r="G27" s="194" t="s">
        <v>1618</v>
      </c>
      <c r="H27" s="194" t="s">
        <v>1619</v>
      </c>
      <c r="I27" s="200"/>
      <c r="J27" s="200"/>
      <c r="K27" s="201" t="s">
        <v>88</v>
      </c>
      <c r="L27" s="201" t="s">
        <v>88</v>
      </c>
      <c r="M27" s="194" t="s">
        <v>1627</v>
      </c>
    </row>
    <row r="28" spans="4:13">
      <c r="D28" s="191">
        <v>5</v>
      </c>
      <c r="E28" s="194" t="s">
        <v>88</v>
      </c>
      <c r="F28" s="199">
        <v>45289</v>
      </c>
      <c r="G28" s="194" t="s">
        <v>1573</v>
      </c>
      <c r="H28" s="194" t="s">
        <v>1574</v>
      </c>
      <c r="I28" s="200"/>
      <c r="J28" s="200"/>
      <c r="K28" s="201" t="s">
        <v>88</v>
      </c>
      <c r="L28" s="201" t="s">
        <v>88</v>
      </c>
      <c r="M28" s="194" t="s">
        <v>1584</v>
      </c>
    </row>
    <row r="29" spans="4:13">
      <c r="D29" s="191">
        <v>4</v>
      </c>
      <c r="E29" s="194" t="s">
        <v>88</v>
      </c>
      <c r="F29" s="199">
        <v>45289</v>
      </c>
      <c r="G29" s="194" t="s">
        <v>1559</v>
      </c>
      <c r="H29" s="194" t="s">
        <v>1560</v>
      </c>
      <c r="I29" s="200"/>
      <c r="J29" s="200"/>
      <c r="K29" s="201" t="s">
        <v>88</v>
      </c>
      <c r="L29" s="201" t="s">
        <v>88</v>
      </c>
      <c r="M29" s="194" t="s">
        <v>1570</v>
      </c>
    </row>
    <row r="30" spans="4:13">
      <c r="D30" s="191">
        <v>3</v>
      </c>
      <c r="E30" s="194" t="s">
        <v>88</v>
      </c>
      <c r="F30" s="199">
        <v>45289</v>
      </c>
      <c r="G30" s="194" t="s">
        <v>1587</v>
      </c>
      <c r="H30" s="194" t="s">
        <v>1588</v>
      </c>
      <c r="I30" s="200"/>
      <c r="J30" s="200"/>
      <c r="K30" s="201" t="s">
        <v>88</v>
      </c>
      <c r="L30" s="201" t="s">
        <v>88</v>
      </c>
      <c r="M30" s="194" t="s">
        <v>1602</v>
      </c>
    </row>
    <row r="31" spans="4:13">
      <c r="D31" s="191">
        <v>2</v>
      </c>
      <c r="E31" s="194" t="s">
        <v>88</v>
      </c>
      <c r="F31" s="199">
        <v>45288</v>
      </c>
      <c r="G31" s="194" t="s">
        <v>1665</v>
      </c>
      <c r="H31" s="194" t="s">
        <v>1666</v>
      </c>
      <c r="I31" s="200"/>
      <c r="J31" s="200"/>
      <c r="K31" s="201" t="s">
        <v>88</v>
      </c>
      <c r="L31" s="201" t="s">
        <v>88</v>
      </c>
      <c r="M31" s="194" t="s">
        <v>1675</v>
      </c>
    </row>
    <row r="32" spans="4:13">
      <c r="D32" s="191">
        <v>1</v>
      </c>
      <c r="E32" s="194" t="s">
        <v>88</v>
      </c>
      <c r="F32" s="199">
        <v>45288</v>
      </c>
      <c r="G32" s="194" t="s">
        <v>1655</v>
      </c>
      <c r="H32" s="194" t="s">
        <v>1656</v>
      </c>
      <c r="I32" s="200"/>
      <c r="J32" s="200"/>
      <c r="K32" s="201" t="s">
        <v>88</v>
      </c>
      <c r="L32" s="201" t="s">
        <v>88</v>
      </c>
      <c r="M32" s="194" t="s">
        <v>1662</v>
      </c>
    </row>
    <row r="37" spans="4:13">
      <c r="D37" s="140" t="s">
        <v>82</v>
      </c>
      <c r="E37" s="140" t="s">
        <v>771</v>
      </c>
      <c r="F37" s="140" t="s">
        <v>46</v>
      </c>
      <c r="G37" s="140" t="s">
        <v>45</v>
      </c>
      <c r="H37" s="140" t="s">
        <v>44</v>
      </c>
      <c r="I37" s="140" t="s">
        <v>717</v>
      </c>
      <c r="J37" s="140" t="s">
        <v>718</v>
      </c>
      <c r="K37" s="140" t="s">
        <v>719</v>
      </c>
      <c r="L37" s="140" t="s">
        <v>720</v>
      </c>
      <c r="M37" s="140" t="s">
        <v>119</v>
      </c>
    </row>
    <row r="38" spans="4:13">
      <c r="D38" s="140">
        <v>26</v>
      </c>
      <c r="E38" s="140" t="s">
        <v>88</v>
      </c>
      <c r="F38" s="140">
        <v>45310</v>
      </c>
      <c r="G38" s="140" t="s">
        <v>1499</v>
      </c>
      <c r="H38" s="140" t="s">
        <v>1500</v>
      </c>
      <c r="I38" s="140"/>
      <c r="J38" s="140"/>
      <c r="K38" s="140" t="s">
        <v>88</v>
      </c>
      <c r="L38" s="140" t="s">
        <v>88</v>
      </c>
      <c r="M38" s="140" t="s">
        <v>1510</v>
      </c>
    </row>
    <row r="39" spans="4:13">
      <c r="D39" s="140">
        <v>25</v>
      </c>
      <c r="E39" s="140" t="s">
        <v>88</v>
      </c>
      <c r="F39" s="140">
        <v>45310</v>
      </c>
      <c r="G39" s="140" t="s">
        <v>1513</v>
      </c>
      <c r="H39" s="140" t="s">
        <v>1514</v>
      </c>
      <c r="I39" s="140"/>
      <c r="J39" s="140"/>
      <c r="K39" s="140" t="s">
        <v>88</v>
      </c>
      <c r="L39" s="140" t="s">
        <v>88</v>
      </c>
      <c r="M39" s="140" t="s">
        <v>1527</v>
      </c>
    </row>
    <row r="40" spans="4:13">
      <c r="D40" s="140">
        <v>24</v>
      </c>
      <c r="E40" s="140" t="s">
        <v>88</v>
      </c>
      <c r="F40" s="140">
        <v>45309</v>
      </c>
      <c r="G40" s="140" t="s">
        <v>1092</v>
      </c>
      <c r="H40" s="140" t="s">
        <v>1123</v>
      </c>
      <c r="I40" s="140"/>
      <c r="J40" s="140"/>
      <c r="K40" s="140" t="s">
        <v>88</v>
      </c>
      <c r="L40" s="140" t="s">
        <v>88</v>
      </c>
      <c r="M40" s="140" t="s">
        <v>1094</v>
      </c>
    </row>
    <row r="41" spans="4:13">
      <c r="D41" s="140">
        <v>23</v>
      </c>
      <c r="E41" s="140" t="s">
        <v>88</v>
      </c>
      <c r="F41" s="140">
        <v>45309</v>
      </c>
      <c r="G41" s="140" t="s">
        <v>1152</v>
      </c>
      <c r="H41" s="140" t="s">
        <v>1153</v>
      </c>
      <c r="I41" s="140"/>
      <c r="J41" s="140"/>
      <c r="K41" s="140" t="s">
        <v>88</v>
      </c>
      <c r="L41" s="140" t="s">
        <v>88</v>
      </c>
      <c r="M41" s="140" t="s">
        <v>1154</v>
      </c>
    </row>
    <row r="42" spans="4:13">
      <c r="D42" s="140">
        <v>22</v>
      </c>
      <c r="E42" s="140" t="s">
        <v>88</v>
      </c>
      <c r="F42" s="140">
        <v>45309</v>
      </c>
      <c r="G42" s="140" t="s">
        <v>1095</v>
      </c>
      <c r="H42" s="140" t="s">
        <v>1121</v>
      </c>
      <c r="I42" s="140"/>
      <c r="J42" s="140"/>
      <c r="K42" s="140" t="s">
        <v>88</v>
      </c>
      <c r="L42" s="140" t="s">
        <v>88</v>
      </c>
      <c r="M42" s="140" t="s">
        <v>1097</v>
      </c>
    </row>
    <row r="43" spans="4:13">
      <c r="D43" s="140">
        <v>21</v>
      </c>
      <c r="E43" s="140" t="s">
        <v>88</v>
      </c>
      <c r="F43" s="140">
        <v>45309</v>
      </c>
      <c r="G43" s="140" t="s">
        <v>1089</v>
      </c>
      <c r="H43" s="140" t="s">
        <v>1126</v>
      </c>
      <c r="I43" s="140"/>
      <c r="J43" s="140"/>
      <c r="K43" s="140" t="s">
        <v>88</v>
      </c>
      <c r="L43" s="140" t="s">
        <v>88</v>
      </c>
      <c r="M43" s="140" t="s">
        <v>1091</v>
      </c>
    </row>
    <row r="44" spans="4:13">
      <c r="D44" s="140">
        <v>20</v>
      </c>
      <c r="E44" s="140" t="s">
        <v>88</v>
      </c>
      <c r="F44" s="140">
        <v>45309</v>
      </c>
      <c r="G44" s="140" t="s">
        <v>1098</v>
      </c>
      <c r="H44" s="140" t="s">
        <v>1127</v>
      </c>
      <c r="I44" s="140"/>
      <c r="J44" s="140"/>
      <c r="K44" s="140" t="s">
        <v>88</v>
      </c>
      <c r="L44" s="140" t="s">
        <v>88</v>
      </c>
      <c r="M44" s="140" t="s">
        <v>1101</v>
      </c>
    </row>
    <row r="45" spans="4:13">
      <c r="D45" s="140">
        <v>19</v>
      </c>
      <c r="E45" s="140" t="s">
        <v>88</v>
      </c>
      <c r="F45" s="140">
        <v>45308</v>
      </c>
      <c r="G45" s="140" t="s">
        <v>1109</v>
      </c>
      <c r="H45" s="140" t="s">
        <v>1128</v>
      </c>
      <c r="I45" s="140"/>
      <c r="J45" s="140"/>
      <c r="K45" s="140" t="s">
        <v>88</v>
      </c>
      <c r="L45" s="140" t="s">
        <v>88</v>
      </c>
      <c r="M45" s="140" t="s">
        <v>1111</v>
      </c>
    </row>
    <row r="46" spans="4:13">
      <c r="D46" s="140">
        <v>18</v>
      </c>
      <c r="E46" s="140" t="s">
        <v>88</v>
      </c>
      <c r="F46" s="140">
        <v>45308</v>
      </c>
      <c r="G46" s="140" t="s">
        <v>1115</v>
      </c>
      <c r="H46" s="140" t="s">
        <v>1132</v>
      </c>
      <c r="I46" s="140"/>
      <c r="J46" s="140"/>
      <c r="K46" s="140" t="s">
        <v>88</v>
      </c>
      <c r="L46" s="140" t="s">
        <v>88</v>
      </c>
      <c r="M46" s="140" t="s">
        <v>1117</v>
      </c>
    </row>
    <row r="47" spans="4:13">
      <c r="D47" s="140">
        <v>17</v>
      </c>
      <c r="E47" s="140" t="s">
        <v>779</v>
      </c>
      <c r="F47" s="140">
        <v>45308</v>
      </c>
      <c r="G47" s="140" t="s">
        <v>1106</v>
      </c>
      <c r="H47" s="140" t="s">
        <v>1133</v>
      </c>
      <c r="I47" s="140">
        <v>12</v>
      </c>
      <c r="J47" s="140">
        <v>53</v>
      </c>
      <c r="K47" s="140" t="s">
        <v>1310</v>
      </c>
      <c r="L47" s="140" t="s">
        <v>1312</v>
      </c>
      <c r="M47" s="140" t="s">
        <v>1108</v>
      </c>
    </row>
    <row r="48" spans="4:13">
      <c r="D48" s="140">
        <v>16</v>
      </c>
      <c r="E48" s="140" t="s">
        <v>88</v>
      </c>
      <c r="F48" s="140">
        <v>45308</v>
      </c>
      <c r="G48" s="140" t="s">
        <v>1112</v>
      </c>
      <c r="H48" s="140" t="s">
        <v>1130</v>
      </c>
      <c r="I48" s="140"/>
      <c r="J48" s="140"/>
      <c r="K48" s="140" t="s">
        <v>88</v>
      </c>
      <c r="L48" s="140" t="s">
        <v>88</v>
      </c>
      <c r="M48" s="140" t="s">
        <v>1114</v>
      </c>
    </row>
    <row r="49" spans="4:13">
      <c r="D49" s="140">
        <v>15</v>
      </c>
      <c r="E49" s="140" t="s">
        <v>88</v>
      </c>
      <c r="F49" s="140">
        <v>45306</v>
      </c>
      <c r="G49" s="140" t="s">
        <v>1118</v>
      </c>
      <c r="H49" s="140" t="s">
        <v>1134</v>
      </c>
      <c r="I49" s="140"/>
      <c r="J49" s="140"/>
      <c r="K49" s="140" t="s">
        <v>88</v>
      </c>
      <c r="L49" s="140" t="s">
        <v>88</v>
      </c>
      <c r="M49" s="140" t="s">
        <v>1120</v>
      </c>
    </row>
    <row r="50" spans="4:13">
      <c r="D50" s="140">
        <v>14</v>
      </c>
      <c r="E50" s="140" t="s">
        <v>88</v>
      </c>
      <c r="F50" s="140">
        <v>45303</v>
      </c>
      <c r="G50" s="140" t="s">
        <v>793</v>
      </c>
      <c r="H50" s="140" t="s">
        <v>1262</v>
      </c>
      <c r="I50" s="140"/>
      <c r="J50" s="140"/>
      <c r="K50" s="140" t="s">
        <v>88</v>
      </c>
      <c r="L50" s="140" t="s">
        <v>88</v>
      </c>
      <c r="M50" s="140" t="s">
        <v>1273</v>
      </c>
    </row>
    <row r="51" spans="4:13">
      <c r="D51" s="140">
        <v>13</v>
      </c>
      <c r="E51" s="140" t="s">
        <v>88</v>
      </c>
      <c r="F51" s="140">
        <v>45303</v>
      </c>
      <c r="G51" s="140" t="s">
        <v>1454</v>
      </c>
      <c r="H51" s="140" t="s">
        <v>1455</v>
      </c>
      <c r="I51" s="140"/>
      <c r="J51" s="140"/>
      <c r="K51" s="140" t="s">
        <v>88</v>
      </c>
      <c r="L51" s="140" t="s">
        <v>88</v>
      </c>
      <c r="M51" s="140" t="s">
        <v>1467</v>
      </c>
    </row>
    <row r="52" spans="4:13">
      <c r="D52" s="140">
        <v>12</v>
      </c>
      <c r="E52" s="140" t="s">
        <v>88</v>
      </c>
      <c r="F52" s="140">
        <v>45303</v>
      </c>
      <c r="G52" s="140" t="s">
        <v>1248</v>
      </c>
      <c r="H52" s="140" t="s">
        <v>1249</v>
      </c>
      <c r="I52" s="140"/>
      <c r="J52" s="140"/>
      <c r="K52" s="140" t="s">
        <v>88</v>
      </c>
      <c r="L52" s="140" t="s">
        <v>88</v>
      </c>
      <c r="M52" s="140" t="s">
        <v>1259</v>
      </c>
    </row>
    <row r="53" spans="4:13">
      <c r="D53" s="140">
        <v>11</v>
      </c>
      <c r="E53" s="140" t="s">
        <v>88</v>
      </c>
      <c r="F53" s="140">
        <v>45303</v>
      </c>
      <c r="G53" s="140" t="s">
        <v>1276</v>
      </c>
      <c r="H53" s="140" t="s">
        <v>1277</v>
      </c>
      <c r="I53" s="140"/>
      <c r="J53" s="140"/>
      <c r="K53" s="140" t="s">
        <v>88</v>
      </c>
      <c r="L53" s="140" t="s">
        <v>88</v>
      </c>
      <c r="M53" s="140" t="s">
        <v>1285</v>
      </c>
    </row>
    <row r="54" spans="4:13">
      <c r="D54" s="140">
        <v>10</v>
      </c>
      <c r="E54" s="140" t="s">
        <v>88</v>
      </c>
      <c r="F54" s="140">
        <v>45289</v>
      </c>
      <c r="G54" s="140" t="s">
        <v>1605</v>
      </c>
      <c r="H54" s="140" t="s">
        <v>1606</v>
      </c>
      <c r="I54" s="140"/>
      <c r="J54" s="140"/>
      <c r="K54" s="140" t="s">
        <v>88</v>
      </c>
      <c r="L54" s="140" t="s">
        <v>88</v>
      </c>
      <c r="M54" s="140" t="s">
        <v>1615</v>
      </c>
    </row>
    <row r="55" spans="4:13">
      <c r="D55" s="140">
        <v>9</v>
      </c>
      <c r="E55" s="140" t="s">
        <v>88</v>
      </c>
      <c r="F55" s="140">
        <v>45289</v>
      </c>
      <c r="G55" s="140" t="s">
        <v>1633</v>
      </c>
      <c r="H55" s="140" t="s">
        <v>1634</v>
      </c>
      <c r="I55" s="140"/>
      <c r="J55" s="140"/>
      <c r="K55" s="140" t="s">
        <v>88</v>
      </c>
      <c r="L55" s="140" t="s">
        <v>88</v>
      </c>
      <c r="M55" s="140" t="s">
        <v>1637</v>
      </c>
    </row>
    <row r="56" spans="4:13">
      <c r="D56" s="140">
        <v>8</v>
      </c>
      <c r="E56" s="140" t="s">
        <v>88</v>
      </c>
      <c r="F56" s="140">
        <v>45289</v>
      </c>
      <c r="G56" s="140" t="s">
        <v>1628</v>
      </c>
      <c r="H56" s="140" t="s">
        <v>1619</v>
      </c>
      <c r="I56" s="140"/>
      <c r="J56" s="140"/>
      <c r="K56" s="140" t="s">
        <v>88</v>
      </c>
      <c r="L56" s="140" t="s">
        <v>88</v>
      </c>
      <c r="M56" s="140" t="s">
        <v>1629</v>
      </c>
    </row>
    <row r="57" spans="4:13">
      <c r="D57" s="140">
        <v>7</v>
      </c>
      <c r="E57" s="140" t="s">
        <v>88</v>
      </c>
      <c r="F57" s="140">
        <v>45289</v>
      </c>
      <c r="G57" s="140" t="s">
        <v>1630</v>
      </c>
      <c r="H57" s="140" t="s">
        <v>1619</v>
      </c>
      <c r="I57" s="140"/>
      <c r="J57" s="140"/>
      <c r="K57" s="140" t="s">
        <v>88</v>
      </c>
      <c r="L57" s="140" t="s">
        <v>88</v>
      </c>
      <c r="M57" s="140" t="s">
        <v>1631</v>
      </c>
    </row>
    <row r="58" spans="4:13">
      <c r="D58" s="140">
        <v>6</v>
      </c>
      <c r="E58" s="140" t="s">
        <v>88</v>
      </c>
      <c r="F58" s="140">
        <v>45289</v>
      </c>
      <c r="G58" s="140" t="s">
        <v>1618</v>
      </c>
      <c r="H58" s="140" t="s">
        <v>1619</v>
      </c>
      <c r="I58" s="140"/>
      <c r="J58" s="140"/>
      <c r="K58" s="140" t="s">
        <v>88</v>
      </c>
      <c r="L58" s="140" t="s">
        <v>88</v>
      </c>
      <c r="M58" s="140" t="s">
        <v>1627</v>
      </c>
    </row>
    <row r="59" spans="4:13">
      <c r="D59" s="140">
        <v>5</v>
      </c>
      <c r="E59" s="140" t="s">
        <v>88</v>
      </c>
      <c r="F59" s="140">
        <v>45289</v>
      </c>
      <c r="G59" s="140" t="s">
        <v>1573</v>
      </c>
      <c r="H59" s="140" t="s">
        <v>1574</v>
      </c>
      <c r="I59" s="140"/>
      <c r="J59" s="140"/>
      <c r="K59" s="140" t="s">
        <v>88</v>
      </c>
      <c r="L59" s="140" t="s">
        <v>88</v>
      </c>
      <c r="M59" s="140" t="s">
        <v>1584</v>
      </c>
    </row>
    <row r="60" spans="4:13">
      <c r="D60" s="140">
        <v>4</v>
      </c>
      <c r="E60" s="140" t="s">
        <v>88</v>
      </c>
      <c r="F60" s="140">
        <v>45289</v>
      </c>
      <c r="G60" s="140" t="s">
        <v>1559</v>
      </c>
      <c r="H60" s="140" t="s">
        <v>1560</v>
      </c>
      <c r="I60" s="140"/>
      <c r="J60" s="140"/>
      <c r="K60" s="140" t="s">
        <v>88</v>
      </c>
      <c r="L60" s="140" t="s">
        <v>88</v>
      </c>
      <c r="M60" s="140" t="s">
        <v>1570</v>
      </c>
    </row>
    <row r="61" spans="4:13">
      <c r="D61" s="140">
        <v>3</v>
      </c>
      <c r="E61" s="140" t="s">
        <v>88</v>
      </c>
      <c r="F61" s="140">
        <v>45289</v>
      </c>
      <c r="G61" s="140" t="s">
        <v>1587</v>
      </c>
      <c r="H61" s="140" t="s">
        <v>1588</v>
      </c>
      <c r="I61" s="140"/>
      <c r="J61" s="140"/>
      <c r="K61" s="140" t="s">
        <v>88</v>
      </c>
      <c r="L61" s="140" t="s">
        <v>88</v>
      </c>
      <c r="M61" s="140" t="s">
        <v>1602</v>
      </c>
    </row>
    <row r="62" spans="4:13">
      <c r="D62" s="140">
        <v>2</v>
      </c>
      <c r="E62" s="140" t="s">
        <v>88</v>
      </c>
      <c r="F62" s="140">
        <v>45288</v>
      </c>
      <c r="G62" s="140" t="s">
        <v>1665</v>
      </c>
      <c r="H62" s="140" t="s">
        <v>1666</v>
      </c>
      <c r="I62" s="140"/>
      <c r="J62" s="140"/>
      <c r="K62" s="140" t="s">
        <v>88</v>
      </c>
      <c r="L62" s="140" t="s">
        <v>88</v>
      </c>
      <c r="M62" s="140" t="s">
        <v>1675</v>
      </c>
    </row>
    <row r="63" spans="4:13">
      <c r="D63" s="140">
        <v>1</v>
      </c>
      <c r="E63" s="140" t="s">
        <v>88</v>
      </c>
      <c r="F63" s="140">
        <v>45288</v>
      </c>
      <c r="G63" s="140" t="s">
        <v>1655</v>
      </c>
      <c r="H63" s="140" t="s">
        <v>1656</v>
      </c>
      <c r="I63" s="140"/>
      <c r="J63" s="140"/>
      <c r="K63" s="140" t="s">
        <v>88</v>
      </c>
      <c r="L63" s="140" t="s">
        <v>88</v>
      </c>
      <c r="M63" s="140" t="s">
        <v>1662</v>
      </c>
    </row>
  </sheetData>
  <conditionalFormatting sqref="I6:L32">
    <cfRule type="containsText" dxfId="349" priority="3" operator="containsText" text="【">
      <formula>NOT(ISERROR(SEARCH("【",I6)))</formula>
    </cfRule>
  </conditionalFormatting>
  <conditionalFormatting sqref="I6:L32">
    <cfRule type="notContainsBlanks" dxfId="348" priority="4">
      <formula>LEN(TRIM(I6))&gt;0</formula>
    </cfRule>
  </conditionalFormatting>
  <conditionalFormatting sqref="M1:Q1">
    <cfRule type="containsText" dxfId="347" priority="1" operator="containsText" text="【">
      <formula>NOT(ISERROR(SEARCH("【",M1)))</formula>
    </cfRule>
  </conditionalFormatting>
  <conditionalFormatting sqref="M1:Q1">
    <cfRule type="notContainsBlanks" dxfId="346" priority="2">
      <formula>LEN(TRIM(M1))&gt;0</formula>
    </cfRule>
  </conditionalFormatting>
  <dataValidations xWindow="976" yWindow="348" count="4">
    <dataValidation type="decimal" operator="notEqual" allowBlank="1" showInputMessage="1" showErrorMessage="1" promptTitle="Final Orderbook" prompt="Number only" sqref="I1 I6:I32" xr:uid="{7C65891C-4A79-4863-89D6-AA7336A665B6}">
      <formula1>0</formula1>
    </dataValidation>
    <dataValidation type="decimal" operator="notEqual" allowBlank="1" showInputMessage="1" showErrorMessage="1" promptTitle="No. of Accounts" prompt="Number only" sqref="J1 J6:J32" xr:uid="{AA60C5CF-B300-4182-A03D-6445C86C125F}">
      <formula1>0</formula1>
    </dataValidation>
    <dataValidation allowBlank="1" showInputMessage="1" showErrorMessage="1" promptTitle="地区分布" prompt="亚洲100%；" sqref="K1 K6:K32" xr:uid="{38716FBE-84EC-4B1B-90C0-D1632B688E6A}"/>
    <dataValidation allowBlank="1" showInputMessage="1" showErrorMessage="1" promptTitle="类型分布" prompt="银行/金融机构72%，主权基金/其他16%，基金/保险11%，私行1%" sqref="L1 L6:L32" xr:uid="{0C01708D-8572-49D9-B81F-8397B5ED41B5}"/>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02"/>
  <sheetViews>
    <sheetView topLeftCell="C2" workbookViewId="0">
      <selection activeCell="F17" sqref="F17"/>
    </sheetView>
  </sheetViews>
  <sheetFormatPr defaultRowHeight="15" outlineLevelRow="1" outlineLevelCol="1"/>
  <cols>
    <col min="1" max="1" width="9.109375" style="1" hidden="1" customWidth="1" outlineLevel="1"/>
    <col min="2" max="2" width="37.33203125" style="1" hidden="1" customWidth="1" outlineLevel="1"/>
    <col min="3" max="3" width="9.44140625" style="1" bestFit="1" customWidth="1" collapsed="1"/>
    <col min="4" max="4" width="7.33203125" style="1" bestFit="1" customWidth="1"/>
    <col min="5" max="5" width="9.33203125" style="1" bestFit="1" customWidth="1"/>
    <col min="6" max="6" width="33.33203125" style="1" bestFit="1" customWidth="1"/>
    <col min="7" max="7" width="26.5546875" style="1" bestFit="1" customWidth="1"/>
    <col min="8" max="8" width="7.77734375" style="1" bestFit="1" customWidth="1"/>
    <col min="9" max="11" width="9.44140625" style="1" bestFit="1" customWidth="1"/>
    <col min="12" max="14" width="6.109375" style="1" bestFit="1" customWidth="1"/>
    <col min="15" max="15" width="7.77734375" style="1" bestFit="1" customWidth="1"/>
    <col min="16" max="16" width="9.33203125" style="1" bestFit="1" customWidth="1"/>
    <col min="17" max="17" width="10.88671875" style="1" bestFit="1" customWidth="1"/>
    <col min="18" max="18" width="9.109375" style="1" customWidth="1"/>
    <col min="19" max="19" width="5.88671875" style="1" bestFit="1" customWidth="1"/>
    <col min="20" max="20" width="6" style="1" bestFit="1" customWidth="1"/>
    <col min="21" max="21" width="5.88671875" style="1" bestFit="1" customWidth="1"/>
    <col min="22" max="22" width="10.88671875" style="1" bestFit="1" customWidth="1"/>
    <col min="23" max="23" width="13.33203125" style="1" bestFit="1" customWidth="1"/>
    <col min="24" max="24" width="9.44140625" style="1" bestFit="1" customWidth="1"/>
    <col min="25" max="25" width="9.109375" style="1" bestFit="1" customWidth="1"/>
    <col min="26" max="26" width="9.33203125" style="1" customWidth="1"/>
    <col min="27" max="27" width="9.33203125" style="1" bestFit="1" customWidth="1"/>
    <col min="28" max="30" width="6.109375" style="1" bestFit="1" customWidth="1"/>
    <col min="31" max="31" width="11.109375" style="1" bestFit="1" customWidth="1"/>
    <col min="32" max="32" width="13.5546875" style="1" bestFit="1" customWidth="1"/>
    <col min="33" max="33" width="6.109375" style="1" bestFit="1" customWidth="1"/>
    <col min="34" max="34" width="9.33203125" style="1" bestFit="1" customWidth="1"/>
    <col min="35" max="36" width="6.109375" style="1" bestFit="1" customWidth="1"/>
    <col min="37" max="37" width="4.44140625" style="1" bestFit="1" customWidth="1"/>
    <col min="38" max="38" width="11.109375" style="1" bestFit="1" customWidth="1"/>
    <col min="39" max="39" width="13.5546875" style="1" bestFit="1" customWidth="1"/>
    <col min="40" max="40" width="7.77734375" style="1" bestFit="1" customWidth="1"/>
    <col min="41" max="41" width="9.44140625" style="1" bestFit="1" customWidth="1"/>
    <col min="42" max="42" width="6.109375" style="1" bestFit="1" customWidth="1"/>
    <col min="43" max="43" width="8.109375" style="1" bestFit="1" customWidth="1"/>
    <col min="44" max="44" width="9.44140625" style="1" bestFit="1" customWidth="1"/>
    <col min="45" max="45" width="10.88671875" style="1" bestFit="1" customWidth="1"/>
    <col min="46" max="46" width="9.21875" style="1" bestFit="1" customWidth="1"/>
    <col min="47" max="47" width="10.88671875" style="1" bestFit="1" customWidth="1"/>
    <col min="48" max="48" width="12.5546875" style="1" bestFit="1" customWidth="1"/>
    <col min="49" max="49" width="9.5546875" style="1" bestFit="1" customWidth="1"/>
    <col min="50" max="51" width="11.77734375" style="1" bestFit="1" customWidth="1"/>
    <col min="52" max="52" width="11" style="1" bestFit="1" customWidth="1"/>
    <col min="53" max="53" width="9.33203125" style="1" bestFit="1" customWidth="1"/>
    <col min="54" max="54" width="11.5546875" style="1" bestFit="1" customWidth="1"/>
    <col min="55" max="55" width="5.88671875" style="1" bestFit="1" customWidth="1"/>
    <col min="56" max="56" width="9.21875" style="1" customWidth="1"/>
    <col min="57" max="57" width="5.88671875" style="1" bestFit="1" customWidth="1"/>
    <col min="58" max="59" width="9.21875" style="1" customWidth="1"/>
    <col min="60" max="62" width="5.88671875" style="1" bestFit="1" customWidth="1"/>
    <col min="63" max="63" width="9.21875" style="1" customWidth="1"/>
    <col min="64" max="64" width="4.21875" style="1" bestFit="1" customWidth="1"/>
    <col min="65" max="65" width="10.88671875" style="1" bestFit="1" customWidth="1"/>
    <col min="66" max="66" width="13.33203125" style="1" bestFit="1" customWidth="1"/>
    <col min="67" max="67" width="7.5546875" style="1" bestFit="1" customWidth="1"/>
    <col min="68" max="68" width="9.21875" style="1" customWidth="1"/>
    <col min="69" max="69" width="5.88671875" style="1" bestFit="1" customWidth="1"/>
    <col min="70" max="71" width="9.21875" style="1" customWidth="1"/>
    <col min="72" max="72" width="9.33203125" style="1" bestFit="1" customWidth="1"/>
    <col min="73" max="73" width="11.5546875" style="1" bestFit="1" customWidth="1"/>
    <col min="74" max="74" width="5.88671875" style="1" bestFit="1" customWidth="1"/>
    <col min="75" max="75" width="9.21875" style="1" bestFit="1" customWidth="1"/>
    <col min="76" max="76" width="7.6640625" style="1" bestFit="1" customWidth="1"/>
    <col min="77" max="78" width="9.21875" style="1" bestFit="1" customWidth="1"/>
    <col min="79" max="81" width="5.88671875" style="1" bestFit="1" customWidth="1"/>
    <col min="82" max="82" width="9.21875" style="1" bestFit="1" customWidth="1"/>
    <col min="83" max="83" width="4.21875" style="1" bestFit="1" customWidth="1"/>
    <col min="84" max="84" width="10.88671875" style="1" bestFit="1" customWidth="1"/>
    <col min="85" max="85" width="13.33203125" style="1" bestFit="1" customWidth="1"/>
    <col min="86" max="86" width="7.5546875" style="1" bestFit="1" customWidth="1"/>
    <col min="87" max="87" width="9.21875" style="1" bestFit="1" customWidth="1"/>
    <col min="88" max="88" width="5.88671875" style="1" bestFit="1" customWidth="1"/>
    <col min="89" max="90" width="9.21875" style="1" bestFit="1" customWidth="1"/>
    <col min="91" max="91" width="9.33203125" style="1" bestFit="1" customWidth="1"/>
    <col min="92" max="92" width="11.5546875" style="1" bestFit="1" customWidth="1"/>
    <col min="93" max="93" width="11.77734375" style="1" bestFit="1" customWidth="1"/>
    <col min="94" max="94" width="5.88671875" style="1" bestFit="1" customWidth="1"/>
    <col min="95" max="96" width="8.33203125" style="1" bestFit="1" customWidth="1"/>
    <col min="97" max="16384" width="8.88671875" style="1"/>
  </cols>
  <sheetData>
    <row r="1" spans="1:15" ht="43.5" hidden="1" customHeight="1" outlineLevel="1">
      <c r="A1" s="106" t="s">
        <v>685</v>
      </c>
      <c r="G1" s="40" t="s">
        <v>142</v>
      </c>
      <c r="H1" s="40" t="s">
        <v>182</v>
      </c>
      <c r="I1" s="40" t="s">
        <v>502</v>
      </c>
      <c r="J1" s="40" t="s">
        <v>503</v>
      </c>
      <c r="K1" s="40" t="s">
        <v>166</v>
      </c>
      <c r="L1" s="105" t="s">
        <v>504</v>
      </c>
      <c r="M1" s="40" t="s">
        <v>85</v>
      </c>
    </row>
    <row r="2" spans="1:15" ht="43.5" customHeight="1" collapsed="1">
      <c r="A2" s="107" t="s">
        <v>686</v>
      </c>
      <c r="C2" s="32" t="s">
        <v>1193</v>
      </c>
    </row>
    <row r="3" spans="1:15" ht="43.5" customHeight="1"/>
    <row r="5" spans="1:15">
      <c r="A5" s="36" t="s">
        <v>82</v>
      </c>
      <c r="B5" s="36" t="s">
        <v>590</v>
      </c>
      <c r="D5" t="s">
        <v>82</v>
      </c>
      <c r="E5" t="s">
        <v>467</v>
      </c>
      <c r="F5" t="s">
        <v>90</v>
      </c>
      <c r="G5" t="s">
        <v>537</v>
      </c>
      <c r="H5" t="s">
        <v>182</v>
      </c>
      <c r="I5" t="s">
        <v>502</v>
      </c>
      <c r="J5" t="s">
        <v>503</v>
      </c>
      <c r="K5" t="s">
        <v>166</v>
      </c>
      <c r="L5" t="s">
        <v>504</v>
      </c>
      <c r="M5" t="s">
        <v>85</v>
      </c>
      <c r="N5" t="s">
        <v>42</v>
      </c>
      <c r="O5" t="s">
        <v>43</v>
      </c>
    </row>
    <row r="6" spans="1:15">
      <c r="A6" s="21">
        <v>1</v>
      </c>
      <c r="B6" s="21" t="s">
        <v>591</v>
      </c>
      <c r="D6">
        <v>8</v>
      </c>
      <c r="E6" t="s">
        <v>779</v>
      </c>
      <c r="F6" t="s">
        <v>1110</v>
      </c>
      <c r="G6" t="s">
        <v>1155</v>
      </c>
      <c r="H6" s="36" t="s">
        <v>199</v>
      </c>
      <c r="I6" s="36" t="s">
        <v>6</v>
      </c>
      <c r="J6" s="36" t="s">
        <v>6</v>
      </c>
      <c r="K6" s="36" t="s">
        <v>157</v>
      </c>
      <c r="L6" s="36" t="s">
        <v>524</v>
      </c>
      <c r="M6" s="36" t="s">
        <v>13</v>
      </c>
      <c r="N6" s="36" t="s">
        <v>1129</v>
      </c>
      <c r="O6" s="36" t="s">
        <v>88</v>
      </c>
    </row>
    <row r="7" spans="1:15">
      <c r="A7" s="21">
        <v>2</v>
      </c>
      <c r="B7" s="21" t="s">
        <v>592</v>
      </c>
      <c r="D7">
        <v>7</v>
      </c>
      <c r="E7" t="s">
        <v>779</v>
      </c>
      <c r="F7" t="s">
        <v>1153</v>
      </c>
      <c r="G7" t="s">
        <v>1157</v>
      </c>
      <c r="H7" s="36" t="s">
        <v>199</v>
      </c>
      <c r="I7" s="36" t="s">
        <v>6</v>
      </c>
      <c r="J7" s="36" t="s">
        <v>6</v>
      </c>
      <c r="K7" s="36" t="s">
        <v>157</v>
      </c>
      <c r="L7" s="36" t="s">
        <v>526</v>
      </c>
      <c r="M7" s="36" t="s">
        <v>9</v>
      </c>
      <c r="N7" s="36" t="s">
        <v>1156</v>
      </c>
      <c r="O7" s="36" t="s">
        <v>1158</v>
      </c>
    </row>
    <row r="8" spans="1:15">
      <c r="A8" s="21">
        <v>3</v>
      </c>
      <c r="B8" s="21" t="s">
        <v>593</v>
      </c>
      <c r="D8">
        <v>6</v>
      </c>
      <c r="E8" t="s">
        <v>779</v>
      </c>
      <c r="F8" t="s">
        <v>1119</v>
      </c>
      <c r="G8" t="s">
        <v>1149</v>
      </c>
      <c r="H8" s="36" t="s">
        <v>199</v>
      </c>
      <c r="I8" s="36" t="s">
        <v>6</v>
      </c>
      <c r="J8" s="36" t="s">
        <v>6</v>
      </c>
      <c r="K8" s="36" t="s">
        <v>157</v>
      </c>
      <c r="L8" s="36" t="s">
        <v>524</v>
      </c>
      <c r="M8" s="36" t="s">
        <v>16</v>
      </c>
      <c r="N8" s="36" t="s">
        <v>784</v>
      </c>
      <c r="O8" s="36" t="s">
        <v>88</v>
      </c>
    </row>
    <row r="9" spans="1:15">
      <c r="A9" s="21">
        <v>4</v>
      </c>
      <c r="B9" s="21" t="s">
        <v>594</v>
      </c>
      <c r="D9">
        <v>5</v>
      </c>
      <c r="E9" t="s">
        <v>779</v>
      </c>
      <c r="F9" t="s">
        <v>1093</v>
      </c>
      <c r="G9" t="s">
        <v>1150</v>
      </c>
      <c r="H9" s="36" t="s">
        <v>199</v>
      </c>
      <c r="I9" s="36" t="s">
        <v>6</v>
      </c>
      <c r="J9" s="36" t="s">
        <v>6</v>
      </c>
      <c r="K9" s="36" t="s">
        <v>157</v>
      </c>
      <c r="L9" s="36" t="s">
        <v>524</v>
      </c>
      <c r="M9" s="36" t="s">
        <v>16</v>
      </c>
      <c r="N9" s="36" t="s">
        <v>1125</v>
      </c>
      <c r="O9" s="36" t="s">
        <v>88</v>
      </c>
    </row>
    <row r="10" spans="1:15">
      <c r="A10" s="21">
        <v>5</v>
      </c>
      <c r="B10" s="21" t="s">
        <v>595</v>
      </c>
      <c r="D10">
        <v>4</v>
      </c>
      <c r="E10" t="s">
        <v>779</v>
      </c>
      <c r="F10" t="s">
        <v>1571</v>
      </c>
      <c r="G10" t="s">
        <v>1717</v>
      </c>
      <c r="H10" s="36" t="s">
        <v>199</v>
      </c>
      <c r="I10" s="36" t="s">
        <v>6</v>
      </c>
      <c r="J10" s="36" t="s">
        <v>6</v>
      </c>
      <c r="K10" s="36" t="s">
        <v>157</v>
      </c>
      <c r="L10" s="36" t="s">
        <v>524</v>
      </c>
      <c r="M10" s="36" t="s">
        <v>18</v>
      </c>
      <c r="N10" s="36" t="s">
        <v>1577</v>
      </c>
      <c r="O10" s="36" t="s">
        <v>88</v>
      </c>
    </row>
    <row r="11" spans="1:15">
      <c r="A11" s="21">
        <v>6</v>
      </c>
      <c r="B11" s="21" t="s">
        <v>596</v>
      </c>
      <c r="D11">
        <v>3</v>
      </c>
      <c r="E11" t="s">
        <v>779</v>
      </c>
      <c r="F11" t="s">
        <v>1511</v>
      </c>
      <c r="G11" t="s">
        <v>1718</v>
      </c>
      <c r="H11" s="36" t="s">
        <v>199</v>
      </c>
      <c r="I11" s="36" t="s">
        <v>6</v>
      </c>
      <c r="J11" s="36" t="s">
        <v>6</v>
      </c>
      <c r="K11" s="36" t="s">
        <v>157</v>
      </c>
      <c r="L11" s="36" t="s">
        <v>524</v>
      </c>
      <c r="M11" s="36" t="s">
        <v>15</v>
      </c>
      <c r="N11" s="36" t="s">
        <v>1519</v>
      </c>
      <c r="O11" s="36" t="s">
        <v>88</v>
      </c>
    </row>
    <row r="12" spans="1:15">
      <c r="A12" s="21">
        <v>7</v>
      </c>
      <c r="B12" s="21" t="s">
        <v>597</v>
      </c>
      <c r="D12">
        <v>2</v>
      </c>
      <c r="E12" t="s">
        <v>779</v>
      </c>
      <c r="F12" t="s">
        <v>1653</v>
      </c>
      <c r="G12" t="s">
        <v>1719</v>
      </c>
      <c r="H12" s="36" t="s">
        <v>199</v>
      </c>
      <c r="I12" s="36" t="s">
        <v>6</v>
      </c>
      <c r="J12" s="36" t="s">
        <v>6</v>
      </c>
      <c r="K12" s="36" t="s">
        <v>157</v>
      </c>
      <c r="L12" s="36" t="s">
        <v>524</v>
      </c>
      <c r="M12" s="36" t="s">
        <v>18</v>
      </c>
      <c r="N12" s="36" t="s">
        <v>1657</v>
      </c>
      <c r="O12" s="36" t="s">
        <v>88</v>
      </c>
    </row>
    <row r="13" spans="1:15">
      <c r="A13" s="21">
        <v>8</v>
      </c>
      <c r="B13" s="21" t="s">
        <v>598</v>
      </c>
      <c r="D13">
        <v>1</v>
      </c>
      <c r="E13" t="s">
        <v>779</v>
      </c>
      <c r="F13" t="s">
        <v>1715</v>
      </c>
      <c r="G13" t="s">
        <v>1720</v>
      </c>
      <c r="H13" s="36" t="s">
        <v>199</v>
      </c>
      <c r="I13" s="36" t="s">
        <v>6</v>
      </c>
      <c r="J13" s="36" t="s">
        <v>6</v>
      </c>
      <c r="K13" s="36" t="s">
        <v>157</v>
      </c>
      <c r="L13" s="36" t="s">
        <v>524</v>
      </c>
      <c r="M13" s="36" t="s">
        <v>20</v>
      </c>
      <c r="N13" s="36" t="s">
        <v>1716</v>
      </c>
      <c r="O13" s="36" t="s">
        <v>88</v>
      </c>
    </row>
    <row r="14" spans="1:15">
      <c r="A14" s="21">
        <v>9</v>
      </c>
      <c r="B14" s="21" t="s">
        <v>599</v>
      </c>
      <c r="D14" s="37"/>
      <c r="E14" s="37"/>
      <c r="F14" s="37"/>
      <c r="G14" s="37"/>
      <c r="H14" s="37"/>
      <c r="I14" s="37"/>
      <c r="J14" s="37"/>
      <c r="K14" s="37"/>
      <c r="L14" s="37"/>
      <c r="M14" s="37"/>
    </row>
    <row r="15" spans="1:15">
      <c r="A15" s="21">
        <v>10</v>
      </c>
      <c r="B15" s="21" t="s">
        <v>600</v>
      </c>
      <c r="D15" s="37"/>
      <c r="E15" s="37"/>
      <c r="F15" s="37"/>
      <c r="G15" s="37"/>
      <c r="H15" s="37"/>
      <c r="I15" s="37"/>
      <c r="J15" s="37"/>
      <c r="K15" s="37"/>
      <c r="L15" s="37"/>
      <c r="M15" s="37"/>
    </row>
    <row r="16" spans="1:15">
      <c r="A16" s="21">
        <v>11</v>
      </c>
      <c r="B16" s="21" t="s">
        <v>601</v>
      </c>
      <c r="D16" s="37"/>
      <c r="E16" s="37"/>
      <c r="F16" s="37"/>
      <c r="G16" s="37"/>
      <c r="H16" s="37"/>
      <c r="I16" s="37"/>
      <c r="J16" s="37"/>
      <c r="K16" s="37"/>
      <c r="L16" s="37"/>
      <c r="M16" s="37"/>
    </row>
    <row r="17" spans="1:15">
      <c r="A17" s="21">
        <v>12</v>
      </c>
      <c r="B17" s="21" t="s">
        <v>602</v>
      </c>
      <c r="D17" s="37"/>
      <c r="E17" s="37"/>
      <c r="F17" s="37"/>
      <c r="G17" s="37"/>
      <c r="H17" s="37"/>
      <c r="I17" s="37"/>
      <c r="J17" s="37"/>
      <c r="K17" s="37"/>
      <c r="L17" s="37"/>
      <c r="M17" s="37"/>
    </row>
    <row r="18" spans="1:15">
      <c r="A18" s="21">
        <v>13</v>
      </c>
      <c r="B18" s="21" t="s">
        <v>603</v>
      </c>
      <c r="D18" s="141" t="s">
        <v>82</v>
      </c>
      <c r="E18" s="141" t="s">
        <v>467</v>
      </c>
      <c r="F18" s="141" t="s">
        <v>90</v>
      </c>
      <c r="G18" s="141" t="s">
        <v>537</v>
      </c>
      <c r="H18" s="141" t="s">
        <v>182</v>
      </c>
      <c r="I18" s="141" t="s">
        <v>502</v>
      </c>
      <c r="J18" s="141" t="s">
        <v>503</v>
      </c>
      <c r="K18" s="141" t="s">
        <v>166</v>
      </c>
      <c r="L18" s="141" t="s">
        <v>504</v>
      </c>
      <c r="M18" s="141" t="s">
        <v>85</v>
      </c>
      <c r="N18" s="140" t="s">
        <v>42</v>
      </c>
      <c r="O18" s="140" t="s">
        <v>43</v>
      </c>
    </row>
    <row r="19" spans="1:15">
      <c r="A19" s="21">
        <v>14</v>
      </c>
      <c r="B19" s="21" t="s">
        <v>604</v>
      </c>
      <c r="D19" s="141">
        <v>7</v>
      </c>
      <c r="E19" s="141" t="s">
        <v>779</v>
      </c>
      <c r="F19" s="141" t="s">
        <v>1653</v>
      </c>
      <c r="G19" s="141" t="s">
        <v>1707</v>
      </c>
      <c r="H19" s="141" t="s">
        <v>88</v>
      </c>
      <c r="I19" s="141" t="s">
        <v>88</v>
      </c>
      <c r="J19" s="141" t="s">
        <v>88</v>
      </c>
      <c r="K19" s="141" t="s">
        <v>88</v>
      </c>
      <c r="L19" s="141" t="s">
        <v>88</v>
      </c>
      <c r="M19" s="141" t="s">
        <v>18</v>
      </c>
      <c r="N19" s="140" t="s">
        <v>1657</v>
      </c>
      <c r="O19" s="140" t="s">
        <v>88</v>
      </c>
    </row>
    <row r="20" spans="1:15">
      <c r="A20" s="21">
        <v>15</v>
      </c>
      <c r="B20" s="21" t="s">
        <v>605</v>
      </c>
      <c r="D20" s="141">
        <v>6</v>
      </c>
      <c r="E20" s="141" t="s">
        <v>779</v>
      </c>
      <c r="F20" s="141" t="s">
        <v>1571</v>
      </c>
      <c r="G20" s="141" t="s">
        <v>1708</v>
      </c>
      <c r="H20" s="141" t="s">
        <v>88</v>
      </c>
      <c r="I20" s="141" t="s">
        <v>88</v>
      </c>
      <c r="J20" s="141" t="s">
        <v>88</v>
      </c>
      <c r="K20" s="141" t="s">
        <v>88</v>
      </c>
      <c r="L20" s="141" t="s">
        <v>88</v>
      </c>
      <c r="M20" s="141" t="s">
        <v>18</v>
      </c>
      <c r="N20" s="140" t="s">
        <v>1577</v>
      </c>
      <c r="O20" s="140" t="s">
        <v>88</v>
      </c>
    </row>
    <row r="21" spans="1:15">
      <c r="A21" s="21">
        <v>16</v>
      </c>
      <c r="B21" s="21" t="s">
        <v>606</v>
      </c>
      <c r="D21" s="141">
        <v>5</v>
      </c>
      <c r="E21" s="141" t="s">
        <v>779</v>
      </c>
      <c r="F21" s="141" t="s">
        <v>1119</v>
      </c>
      <c r="G21" s="141" t="s">
        <v>1149</v>
      </c>
      <c r="H21" s="141" t="s">
        <v>199</v>
      </c>
      <c r="I21" s="141" t="s">
        <v>6</v>
      </c>
      <c r="J21" s="141" t="s">
        <v>6</v>
      </c>
      <c r="K21" s="141" t="s">
        <v>157</v>
      </c>
      <c r="L21" s="141" t="s">
        <v>524</v>
      </c>
      <c r="M21" s="141" t="s">
        <v>16</v>
      </c>
      <c r="N21" s="140" t="s">
        <v>784</v>
      </c>
      <c r="O21" s="140" t="s">
        <v>88</v>
      </c>
    </row>
    <row r="22" spans="1:15">
      <c r="A22" s="21">
        <v>17</v>
      </c>
      <c r="B22" s="21" t="s">
        <v>607</v>
      </c>
      <c r="D22" s="141">
        <v>4</v>
      </c>
      <c r="E22" s="141" t="s">
        <v>779</v>
      </c>
      <c r="F22" s="141" t="s">
        <v>1153</v>
      </c>
      <c r="G22" s="141" t="s">
        <v>1157</v>
      </c>
      <c r="H22" s="141" t="s">
        <v>199</v>
      </c>
      <c r="I22" s="141" t="s">
        <v>6</v>
      </c>
      <c r="J22" s="141" t="s">
        <v>6</v>
      </c>
      <c r="K22" s="141" t="s">
        <v>157</v>
      </c>
      <c r="L22" s="141" t="s">
        <v>526</v>
      </c>
      <c r="M22" s="141" t="s">
        <v>9</v>
      </c>
      <c r="N22" s="140" t="s">
        <v>1156</v>
      </c>
      <c r="O22" s="140" t="s">
        <v>1158</v>
      </c>
    </row>
    <row r="23" spans="1:15">
      <c r="A23" s="21">
        <v>18</v>
      </c>
      <c r="B23" s="21" t="s">
        <v>608</v>
      </c>
      <c r="D23" s="141">
        <v>3</v>
      </c>
      <c r="E23" s="141" t="s">
        <v>779</v>
      </c>
      <c r="F23" s="141" t="s">
        <v>1093</v>
      </c>
      <c r="G23" s="141" t="s">
        <v>1150</v>
      </c>
      <c r="H23" s="140" t="s">
        <v>199</v>
      </c>
      <c r="I23" s="140" t="s">
        <v>6</v>
      </c>
      <c r="J23" s="140" t="s">
        <v>6</v>
      </c>
      <c r="K23" s="140" t="s">
        <v>157</v>
      </c>
      <c r="L23" s="140" t="s">
        <v>524</v>
      </c>
      <c r="M23" s="140" t="s">
        <v>16</v>
      </c>
      <c r="N23" s="140" t="s">
        <v>1125</v>
      </c>
      <c r="O23" s="140" t="s">
        <v>88</v>
      </c>
    </row>
    <row r="24" spans="1:15">
      <c r="A24" s="21">
        <v>19</v>
      </c>
      <c r="B24" s="21" t="s">
        <v>609</v>
      </c>
      <c r="D24" s="141">
        <v>2</v>
      </c>
      <c r="E24" s="141" t="s">
        <v>779</v>
      </c>
      <c r="F24" s="141" t="s">
        <v>1110</v>
      </c>
      <c r="G24" s="141" t="s">
        <v>1155</v>
      </c>
      <c r="H24" s="140" t="s">
        <v>199</v>
      </c>
      <c r="I24" s="140" t="s">
        <v>6</v>
      </c>
      <c r="J24" s="140" t="s">
        <v>6</v>
      </c>
      <c r="K24" s="140" t="s">
        <v>157</v>
      </c>
      <c r="L24" s="188" t="s">
        <v>524</v>
      </c>
      <c r="M24" s="188" t="s">
        <v>13</v>
      </c>
      <c r="N24" s="140" t="s">
        <v>1129</v>
      </c>
      <c r="O24" s="140" t="s">
        <v>88</v>
      </c>
    </row>
    <row r="25" spans="1:15">
      <c r="A25" s="21">
        <v>20</v>
      </c>
      <c r="B25" s="21" t="s">
        <v>610</v>
      </c>
      <c r="D25" s="141">
        <v>1</v>
      </c>
      <c r="E25" s="141" t="s">
        <v>779</v>
      </c>
      <c r="F25" s="141" t="s">
        <v>1511</v>
      </c>
      <c r="G25" s="141" t="s">
        <v>1709</v>
      </c>
      <c r="H25" s="140" t="s">
        <v>88</v>
      </c>
      <c r="I25" s="140" t="s">
        <v>88</v>
      </c>
      <c r="J25" s="140" t="s">
        <v>88</v>
      </c>
      <c r="K25" s="140" t="s">
        <v>88</v>
      </c>
      <c r="L25" s="188" t="s">
        <v>88</v>
      </c>
      <c r="M25" s="188" t="s">
        <v>15</v>
      </c>
      <c r="N25" s="140" t="s">
        <v>1519</v>
      </c>
      <c r="O25" s="140" t="s">
        <v>88</v>
      </c>
    </row>
    <row r="26" spans="1:15">
      <c r="A26" s="21">
        <v>21</v>
      </c>
      <c r="B26" s="21" t="s">
        <v>611</v>
      </c>
      <c r="D26" s="37"/>
      <c r="E26" s="37"/>
      <c r="F26" s="37"/>
      <c r="G26" s="37"/>
      <c r="L26" s="121"/>
      <c r="M26" s="121"/>
    </row>
    <row r="27" spans="1:15">
      <c r="A27" s="21">
        <v>22</v>
      </c>
      <c r="B27" s="21" t="s">
        <v>612</v>
      </c>
      <c r="D27" s="37"/>
      <c r="E27" s="37"/>
      <c r="F27" s="37"/>
      <c r="G27" s="37"/>
      <c r="L27" s="121"/>
      <c r="M27" s="121"/>
    </row>
    <row r="28" spans="1:15">
      <c r="A28" s="21">
        <v>23</v>
      </c>
      <c r="B28" s="21" t="s">
        <v>613</v>
      </c>
      <c r="L28" s="121"/>
      <c r="M28" s="121"/>
    </row>
    <row r="29" spans="1:15">
      <c r="A29">
        <v>24</v>
      </c>
      <c r="B29" s="21" t="s">
        <v>614</v>
      </c>
      <c r="L29" s="121"/>
      <c r="M29" s="121"/>
    </row>
    <row r="30" spans="1:15">
      <c r="A30">
        <v>25</v>
      </c>
      <c r="B30" s="21" t="s">
        <v>615</v>
      </c>
      <c r="L30" s="121"/>
      <c r="M30" s="121"/>
    </row>
    <row r="31" spans="1:15">
      <c r="A31">
        <v>26</v>
      </c>
      <c r="B31" s="21" t="s">
        <v>616</v>
      </c>
    </row>
    <row r="32" spans="1:15">
      <c r="A32">
        <v>27</v>
      </c>
      <c r="B32" s="21" t="s">
        <v>617</v>
      </c>
    </row>
    <row r="33" spans="1:2">
      <c r="A33">
        <v>28</v>
      </c>
      <c r="B33" s="21" t="s">
        <v>618</v>
      </c>
    </row>
    <row r="34" spans="1:2">
      <c r="A34">
        <v>29</v>
      </c>
      <c r="B34" s="21" t="s">
        <v>619</v>
      </c>
    </row>
    <row r="35" spans="1:2">
      <c r="A35">
        <v>30</v>
      </c>
      <c r="B35" s="21" t="s">
        <v>620</v>
      </c>
    </row>
    <row r="36" spans="1:2">
      <c r="A36">
        <v>31</v>
      </c>
      <c r="B36" s="21" t="s">
        <v>621</v>
      </c>
    </row>
    <row r="37" spans="1:2">
      <c r="A37">
        <v>32</v>
      </c>
      <c r="B37" s="21" t="s">
        <v>622</v>
      </c>
    </row>
    <row r="38" spans="1:2">
      <c r="A38">
        <v>33</v>
      </c>
      <c r="B38" s="21" t="s">
        <v>623</v>
      </c>
    </row>
    <row r="39" spans="1:2">
      <c r="A39">
        <v>34</v>
      </c>
      <c r="B39" s="21" t="s">
        <v>624</v>
      </c>
    </row>
    <row r="40" spans="1:2">
      <c r="A40">
        <v>35</v>
      </c>
      <c r="B40" s="21" t="s">
        <v>625</v>
      </c>
    </row>
    <row r="41" spans="1:2">
      <c r="A41">
        <v>36</v>
      </c>
      <c r="B41" s="21" t="s">
        <v>626</v>
      </c>
    </row>
    <row r="42" spans="1:2">
      <c r="A42">
        <v>37</v>
      </c>
      <c r="B42" s="21" t="s">
        <v>627</v>
      </c>
    </row>
    <row r="43" spans="1:2">
      <c r="A43">
        <v>38</v>
      </c>
      <c r="B43" s="21" t="s">
        <v>628</v>
      </c>
    </row>
    <row r="44" spans="1:2">
      <c r="A44">
        <v>39</v>
      </c>
      <c r="B44" s="21" t="s">
        <v>629</v>
      </c>
    </row>
    <row r="45" spans="1:2">
      <c r="A45">
        <v>40</v>
      </c>
      <c r="B45" s="21" t="s">
        <v>630</v>
      </c>
    </row>
    <row r="46" spans="1:2">
      <c r="A46">
        <v>41</v>
      </c>
      <c r="B46" s="21" t="s">
        <v>631</v>
      </c>
    </row>
    <row r="47" spans="1:2">
      <c r="A47">
        <v>42</v>
      </c>
      <c r="B47" s="21" t="s">
        <v>632</v>
      </c>
    </row>
    <row r="48" spans="1:2">
      <c r="A48">
        <v>43</v>
      </c>
      <c r="B48" s="21" t="s">
        <v>633</v>
      </c>
    </row>
    <row r="49" spans="1:2">
      <c r="A49">
        <v>44</v>
      </c>
      <c r="B49" s="21" t="s">
        <v>634</v>
      </c>
    </row>
    <row r="50" spans="1:2">
      <c r="A50">
        <v>45</v>
      </c>
      <c r="B50" s="21" t="s">
        <v>687</v>
      </c>
    </row>
    <row r="51" spans="1:2">
      <c r="A51">
        <v>46</v>
      </c>
      <c r="B51" s="21" t="s">
        <v>635</v>
      </c>
    </row>
    <row r="52" spans="1:2">
      <c r="A52">
        <v>47</v>
      </c>
      <c r="B52" s="21" t="s">
        <v>636</v>
      </c>
    </row>
    <row r="53" spans="1:2">
      <c r="A53">
        <v>48</v>
      </c>
      <c r="B53" s="21" t="s">
        <v>637</v>
      </c>
    </row>
    <row r="54" spans="1:2">
      <c r="A54">
        <v>49</v>
      </c>
      <c r="B54" s="21" t="s">
        <v>638</v>
      </c>
    </row>
    <row r="55" spans="1:2">
      <c r="A55">
        <v>50</v>
      </c>
      <c r="B55" s="21" t="s">
        <v>639</v>
      </c>
    </row>
    <row r="56" spans="1:2">
      <c r="A56">
        <v>51</v>
      </c>
      <c r="B56" s="21" t="s">
        <v>688</v>
      </c>
    </row>
    <row r="57" spans="1:2">
      <c r="A57">
        <v>52</v>
      </c>
      <c r="B57" s="21" t="s">
        <v>689</v>
      </c>
    </row>
    <row r="58" spans="1:2">
      <c r="A58">
        <v>53</v>
      </c>
      <c r="B58" s="21" t="s">
        <v>640</v>
      </c>
    </row>
    <row r="59" spans="1:2">
      <c r="A59">
        <v>54</v>
      </c>
      <c r="B59" s="21" t="s">
        <v>641</v>
      </c>
    </row>
    <row r="60" spans="1:2">
      <c r="A60">
        <v>55</v>
      </c>
      <c r="B60" s="21" t="s">
        <v>642</v>
      </c>
    </row>
    <row r="61" spans="1:2">
      <c r="A61">
        <v>56</v>
      </c>
      <c r="B61" s="21" t="s">
        <v>643</v>
      </c>
    </row>
    <row r="62" spans="1:2">
      <c r="A62">
        <v>57</v>
      </c>
      <c r="B62" s="21" t="s">
        <v>644</v>
      </c>
    </row>
    <row r="63" spans="1:2">
      <c r="A63">
        <v>58</v>
      </c>
      <c r="B63" s="21" t="s">
        <v>645</v>
      </c>
    </row>
    <row r="64" spans="1:2">
      <c r="A64">
        <v>59</v>
      </c>
      <c r="B64" s="21" t="s">
        <v>646</v>
      </c>
    </row>
    <row r="65" spans="1:2">
      <c r="A65">
        <v>60</v>
      </c>
      <c r="B65" s="21" t="s">
        <v>647</v>
      </c>
    </row>
    <row r="66" spans="1:2">
      <c r="A66">
        <v>61</v>
      </c>
      <c r="B66" s="21" t="s">
        <v>648</v>
      </c>
    </row>
    <row r="67" spans="1:2">
      <c r="A67">
        <v>62</v>
      </c>
      <c r="B67" s="21" t="s">
        <v>649</v>
      </c>
    </row>
    <row r="68" spans="1:2">
      <c r="A68">
        <v>63</v>
      </c>
      <c r="B68" s="21" t="s">
        <v>650</v>
      </c>
    </row>
    <row r="69" spans="1:2">
      <c r="A69">
        <v>64</v>
      </c>
      <c r="B69" s="21" t="s">
        <v>651</v>
      </c>
    </row>
    <row r="70" spans="1:2">
      <c r="A70">
        <v>65</v>
      </c>
      <c r="B70" s="21" t="s">
        <v>652</v>
      </c>
    </row>
    <row r="71" spans="1:2">
      <c r="A71">
        <v>66</v>
      </c>
      <c r="B71" s="21" t="s">
        <v>653</v>
      </c>
    </row>
    <row r="72" spans="1:2">
      <c r="A72">
        <v>67</v>
      </c>
      <c r="B72" s="21" t="s">
        <v>654</v>
      </c>
    </row>
    <row r="73" spans="1:2">
      <c r="A73">
        <v>68</v>
      </c>
      <c r="B73" s="21" t="s">
        <v>655</v>
      </c>
    </row>
    <row r="74" spans="1:2">
      <c r="A74">
        <v>69</v>
      </c>
      <c r="B74" s="21" t="s">
        <v>656</v>
      </c>
    </row>
    <row r="75" spans="1:2">
      <c r="A75">
        <v>70</v>
      </c>
      <c r="B75" s="21" t="s">
        <v>657</v>
      </c>
    </row>
    <row r="76" spans="1:2">
      <c r="A76">
        <v>71</v>
      </c>
      <c r="B76" s="21" t="s">
        <v>658</v>
      </c>
    </row>
    <row r="77" spans="1:2">
      <c r="A77">
        <v>72</v>
      </c>
      <c r="B77" s="21" t="s">
        <v>659</v>
      </c>
    </row>
    <row r="78" spans="1:2">
      <c r="A78">
        <v>73</v>
      </c>
      <c r="B78" s="21" t="s">
        <v>660</v>
      </c>
    </row>
    <row r="79" spans="1:2">
      <c r="A79">
        <v>74</v>
      </c>
      <c r="B79" s="21" t="s">
        <v>661</v>
      </c>
    </row>
    <row r="80" spans="1:2">
      <c r="A80">
        <v>75</v>
      </c>
      <c r="B80" s="21" t="s">
        <v>662</v>
      </c>
    </row>
    <row r="81" spans="1:2">
      <c r="A81">
        <v>76</v>
      </c>
      <c r="B81" s="21" t="s">
        <v>663</v>
      </c>
    </row>
    <row r="82" spans="1:2">
      <c r="A82">
        <v>77</v>
      </c>
      <c r="B82" s="21" t="s">
        <v>664</v>
      </c>
    </row>
    <row r="83" spans="1:2">
      <c r="A83">
        <v>78</v>
      </c>
      <c r="B83" s="21" t="s">
        <v>665</v>
      </c>
    </row>
    <row r="84" spans="1:2">
      <c r="A84">
        <v>79</v>
      </c>
      <c r="B84" s="21" t="s">
        <v>666</v>
      </c>
    </row>
    <row r="85" spans="1:2">
      <c r="A85">
        <v>80</v>
      </c>
      <c r="B85" s="21" t="s">
        <v>667</v>
      </c>
    </row>
    <row r="86" spans="1:2">
      <c r="A86">
        <v>81</v>
      </c>
      <c r="B86" s="21" t="s">
        <v>668</v>
      </c>
    </row>
    <row r="87" spans="1:2">
      <c r="A87">
        <v>82</v>
      </c>
      <c r="B87" s="21" t="s">
        <v>669</v>
      </c>
    </row>
    <row r="88" spans="1:2">
      <c r="A88">
        <v>83</v>
      </c>
      <c r="B88" s="21" t="s">
        <v>670</v>
      </c>
    </row>
    <row r="89" spans="1:2">
      <c r="A89">
        <v>84</v>
      </c>
      <c r="B89" s="21" t="s">
        <v>671</v>
      </c>
    </row>
    <row r="90" spans="1:2">
      <c r="A90">
        <v>85</v>
      </c>
      <c r="B90" s="21" t="s">
        <v>672</v>
      </c>
    </row>
    <row r="91" spans="1:2">
      <c r="A91">
        <v>86</v>
      </c>
      <c r="B91" s="21" t="s">
        <v>673</v>
      </c>
    </row>
    <row r="92" spans="1:2">
      <c r="A92">
        <v>87</v>
      </c>
      <c r="B92" s="21" t="s">
        <v>674</v>
      </c>
    </row>
    <row r="93" spans="1:2">
      <c r="A93">
        <v>88</v>
      </c>
      <c r="B93" s="21" t="s">
        <v>675</v>
      </c>
    </row>
    <row r="94" spans="1:2">
      <c r="A94">
        <v>89</v>
      </c>
      <c r="B94" s="21" t="s">
        <v>676</v>
      </c>
    </row>
    <row r="95" spans="1:2">
      <c r="A95">
        <v>90</v>
      </c>
      <c r="B95" s="21" t="s">
        <v>677</v>
      </c>
    </row>
    <row r="96" spans="1:2">
      <c r="A96">
        <v>91</v>
      </c>
      <c r="B96" s="21" t="s">
        <v>678</v>
      </c>
    </row>
    <row r="97" spans="1:2">
      <c r="A97">
        <v>92</v>
      </c>
      <c r="B97" s="21" t="s">
        <v>679</v>
      </c>
    </row>
    <row r="98" spans="1:2">
      <c r="A98">
        <v>93</v>
      </c>
      <c r="B98" s="21" t="s">
        <v>690</v>
      </c>
    </row>
    <row r="99" spans="1:2">
      <c r="A99">
        <v>94</v>
      </c>
      <c r="B99" s="21" t="s">
        <v>680</v>
      </c>
    </row>
    <row r="100" spans="1:2">
      <c r="A100">
        <v>95</v>
      </c>
      <c r="B100" s="21" t="s">
        <v>681</v>
      </c>
    </row>
    <row r="101" spans="1:2">
      <c r="A101">
        <v>96</v>
      </c>
      <c r="B101" s="21" t="s">
        <v>682</v>
      </c>
    </row>
    <row r="102" spans="1:2">
      <c r="A102">
        <v>97</v>
      </c>
      <c r="B102" s="21" t="s">
        <v>691</v>
      </c>
    </row>
  </sheetData>
  <phoneticPr fontId="28" type="noConversion"/>
  <conditionalFormatting sqref="F6:O13">
    <cfRule type="containsText" dxfId="345" priority="6" operator="containsText" text="【">
      <formula>NOT(ISERROR(SEARCH("【",F6)))</formula>
    </cfRule>
  </conditionalFormatting>
  <conditionalFormatting sqref="H6:O13">
    <cfRule type="notContainsBlanks" dxfId="344" priority="5">
      <formula>LEN(TRIM(H6))&gt;0</formula>
    </cfRule>
  </conditionalFormatting>
  <conditionalFormatting sqref="L1">
    <cfRule type="expression" dxfId="343" priority="7">
      <formula>J1="地方国企"</formula>
    </cfRule>
  </conditionalFormatting>
  <conditionalFormatting sqref="I6:O13">
    <cfRule type="expression" dxfId="342" priority="3">
      <formula>"BH4=“金融机构"</formula>
    </cfRule>
  </conditionalFormatting>
  <conditionalFormatting sqref="M6:O13">
    <cfRule type="expression" dxfId="341" priority="42">
      <formula>#REF!="地方国企"</formula>
    </cfRule>
  </conditionalFormatting>
  <conditionalFormatting sqref="L6:O13">
    <cfRule type="expression" dxfId="340" priority="43">
      <formula>K6="地方国企"</formula>
    </cfRule>
  </conditionalFormatting>
  <dataValidations count="6">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13" xr:uid="{AB340591-E1A8-4BE3-BD4F-3B0E101C3AEB}"/>
    <dataValidation type="list" allowBlank="1" showInputMessage="1" showErrorMessage="1" sqref="H1 H6:H13" xr:uid="{F037A469-7348-49F6-98DB-ECC344E64AB2}">
      <formula1>dd_板块</formula1>
    </dataValidation>
    <dataValidation type="list" allowBlank="1" showInputMessage="1" showErrorMessage="1" sqref="K1 K6:K13" xr:uid="{0C9E4653-1B82-476C-94D9-489A59AE153D}">
      <formula1>dd_中资属性</formula1>
    </dataValidation>
    <dataValidation type="list" errorStyle="warning" allowBlank="1" showInputMessage="1" showErrorMessage="1" sqref="L1 L6:L13" xr:uid="{05225E28-2840-4A52-B7A0-AB23B65A79AD}">
      <formula1>INDIRECT(K1)</formula1>
    </dataValidation>
    <dataValidation type="list" allowBlank="1" showInputMessage="1" showErrorMessage="1" sqref="I1:J1 I6:J13" xr:uid="{1F143461-67FF-4C8E-8FE4-BB75484543D0}">
      <formula1>INDIRECT(H1)</formula1>
    </dataValidation>
    <dataValidation type="list" errorStyle="warning" allowBlank="1" showInputMessage="1" showErrorMessage="1" sqref="M1 M6:M13" xr:uid="{0E8C8AA4-83C9-40EB-A88F-8737290A15AA}">
      <formula1>dd_地区</formula1>
    </dataValidation>
  </dataValidations>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24"/>
  <sheetViews>
    <sheetView workbookViewId="0">
      <selection activeCell="H29" sqref="H29"/>
    </sheetView>
  </sheetViews>
  <sheetFormatPr defaultRowHeight="15"/>
  <cols>
    <col min="1" max="3" width="4.77734375" style="1" customWidth="1"/>
    <col min="4" max="4" width="7.33203125" style="1" bestFit="1" customWidth="1"/>
    <col min="5" max="5" width="11.109375" style="1" bestFit="1" customWidth="1"/>
    <col min="6" max="6" width="10.33203125" style="1" bestFit="1" customWidth="1"/>
    <col min="7" max="7" width="13.21875" style="1" bestFit="1" customWidth="1"/>
    <col min="8" max="8" width="25.88671875" style="1" bestFit="1" customWidth="1"/>
    <col min="9" max="9" width="9.6640625" style="1" bestFit="1" customWidth="1"/>
    <col min="10" max="10" width="6.109375" style="1" bestFit="1" customWidth="1"/>
    <col min="11" max="11" width="12.21875" style="1" bestFit="1" customWidth="1"/>
    <col min="12" max="12" width="6.109375" style="1" bestFit="1" customWidth="1"/>
    <col min="13" max="13" width="19.33203125" style="1" bestFit="1" customWidth="1"/>
    <col min="14" max="16" width="8.6640625" style="1" bestFit="1" customWidth="1"/>
    <col min="17" max="16384" width="8.88671875" style="1"/>
  </cols>
  <sheetData>
    <row r="1" spans="3:14" ht="18.75" customHeight="1"/>
    <row r="2" spans="3:14" ht="54" customHeight="1">
      <c r="C2" s="5" t="s">
        <v>734</v>
      </c>
    </row>
    <row r="3" spans="3:14" ht="20.25" customHeight="1"/>
    <row r="4" spans="3:14" ht="20.25" customHeight="1"/>
    <row r="5" spans="3:14">
      <c r="D5" t="s">
        <v>82</v>
      </c>
      <c r="E5" t="s">
        <v>261</v>
      </c>
      <c r="F5" t="s">
        <v>46</v>
      </c>
      <c r="G5" t="s">
        <v>45</v>
      </c>
      <c r="H5" t="s">
        <v>90</v>
      </c>
      <c r="I5" t="s">
        <v>117</v>
      </c>
      <c r="J5" t="s">
        <v>61</v>
      </c>
      <c r="K5" t="s">
        <v>54</v>
      </c>
      <c r="L5" t="s">
        <v>83</v>
      </c>
      <c r="M5" t="s">
        <v>119</v>
      </c>
      <c r="N5" t="s">
        <v>468</v>
      </c>
    </row>
    <row r="6" spans="3:14">
      <c r="D6">
        <v>4</v>
      </c>
      <c r="E6" s="178" t="s">
        <v>465</v>
      </c>
      <c r="F6" s="30">
        <v>45308</v>
      </c>
      <c r="G6" t="s">
        <v>1102</v>
      </c>
      <c r="H6" t="s">
        <v>701</v>
      </c>
      <c r="I6" s="178" t="s">
        <v>1208</v>
      </c>
      <c r="J6" s="178" t="s">
        <v>81</v>
      </c>
      <c r="K6" s="178">
        <v>0.1</v>
      </c>
      <c r="L6" s="178" t="s">
        <v>774</v>
      </c>
      <c r="M6" s="178" t="s">
        <v>1103</v>
      </c>
      <c r="N6" s="178" t="s">
        <v>1151</v>
      </c>
    </row>
    <row r="7" spans="3:14">
      <c r="D7">
        <v>3</v>
      </c>
      <c r="E7" s="178" t="s">
        <v>465</v>
      </c>
      <c r="F7" s="30">
        <v>45308</v>
      </c>
      <c r="G7" t="s">
        <v>1104</v>
      </c>
      <c r="H7" t="s">
        <v>701</v>
      </c>
      <c r="I7" s="178" t="s">
        <v>1208</v>
      </c>
      <c r="J7" s="178" t="s">
        <v>102</v>
      </c>
      <c r="K7" s="178">
        <v>1.2</v>
      </c>
      <c r="L7" s="178" t="s">
        <v>776</v>
      </c>
      <c r="M7" s="178" t="s">
        <v>1105</v>
      </c>
      <c r="N7" s="178" t="s">
        <v>1151</v>
      </c>
    </row>
    <row r="8" spans="3:14">
      <c r="D8">
        <v>2</v>
      </c>
      <c r="E8" s="178" t="s">
        <v>465</v>
      </c>
      <c r="F8" s="30">
        <v>45303</v>
      </c>
      <c r="G8" t="s">
        <v>1231</v>
      </c>
      <c r="H8" t="s">
        <v>701</v>
      </c>
      <c r="I8" s="178" t="s">
        <v>1208</v>
      </c>
      <c r="J8" s="178" t="s">
        <v>81</v>
      </c>
      <c r="K8" s="178">
        <v>0.15</v>
      </c>
      <c r="L8" s="178" t="s">
        <v>1145</v>
      </c>
      <c r="M8" s="178" t="s">
        <v>1234</v>
      </c>
      <c r="N8" s="178" t="s">
        <v>1151</v>
      </c>
    </row>
    <row r="9" spans="3:14">
      <c r="D9">
        <v>1</v>
      </c>
      <c r="E9" s="178" t="s">
        <v>465</v>
      </c>
      <c r="F9" s="30">
        <v>45289</v>
      </c>
      <c r="G9" t="s">
        <v>1640</v>
      </c>
      <c r="H9" t="s">
        <v>1638</v>
      </c>
      <c r="I9" s="178" t="s">
        <v>1208</v>
      </c>
      <c r="J9" s="178" t="s">
        <v>104</v>
      </c>
      <c r="K9" s="178">
        <v>0.1</v>
      </c>
      <c r="L9" s="178" t="s">
        <v>776</v>
      </c>
      <c r="M9" s="178" t="s">
        <v>1647</v>
      </c>
      <c r="N9" s="178" t="s">
        <v>1151</v>
      </c>
    </row>
    <row r="14" spans="3:14">
      <c r="D14" s="140" t="s">
        <v>82</v>
      </c>
      <c r="E14" s="140" t="s">
        <v>261</v>
      </c>
      <c r="F14" s="140" t="s">
        <v>46</v>
      </c>
      <c r="G14" s="140" t="s">
        <v>45</v>
      </c>
      <c r="H14" s="140" t="s">
        <v>90</v>
      </c>
      <c r="I14" s="140" t="s">
        <v>117</v>
      </c>
      <c r="J14" s="140" t="s">
        <v>61</v>
      </c>
      <c r="K14" s="140" t="s">
        <v>54</v>
      </c>
      <c r="L14" s="140" t="s">
        <v>83</v>
      </c>
      <c r="M14" s="140" t="s">
        <v>119</v>
      </c>
      <c r="N14" s="140" t="s">
        <v>468</v>
      </c>
    </row>
    <row r="15" spans="3:14">
      <c r="D15" s="140">
        <v>4</v>
      </c>
      <c r="E15" s="140" t="s">
        <v>465</v>
      </c>
      <c r="F15" s="140">
        <v>45308</v>
      </c>
      <c r="G15" s="140" t="s">
        <v>1102</v>
      </c>
      <c r="H15" s="140" t="s">
        <v>701</v>
      </c>
      <c r="I15" s="140" t="s">
        <v>1208</v>
      </c>
      <c r="J15" s="140" t="s">
        <v>81</v>
      </c>
      <c r="K15" s="140">
        <v>0.1</v>
      </c>
      <c r="L15" s="140" t="s">
        <v>774</v>
      </c>
      <c r="M15" s="140" t="s">
        <v>1103</v>
      </c>
      <c r="N15" s="140" t="s">
        <v>1151</v>
      </c>
    </row>
    <row r="16" spans="3:14">
      <c r="D16" s="140">
        <v>3</v>
      </c>
      <c r="E16" s="140" t="s">
        <v>465</v>
      </c>
      <c r="F16" s="140">
        <v>45308</v>
      </c>
      <c r="G16" s="140" t="s">
        <v>1104</v>
      </c>
      <c r="H16" s="140" t="s">
        <v>701</v>
      </c>
      <c r="I16" s="140" t="s">
        <v>1208</v>
      </c>
      <c r="J16" s="140" t="s">
        <v>102</v>
      </c>
      <c r="K16" s="140">
        <v>1.2</v>
      </c>
      <c r="L16" s="140" t="s">
        <v>776</v>
      </c>
      <c r="M16" s="140" t="s">
        <v>1105</v>
      </c>
      <c r="N16" s="140" t="s">
        <v>1151</v>
      </c>
    </row>
    <row r="17" spans="4:14">
      <c r="D17" s="140">
        <v>2</v>
      </c>
      <c r="E17" s="140" t="s">
        <v>465</v>
      </c>
      <c r="F17" s="140">
        <v>45303</v>
      </c>
      <c r="G17" s="140" t="s">
        <v>1231</v>
      </c>
      <c r="H17" s="140" t="s">
        <v>701</v>
      </c>
      <c r="I17" s="140" t="s">
        <v>1208</v>
      </c>
      <c r="J17" s="140" t="s">
        <v>81</v>
      </c>
      <c r="K17" s="140">
        <v>0.15</v>
      </c>
      <c r="L17" s="140" t="s">
        <v>1145</v>
      </c>
      <c r="M17" s="140" t="s">
        <v>1234</v>
      </c>
      <c r="N17" s="140" t="s">
        <v>1151</v>
      </c>
    </row>
    <row r="18" spans="4:14">
      <c r="D18" s="140">
        <v>1</v>
      </c>
      <c r="E18" s="140" t="s">
        <v>465</v>
      </c>
      <c r="F18" s="140">
        <v>45289</v>
      </c>
      <c r="G18" s="140" t="s">
        <v>1640</v>
      </c>
      <c r="H18" s="140" t="s">
        <v>1638</v>
      </c>
      <c r="I18" s="140" t="s">
        <v>1208</v>
      </c>
      <c r="J18" s="140" t="s">
        <v>104</v>
      </c>
      <c r="K18" s="140">
        <v>0.1</v>
      </c>
      <c r="L18" s="140" t="s">
        <v>776</v>
      </c>
      <c r="M18" s="140" t="s">
        <v>1647</v>
      </c>
      <c r="N18" s="140" t="s">
        <v>1151</v>
      </c>
    </row>
    <row r="19" spans="4:14">
      <c r="D19" s="140"/>
      <c r="E19" s="140"/>
      <c r="F19" s="140"/>
      <c r="G19" s="140"/>
      <c r="H19" s="140"/>
      <c r="I19" s="140"/>
      <c r="J19" s="140"/>
      <c r="K19" s="140"/>
      <c r="L19" s="140"/>
      <c r="M19" s="140"/>
      <c r="N19" s="140"/>
    </row>
    <row r="20" spans="4:14">
      <c r="D20" s="140"/>
      <c r="E20" s="140"/>
      <c r="F20" s="140"/>
      <c r="G20" s="140"/>
      <c r="H20" s="140"/>
      <c r="I20" s="140"/>
      <c r="J20" s="140"/>
      <c r="K20" s="140"/>
      <c r="L20" s="140"/>
      <c r="M20" s="140"/>
      <c r="N20" s="140"/>
    </row>
    <row r="21" spans="4:14">
      <c r="D21" s="140"/>
      <c r="E21" s="140"/>
      <c r="F21" s="140"/>
      <c r="G21" s="140"/>
      <c r="H21" s="140"/>
      <c r="I21" s="140"/>
      <c r="J21" s="140"/>
      <c r="K21" s="140"/>
      <c r="L21" s="140"/>
      <c r="M21" s="140"/>
      <c r="N21" s="140"/>
    </row>
    <row r="22" spans="4:14">
      <c r="D22" s="140"/>
      <c r="E22" s="140"/>
      <c r="F22" s="140"/>
      <c r="G22" s="140"/>
      <c r="H22" s="140"/>
      <c r="I22" s="140"/>
      <c r="J22" s="140"/>
      <c r="K22" s="140"/>
      <c r="L22" s="140"/>
      <c r="M22" s="140"/>
      <c r="N22" s="140"/>
    </row>
    <row r="23" spans="4:14">
      <c r="D23" s="140"/>
      <c r="E23" s="140"/>
      <c r="F23" s="140"/>
      <c r="G23" s="140"/>
      <c r="H23" s="140"/>
      <c r="I23" s="140"/>
      <c r="J23" s="140"/>
      <c r="K23" s="140"/>
      <c r="L23" s="140"/>
      <c r="M23" s="140"/>
      <c r="N23" s="140"/>
    </row>
    <row r="24" spans="4:14">
      <c r="D24" s="140"/>
      <c r="E24" s="140"/>
      <c r="F24" s="140"/>
      <c r="G24" s="140"/>
      <c r="H24" s="140"/>
      <c r="I24" s="140"/>
      <c r="J24" s="140"/>
      <c r="K24" s="140"/>
      <c r="L24" s="140"/>
      <c r="M24" s="140"/>
      <c r="N24" s="140"/>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7"/>
  <sheetViews>
    <sheetView topLeftCell="A2" workbookViewId="0">
      <selection activeCell="G8" sqref="G8"/>
    </sheetView>
  </sheetViews>
  <sheetFormatPr defaultRowHeight="15" outlineLevelRow="1"/>
  <cols>
    <col min="1" max="3" width="4.21875" style="1" customWidth="1"/>
    <col min="4" max="4" width="7.109375" style="1" bestFit="1" customWidth="1"/>
    <col min="5" max="5" width="7.6640625" style="1" bestFit="1" customWidth="1"/>
    <col min="6" max="6" width="7" style="1" bestFit="1" customWidth="1"/>
    <col min="7" max="7" width="33.21875" style="1" bestFit="1" customWidth="1"/>
    <col min="8" max="8" width="13.33203125" style="1" bestFit="1" customWidth="1"/>
    <col min="9" max="9" width="9.33203125" style="1" bestFit="1" customWidth="1"/>
    <col min="10" max="10" width="9.21875" style="1" bestFit="1" customWidth="1"/>
    <col min="11" max="11" width="13.5546875" style="1" bestFit="1" customWidth="1"/>
    <col min="12" max="12" width="5.44140625" style="1" bestFit="1" customWidth="1"/>
    <col min="13" max="13" width="11.44140625" style="1" bestFit="1" customWidth="1"/>
    <col min="14" max="14" width="9.21875" style="1" bestFit="1" customWidth="1"/>
    <col min="15" max="15" width="15.21875" style="1" bestFit="1" customWidth="1"/>
    <col min="16" max="16" width="5.88671875" style="1" bestFit="1" customWidth="1"/>
    <col min="17" max="17" width="11.109375" style="1" bestFit="1" customWidth="1"/>
    <col min="18" max="18" width="9.21875" style="1" bestFit="1" customWidth="1"/>
    <col min="19" max="19" width="8.77734375" style="1" bestFit="1" customWidth="1"/>
    <col min="20" max="20" width="9.21875" style="1" bestFit="1" customWidth="1"/>
    <col min="21" max="21" width="19.44140625" style="1" customWidth="1"/>
    <col min="22" max="22" width="19.44140625" style="1" bestFit="1" customWidth="1"/>
    <col min="23" max="16384" width="8.88671875" style="1"/>
  </cols>
  <sheetData>
    <row r="1" spans="3:22" ht="30" hidden="1" customHeight="1" outlineLevel="1">
      <c r="J1" s="124" t="s">
        <v>488</v>
      </c>
      <c r="K1" s="124" t="s">
        <v>136</v>
      </c>
      <c r="L1" s="125" t="s">
        <v>135</v>
      </c>
      <c r="M1" s="124" t="s">
        <v>145</v>
      </c>
      <c r="N1" s="125" t="s">
        <v>134</v>
      </c>
      <c r="O1" s="124" t="s">
        <v>126</v>
      </c>
      <c r="P1" s="126" t="s">
        <v>161</v>
      </c>
      <c r="Q1" s="126" t="s">
        <v>162</v>
      </c>
      <c r="R1" s="127" t="s">
        <v>163</v>
      </c>
      <c r="S1" s="128"/>
    </row>
    <row r="2" spans="3:22" ht="36" collapsed="1">
      <c r="C2" s="32" t="s">
        <v>1194</v>
      </c>
    </row>
    <row r="3" spans="3:22" ht="30" customHeight="1"/>
    <row r="4" spans="3:22" ht="30" customHeight="1"/>
    <row r="5" spans="3:22">
      <c r="D5" s="190" t="s">
        <v>82</v>
      </c>
      <c r="E5" s="191" t="s">
        <v>466</v>
      </c>
      <c r="F5" s="191" t="s">
        <v>721</v>
      </c>
      <c r="G5" s="191" t="s">
        <v>44</v>
      </c>
      <c r="H5" s="190" t="s">
        <v>45</v>
      </c>
      <c r="I5" s="190" t="s">
        <v>46</v>
      </c>
      <c r="J5" s="192" t="s">
        <v>165</v>
      </c>
      <c r="K5" s="192" t="s">
        <v>150</v>
      </c>
      <c r="L5" s="191" t="s">
        <v>488</v>
      </c>
      <c r="M5" s="192" t="s">
        <v>136</v>
      </c>
      <c r="N5" s="190" t="s">
        <v>135</v>
      </c>
      <c r="O5" s="192" t="s">
        <v>145</v>
      </c>
      <c r="P5" s="192" t="s">
        <v>134</v>
      </c>
      <c r="Q5" s="190" t="s">
        <v>126</v>
      </c>
      <c r="R5" s="192" t="s">
        <v>161</v>
      </c>
      <c r="S5" s="192" t="s">
        <v>162</v>
      </c>
      <c r="T5" s="192" t="s">
        <v>163</v>
      </c>
      <c r="U5" s="190" t="s">
        <v>119</v>
      </c>
      <c r="V5"/>
    </row>
    <row r="6" spans="3:22">
      <c r="D6" s="193">
        <v>3</v>
      </c>
      <c r="E6" s="194" t="s">
        <v>88</v>
      </c>
      <c r="F6" s="191" t="s">
        <v>88</v>
      </c>
      <c r="G6" s="191" t="s">
        <v>1715</v>
      </c>
      <c r="H6" s="193" t="s">
        <v>1712</v>
      </c>
      <c r="I6" s="195">
        <v>45310</v>
      </c>
      <c r="J6" s="193" t="s">
        <v>88</v>
      </c>
      <c r="K6" s="193" t="s">
        <v>88</v>
      </c>
      <c r="L6" s="196" t="s">
        <v>88</v>
      </c>
      <c r="M6" s="196" t="s">
        <v>88</v>
      </c>
      <c r="N6" s="197" t="s">
        <v>88</v>
      </c>
      <c r="O6" s="196" t="s">
        <v>88</v>
      </c>
      <c r="P6" s="197" t="s">
        <v>88</v>
      </c>
      <c r="Q6" s="196" t="s">
        <v>88</v>
      </c>
      <c r="R6" s="198" t="s">
        <v>88</v>
      </c>
      <c r="S6" s="198" t="s">
        <v>88</v>
      </c>
      <c r="T6" s="196" t="s">
        <v>6</v>
      </c>
      <c r="U6" s="193" t="s">
        <v>1713</v>
      </c>
      <c r="V6"/>
    </row>
    <row r="7" spans="3:22">
      <c r="D7" s="193">
        <v>2</v>
      </c>
      <c r="E7" s="194" t="s">
        <v>779</v>
      </c>
      <c r="F7" s="191" t="s">
        <v>779</v>
      </c>
      <c r="G7" s="191" t="s">
        <v>1153</v>
      </c>
      <c r="H7" s="193" t="s">
        <v>1152</v>
      </c>
      <c r="I7" s="195">
        <v>45309</v>
      </c>
      <c r="J7" s="193" t="s">
        <v>1170</v>
      </c>
      <c r="K7" s="193" t="s">
        <v>1159</v>
      </c>
      <c r="L7" s="196" t="s">
        <v>4</v>
      </c>
      <c r="M7" s="196" t="s">
        <v>147</v>
      </c>
      <c r="N7" s="196" t="s">
        <v>143</v>
      </c>
      <c r="O7" s="196" t="s">
        <v>1159</v>
      </c>
      <c r="P7" s="196" t="s">
        <v>6</v>
      </c>
      <c r="Q7" s="196" t="s">
        <v>127</v>
      </c>
      <c r="R7" s="193" t="s">
        <v>6</v>
      </c>
      <c r="S7" s="193" t="s">
        <v>88</v>
      </c>
      <c r="T7" s="196" t="s">
        <v>6</v>
      </c>
      <c r="U7" s="193" t="s">
        <v>1154</v>
      </c>
      <c r="V7"/>
    </row>
    <row r="8" spans="3:22">
      <c r="D8" s="193">
        <v>1</v>
      </c>
      <c r="E8" s="194" t="s">
        <v>779</v>
      </c>
      <c r="F8" s="191" t="s">
        <v>779</v>
      </c>
      <c r="G8" s="191" t="s">
        <v>1262</v>
      </c>
      <c r="H8" s="193" t="s">
        <v>793</v>
      </c>
      <c r="I8" s="195">
        <v>45303</v>
      </c>
      <c r="J8" s="193" t="s">
        <v>805</v>
      </c>
      <c r="K8" s="193" t="s">
        <v>1171</v>
      </c>
      <c r="L8" s="196" t="s">
        <v>88</v>
      </c>
      <c r="M8" s="196" t="s">
        <v>147</v>
      </c>
      <c r="N8" s="196" t="s">
        <v>143</v>
      </c>
      <c r="O8" s="196" t="s">
        <v>88</v>
      </c>
      <c r="P8" s="196" t="s">
        <v>88</v>
      </c>
      <c r="Q8" s="196" t="s">
        <v>127</v>
      </c>
      <c r="R8" s="193" t="s">
        <v>6</v>
      </c>
      <c r="S8" s="193" t="s">
        <v>88</v>
      </c>
      <c r="T8" s="196" t="s">
        <v>6</v>
      </c>
      <c r="U8" s="193" t="s">
        <v>1273</v>
      </c>
      <c r="V8"/>
    </row>
    <row r="13" spans="3:22">
      <c r="D13" s="140" t="s">
        <v>82</v>
      </c>
      <c r="E13" s="140" t="s">
        <v>44</v>
      </c>
      <c r="F13" s="140" t="s">
        <v>45</v>
      </c>
      <c r="G13" s="140" t="s">
        <v>46</v>
      </c>
      <c r="H13" s="140" t="s">
        <v>165</v>
      </c>
      <c r="I13" s="140" t="s">
        <v>150</v>
      </c>
      <c r="J13" s="140" t="s">
        <v>488</v>
      </c>
      <c r="K13" s="140" t="s">
        <v>136</v>
      </c>
      <c r="L13" s="140" t="s">
        <v>135</v>
      </c>
      <c r="M13" s="140" t="s">
        <v>145</v>
      </c>
      <c r="N13" s="140" t="s">
        <v>134</v>
      </c>
      <c r="O13" s="140" t="s">
        <v>126</v>
      </c>
      <c r="P13" s="140" t="s">
        <v>161</v>
      </c>
      <c r="Q13" s="140" t="s">
        <v>162</v>
      </c>
      <c r="R13" s="140" t="s">
        <v>163</v>
      </c>
      <c r="S13" s="140" t="s">
        <v>119</v>
      </c>
    </row>
    <row r="14" spans="3:22">
      <c r="D14" s="140">
        <v>2</v>
      </c>
      <c r="E14" s="140" t="s">
        <v>1153</v>
      </c>
      <c r="F14" s="140" t="s">
        <v>1152</v>
      </c>
      <c r="G14" s="140">
        <v>45309</v>
      </c>
      <c r="H14" s="140" t="s">
        <v>1170</v>
      </c>
      <c r="I14" s="140" t="s">
        <v>1159</v>
      </c>
      <c r="J14" s="140" t="s">
        <v>4</v>
      </c>
      <c r="K14" s="140" t="s">
        <v>147</v>
      </c>
      <c r="L14" s="140" t="s">
        <v>143</v>
      </c>
      <c r="M14" s="140" t="s">
        <v>1159</v>
      </c>
      <c r="N14" s="140" t="s">
        <v>6</v>
      </c>
      <c r="O14" s="140" t="s">
        <v>127</v>
      </c>
      <c r="P14" s="140" t="s">
        <v>6</v>
      </c>
      <c r="Q14" s="140" t="s">
        <v>88</v>
      </c>
      <c r="R14" s="140" t="s">
        <v>6</v>
      </c>
      <c r="S14" s="140" t="s">
        <v>1154</v>
      </c>
    </row>
    <row r="15" spans="3:22">
      <c r="D15" s="140">
        <v>1</v>
      </c>
      <c r="E15" s="140" t="s">
        <v>1262</v>
      </c>
      <c r="F15" s="140" t="s">
        <v>793</v>
      </c>
      <c r="G15" s="140">
        <v>45303</v>
      </c>
      <c r="H15" s="140" t="s">
        <v>805</v>
      </c>
      <c r="I15" s="140" t="s">
        <v>1171</v>
      </c>
      <c r="J15" s="140" t="s">
        <v>88</v>
      </c>
      <c r="K15" s="140" t="s">
        <v>147</v>
      </c>
      <c r="L15" s="140" t="s">
        <v>143</v>
      </c>
      <c r="M15" s="140" t="s">
        <v>88</v>
      </c>
      <c r="N15" s="140" t="s">
        <v>88</v>
      </c>
      <c r="O15" s="140" t="s">
        <v>127</v>
      </c>
      <c r="P15" s="140" t="s">
        <v>6</v>
      </c>
      <c r="Q15" s="140" t="s">
        <v>88</v>
      </c>
      <c r="R15" s="140" t="s">
        <v>6</v>
      </c>
      <c r="S15" s="140" t="s">
        <v>1273</v>
      </c>
    </row>
    <row r="16" spans="3:22">
      <c r="D16" s="140"/>
      <c r="E16" s="140"/>
      <c r="F16" s="140"/>
      <c r="G16" s="140"/>
      <c r="H16" s="140"/>
      <c r="I16" s="140"/>
      <c r="J16" s="140"/>
      <c r="K16" s="140"/>
      <c r="L16" s="140"/>
      <c r="M16" s="140"/>
      <c r="N16" s="140"/>
      <c r="O16" s="140"/>
      <c r="P16" s="140"/>
      <c r="Q16" s="140"/>
      <c r="R16" s="140"/>
      <c r="S16" s="140"/>
    </row>
    <row r="17" spans="4:19">
      <c r="D17" s="140"/>
      <c r="E17" s="140"/>
      <c r="F17" s="140"/>
      <c r="G17" s="140"/>
      <c r="H17" s="140"/>
      <c r="I17" s="140"/>
      <c r="J17" s="140"/>
      <c r="K17" s="140"/>
      <c r="L17" s="140"/>
      <c r="M17" s="140"/>
      <c r="N17" s="140"/>
      <c r="O17" s="140"/>
      <c r="P17" s="140"/>
      <c r="Q17" s="140"/>
      <c r="R17" s="140"/>
      <c r="S17" s="140"/>
    </row>
  </sheetData>
  <conditionalFormatting sqref="J6:J8 L6:T8">
    <cfRule type="containsText" dxfId="322" priority="15" operator="containsText" text="【">
      <formula>NOT(ISERROR(SEARCH("【",J6)))</formula>
    </cfRule>
    <cfRule type="notContainsBlanks" dxfId="321" priority="21">
      <formula>LEN(TRIM(J6))&gt;0</formula>
    </cfRule>
  </conditionalFormatting>
  <conditionalFormatting sqref="K1:L1">
    <cfRule type="containsText" dxfId="320" priority="14" operator="containsText" text="【">
      <formula>NOT(ISERROR(SEARCH("【",K1)))</formula>
    </cfRule>
  </conditionalFormatting>
  <conditionalFormatting sqref="J1 L5:L8">
    <cfRule type="containsText" dxfId="319" priority="9" operator="containsText" text="KT">
      <formula>NOT(ISERROR(SEARCH("KT",J1)))</formula>
    </cfRule>
    <cfRule type="containsText" dxfId="318" priority="10" operator="containsText" text="JH">
      <formula>NOT(ISERROR(SEARCH("JH",J1)))</formula>
    </cfRule>
    <cfRule type="containsText" dxfId="317" priority="11" operator="containsText" text="CL">
      <formula>NOT(ISERROR(SEARCH("CL",J1)))</formula>
    </cfRule>
    <cfRule type="containsText" dxfId="316" priority="12" operator="containsText" text="CY">
      <formula>NOT(ISERROR(SEARCH("CY",J1)))</formula>
    </cfRule>
    <cfRule type="containsText" dxfId="315" priority="13" operator="containsText" text="ES">
      <formula>NOT(ISERROR(SEARCH("ES",J1)))</formula>
    </cfRule>
  </conditionalFormatting>
  <dataValidations count="7">
    <dataValidation type="list" allowBlank="1" showInputMessage="1" showErrorMessage="1" promptTitle="Lead已改为Active" prompt="." sqref="P1 R6:R8" xr:uid="{7429EAF8-6D17-4C2D-9127-2379AE383407}">
      <formula1>"--,Sole,Left-lead,Active"</formula1>
    </dataValidation>
    <dataValidation type="list" allowBlank="1" showErrorMessage="1" promptTitle="⚠️Change Updator" prompt="will wipe out  last week's results" sqref="J1 L6:L8" xr:uid="{B47E5432-A2CD-4006-AD72-67D938D19C7B}">
      <formula1>dd_updator</formula1>
    </dataValidation>
    <dataValidation type="list" allowBlank="1" showInputMessage="1" showErrorMessage="1" sqref="L1 N6:N8" xr:uid="{D483FBAF-C589-4FDA-951E-475E00E9CC46}">
      <formula1>dd_sfcrole</formula1>
    </dataValidation>
    <dataValidation type="list" allowBlank="1" showInputMessage="1" showErrorMessage="1" sqref="K1 M6:M8" xr:uid="{4C02A8CA-D2DA-4718-B5F6-19141C523CBF}">
      <formula1>dd_coverage</formula1>
    </dataValidation>
    <dataValidation type="list" allowBlank="1" showInputMessage="1" sqref="O1 Q6:Q8" xr:uid="{9F2FD761-8103-432C-9822-3009250ECF22}">
      <formula1>dd_BISL_ROLE</formula1>
    </dataValidation>
    <dataValidation type="list" allowBlank="1" showInputMessage="1" showErrorMessage="1" sqref="R1 T6:T8" xr:uid="{5AFEBE8F-C16E-4FEC-93DE-E79A019A5E08}">
      <formula1>"合名,--"</formula1>
    </dataValidation>
    <dataValidation type="list" allowBlank="1" showInputMessage="1" showErrorMessage="1" sqref="Q1 S6:S8" xr:uid="{1001ED4B-38F2-46A5-B0E3-F6D94808B665}">
      <formula1>"--,B&amp;D FOP,B&amp;D DvP,Arranger,DM,CCDC"</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4C4A-73D7-46C4-A9C9-BE908E807DCC}">
  <sheetPr codeName="Sheet4">
    <tabColor rgb="FFE1E1E9"/>
  </sheetPr>
  <dimension ref="C1:R11"/>
  <sheetViews>
    <sheetView workbookViewId="0">
      <selection activeCell="BT1" sqref="BS1:BT2"/>
    </sheetView>
  </sheetViews>
  <sheetFormatPr defaultRowHeight="15"/>
  <cols>
    <col min="1" max="2" width="8.88671875" style="1"/>
    <col min="3" max="3" width="7.33203125" style="1" bestFit="1" customWidth="1"/>
    <col min="4" max="4" width="13.33203125" style="1" bestFit="1" customWidth="1"/>
    <col min="5" max="5" width="8.33203125" style="1" bestFit="1" customWidth="1"/>
    <col min="6" max="6" width="29" style="1" bestFit="1" customWidth="1"/>
    <col min="7" max="7" width="5.6640625" style="1" bestFit="1" customWidth="1"/>
    <col min="8" max="9" width="6.77734375" style="1" bestFit="1" customWidth="1"/>
    <col min="10" max="10" width="10.5546875" style="1" bestFit="1" customWidth="1"/>
    <col min="11" max="11" width="12.77734375" style="1" bestFit="1" customWidth="1"/>
    <col min="12" max="13" width="11.109375" style="1" bestFit="1" customWidth="1"/>
    <col min="14" max="14" width="6.109375" style="1" bestFit="1" customWidth="1"/>
    <col min="15" max="15" width="9.44140625" style="1" bestFit="1" customWidth="1"/>
    <col min="16" max="16" width="10.109375" style="1" bestFit="1" customWidth="1"/>
    <col min="17" max="17" width="19.77734375" style="1" bestFit="1" customWidth="1"/>
    <col min="18" max="18" width="19.44140625" style="1" bestFit="1" customWidth="1"/>
    <col min="19" max="16384" width="8.88671875" style="1"/>
  </cols>
  <sheetData>
    <row r="1" spans="3:18" ht="37.5" customHeight="1"/>
    <row r="2" spans="3:18" ht="37.5" customHeight="1">
      <c r="C2" s="31" t="s">
        <v>733</v>
      </c>
    </row>
    <row r="3" spans="3:18" ht="52.5" customHeight="1"/>
    <row r="4" spans="3:18" ht="52.5" customHeight="1">
      <c r="G4" s="202" t="s">
        <v>732</v>
      </c>
      <c r="H4" s="202"/>
      <c r="I4" s="202"/>
      <c r="J4" s="202"/>
      <c r="K4" s="202"/>
      <c r="L4" s="202"/>
      <c r="M4" s="202"/>
    </row>
    <row r="5" spans="3:18">
      <c r="C5" s="108" t="s">
        <v>82</v>
      </c>
      <c r="D5" s="108" t="s">
        <v>45</v>
      </c>
      <c r="E5" s="108" t="s">
        <v>46</v>
      </c>
      <c r="F5" t="s">
        <v>44</v>
      </c>
      <c r="G5" t="s">
        <v>84</v>
      </c>
      <c r="H5" t="s">
        <v>50</v>
      </c>
      <c r="I5" t="s">
        <v>130</v>
      </c>
      <c r="J5" s="108" t="s">
        <v>114</v>
      </c>
      <c r="K5" s="108" t="s">
        <v>176</v>
      </c>
      <c r="L5" s="108" t="s">
        <v>177</v>
      </c>
      <c r="M5" s="108" t="s">
        <v>178</v>
      </c>
      <c r="N5" s="108" t="s">
        <v>61</v>
      </c>
      <c r="O5" t="s">
        <v>696</v>
      </c>
      <c r="P5" t="s">
        <v>167</v>
      </c>
      <c r="Q5" t="s">
        <v>168</v>
      </c>
      <c r="R5" s="108" t="s">
        <v>119</v>
      </c>
    </row>
    <row r="6" spans="3:18">
      <c r="C6">
        <v>6</v>
      </c>
      <c r="D6" s="108" t="s">
        <v>743</v>
      </c>
      <c r="E6" s="109">
        <v>45295</v>
      </c>
      <c r="F6" t="s">
        <v>744</v>
      </c>
      <c r="G6" t="s">
        <v>737</v>
      </c>
      <c r="H6" t="s">
        <v>747</v>
      </c>
      <c r="I6" s="108" t="s">
        <v>747</v>
      </c>
      <c r="J6" s="29"/>
      <c r="K6" s="29"/>
      <c r="L6" s="110" t="s">
        <v>88</v>
      </c>
      <c r="M6" s="110" t="s">
        <v>88</v>
      </c>
      <c r="N6" s="108" t="s">
        <v>81</v>
      </c>
      <c r="O6" s="108" t="s">
        <v>88</v>
      </c>
      <c r="P6" s="29" t="s">
        <v>745</v>
      </c>
      <c r="Q6" s="29" t="s">
        <v>746</v>
      </c>
      <c r="R6" t="s">
        <v>748</v>
      </c>
    </row>
    <row r="7" spans="3:18">
      <c r="C7">
        <v>5</v>
      </c>
      <c r="D7" s="108" t="s">
        <v>755</v>
      </c>
      <c r="E7" s="109">
        <v>45294</v>
      </c>
      <c r="F7" t="s">
        <v>756</v>
      </c>
      <c r="G7" t="s">
        <v>765</v>
      </c>
      <c r="H7" t="s">
        <v>766</v>
      </c>
      <c r="I7" t="s">
        <v>766</v>
      </c>
      <c r="J7" s="29"/>
      <c r="K7" s="29"/>
      <c r="L7" s="110" t="s">
        <v>88</v>
      </c>
      <c r="M7" s="110" t="s">
        <v>88</v>
      </c>
      <c r="N7" s="108" t="s">
        <v>102</v>
      </c>
      <c r="O7" s="108" t="s">
        <v>88</v>
      </c>
      <c r="P7" s="29" t="s">
        <v>757</v>
      </c>
      <c r="Q7" s="29" t="s">
        <v>758</v>
      </c>
      <c r="R7" t="s">
        <v>759</v>
      </c>
    </row>
    <row r="8" spans="3:18">
      <c r="C8">
        <v>4</v>
      </c>
      <c r="D8" s="108" t="s">
        <v>741</v>
      </c>
      <c r="E8" s="109">
        <v>45294</v>
      </c>
      <c r="F8" t="s">
        <v>739</v>
      </c>
      <c r="G8" t="s">
        <v>88</v>
      </c>
      <c r="H8" s="108" t="s">
        <v>88</v>
      </c>
      <c r="I8" s="108" t="s">
        <v>88</v>
      </c>
      <c r="J8" s="29"/>
      <c r="K8" s="29"/>
      <c r="L8" s="110" t="s">
        <v>88</v>
      </c>
      <c r="M8" s="110" t="s">
        <v>88</v>
      </c>
      <c r="N8" s="108" t="s">
        <v>102</v>
      </c>
      <c r="O8" s="108" t="s">
        <v>88</v>
      </c>
      <c r="P8" s="29" t="s">
        <v>88</v>
      </c>
      <c r="Q8" s="29" t="s">
        <v>88</v>
      </c>
      <c r="R8" t="s">
        <v>742</v>
      </c>
    </row>
    <row r="9" spans="3:18">
      <c r="C9">
        <v>3</v>
      </c>
      <c r="D9" s="108" t="s">
        <v>738</v>
      </c>
      <c r="E9" s="109">
        <v>45294</v>
      </c>
      <c r="F9" t="s">
        <v>739</v>
      </c>
      <c r="G9" t="s">
        <v>88</v>
      </c>
      <c r="H9" t="s">
        <v>88</v>
      </c>
      <c r="I9" t="s">
        <v>88</v>
      </c>
      <c r="J9" s="29"/>
      <c r="K9" s="29"/>
      <c r="L9" s="110" t="s">
        <v>88</v>
      </c>
      <c r="M9" s="110" t="s">
        <v>88</v>
      </c>
      <c r="N9" s="108" t="s">
        <v>102</v>
      </c>
      <c r="O9" s="108" t="s">
        <v>88</v>
      </c>
      <c r="P9" s="29" t="s">
        <v>88</v>
      </c>
      <c r="Q9" s="29" t="s">
        <v>88</v>
      </c>
      <c r="R9" t="s">
        <v>740</v>
      </c>
    </row>
    <row r="10" spans="3:18">
      <c r="C10">
        <v>2</v>
      </c>
      <c r="D10" s="108" t="s">
        <v>749</v>
      </c>
      <c r="E10" s="109">
        <v>45294</v>
      </c>
      <c r="F10" t="s">
        <v>750</v>
      </c>
      <c r="G10" t="s">
        <v>736</v>
      </c>
      <c r="H10" t="s">
        <v>753</v>
      </c>
      <c r="I10" t="s">
        <v>753</v>
      </c>
      <c r="J10" s="29"/>
      <c r="K10" s="29"/>
      <c r="L10" s="110" t="s">
        <v>88</v>
      </c>
      <c r="M10" s="110" t="s">
        <v>88</v>
      </c>
      <c r="N10" s="108" t="s">
        <v>102</v>
      </c>
      <c r="O10" s="108" t="s">
        <v>88</v>
      </c>
      <c r="P10" s="29" t="s">
        <v>751</v>
      </c>
      <c r="Q10" s="29" t="s">
        <v>752</v>
      </c>
      <c r="R10" t="s">
        <v>754</v>
      </c>
    </row>
    <row r="11" spans="3:18">
      <c r="C11">
        <v>1</v>
      </c>
      <c r="D11" s="108" t="s">
        <v>760</v>
      </c>
      <c r="E11" s="109">
        <v>45293</v>
      </c>
      <c r="F11" t="s">
        <v>761</v>
      </c>
      <c r="G11" t="s">
        <v>767</v>
      </c>
      <c r="H11" t="s">
        <v>697</v>
      </c>
      <c r="I11" t="s">
        <v>697</v>
      </c>
      <c r="J11" s="29"/>
      <c r="K11" s="29"/>
      <c r="L11" s="110" t="s">
        <v>88</v>
      </c>
      <c r="M11" s="110" t="s">
        <v>88</v>
      </c>
      <c r="N11" s="108" t="s">
        <v>81</v>
      </c>
      <c r="O11" s="108" t="s">
        <v>88</v>
      </c>
      <c r="P11" s="29" t="s">
        <v>762</v>
      </c>
      <c r="Q11" s="29" t="s">
        <v>763</v>
      </c>
      <c r="R11" t="s">
        <v>764</v>
      </c>
    </row>
  </sheetData>
  <mergeCells count="1">
    <mergeCell ref="G4:M4"/>
  </mergeCells>
  <conditionalFormatting sqref="G6:R11">
    <cfRule type="containsText" dxfId="314" priority="1" operator="containsText" text="【">
      <formula>NOT(ISERROR(SEARCH("【",G6)))</formula>
    </cfRule>
  </conditionalFormatting>
  <conditionalFormatting sqref="G6:M11">
    <cfRule type="notContainsBlanks" dxfId="313" priority="2">
      <formula>LEN(TRIM(G6))&gt;0</formula>
    </cfRule>
  </conditionalFormatting>
  <dataValidations count="7">
    <dataValidation allowBlank="1" showInputMessage="1" showErrorMessage="1" promptTitle="类型分布" prompt="银行/金融机构72%，主权基金/其他16%，基金/保险11%，私行1%" sqref="L6:L11" xr:uid="{76884FCD-1F0B-4F5F-BA1A-78EA9C095F7D}"/>
    <dataValidation allowBlank="1" showInputMessage="1" showErrorMessage="1" promptTitle="地区分布" prompt="亚洲100%；" sqref="M6:M11" xr:uid="{C0A75A14-6E99-4923-B074-C9631B3D90FF}"/>
    <dataValidation type="decimal" operator="notEqual" allowBlank="1" showInputMessage="1" showErrorMessage="1" promptTitle="No. of Accounts" prompt="Number only" sqref="K6:K11" xr:uid="{FC5205AA-2587-4792-A09F-49EEB5719ED4}">
      <formula1>0</formula1>
    </dataValidation>
    <dataValidation type="decimal" operator="notEqual" allowBlank="1" showInputMessage="1" showErrorMessage="1" promptTitle="Final Orderbook" prompt="Number only" sqref="J6:J11" xr:uid="{73AB3A6C-8C65-432B-9365-6D5774FD272C}">
      <formula1>0</formula1>
    </dataValidation>
    <dataValidation allowBlank="1" showInputMessage="1" showErrorMessage="1" promptTitle="FPG Format" prompt="No need to write bp_x000a_Decimal follow BBG_x000a__x000a_3.20%_x000a_3.8%_x000a_T+100_x000a_" sqref="H6:H11" xr:uid="{0A82D2F5-B7A8-4EF1-8428-3252C475C423}"/>
    <dataValidation allowBlank="1" showInputMessage="1" showErrorMessage="1" promptTitle="IPG Format" prompt="No need to write bp_x000a_Decimal follow BBG_x000a_Use &quot;a&quot; for &quot;area&quot;_x000a__x000a_3.50%a_x000a_4%a_x000a_T+120a_x000a_" sqref="G6:G11" xr:uid="{18ECFCFF-BBE6-4E00-8D15-032EA590AF24}"/>
    <dataValidation allowBlank="1" showInputMessage="1" showErrorMessage="1" promptTitle="最终定价" prompt="仅适用有IPG的交易" sqref="I6:I11" xr:uid="{D93404A0-0CFE-4417-B887-D3411720EE31}"/>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P6" sqref="P6:AH23"/>
    </sheetView>
  </sheetViews>
  <sheetFormatPr defaultColWidth="8.88671875" defaultRowHeight="15.75" customHeight="1" outlineLevelCol="1"/>
  <cols>
    <col min="1" max="1" width="13.109375" style="3" customWidth="1"/>
    <col min="2" max="2" width="11.6640625" style="3" bestFit="1" customWidth="1"/>
    <col min="3" max="3" width="14.109375" style="3" bestFit="1" customWidth="1"/>
    <col min="4" max="4" width="10.44140625" style="3" bestFit="1" customWidth="1"/>
    <col min="5" max="5" width="30" style="3" bestFit="1" customWidth="1"/>
    <col min="6" max="6" width="10.109375" style="3" bestFit="1" customWidth="1"/>
    <col min="7" max="7" width="11.77734375" style="3" bestFit="1" customWidth="1" outlineLevel="1"/>
    <col min="8" max="8" width="9" style="3" bestFit="1" customWidth="1" outlineLevel="1"/>
    <col min="9" max="9" width="21.44140625" style="3" bestFit="1" customWidth="1" outlineLevel="1"/>
    <col min="10" max="11" width="13" style="3" bestFit="1" customWidth="1" outlineLevel="1"/>
    <col min="12" max="12" width="20.21875" style="3" bestFit="1" customWidth="1" outlineLevel="1"/>
    <col min="13" max="13" width="19.5546875" style="3" bestFit="1" customWidth="1"/>
    <col min="14" max="15" width="3.6640625" style="3" customWidth="1"/>
    <col min="16" max="16" width="10.44140625" style="3" bestFit="1" customWidth="1"/>
    <col min="17" max="17" width="30" style="3" bestFit="1" customWidth="1"/>
    <col min="18" max="18" width="9.44140625" style="3" bestFit="1" customWidth="1"/>
    <col min="19" max="20" width="5.88671875" style="3" bestFit="1" customWidth="1"/>
    <col min="21" max="21" width="6.88671875" style="3" bestFit="1" customWidth="1" outlineLevel="1"/>
    <col min="22" max="23" width="7.77734375" style="3" bestFit="1" customWidth="1" outlineLevel="1"/>
    <col min="24" max="24" width="5" style="3" bestFit="1" customWidth="1" outlineLevel="1"/>
    <col min="25" max="25" width="10.5546875" style="3" bestFit="1" customWidth="1" outlineLevel="1"/>
    <col min="26" max="26" width="4.5546875" style="3" bestFit="1" customWidth="1" outlineLevel="1"/>
    <col min="27" max="27" width="5.88671875" style="3" bestFit="1" customWidth="1" outlineLevel="1"/>
    <col min="28" max="28" width="7.77734375" style="3" bestFit="1" customWidth="1" outlineLevel="1"/>
    <col min="29" max="29" width="16.88671875" style="3" bestFit="1" customWidth="1" outlineLevel="1"/>
    <col min="30" max="30" width="6.109375" style="3" bestFit="1" customWidth="1" outlineLevel="1"/>
    <col min="31" max="32" width="7.109375" style="3" bestFit="1" customWidth="1" outlineLevel="1"/>
    <col min="33" max="33" width="14.109375" style="3" bestFit="1" customWidth="1" outlineLevel="1"/>
    <col min="34" max="34" width="20.21875" style="3" bestFit="1" customWidth="1" outlineLevel="1"/>
    <col min="35" max="35" width="19.5546875" style="3" bestFit="1" customWidth="1" outlineLevel="1"/>
    <col min="36" max="36" width="13.44140625" style="3" bestFit="1" customWidth="1" outlineLevel="1"/>
    <col min="37" max="37" width="19.5546875" style="3" bestFit="1" customWidth="1" outlineLevel="1"/>
    <col min="38" max="38" width="23" style="3" bestFit="1" customWidth="1"/>
    <col min="39" max="39" width="19.33203125" style="3" bestFit="1" customWidth="1"/>
    <col min="40" max="40" width="13.21875" style="3" bestFit="1" customWidth="1"/>
    <col min="41" max="41" width="10.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1.55468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c r="A1" s="24" t="s">
        <v>125</v>
      </c>
      <c r="C1" s="5"/>
      <c r="E1" s="88">
        <f>COUNTA(ForReview_Issuer[#Headers])</f>
        <v>11</v>
      </c>
      <c r="F1" s="72">
        <f>IF(E1&lt;=11,1,IF(E1&gt;13,-5,0))</f>
        <v>1</v>
      </c>
      <c r="R1" s="6"/>
      <c r="S1" s="88"/>
      <c r="T1" s="72"/>
      <c r="AR1" s="88"/>
      <c r="AS1" s="72"/>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c r="AF2" s="98"/>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c r="I3" s="73"/>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c r="Q4" s="4"/>
      <c r="R4" s="6"/>
      <c r="S4" s="6"/>
      <c r="U4" s="3" t="str">
        <f ca="1">RIGHT(CELL("filename",tbl_review[[#Headers],[定价日]]),LEN(CELL("filename",tbl_review[[#Headers],[定价日]]))-FIND("]",CELL("filename",tbl_review[[#Headers],[定价日]])))</f>
        <v>REVIEW_LIST</v>
      </c>
    </row>
    <row r="5" spans="1:122" ht="15">
      <c r="B5" t="s">
        <v>261</v>
      </c>
      <c r="C5" t="s">
        <v>45</v>
      </c>
      <c r="D5" t="s">
        <v>46</v>
      </c>
      <c r="E5" t="s">
        <v>90</v>
      </c>
      <c r="F5" t="s">
        <v>117</v>
      </c>
      <c r="G5" t="s">
        <v>141</v>
      </c>
      <c r="H5" t="s">
        <v>86</v>
      </c>
      <c r="I5" t="s">
        <v>540</v>
      </c>
      <c r="J5" t="s">
        <v>148</v>
      </c>
      <c r="K5" t="s">
        <v>149</v>
      </c>
      <c r="L5" t="s">
        <v>119</v>
      </c>
      <c r="P5" t="s">
        <v>46</v>
      </c>
      <c r="Q5" t="s">
        <v>90</v>
      </c>
      <c r="R5" t="s">
        <v>118</v>
      </c>
      <c r="S5" t="s">
        <v>84</v>
      </c>
      <c r="T5" t="s">
        <v>50</v>
      </c>
      <c r="U5" t="s">
        <v>130</v>
      </c>
      <c r="V5" t="s">
        <v>132</v>
      </c>
      <c r="W5" t="s">
        <v>120</v>
      </c>
      <c r="X5" t="s">
        <v>61</v>
      </c>
      <c r="Y5" t="s">
        <v>54</v>
      </c>
      <c r="Z5" t="s">
        <v>83</v>
      </c>
      <c r="AA5" t="s">
        <v>112</v>
      </c>
      <c r="AB5" t="s">
        <v>292</v>
      </c>
      <c r="AC5" t="s">
        <v>87</v>
      </c>
      <c r="AD5" t="s">
        <v>137</v>
      </c>
      <c r="AE5" t="s">
        <v>138</v>
      </c>
      <c r="AF5" t="s">
        <v>171</v>
      </c>
      <c r="AG5" t="s">
        <v>45</v>
      </c>
      <c r="AH5" t="s">
        <v>119</v>
      </c>
      <c r="BD5"/>
      <c r="BE5"/>
      <c r="BF5"/>
      <c r="BG5"/>
      <c r="BH5"/>
      <c r="BI5"/>
      <c r="BJ5"/>
      <c r="BK5"/>
      <c r="BL5"/>
      <c r="BM5"/>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c r="B6"/>
      <c r="C6"/>
      <c r="D6" s="30"/>
      <c r="E6"/>
      <c r="F6"/>
      <c r="G6"/>
      <c r="H6"/>
      <c r="I6"/>
      <c r="J6"/>
      <c r="K6"/>
      <c r="L6"/>
      <c r="P6" s="30"/>
      <c r="Q6"/>
      <c r="R6"/>
      <c r="S6"/>
      <c r="T6"/>
      <c r="U6"/>
      <c r="V6"/>
      <c r="W6"/>
      <c r="X6"/>
      <c r="Y6"/>
      <c r="Z6"/>
      <c r="AA6"/>
      <c r="AB6"/>
      <c r="AC6"/>
      <c r="AD6"/>
      <c r="AE6"/>
      <c r="AF6"/>
      <c r="AG6"/>
      <c r="AH6"/>
      <c r="BD6"/>
      <c r="BE6"/>
      <c r="BF6"/>
      <c r="BG6"/>
      <c r="BH6"/>
      <c r="BI6"/>
      <c r="BJ6"/>
      <c r="BK6"/>
      <c r="BL6"/>
      <c r="BM6"/>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c r="B7"/>
      <c r="C7"/>
      <c r="D7" s="30"/>
      <c r="E7"/>
      <c r="F7"/>
      <c r="G7"/>
      <c r="H7"/>
      <c r="I7"/>
      <c r="J7"/>
      <c r="K7"/>
      <c r="L7"/>
      <c r="P7" s="30"/>
      <c r="Q7"/>
      <c r="R7"/>
      <c r="S7"/>
      <c r="T7"/>
      <c r="U7"/>
      <c r="V7"/>
      <c r="W7"/>
      <c r="X7"/>
      <c r="Y7"/>
      <c r="Z7"/>
      <c r="AA7"/>
      <c r="AB7"/>
      <c r="AC7"/>
      <c r="AD7"/>
      <c r="AE7"/>
      <c r="AF7"/>
      <c r="AG7"/>
      <c r="AH7"/>
      <c r="AU7" s="19"/>
      <c r="AV7" s="19"/>
      <c r="AW7" s="19"/>
      <c r="AX7" s="19"/>
      <c r="AY7" s="19"/>
      <c r="AZ7" s="19"/>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c r="B8"/>
      <c r="C8"/>
      <c r="D8" s="30"/>
      <c r="E8"/>
      <c r="F8"/>
      <c r="G8"/>
      <c r="H8"/>
      <c r="I8"/>
      <c r="J8"/>
      <c r="K8"/>
      <c r="L8"/>
      <c r="P8" s="30"/>
      <c r="Q8"/>
      <c r="R8"/>
      <c r="S8"/>
      <c r="T8"/>
      <c r="U8"/>
      <c r="V8"/>
      <c r="W8"/>
      <c r="X8"/>
      <c r="Y8"/>
      <c r="Z8"/>
      <c r="AA8"/>
      <c r="AB8"/>
      <c r="AC8"/>
      <c r="AD8"/>
      <c r="AE8"/>
      <c r="AF8"/>
      <c r="AG8"/>
      <c r="AH8"/>
      <c r="AU8" s="19"/>
      <c r="AV8" s="19"/>
      <c r="AW8" s="19"/>
      <c r="AX8" s="19"/>
      <c r="AY8" s="19"/>
      <c r="AZ8" s="19"/>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c r="B9"/>
      <c r="C9"/>
      <c r="D9" s="30"/>
      <c r="E9"/>
      <c r="F9"/>
      <c r="G9"/>
      <c r="H9"/>
      <c r="I9"/>
      <c r="J9"/>
      <c r="K9"/>
      <c r="L9"/>
      <c r="P9" s="30"/>
      <c r="Q9"/>
      <c r="R9"/>
      <c r="S9"/>
      <c r="T9"/>
      <c r="U9"/>
      <c r="V9"/>
      <c r="W9"/>
      <c r="X9"/>
      <c r="Y9"/>
      <c r="Z9"/>
      <c r="AA9"/>
      <c r="AB9"/>
      <c r="AC9"/>
      <c r="AD9"/>
      <c r="AE9"/>
      <c r="AF9"/>
      <c r="AG9"/>
      <c r="AH9"/>
      <c r="AN9" s="19"/>
      <c r="AO9" s="19"/>
      <c r="AP9" s="19"/>
      <c r="AQ9" s="19"/>
      <c r="AU9" s="19"/>
      <c r="AV9" s="19"/>
      <c r="AW9" s="19"/>
      <c r="AX9" s="19"/>
      <c r="AY9" s="19"/>
      <c r="AZ9" s="19"/>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c r="B10"/>
      <c r="C10"/>
      <c r="D10" s="30"/>
      <c r="E10"/>
      <c r="F10"/>
      <c r="G10"/>
      <c r="H10"/>
      <c r="I10"/>
      <c r="J10"/>
      <c r="K10"/>
      <c r="L10"/>
      <c r="P10" s="30"/>
      <c r="Q10"/>
      <c r="R10"/>
      <c r="S10"/>
      <c r="T10"/>
      <c r="U10"/>
      <c r="V10"/>
      <c r="W10"/>
      <c r="X10"/>
      <c r="Y10"/>
      <c r="Z10"/>
      <c r="AA10"/>
      <c r="AB10"/>
      <c r="AC10"/>
      <c r="AD10"/>
      <c r="AE10"/>
      <c r="AF10"/>
      <c r="AG10"/>
      <c r="AH10"/>
      <c r="AP10" s="19"/>
      <c r="AQ10" s="19"/>
      <c r="AR10" s="19"/>
      <c r="AS10" s="19"/>
      <c r="AT10" s="19"/>
      <c r="AU10" s="19"/>
      <c r="AV10" s="19"/>
      <c r="AW10" s="19"/>
      <c r="AX10" s="19"/>
      <c r="AY10" s="19"/>
      <c r="AZ10" s="19"/>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c r="B11"/>
      <c r="C11"/>
      <c r="D11" s="30"/>
      <c r="E11"/>
      <c r="F11"/>
      <c r="G11"/>
      <c r="H11"/>
      <c r="I11"/>
      <c r="J11"/>
      <c r="K11"/>
      <c r="L11"/>
      <c r="P11" s="30"/>
      <c r="Q11"/>
      <c r="R11"/>
      <c r="S11"/>
      <c r="T11"/>
      <c r="U11"/>
      <c r="V11"/>
      <c r="W11"/>
      <c r="X11"/>
      <c r="Y11"/>
      <c r="Z11"/>
      <c r="AA11"/>
      <c r="AB11"/>
      <c r="AC11"/>
      <c r="AD11"/>
      <c r="AE11"/>
      <c r="AF11"/>
      <c r="AG11"/>
      <c r="AH11"/>
      <c r="AR11" s="19"/>
      <c r="AS11" s="19"/>
      <c r="AT11" s="19"/>
      <c r="AU11" s="19"/>
      <c r="AV11" s="19"/>
      <c r="AW11" s="19"/>
      <c r="AX11" s="19"/>
      <c r="AY11" s="19"/>
      <c r="AZ11" s="19"/>
      <c r="BA11" s="23"/>
      <c r="BB11" s="19"/>
      <c r="BC11" s="19"/>
      <c r="BD11" s="19"/>
      <c r="BF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c r="B12"/>
      <c r="C12"/>
      <c r="D12" s="30"/>
      <c r="E12"/>
      <c r="F12"/>
      <c r="G12"/>
      <c r="H12"/>
      <c r="I12"/>
      <c r="J12"/>
      <c r="K12"/>
      <c r="L12"/>
      <c r="M12" s="19"/>
      <c r="P12" s="30"/>
      <c r="Q12"/>
      <c r="R12"/>
      <c r="S12"/>
      <c r="T12"/>
      <c r="U12"/>
      <c r="V12"/>
      <c r="W12"/>
      <c r="X12"/>
      <c r="Y12"/>
      <c r="Z12"/>
      <c r="AA12"/>
      <c r="AB12"/>
      <c r="AC12"/>
      <c r="AD12"/>
      <c r="AE12"/>
      <c r="AF12"/>
      <c r="AG12"/>
      <c r="AH12"/>
      <c r="AI12" s="19"/>
      <c r="AP12" s="19"/>
      <c r="AQ12" s="19"/>
      <c r="AR12" s="19"/>
      <c r="AS12" s="19"/>
      <c r="AV12" s="19"/>
      <c r="AW12" s="19"/>
      <c r="AX12" s="19"/>
      <c r="AY12" s="19"/>
      <c r="AZ12" s="19"/>
      <c r="BA12" s="19"/>
      <c r="BB12" s="19"/>
      <c r="BD12" s="19"/>
      <c r="BE12" s="19"/>
      <c r="BF12" s="19"/>
      <c r="BH12" s="19"/>
      <c r="BI12" s="19"/>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c r="B13"/>
      <c r="C13"/>
      <c r="D13" s="30"/>
      <c r="E13"/>
      <c r="F13"/>
      <c r="G13"/>
      <c r="H13"/>
      <c r="I13"/>
      <c r="J13"/>
      <c r="K13"/>
      <c r="L13"/>
      <c r="M13" s="19"/>
      <c r="P13" s="30"/>
      <c r="Q13"/>
      <c r="R13"/>
      <c r="S13"/>
      <c r="T13"/>
      <c r="U13"/>
      <c r="V13"/>
      <c r="W13"/>
      <c r="X13"/>
      <c r="Y13"/>
      <c r="Z13"/>
      <c r="AA13"/>
      <c r="AB13"/>
      <c r="AC13"/>
      <c r="AD13"/>
      <c r="AE13"/>
      <c r="AF13"/>
      <c r="AG13"/>
      <c r="AH13"/>
      <c r="AI13" s="19"/>
      <c r="AK13" s="19"/>
      <c r="AL13" s="19"/>
      <c r="AT13" s="19"/>
      <c r="AW13" s="19"/>
      <c r="AX13" s="19"/>
      <c r="AY13" s="19"/>
      <c r="AZ13" s="19"/>
      <c r="BA13" s="19"/>
      <c r="BB13" s="19"/>
      <c r="BC13" s="19"/>
      <c r="BD13" s="19"/>
      <c r="BF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c r="B14"/>
      <c r="C14"/>
      <c r="D14" s="30"/>
      <c r="E14"/>
      <c r="F14"/>
      <c r="G14"/>
      <c r="H14"/>
      <c r="I14"/>
      <c r="J14"/>
      <c r="K14"/>
      <c r="L14"/>
      <c r="M14" s="19"/>
      <c r="P14" s="30"/>
      <c r="Q14"/>
      <c r="R14"/>
      <c r="S14"/>
      <c r="T14"/>
      <c r="U14"/>
      <c r="V14"/>
      <c r="W14"/>
      <c r="X14"/>
      <c r="Y14"/>
      <c r="Z14"/>
      <c r="AA14"/>
      <c r="AB14"/>
      <c r="AC14"/>
      <c r="AD14"/>
      <c r="AE14"/>
      <c r="AF14"/>
      <c r="AG14"/>
      <c r="AH14"/>
      <c r="AI14" s="19"/>
      <c r="AL14" s="19"/>
      <c r="AO14" s="19"/>
      <c r="AU14" s="19"/>
      <c r="AV14" s="19"/>
      <c r="AW14" s="19"/>
      <c r="AX14" s="19"/>
      <c r="AY14" s="19"/>
      <c r="AZ14" s="19"/>
      <c r="BA14" s="19"/>
      <c r="BB14" s="19"/>
      <c r="BC14" s="19"/>
      <c r="BD14" s="19"/>
      <c r="BE14" s="19"/>
      <c r="BF14" s="19"/>
      <c r="BG14" s="19"/>
      <c r="BI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c r="B15"/>
      <c r="C15"/>
      <c r="D15" s="30"/>
      <c r="E15"/>
      <c r="F15"/>
      <c r="G15"/>
      <c r="H15"/>
      <c r="I15"/>
      <c r="J15"/>
      <c r="K15"/>
      <c r="L15"/>
      <c r="M15" s="19"/>
      <c r="P15" s="30"/>
      <c r="Q15"/>
      <c r="R15"/>
      <c r="S15"/>
      <c r="T15"/>
      <c r="U15"/>
      <c r="V15"/>
      <c r="W15"/>
      <c r="X15"/>
      <c r="Y15"/>
      <c r="Z15"/>
      <c r="AA15"/>
      <c r="AB15"/>
      <c r="AC15"/>
      <c r="AD15"/>
      <c r="AE15"/>
      <c r="AF15"/>
      <c r="AG15"/>
      <c r="AH15"/>
      <c r="AI15" s="19"/>
      <c r="AJ15" s="19"/>
      <c r="AK15" s="19"/>
      <c r="AL15" s="19"/>
      <c r="AQ15" s="19"/>
      <c r="AX15" s="19"/>
      <c r="AY15" s="19"/>
      <c r="AZ15" s="19"/>
      <c r="BA15" s="19"/>
      <c r="BB15" s="19"/>
      <c r="BC15" s="19"/>
      <c r="BD15" s="19"/>
      <c r="BE15" s="19"/>
      <c r="BF15" s="19"/>
      <c r="BG15" s="19"/>
      <c r="BH15" s="19"/>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c r="B16"/>
      <c r="C16"/>
      <c r="D16" s="30"/>
      <c r="E16"/>
      <c r="F16"/>
      <c r="G16"/>
      <c r="H16"/>
      <c r="I16"/>
      <c r="J16"/>
      <c r="K16"/>
      <c r="L16"/>
      <c r="M16" s="19"/>
      <c r="P16" s="30"/>
      <c r="Q16"/>
      <c r="R16"/>
      <c r="S16"/>
      <c r="T16"/>
      <c r="U16"/>
      <c r="V16"/>
      <c r="W16"/>
      <c r="X16"/>
      <c r="Y16"/>
      <c r="Z16"/>
      <c r="AA16"/>
      <c r="AB16"/>
      <c r="AC16"/>
      <c r="AD16"/>
      <c r="AE16"/>
      <c r="AF16"/>
      <c r="AG16"/>
      <c r="AH16"/>
      <c r="AI16" s="19"/>
      <c r="AJ16" s="19"/>
      <c r="AK16" s="19"/>
      <c r="AL16" s="19"/>
      <c r="AM16" s="19"/>
      <c r="AN16" s="19"/>
      <c r="AO16" s="19"/>
      <c r="AQ16" s="19"/>
      <c r="AV16" s="19"/>
      <c r="AW16" s="19"/>
      <c r="AX16" s="19"/>
      <c r="AY16" s="19"/>
      <c r="AZ16" s="19"/>
      <c r="BA16" s="19"/>
      <c r="BB16" s="19"/>
      <c r="BC16" s="19"/>
      <c r="BD16" s="19"/>
      <c r="BE16" s="19"/>
      <c r="BF16" s="19"/>
      <c r="BG16" s="19"/>
      <c r="BH16" s="19"/>
      <c r="BK16" s="3"/>
      <c r="BL16" s="3"/>
      <c r="BM16" s="3"/>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c r="B17"/>
      <c r="C17"/>
      <c r="D17" s="30"/>
      <c r="E17"/>
      <c r="F17"/>
      <c r="G17"/>
      <c r="H17"/>
      <c r="I17"/>
      <c r="J17"/>
      <c r="K17"/>
      <c r="L17"/>
      <c r="M17" s="19"/>
      <c r="P17" s="30"/>
      <c r="Q17"/>
      <c r="R17"/>
      <c r="S17"/>
      <c r="T17"/>
      <c r="U17"/>
      <c r="V17"/>
      <c r="W17"/>
      <c r="X17"/>
      <c r="Y17"/>
      <c r="Z17"/>
      <c r="AA17"/>
      <c r="AB17"/>
      <c r="AC17"/>
      <c r="AD17"/>
      <c r="AE17"/>
      <c r="AF17"/>
      <c r="AG17"/>
      <c r="AH17"/>
      <c r="AI17" s="19"/>
      <c r="AJ17" s="19"/>
      <c r="AK17" s="19"/>
      <c r="AL17" s="19"/>
      <c r="AM17" s="19"/>
      <c r="AN17" s="19"/>
      <c r="AQ17" s="19"/>
      <c r="AR17" s="19"/>
      <c r="AS17" s="19"/>
      <c r="AT17" s="19"/>
      <c r="AU17" s="19"/>
      <c r="AV17" s="19"/>
      <c r="AW17" s="19"/>
      <c r="AX17" s="19"/>
      <c r="AY17" s="19"/>
      <c r="AZ17" s="19"/>
      <c r="BA17" s="19"/>
      <c r="BB17" s="19"/>
      <c r="BC17" s="19"/>
      <c r="BD17" s="19"/>
      <c r="BE17" s="19"/>
      <c r="BF17" s="19"/>
      <c r="BG17" s="19"/>
      <c r="BH17" s="19"/>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c r="B18"/>
      <c r="C18"/>
      <c r="D18" s="30"/>
      <c r="E18"/>
      <c r="F18"/>
      <c r="G18"/>
      <c r="H18"/>
      <c r="I18"/>
      <c r="J18"/>
      <c r="K18"/>
      <c r="L18"/>
      <c r="M18" s="19"/>
      <c r="P18" s="30"/>
      <c r="Q18"/>
      <c r="R18"/>
      <c r="S18"/>
      <c r="T18"/>
      <c r="U18"/>
      <c r="V18"/>
      <c r="W18"/>
      <c r="X18"/>
      <c r="Y18"/>
      <c r="Z18"/>
      <c r="AA18"/>
      <c r="AB18"/>
      <c r="AC18"/>
      <c r="AD18"/>
      <c r="AE18"/>
      <c r="AF18"/>
      <c r="AG18"/>
      <c r="AH18"/>
      <c r="AI18" s="19"/>
      <c r="AJ18" s="19"/>
      <c r="AK18" s="19"/>
      <c r="AL18" s="19"/>
      <c r="AM18" s="19"/>
      <c r="AN18" s="19"/>
      <c r="AP18" s="19"/>
      <c r="AQ18" s="19"/>
      <c r="AR18" s="19"/>
      <c r="AS18" s="19"/>
      <c r="AT18" s="19"/>
      <c r="AU18" s="19"/>
      <c r="AV18" s="19"/>
      <c r="AW18" s="19"/>
      <c r="AX18" s="19"/>
      <c r="AY18" s="19"/>
      <c r="AZ18" s="19"/>
      <c r="BA18" s="19"/>
      <c r="BB18" s="19"/>
      <c r="BC18" s="19"/>
      <c r="BD18" s="19"/>
      <c r="BE18" s="19"/>
      <c r="BF18" s="19"/>
      <c r="BG18" s="19"/>
      <c r="BH18" s="19"/>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c r="B19"/>
      <c r="C19"/>
      <c r="D19" s="30"/>
      <c r="E19"/>
      <c r="F19"/>
      <c r="G19"/>
      <c r="H19"/>
      <c r="I19"/>
      <c r="J19"/>
      <c r="K19"/>
      <c r="L19"/>
      <c r="M19" s="19"/>
      <c r="N19" s="19"/>
      <c r="O19" s="19"/>
      <c r="P19" s="30"/>
      <c r="Q19"/>
      <c r="R19"/>
      <c r="S19"/>
      <c r="T19"/>
      <c r="U19"/>
      <c r="V19"/>
      <c r="W19"/>
      <c r="X19"/>
      <c r="Y19"/>
      <c r="Z19"/>
      <c r="AA19"/>
      <c r="AB19"/>
      <c r="AC19"/>
      <c r="AD19"/>
      <c r="AE19"/>
      <c r="AF19"/>
      <c r="AG19"/>
      <c r="AH19"/>
      <c r="AI19" s="19"/>
      <c r="AJ19" s="19"/>
      <c r="AK19" s="19"/>
      <c r="AL19" s="19"/>
      <c r="AM19" s="19"/>
      <c r="AN19" s="19"/>
      <c r="AO19" s="19"/>
      <c r="AP19" s="19"/>
      <c r="AR19" s="19"/>
      <c r="AS19" s="19"/>
      <c r="AT19" s="19"/>
      <c r="AU19" s="19"/>
      <c r="AV19" s="19"/>
      <c r="AW19" s="19"/>
      <c r="AX19" s="19"/>
      <c r="AY19" s="19"/>
      <c r="AZ19" s="19"/>
      <c r="BA19" s="19"/>
      <c r="BB19" s="19"/>
      <c r="BC19" s="19"/>
      <c r="BD19" s="19"/>
      <c r="BE19" s="19"/>
      <c r="BF19" s="19"/>
      <c r="BG19" s="19"/>
      <c r="BH19" s="19"/>
      <c r="BI19" s="19"/>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5">
      <c r="B20"/>
      <c r="C20"/>
      <c r="D20" s="30"/>
      <c r="E20"/>
      <c r="F20"/>
      <c r="G20"/>
      <c r="H20"/>
      <c r="I20"/>
      <c r="J20"/>
      <c r="K20"/>
      <c r="L20"/>
      <c r="M20" s="19"/>
      <c r="N20" s="19"/>
      <c r="O20" s="19"/>
      <c r="P20" s="30"/>
      <c r="Q20"/>
      <c r="R20"/>
      <c r="S20"/>
      <c r="T20"/>
      <c r="U20"/>
      <c r="V20"/>
      <c r="W20"/>
      <c r="X20"/>
      <c r="Y20"/>
      <c r="Z20"/>
      <c r="AA20"/>
      <c r="AB20"/>
      <c r="AC20"/>
      <c r="AD20"/>
      <c r="AE20"/>
      <c r="AF20"/>
      <c r="AG20"/>
      <c r="AH20"/>
      <c r="AI20" s="19"/>
      <c r="AJ20" s="19"/>
      <c r="AK20" s="19"/>
      <c r="AL20" s="19"/>
      <c r="AM20" s="19"/>
      <c r="AN20" s="19"/>
      <c r="AO20" s="19"/>
      <c r="AP20" s="19"/>
      <c r="AQ20" s="19"/>
      <c r="AV20" s="19"/>
      <c r="AW20" s="19"/>
      <c r="AX20" s="19"/>
      <c r="AY20" s="19"/>
      <c r="AZ20" s="19"/>
      <c r="BA20" s="19"/>
      <c r="BB20" s="19"/>
      <c r="BC20" s="19"/>
      <c r="BD20" s="19"/>
      <c r="BE20" s="19"/>
      <c r="BF20" s="19"/>
      <c r="BG20" s="19"/>
      <c r="BH20" s="19"/>
      <c r="BI20" s="19"/>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5">
      <c r="B21"/>
      <c r="C21"/>
      <c r="D21" s="30"/>
      <c r="E21"/>
      <c r="F21"/>
      <c r="G21"/>
      <c r="H21"/>
      <c r="I21"/>
      <c r="J21"/>
      <c r="K21"/>
      <c r="L21"/>
      <c r="M21" s="19"/>
      <c r="N21" s="19"/>
      <c r="O21" s="19"/>
      <c r="P21" s="30"/>
      <c r="Q21"/>
      <c r="R21"/>
      <c r="S21"/>
      <c r="T21"/>
      <c r="U21"/>
      <c r="V21"/>
      <c r="W21"/>
      <c r="X21"/>
      <c r="Y21"/>
      <c r="Z21"/>
      <c r="AA21"/>
      <c r="AB21"/>
      <c r="AC21"/>
      <c r="AD21"/>
      <c r="AE21"/>
      <c r="AF21"/>
      <c r="AG21"/>
      <c r="AH21"/>
      <c r="AI21" s="19"/>
      <c r="AJ21" s="19"/>
      <c r="AK21" s="19"/>
      <c r="AL21" s="19"/>
      <c r="AM21" s="19"/>
      <c r="AN21" s="19"/>
      <c r="AO21" s="19"/>
      <c r="AP21" s="19"/>
      <c r="AQ21" s="19"/>
      <c r="AV21" s="19"/>
      <c r="AW21" s="19"/>
      <c r="AX21" s="19"/>
      <c r="AY21" s="19"/>
      <c r="AZ21" s="19"/>
      <c r="BA21" s="19"/>
      <c r="BB21" s="19"/>
      <c r="BC21" s="19"/>
      <c r="BD21" s="19"/>
      <c r="BE21" s="19"/>
      <c r="BF21" s="19"/>
      <c r="BG21" s="19"/>
      <c r="BH21" s="19"/>
      <c r="BI21" s="19"/>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5">
      <c r="B22"/>
      <c r="C22"/>
      <c r="D22" s="30"/>
      <c r="E22"/>
      <c r="F22"/>
      <c r="G22"/>
      <c r="H22"/>
      <c r="I22"/>
      <c r="J22"/>
      <c r="K22"/>
      <c r="L22"/>
      <c r="M22" s="19"/>
      <c r="N22" s="19"/>
      <c r="O22" s="19"/>
      <c r="P22" s="30"/>
      <c r="Q22"/>
      <c r="R22"/>
      <c r="S22"/>
      <c r="T22"/>
      <c r="U22"/>
      <c r="V22"/>
      <c r="W22"/>
      <c r="X22"/>
      <c r="Y22"/>
      <c r="Z22"/>
      <c r="AA22"/>
      <c r="AB22"/>
      <c r="AC22"/>
      <c r="AD22"/>
      <c r="AE22"/>
      <c r="AF22"/>
      <c r="AG22"/>
      <c r="AH22"/>
      <c r="AI22" s="19"/>
      <c r="AJ22" s="19"/>
      <c r="AK22" s="19"/>
      <c r="AL22" s="19"/>
      <c r="AM22" s="19"/>
      <c r="AN22" s="19"/>
      <c r="AO22" s="19"/>
      <c r="AP22" s="19"/>
      <c r="AQ22" s="19"/>
      <c r="AW22" s="19"/>
      <c r="AX22" s="19"/>
      <c r="AY22" s="19"/>
      <c r="AZ22" s="19"/>
      <c r="BA22" s="19"/>
      <c r="BB22" s="19"/>
      <c r="BC22" s="19"/>
      <c r="BD22" s="19"/>
      <c r="BE22" s="19"/>
      <c r="BF22" s="19"/>
      <c r="BG22" s="19"/>
      <c r="BH22" s="19"/>
      <c r="BI22" s="19"/>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5">
      <c r="B23"/>
      <c r="C23"/>
      <c r="D23" s="30"/>
      <c r="E23"/>
      <c r="F23"/>
      <c r="G23"/>
      <c r="H23"/>
      <c r="I23"/>
      <c r="J23"/>
      <c r="K23"/>
      <c r="L23"/>
      <c r="M23" s="19"/>
      <c r="N23" s="19"/>
      <c r="O23" s="19"/>
      <c r="P23" s="30"/>
      <c r="Q23"/>
      <c r="R23"/>
      <c r="S23"/>
      <c r="T23"/>
      <c r="U23"/>
      <c r="V23"/>
      <c r="W23"/>
      <c r="X23"/>
      <c r="Y23"/>
      <c r="Z23"/>
      <c r="AA23"/>
      <c r="AB23"/>
      <c r="AC23"/>
      <c r="AD23"/>
      <c r="AE23"/>
      <c r="AF23"/>
      <c r="AG23"/>
      <c r="AH23"/>
      <c r="AI23" s="19"/>
      <c r="AJ23" s="19"/>
      <c r="AK23" s="19"/>
      <c r="AL23" s="19"/>
      <c r="AM23" s="19"/>
      <c r="AN23" s="19"/>
      <c r="AO23" s="19"/>
      <c r="AP23" s="19"/>
      <c r="AQ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3.5">
      <c r="K24" s="19"/>
      <c r="L24" s="19"/>
      <c r="M24" s="19"/>
      <c r="N24" s="19"/>
      <c r="O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3.5">
      <c r="M25" s="19"/>
      <c r="N25" s="19"/>
      <c r="O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c r="N27" s="19"/>
      <c r="O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c r="N28" s="19"/>
      <c r="O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c r="N29" s="19"/>
      <c r="O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c r="N30" s="19"/>
      <c r="O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3.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3.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3.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S53" s="19"/>
      <c r="AT53" s="19"/>
      <c r="AU53" s="19"/>
      <c r="AV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3.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S54" s="19"/>
      <c r="AT54" s="19"/>
      <c r="AU54" s="19"/>
      <c r="AV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3.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S55" s="19"/>
      <c r="AT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3.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T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3.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Y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3.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M58" s="19"/>
      <c r="AN58" s="19"/>
      <c r="AO58" s="19"/>
      <c r="AP58" s="19"/>
      <c r="AY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M59" s="19"/>
      <c r="AN59" s="19"/>
      <c r="AO59" s="19"/>
      <c r="AP59" s="19"/>
      <c r="AY59" s="19"/>
      <c r="BB59" s="19"/>
      <c r="BC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M60" s="19"/>
      <c r="AN60" s="19"/>
      <c r="AO60" s="19"/>
      <c r="AP60" s="19"/>
      <c r="AY60" s="19"/>
      <c r="BB60" s="19"/>
      <c r="BC60" s="19"/>
      <c r="BF60" s="19"/>
      <c r="CP60" s="3"/>
      <c r="CQ60" s="3"/>
      <c r="DA60" s="3"/>
      <c r="DB60" s="3"/>
      <c r="DC60" s="3"/>
      <c r="DD60" s="3"/>
      <c r="DE60" s="3"/>
      <c r="DF60" s="3"/>
      <c r="DG60" s="3"/>
      <c r="DH60" s="3"/>
      <c r="DI60" s="3"/>
      <c r="DJ60" s="3"/>
      <c r="DK60" s="3"/>
      <c r="DL60" s="3"/>
      <c r="DM60" s="3"/>
      <c r="DN60" s="3"/>
      <c r="DO60" s="3"/>
      <c r="DP60" s="3"/>
      <c r="DQ60" s="3"/>
      <c r="DR60" s="3"/>
    </row>
    <row r="61" spans="14:122" ht="13.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M61" s="19"/>
      <c r="AN61" s="19"/>
      <c r="AO61" s="19"/>
      <c r="AY61" s="19"/>
      <c r="BB61" s="19"/>
      <c r="BC61" s="19"/>
      <c r="BF61" s="19"/>
      <c r="CP61" s="3"/>
      <c r="CQ61" s="3"/>
      <c r="DA61" s="3"/>
      <c r="DB61" s="3"/>
      <c r="DC61" s="3"/>
      <c r="DD61" s="3"/>
      <c r="DE61" s="3"/>
      <c r="DF61" s="3"/>
      <c r="DG61" s="3"/>
      <c r="DH61" s="3"/>
      <c r="DI61" s="3"/>
      <c r="DJ61" s="3"/>
      <c r="DK61" s="3"/>
      <c r="DL61" s="3"/>
      <c r="DM61" s="3"/>
      <c r="DN61" s="3"/>
      <c r="DO61" s="3"/>
      <c r="DP61" s="3"/>
      <c r="DQ61" s="3"/>
      <c r="DR61" s="3"/>
    </row>
    <row r="62" spans="14:122" ht="13.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BB62" s="19"/>
      <c r="BC62" s="19"/>
      <c r="BF62" s="19"/>
      <c r="CP62" s="3"/>
      <c r="CQ62" s="3"/>
      <c r="DA62" s="3"/>
      <c r="DB62" s="3"/>
      <c r="DC62" s="3"/>
      <c r="DD62" s="3"/>
      <c r="DE62" s="3"/>
      <c r="DF62" s="3"/>
      <c r="DG62" s="3"/>
      <c r="DH62" s="3"/>
      <c r="DI62" s="3"/>
      <c r="DJ62" s="3"/>
      <c r="DK62" s="3"/>
      <c r="DL62" s="3"/>
      <c r="DM62" s="3"/>
      <c r="DN62" s="3"/>
      <c r="DO62" s="3"/>
      <c r="DP62" s="3"/>
      <c r="DQ62" s="3"/>
      <c r="DR62" s="3"/>
    </row>
    <row r="63" spans="14:122" ht="13.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BB63" s="19"/>
      <c r="CP63" s="3"/>
      <c r="CQ63" s="3"/>
      <c r="DA63" s="3"/>
      <c r="DB63" s="3"/>
      <c r="DC63" s="3"/>
      <c r="DD63" s="3"/>
      <c r="DE63" s="3"/>
      <c r="DF63" s="3"/>
      <c r="DG63" s="3"/>
      <c r="DH63" s="3"/>
      <c r="DI63" s="3"/>
      <c r="DJ63" s="3"/>
      <c r="DK63" s="3"/>
      <c r="DL63" s="3"/>
      <c r="DM63" s="3"/>
      <c r="DN63" s="3"/>
      <c r="DO63" s="3"/>
      <c r="DP63" s="3"/>
      <c r="DQ63" s="3"/>
      <c r="DR63" s="3"/>
    </row>
    <row r="64" spans="14:122" ht="13.5">
      <c r="N64" s="19"/>
      <c r="O64" s="19"/>
      <c r="P64" s="19"/>
      <c r="Q64" s="19"/>
      <c r="R64" s="19"/>
      <c r="S64" s="19"/>
      <c r="T64" s="19"/>
      <c r="U64" s="19"/>
      <c r="V64" s="19"/>
      <c r="W64" s="19"/>
      <c r="X64" s="19"/>
      <c r="Y64" s="19"/>
      <c r="Z64" s="19"/>
      <c r="AA64" s="19"/>
      <c r="AB64" s="19"/>
      <c r="AC64" s="19"/>
      <c r="AD64" s="19"/>
      <c r="AE64" s="19"/>
      <c r="AF64" s="19"/>
      <c r="AG64" s="19"/>
      <c r="AH64" s="19"/>
      <c r="AO64" s="19"/>
      <c r="CP64" s="3"/>
      <c r="CQ64" s="3"/>
      <c r="DA64" s="3"/>
      <c r="DB64" s="3"/>
      <c r="DC64" s="3"/>
      <c r="DD64" s="3"/>
      <c r="DE64" s="3"/>
      <c r="DF64" s="3"/>
      <c r="DG64" s="3"/>
      <c r="DH64" s="3"/>
      <c r="DI64" s="3"/>
      <c r="DJ64" s="3"/>
      <c r="DK64" s="3"/>
      <c r="DL64" s="3"/>
      <c r="DM64" s="3"/>
      <c r="DN64" s="3"/>
      <c r="DO64" s="3"/>
      <c r="DP64" s="3"/>
      <c r="DQ64" s="3"/>
      <c r="DR64" s="3"/>
    </row>
    <row r="65" spans="14:122" ht="13.5">
      <c r="N65" s="19"/>
      <c r="O65" s="19"/>
      <c r="P65" s="19"/>
      <c r="Q65" s="19"/>
      <c r="R65" s="19"/>
      <c r="S65" s="19"/>
      <c r="T65" s="19"/>
      <c r="U65" s="19"/>
      <c r="V65" s="19"/>
      <c r="W65" s="19"/>
      <c r="X65" s="19"/>
      <c r="Y65" s="19"/>
      <c r="Z65" s="19"/>
      <c r="AA65" s="19"/>
      <c r="AB65" s="19"/>
      <c r="AC65" s="19"/>
      <c r="AD65" s="19"/>
      <c r="AE65" s="19"/>
      <c r="AF65" s="19"/>
      <c r="AG65" s="19"/>
      <c r="AH65" s="19"/>
      <c r="AO65" s="19"/>
      <c r="CP65" s="3"/>
      <c r="CQ65" s="3"/>
      <c r="DA65" s="3"/>
      <c r="DB65" s="3"/>
      <c r="DC65" s="3"/>
      <c r="DD65" s="3"/>
      <c r="DE65" s="3"/>
      <c r="DF65" s="3"/>
      <c r="DG65" s="3"/>
      <c r="DH65" s="3"/>
      <c r="DI65" s="3"/>
      <c r="DJ65" s="3"/>
      <c r="DK65" s="3"/>
      <c r="DL65" s="3"/>
      <c r="DM65" s="3"/>
      <c r="DN65" s="3"/>
      <c r="DO65" s="3"/>
      <c r="DP65" s="3"/>
      <c r="DQ65" s="3"/>
      <c r="DR65" s="3"/>
    </row>
    <row r="66" spans="14:122" ht="13.5">
      <c r="N66" s="19"/>
      <c r="O66" s="19"/>
      <c r="P66" s="19"/>
      <c r="Q66" s="19"/>
      <c r="R66" s="19"/>
      <c r="S66" s="19"/>
      <c r="T66" s="19"/>
      <c r="U66" s="19"/>
      <c r="V66" s="19"/>
      <c r="W66" s="19"/>
      <c r="X66" s="19"/>
      <c r="Y66" s="19"/>
      <c r="Z66" s="19"/>
      <c r="AA66" s="19"/>
      <c r="AB66" s="19"/>
      <c r="AC66" s="19"/>
      <c r="AD66" s="19"/>
      <c r="AE66" s="19"/>
      <c r="AF66" s="19"/>
      <c r="AG66" s="19"/>
      <c r="AH66" s="19"/>
      <c r="AO66" s="19"/>
      <c r="CP66" s="3"/>
      <c r="CQ66" s="3"/>
      <c r="DA66" s="3"/>
      <c r="DB66" s="3"/>
      <c r="DC66" s="3"/>
      <c r="DD66" s="3"/>
      <c r="DE66" s="3"/>
      <c r="DF66" s="3"/>
      <c r="DG66" s="3"/>
      <c r="DH66" s="3"/>
      <c r="DI66" s="3"/>
      <c r="DJ66" s="3"/>
      <c r="DK66" s="3"/>
      <c r="DL66" s="3"/>
      <c r="DM66" s="3"/>
      <c r="DN66" s="3"/>
      <c r="DO66" s="3"/>
      <c r="DP66" s="3"/>
      <c r="DQ66" s="3"/>
      <c r="DR66" s="3"/>
    </row>
    <row r="67" spans="14:122" ht="13.5">
      <c r="P67" s="19"/>
      <c r="Q67" s="19"/>
      <c r="R67" s="19"/>
      <c r="S67" s="19"/>
      <c r="T67" s="19"/>
      <c r="U67" s="19"/>
      <c r="V67" s="19"/>
      <c r="W67" s="19"/>
      <c r="X67" s="19"/>
      <c r="Y67" s="19"/>
      <c r="Z67" s="19"/>
      <c r="AA67" s="19"/>
      <c r="AB67" s="19"/>
      <c r="AC67" s="19"/>
      <c r="AD67" s="19"/>
      <c r="AE67" s="19"/>
      <c r="AF67" s="19"/>
      <c r="AG67" s="19"/>
      <c r="AH67" s="19"/>
      <c r="DA67" s="3"/>
      <c r="DB67" s="3"/>
      <c r="DC67" s="3"/>
      <c r="DD67" s="3"/>
      <c r="DE67" s="3"/>
      <c r="DF67" s="3"/>
      <c r="DG67" s="3"/>
      <c r="DH67" s="3"/>
      <c r="DI67" s="3"/>
      <c r="DJ67" s="3"/>
      <c r="DK67" s="3"/>
      <c r="DL67" s="3"/>
      <c r="DM67" s="3"/>
      <c r="DN67" s="3"/>
      <c r="DO67" s="3"/>
      <c r="DP67" s="3"/>
      <c r="DQ67" s="3"/>
      <c r="DR67" s="3"/>
    </row>
    <row r="68" spans="14:122" ht="13.5">
      <c r="P68" s="19"/>
      <c r="Q68" s="19"/>
      <c r="R68" s="19"/>
      <c r="S68" s="19"/>
      <c r="T68" s="19"/>
      <c r="U68" s="19"/>
      <c r="V68" s="19"/>
      <c r="W68" s="19"/>
      <c r="X68" s="19"/>
      <c r="Y68" s="19"/>
      <c r="Z68" s="19"/>
      <c r="AA68" s="19"/>
      <c r="AB68" s="19"/>
      <c r="AC68" s="19"/>
      <c r="AD68" s="19"/>
      <c r="AE68" s="19"/>
      <c r="AF68" s="19"/>
      <c r="AG68" s="19"/>
      <c r="AH68" s="19"/>
      <c r="DA68" s="3"/>
      <c r="DB68" s="3"/>
      <c r="DC68" s="3"/>
      <c r="DD68" s="3"/>
      <c r="DE68" s="3"/>
      <c r="DF68" s="3"/>
      <c r="DG68" s="3"/>
      <c r="DH68" s="3"/>
      <c r="DI68" s="3"/>
      <c r="DJ68" s="3"/>
      <c r="DK68" s="3"/>
      <c r="DL68" s="3"/>
      <c r="DM68" s="3"/>
      <c r="DN68" s="3"/>
      <c r="DO68" s="3"/>
      <c r="DP68" s="3"/>
      <c r="DQ68" s="3"/>
      <c r="DR68" s="3"/>
    </row>
    <row r="69" spans="14:122" ht="13.5">
      <c r="P69" s="19"/>
      <c r="Q69" s="19"/>
      <c r="R69" s="19"/>
      <c r="S69" s="19"/>
      <c r="T69" s="19"/>
      <c r="U69" s="19"/>
      <c r="V69" s="19"/>
      <c r="W69" s="19"/>
      <c r="X69" s="19"/>
      <c r="Y69" s="19"/>
      <c r="Z69" s="19"/>
      <c r="AA69" s="19"/>
      <c r="AB69" s="19"/>
      <c r="AC69" s="19"/>
      <c r="AD69" s="19"/>
      <c r="AE69" s="19"/>
      <c r="AF69" s="19"/>
      <c r="AG69" s="19"/>
      <c r="AH69" s="19"/>
      <c r="DA69" s="3"/>
      <c r="DB69" s="3"/>
      <c r="DC69" s="3"/>
      <c r="DD69" s="3"/>
      <c r="DE69" s="3"/>
      <c r="DF69" s="3"/>
      <c r="DG69" s="3"/>
      <c r="DH69" s="3"/>
      <c r="DI69" s="3"/>
      <c r="DJ69" s="3"/>
      <c r="DK69" s="3"/>
      <c r="DL69" s="3"/>
      <c r="DM69" s="3"/>
      <c r="DN69" s="3"/>
      <c r="DO69" s="3"/>
      <c r="DP69" s="3"/>
      <c r="DQ69" s="3"/>
      <c r="DR69" s="3"/>
    </row>
    <row r="70" spans="14:122" ht="13.5">
      <c r="P70" s="19"/>
      <c r="Q70" s="19"/>
      <c r="R70" s="19"/>
      <c r="S70" s="19"/>
      <c r="T70" s="19"/>
      <c r="U70" s="19"/>
      <c r="V70" s="19"/>
      <c r="W70" s="19"/>
      <c r="X70" s="19"/>
      <c r="Y70" s="19"/>
      <c r="Z70" s="19"/>
      <c r="AA70" s="19"/>
      <c r="AB70" s="19"/>
      <c r="AC70" s="19"/>
      <c r="AD70" s="19"/>
      <c r="AE70" s="19"/>
      <c r="AF70" s="19"/>
      <c r="AG70" s="19"/>
      <c r="AH70" s="19"/>
      <c r="DA70" s="3"/>
      <c r="DB70" s="3"/>
      <c r="DC70" s="3"/>
      <c r="DD70" s="3"/>
      <c r="DE70" s="3"/>
      <c r="DF70" s="3"/>
      <c r="DG70" s="3"/>
      <c r="DH70" s="3"/>
      <c r="DI70" s="3"/>
      <c r="DJ70" s="3"/>
      <c r="DK70" s="3"/>
      <c r="DL70" s="3"/>
      <c r="DM70" s="3"/>
      <c r="DN70" s="3"/>
      <c r="DO70" s="3"/>
      <c r="DP70" s="3"/>
      <c r="DQ70" s="3"/>
      <c r="DR70" s="3"/>
    </row>
    <row r="71" spans="14:122" ht="13.5">
      <c r="P71" s="19"/>
      <c r="Q71" s="19"/>
      <c r="R71" s="19"/>
      <c r="S71" s="19"/>
      <c r="T71" s="19"/>
      <c r="U71" s="19"/>
      <c r="V71" s="19"/>
      <c r="W71" s="19"/>
      <c r="X71" s="19"/>
      <c r="Y71" s="19"/>
      <c r="Z71" s="19"/>
      <c r="AA71" s="19"/>
      <c r="AB71" s="19"/>
      <c r="AC71" s="19"/>
      <c r="AD71" s="19"/>
      <c r="AE71" s="19"/>
      <c r="AF71" s="19"/>
      <c r="AG71" s="19"/>
      <c r="AH71" s="19"/>
      <c r="DA71" s="3"/>
      <c r="DB71" s="3"/>
      <c r="DC71" s="3"/>
      <c r="DD71" s="3"/>
      <c r="DE71" s="3"/>
      <c r="DF71" s="3"/>
      <c r="DG71" s="3"/>
      <c r="DH71" s="3"/>
      <c r="DI71" s="3"/>
      <c r="DJ71" s="3"/>
      <c r="DK71" s="3"/>
      <c r="DL71" s="3"/>
      <c r="DM71" s="3"/>
      <c r="DN71" s="3"/>
      <c r="DO71" s="3"/>
      <c r="DP71" s="3"/>
      <c r="DQ71" s="3"/>
      <c r="DR71" s="3"/>
    </row>
    <row r="72" spans="14:122" ht="13.5">
      <c r="P72" s="19"/>
      <c r="DA72" s="3"/>
      <c r="DB72" s="3"/>
      <c r="DC72" s="3"/>
      <c r="DD72" s="3"/>
      <c r="DE72" s="3"/>
      <c r="DF72" s="3"/>
      <c r="DG72" s="3"/>
      <c r="DH72" s="3"/>
      <c r="DI72" s="3"/>
      <c r="DJ72" s="3"/>
      <c r="DK72" s="3"/>
      <c r="DL72" s="3"/>
      <c r="DM72" s="3"/>
      <c r="DN72" s="3"/>
      <c r="DO72" s="3"/>
      <c r="DP72" s="3"/>
      <c r="DQ72" s="3"/>
      <c r="DR72" s="3"/>
    </row>
    <row r="73" spans="14:122" ht="13.5">
      <c r="P73" s="19"/>
      <c r="DA73" s="3"/>
      <c r="DB73" s="3"/>
      <c r="DC73" s="3"/>
      <c r="DD73" s="3"/>
      <c r="DE73" s="3"/>
      <c r="DF73" s="3"/>
      <c r="DG73" s="3"/>
      <c r="DH73" s="3"/>
      <c r="DI73" s="3"/>
      <c r="DJ73" s="3"/>
      <c r="DK73" s="3"/>
      <c r="DL73" s="3"/>
      <c r="DM73" s="3"/>
      <c r="DN73" s="3"/>
      <c r="DO73" s="3"/>
      <c r="DP73" s="3"/>
      <c r="DQ73" s="3"/>
      <c r="DR73" s="3"/>
    </row>
    <row r="74" spans="14:122" ht="13.5">
      <c r="P74" s="19"/>
    </row>
    <row r="75" spans="14:122" ht="13.5">
      <c r="P75" s="19"/>
    </row>
    <row r="76" spans="14:122" ht="13.5">
      <c r="P76" s="19"/>
    </row>
    <row r="77" spans="14:122" ht="13.5">
      <c r="P77" s="19"/>
    </row>
    <row r="78" spans="14:122" ht="13.5">
      <c r="P78" s="19"/>
    </row>
    <row r="79" spans="14:122" ht="13.5"/>
    <row r="80" spans="14:122"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3.5"/>
    <row r="1019" ht="13.5"/>
    <row r="1020" ht="13.5"/>
    <row r="1021" ht="13.5"/>
    <row r="1022" ht="13.5"/>
    <row r="1023" ht="13.5"/>
    <row r="1024" ht="13.5"/>
    <row r="1025" ht="13.5"/>
    <row r="1026" ht="13.5"/>
    <row r="1027" ht="13.5"/>
    <row r="1028" ht="13.5"/>
    <row r="1029" ht="13.5"/>
    <row r="1030" ht="13.5"/>
    <row r="1031" ht="13.5"/>
    <row r="1032" ht="13.5"/>
    <row r="1033" ht="13.5"/>
    <row r="1034" ht="13.5"/>
    <row r="1035" ht="13.5"/>
    <row r="1036" ht="13.5"/>
    <row r="1037" ht="13.5"/>
    <row r="1038" ht="13.5"/>
    <row r="1039" ht="13.5"/>
    <row r="1040" ht="13.5"/>
    <row r="1041" ht="13.5"/>
    <row r="1042" ht="13.5"/>
    <row r="1043" ht="13.5"/>
    <row r="1044" ht="13.5"/>
    <row r="1045" ht="13.5"/>
    <row r="1046" ht="13.5"/>
    <row r="1047" ht="13.5"/>
    <row r="1048" ht="13.5"/>
    <row r="1049" ht="13.5"/>
    <row r="1050" ht="13.5"/>
    <row r="1051" ht="13.5"/>
    <row r="1052" ht="13.5"/>
    <row r="1053" ht="13.5"/>
    <row r="1054" ht="13.5"/>
    <row r="1055" ht="13.5"/>
    <row r="1056" ht="13.5"/>
    <row r="1057" ht="13.5"/>
    <row r="1058" ht="13.5"/>
    <row r="1059" ht="13.5"/>
    <row r="1060" ht="13.5"/>
    <row r="1061" ht="13.5"/>
    <row r="1062" ht="13.5"/>
    <row r="1063" ht="13.5"/>
    <row r="1064" ht="13.5"/>
    <row r="1065" ht="13.5"/>
    <row r="1066" ht="13.5"/>
    <row r="1067" ht="13.5"/>
    <row r="1068" ht="13.5"/>
    <row r="1069" ht="13.5"/>
    <row r="1070" ht="13.5"/>
    <row r="1071" ht="13.5"/>
    <row r="1072" ht="13.5"/>
    <row r="1073" ht="13.5"/>
    <row r="1074" ht="13.5"/>
    <row r="1075" ht="13.5"/>
    <row r="1076" ht="13.5"/>
    <row r="1077" ht="13.5"/>
    <row r="1078" ht="13.5"/>
    <row r="1079" ht="13.5"/>
    <row r="1080" ht="13.5"/>
    <row r="1081" ht="13.5"/>
    <row r="1082" ht="13.5"/>
    <row r="1083" ht="13.5"/>
    <row r="1084" ht="13.5"/>
    <row r="1085" ht="13.5"/>
    <row r="1086" ht="13.5"/>
    <row r="1087" ht="13.5"/>
    <row r="1088" ht="13.5"/>
    <row r="1089" ht="13.5"/>
    <row r="1090" ht="13.5"/>
    <row r="1091" ht="13.5"/>
    <row r="1092" ht="13.5"/>
    <row r="1093" ht="13.5"/>
    <row r="1094" ht="13.5"/>
    <row r="1095" ht="13.5"/>
    <row r="1096" ht="13.5"/>
    <row r="1097" ht="13.5"/>
    <row r="1098" ht="13.5"/>
    <row r="1099" ht="13.5"/>
    <row r="1100" ht="13.5"/>
    <row r="1101" ht="13.5"/>
    <row r="1102" ht="13.5"/>
    <row r="1103" ht="13.5"/>
    <row r="1104" ht="13.5"/>
    <row r="1105" ht="13.5"/>
    <row r="1106" ht="13.5"/>
    <row r="1107" ht="13.5"/>
    <row r="1108" ht="13.5"/>
    <row r="1109" ht="13.5"/>
    <row r="1110" ht="13.5"/>
    <row r="1111" ht="13.5"/>
    <row r="1112" ht="13.5"/>
    <row r="1113" ht="13.5"/>
    <row r="1114" ht="13.5"/>
    <row r="1115" ht="13.5"/>
    <row r="1116" ht="13.5"/>
    <row r="1117" ht="13.5"/>
    <row r="1118" ht="13.5"/>
    <row r="1119" ht="13.5"/>
    <row r="1120" ht="13.5"/>
    <row r="1121" ht="13.5"/>
    <row r="1122" ht="13.5"/>
    <row r="1123" ht="13.5"/>
    <row r="1124" ht="13.5"/>
    <row r="1125" ht="13.5"/>
    <row r="1126" ht="13.5"/>
    <row r="1127" ht="13.5"/>
    <row r="1128" ht="13.5"/>
    <row r="1129" ht="13.5"/>
    <row r="1130" ht="13.5"/>
    <row r="1131" ht="13.5"/>
    <row r="1132" ht="13.5"/>
    <row r="1133" ht="13.5"/>
    <row r="1134" ht="13.5"/>
    <row r="1135" ht="13.5"/>
    <row r="1136" ht="13.5"/>
    <row r="1137" ht="13.5"/>
    <row r="1138" ht="13.5"/>
    <row r="1139" ht="13.5"/>
    <row r="1140" ht="13.5"/>
    <row r="1141" ht="13.5"/>
    <row r="1142" ht="13.5"/>
    <row r="1143" ht="13.5"/>
    <row r="1144" ht="13.5"/>
    <row r="1145" ht="13.5"/>
    <row r="1146" ht="13.5"/>
    <row r="1147" ht="13.5"/>
    <row r="1148" ht="13.5"/>
    <row r="1149" ht="13.5"/>
    <row r="1150" ht="13.5"/>
    <row r="1151" ht="13.5"/>
    <row r="1152" ht="13.5"/>
    <row r="1153" ht="13.5"/>
    <row r="1154" ht="13.5"/>
    <row r="1155" ht="13.5"/>
    <row r="1156" ht="13.5"/>
    <row r="1157" ht="13.5"/>
    <row r="1158" ht="13.5"/>
    <row r="1159" ht="13.5"/>
    <row r="1160" ht="13.5"/>
    <row r="1161" ht="13.5"/>
    <row r="1162" ht="13.5"/>
    <row r="1163" ht="13.5"/>
    <row r="1164" ht="13.5"/>
    <row r="1165" ht="13.5"/>
    <row r="1166" ht="13.5"/>
    <row r="1167" ht="13.5"/>
    <row r="1168" ht="13.5"/>
    <row r="1169" ht="13.5"/>
    <row r="1170" ht="13.5"/>
    <row r="1171" ht="13.5"/>
    <row r="1172" ht="13.5"/>
    <row r="1173" ht="13.5"/>
    <row r="1174" ht="13.5"/>
    <row r="1175" ht="13.5"/>
    <row r="1176" ht="13.5"/>
    <row r="1177" ht="13.5"/>
    <row r="1178" ht="13.5"/>
    <row r="1179" ht="13.5"/>
    <row r="1180" ht="13.5"/>
    <row r="1181" ht="13.5"/>
    <row r="1182" ht="13.5"/>
    <row r="1183" ht="13.5"/>
    <row r="1184" ht="13.5"/>
    <row r="1185" ht="13.5"/>
    <row r="1186" ht="13.5"/>
    <row r="1187" ht="13.5"/>
    <row r="1188" ht="13.5"/>
    <row r="1189" ht="13.5"/>
    <row r="1190" ht="13.5"/>
    <row r="1191" ht="13.5"/>
    <row r="1192" ht="13.5"/>
    <row r="1193" ht="13.5"/>
    <row r="1194" ht="13.5"/>
    <row r="1195" ht="13.5"/>
    <row r="1196" ht="13.5"/>
    <row r="1197" ht="13.5"/>
    <row r="1198" ht="13.5"/>
    <row r="1199" ht="13.5"/>
    <row r="1200" ht="13.5"/>
    <row r="1201" ht="13.5"/>
    <row r="1202" ht="13.5"/>
    <row r="1203" ht="13.5"/>
    <row r="1204" ht="13.5"/>
    <row r="1205" ht="13.5"/>
    <row r="1206" ht="13.5"/>
    <row r="1207" ht="13.5"/>
    <row r="1208" ht="13.5"/>
    <row r="1209" ht="13.5"/>
    <row r="1210" ht="13.5"/>
    <row r="1211" ht="13.5"/>
    <row r="1212" ht="13.5"/>
    <row r="1213" ht="13.5"/>
    <row r="1214" ht="13.5"/>
    <row r="1215" ht="13.5"/>
    <row r="1216" ht="13.5"/>
    <row r="1217" ht="13.5"/>
    <row r="1218" ht="13.5"/>
    <row r="1219" ht="13.5"/>
    <row r="1220" ht="13.5"/>
    <row r="1221" ht="13.5"/>
    <row r="1222" ht="13.5"/>
    <row r="1223" ht="13.5"/>
    <row r="1224" ht="13.5"/>
    <row r="1225" ht="13.5"/>
    <row r="1226" ht="13.5"/>
    <row r="1227" ht="13.5"/>
    <row r="1228" ht="13.5"/>
    <row r="1229" ht="13.5"/>
    <row r="1230" ht="13.5"/>
    <row r="1231" ht="13.5"/>
    <row r="1232" ht="13.5"/>
    <row r="1233" ht="13.5"/>
    <row r="1234" ht="13.5"/>
    <row r="1235" ht="13.5"/>
    <row r="1236" ht="13.5"/>
    <row r="1237" ht="13.5"/>
    <row r="1238" ht="13.5"/>
    <row r="1239" ht="13.5"/>
    <row r="1240" ht="13.5"/>
    <row r="1241" ht="13.5"/>
    <row r="1242" ht="13.5"/>
    <row r="1243" ht="13.5"/>
    <row r="1244" ht="13.5"/>
    <row r="1245" ht="13.5"/>
    <row r="1246" ht="13.5"/>
    <row r="1247" ht="13.5"/>
    <row r="1248" ht="13.5"/>
    <row r="1249" ht="13.5"/>
    <row r="1250" ht="13.5"/>
    <row r="1251" ht="13.5"/>
    <row r="1252" ht="13.5"/>
    <row r="1253" ht="13.5"/>
    <row r="1254" ht="13.5"/>
    <row r="1255" ht="13.5"/>
    <row r="1256" ht="13.5"/>
    <row r="1257" ht="13.5"/>
    <row r="1258" ht="13.5"/>
    <row r="1259" ht="13.5"/>
    <row r="1260" ht="13.5"/>
    <row r="1261" ht="13.5"/>
    <row r="1262" ht="13.5"/>
    <row r="1263" ht="13.5"/>
    <row r="1264" ht="13.5"/>
    <row r="1265" ht="13.5"/>
    <row r="1266" ht="13.5"/>
    <row r="1267" ht="13.5"/>
    <row r="1268" ht="13.5"/>
    <row r="1269" ht="13.5"/>
    <row r="1270" ht="13.5"/>
    <row r="1271" ht="13.5"/>
    <row r="1272" ht="13.5"/>
    <row r="1273" ht="13.5"/>
    <row r="1274" ht="13.5"/>
    <row r="1275" ht="13.5"/>
    <row r="1276" ht="13.5"/>
    <row r="1277" ht="13.5"/>
    <row r="1278" ht="13.5"/>
    <row r="1279" ht="13.5"/>
    <row r="1280" ht="13.5"/>
    <row r="1281" ht="13.5"/>
    <row r="1282" ht="13.5"/>
    <row r="1283" ht="13.5"/>
    <row r="1284" ht="13.5"/>
    <row r="1285" ht="13.5"/>
    <row r="1286" ht="13.5"/>
    <row r="1287" ht="13.5"/>
    <row r="1288" ht="13.5"/>
    <row r="1289" ht="13.5"/>
    <row r="1290" ht="13.5"/>
    <row r="1291" ht="13.5"/>
    <row r="1292" ht="13.5"/>
    <row r="1293" ht="13.5"/>
    <row r="1294" ht="13.5"/>
    <row r="1295" ht="13.5"/>
    <row r="1296" ht="13.5"/>
    <row r="1297" ht="13.5"/>
    <row r="1298" ht="13.5"/>
    <row r="1299" ht="13.5"/>
    <row r="1300" ht="13.5"/>
    <row r="1301" ht="13.5"/>
    <row r="1302" ht="13.5"/>
    <row r="1303" ht="13.5"/>
    <row r="1304" ht="13.5"/>
    <row r="1305" ht="13.5"/>
    <row r="1306" ht="13.5"/>
    <row r="1307" ht="13.5"/>
    <row r="1308" ht="13.5"/>
    <row r="1309" ht="13.5"/>
    <row r="1310" ht="13.5"/>
    <row r="1311" ht="13.5"/>
    <row r="1312" ht="13.5"/>
    <row r="1313" ht="13.5"/>
    <row r="1314" ht="13.5"/>
    <row r="1315" ht="13.5"/>
    <row r="1316" ht="13.5"/>
    <row r="1317" ht="13.5"/>
    <row r="1318" ht="13.5"/>
    <row r="1319" ht="13.5"/>
    <row r="1320" ht="13.5"/>
    <row r="1321" ht="13.5"/>
    <row r="1322" ht="13.5"/>
    <row r="1323" ht="13.5"/>
    <row r="1324" ht="13.5"/>
    <row r="1325" ht="13.5"/>
    <row r="1326" ht="13.5"/>
    <row r="1327" ht="13.5"/>
    <row r="1328" ht="13.5"/>
    <row r="1329" ht="13.5"/>
    <row r="1330" ht="13.5"/>
    <row r="1331" ht="13.5"/>
    <row r="1332" ht="13.5"/>
    <row r="1333" ht="13.5"/>
    <row r="1334" ht="13.5"/>
    <row r="1335" ht="13.5"/>
    <row r="1336" ht="13.5"/>
    <row r="1337" ht="13.5"/>
    <row r="1338" ht="13.5"/>
    <row r="1339" ht="13.5"/>
    <row r="1340" ht="13.5"/>
    <row r="1341" ht="13.5"/>
    <row r="1342" ht="13.5"/>
    <row r="1343" ht="13.5"/>
    <row r="1344" ht="13.5"/>
    <row r="1345" ht="13.5"/>
    <row r="1346" ht="13.5"/>
    <row r="1347" ht="13.5"/>
    <row r="1348" ht="13.5"/>
    <row r="1349" ht="13.5"/>
    <row r="1350" ht="13.5"/>
    <row r="1351" ht="13.5"/>
    <row r="1352" ht="13.5"/>
    <row r="1353" ht="13.5"/>
    <row r="1354" ht="13.5"/>
    <row r="1355" ht="13.5"/>
    <row r="1356" ht="13.5"/>
    <row r="1357" ht="13.5"/>
    <row r="1358" ht="13.5"/>
    <row r="1359" ht="13.5"/>
    <row r="1360" ht="13.5"/>
    <row r="1361" ht="13.5"/>
    <row r="1362" ht="13.5"/>
    <row r="1363" ht="13.5"/>
    <row r="1364" ht="13.5"/>
    <row r="1365" ht="13.5"/>
    <row r="1366" ht="13.5"/>
    <row r="1367" ht="13.5"/>
    <row r="1368" ht="13.5"/>
    <row r="1369" ht="13.5"/>
    <row r="1370" ht="13.5"/>
    <row r="1371" ht="13.5"/>
    <row r="1372" ht="13.5"/>
    <row r="1373" ht="13.5"/>
    <row r="1374" ht="13.5"/>
    <row r="1375" ht="13.5"/>
    <row r="1376" ht="13.5"/>
    <row r="1377" ht="13.5"/>
    <row r="1378" ht="13.5"/>
    <row r="1379" ht="13.5"/>
    <row r="1380" ht="13.5"/>
    <row r="1381" ht="13.5"/>
    <row r="1382" ht="13.5"/>
    <row r="1383" ht="13.5"/>
    <row r="1384" ht="13.5"/>
    <row r="1385" ht="13.5"/>
    <row r="1386" ht="13.5"/>
    <row r="1387" ht="13.5"/>
    <row r="1388" ht="13.5"/>
    <row r="1389" ht="13.5"/>
    <row r="1390" ht="13.5"/>
    <row r="1391" ht="13.5"/>
    <row r="1392" ht="13.5"/>
    <row r="1393" ht="13.5"/>
    <row r="1394" ht="13.5"/>
    <row r="1395" ht="13.5"/>
    <row r="1396" ht="13.5"/>
    <row r="1397" ht="13.5"/>
    <row r="1398" ht="13.5"/>
    <row r="1399" ht="13.5"/>
    <row r="1400" ht="13.5"/>
    <row r="1401" ht="13.5"/>
    <row r="1402" ht="13.5"/>
    <row r="1403" ht="13.5"/>
    <row r="1404" ht="13.5"/>
    <row r="1405" ht="13.5"/>
    <row r="1406" ht="13.5"/>
    <row r="1407" ht="13.5"/>
    <row r="1408" ht="13.5"/>
    <row r="1409" ht="13.5"/>
    <row r="1410" ht="13.5"/>
    <row r="1411" ht="13.5"/>
    <row r="1412" ht="13.5"/>
    <row r="1413" ht="13.5"/>
    <row r="1414" ht="13.5"/>
    <row r="1415" ht="13.5"/>
    <row r="1416" ht="13.5"/>
    <row r="1417" ht="13.5"/>
    <row r="1418" ht="13.5"/>
    <row r="1419" ht="13.5"/>
    <row r="1420" ht="13.5"/>
    <row r="1421" ht="13.5"/>
    <row r="1422" ht="13.5"/>
    <row r="1423" ht="13.5"/>
    <row r="1424" ht="13.5"/>
    <row r="1425" ht="13.5"/>
    <row r="1426" ht="13.5"/>
    <row r="1427" ht="13.5"/>
    <row r="1428" ht="13.5"/>
    <row r="1429" ht="13.5"/>
    <row r="1430" ht="13.5"/>
    <row r="1431" ht="13.5"/>
    <row r="1432" ht="13.5"/>
    <row r="1433" ht="13.5"/>
    <row r="1434" ht="13.5"/>
    <row r="1435" ht="13.5"/>
    <row r="1436" ht="13.5"/>
    <row r="1437" ht="13.5"/>
    <row r="1438" ht="13.5"/>
    <row r="1439" ht="13.5"/>
    <row r="1440" ht="13.5"/>
    <row r="1441" ht="13.5"/>
    <row r="1442" ht="13.5"/>
    <row r="1443" ht="13.5"/>
    <row r="1444" ht="13.5"/>
    <row r="1445" ht="13.5"/>
    <row r="1446" ht="13.5"/>
    <row r="1447" ht="13.5"/>
    <row r="1448" ht="13.5"/>
    <row r="1449" ht="13.5"/>
    <row r="1450" ht="13.5"/>
    <row r="1451" ht="13.5"/>
    <row r="1452" ht="13.5"/>
    <row r="1453" ht="13.5"/>
    <row r="1454" ht="13.5"/>
    <row r="1455" ht="13.5"/>
    <row r="1456" ht="13.5"/>
    <row r="1457" ht="13.5"/>
    <row r="1458" ht="13.5"/>
    <row r="1459" ht="13.5"/>
    <row r="1460" ht="13.5"/>
    <row r="1461" ht="13.5"/>
    <row r="1462" ht="13.5"/>
    <row r="1463" ht="13.5"/>
    <row r="1464" ht="13.5"/>
    <row r="1465" ht="13.5"/>
    <row r="1466" ht="13.5"/>
    <row r="1467" ht="13.5"/>
    <row r="1468" ht="13.5"/>
    <row r="1469" ht="13.5"/>
    <row r="1470" ht="13.5"/>
    <row r="1471" ht="13.5"/>
    <row r="1472" ht="13.5"/>
    <row r="1473" ht="13.5"/>
    <row r="1474" ht="13.5"/>
    <row r="1475" ht="13.5"/>
    <row r="1476" ht="13.5"/>
    <row r="1477" ht="13.5"/>
    <row r="1478" ht="13.5"/>
    <row r="1479" ht="13.5"/>
    <row r="1480" ht="13.5"/>
    <row r="1481" ht="13.5"/>
    <row r="1482" ht="13.5"/>
    <row r="1483" ht="13.5"/>
    <row r="1484" ht="13.5"/>
    <row r="1485" ht="13.5"/>
    <row r="1486" ht="13.5"/>
    <row r="1487" ht="13.5"/>
    <row r="1488" ht="13.5"/>
    <row r="1489" ht="13.5"/>
    <row r="1490" ht="13.5"/>
    <row r="1491" ht="13.5"/>
    <row r="1492" ht="13.5"/>
    <row r="1493" ht="13.5"/>
    <row r="1494" ht="13.5"/>
    <row r="1495" ht="13.5"/>
    <row r="1496" ht="13.5"/>
    <row r="1497" ht="13.5"/>
    <row r="1498" ht="13.5"/>
    <row r="1499" ht="13.5"/>
    <row r="1500" ht="13.5"/>
    <row r="1501" ht="13.5"/>
    <row r="1502" ht="13.5"/>
    <row r="1503" ht="13.5"/>
    <row r="1504" ht="13.5"/>
    <row r="1505" ht="13.5"/>
    <row r="1506" ht="13.5"/>
    <row r="1507" ht="13.5"/>
    <row r="1508" ht="13.5"/>
    <row r="1509" ht="13.5"/>
    <row r="1510" ht="13.5"/>
    <row r="1511" ht="13.5"/>
    <row r="1512" ht="13.5"/>
    <row r="1513" ht="13.5"/>
    <row r="1514" ht="13.5"/>
    <row r="1515" ht="13.5"/>
    <row r="1516" ht="13.5"/>
    <row r="1517" ht="13.5"/>
    <row r="1518" ht="13.5"/>
    <row r="1519" ht="13.5"/>
    <row r="1520" ht="13.5"/>
    <row r="1521" ht="13.5"/>
    <row r="1522" ht="13.5"/>
    <row r="1523" ht="13.5"/>
    <row r="1524" ht="13.5"/>
    <row r="1525" ht="13.5"/>
    <row r="1526" ht="13.5"/>
    <row r="1527" ht="13.5"/>
    <row r="1528" ht="13.5"/>
    <row r="1529" ht="13.5"/>
    <row r="1530" ht="13.5"/>
    <row r="1531" ht="13.5"/>
    <row r="1532" ht="13.5"/>
    <row r="1533" ht="13.5"/>
    <row r="1534" ht="13.5"/>
    <row r="1535" ht="13.5"/>
    <row r="1536" ht="13.5"/>
    <row r="1537" ht="13.5"/>
    <row r="1538" ht="13.5"/>
    <row r="1539" ht="13.5"/>
    <row r="1540" ht="13.5"/>
    <row r="1541" ht="13.5"/>
    <row r="1542" ht="13.5"/>
    <row r="1543" ht="13.5"/>
    <row r="1544" ht="13.5"/>
    <row r="1545" ht="13.5"/>
    <row r="1546" ht="13.5"/>
    <row r="1547" ht="13.5"/>
    <row r="1548" ht="13.5"/>
    <row r="1549" ht="13.5"/>
    <row r="1550" ht="13.5"/>
    <row r="1551" ht="13.5"/>
    <row r="1552" ht="13.5"/>
    <row r="1553" ht="13.5"/>
    <row r="1554" ht="13.5"/>
    <row r="1555" ht="13.5"/>
    <row r="1556" ht="13.5"/>
    <row r="1557" ht="13.5"/>
    <row r="1558" ht="13.5"/>
    <row r="1559" ht="13.5"/>
    <row r="1560" ht="13.5"/>
    <row r="1561" ht="13.5"/>
    <row r="1562" ht="13.5"/>
    <row r="1563" ht="13.5"/>
    <row r="1564" ht="13.5"/>
    <row r="1565" ht="13.5"/>
    <row r="1566" ht="13.5"/>
    <row r="1567" ht="13.5"/>
    <row r="1568" ht="13.5"/>
    <row r="1569" ht="13.5"/>
    <row r="1570" ht="13.5"/>
    <row r="1571" ht="13.5"/>
    <row r="1572" ht="13.5"/>
    <row r="1573" ht="13.5"/>
    <row r="1574" ht="13.5"/>
    <row r="1575" ht="13.5"/>
    <row r="1576" ht="13.5"/>
    <row r="1577" ht="13.5"/>
    <row r="1578" ht="13.5"/>
    <row r="1579" ht="13.5"/>
    <row r="1580" ht="13.5"/>
    <row r="1581" ht="13.5"/>
    <row r="1582" ht="13.5"/>
    <row r="1583" ht="13.5"/>
    <row r="1584" ht="13.5"/>
    <row r="1585" ht="13.5"/>
    <row r="1586" ht="13.5"/>
    <row r="1587" ht="13.5"/>
    <row r="1588" ht="13.5"/>
    <row r="1589" ht="13.5"/>
    <row r="1590" ht="13.5"/>
    <row r="1591" ht="13.5"/>
    <row r="1592" ht="13.5"/>
    <row r="1593" ht="13.5"/>
    <row r="1594" ht="13.5"/>
    <row r="1595" ht="13.5"/>
    <row r="1596" ht="13.5"/>
    <row r="1597" ht="13.5"/>
    <row r="1598" ht="13.5"/>
    <row r="1599" ht="13.5"/>
    <row r="1600" ht="13.5"/>
    <row r="1601" ht="13.5"/>
    <row r="1602" ht="13.5"/>
    <row r="1603" ht="13.5"/>
    <row r="1604" ht="13.5"/>
    <row r="1605" ht="13.5"/>
    <row r="1606" ht="13.5"/>
    <row r="1607" ht="13.5"/>
    <row r="1608" ht="13.5"/>
    <row r="1609" ht="13.5"/>
    <row r="1610" ht="13.5"/>
    <row r="1611" ht="13.5"/>
    <row r="1612" ht="13.5"/>
    <row r="1613" ht="13.5"/>
    <row r="1614" ht="13.5"/>
    <row r="1615" ht="13.5"/>
    <row r="1616" ht="13.5"/>
    <row r="1617" ht="13.5"/>
    <row r="1618" ht="13.5"/>
    <row r="1619" ht="13.5"/>
    <row r="1620" ht="13.5"/>
    <row r="1621" ht="13.5"/>
    <row r="1622" ht="13.5"/>
    <row r="1623" ht="13.5"/>
    <row r="1624" ht="13.5"/>
    <row r="1625" ht="13.5"/>
    <row r="1626" ht="13.5"/>
    <row r="1627" ht="13.5"/>
    <row r="1628" ht="13.5"/>
    <row r="1629" ht="13.5"/>
    <row r="1630" ht="13.5"/>
    <row r="1631" ht="13.5"/>
    <row r="1632" ht="13.5"/>
    <row r="1633" ht="13.5"/>
    <row r="1634" ht="13.5"/>
    <row r="1635" ht="13.5"/>
    <row r="1636" ht="13.5"/>
    <row r="1637" ht="13.5"/>
    <row r="1638" ht="13.5"/>
    <row r="1639" ht="13.5"/>
    <row r="1640" ht="13.5"/>
    <row r="1641" ht="13.5"/>
    <row r="1642" ht="13.5"/>
    <row r="1643" ht="13.5"/>
    <row r="1644" ht="13.5"/>
    <row r="1645" ht="13.5"/>
    <row r="1646" ht="13.5"/>
    <row r="1647" ht="13.5"/>
    <row r="1648" ht="13.5"/>
    <row r="1649" ht="13.5"/>
    <row r="1650" ht="13.5"/>
    <row r="1651" ht="13.5"/>
    <row r="1652" ht="13.5"/>
    <row r="1653" ht="13.5"/>
    <row r="1654" ht="13.5"/>
    <row r="1655" ht="13.5"/>
    <row r="1656" ht="13.5"/>
    <row r="1657" ht="13.5"/>
    <row r="1658" ht="13.5"/>
    <row r="1659" ht="13.5"/>
    <row r="1660" ht="13.5"/>
    <row r="1661" ht="13.5"/>
    <row r="1662" ht="13.5"/>
    <row r="1663" ht="13.5"/>
    <row r="1664" ht="13.5"/>
    <row r="1665" ht="13.5"/>
    <row r="1666" ht="13.5"/>
    <row r="1667" ht="13.5"/>
    <row r="1668" ht="13.5"/>
    <row r="1669" ht="13.5"/>
    <row r="1670" ht="13.5"/>
    <row r="1671" ht="13.5"/>
    <row r="1672" ht="13.5"/>
    <row r="1673" ht="13.5"/>
    <row r="1674" ht="13.5"/>
    <row r="1675" ht="13.5"/>
    <row r="1676" ht="13.5"/>
    <row r="1677" ht="13.5"/>
    <row r="1678" ht="13.5"/>
    <row r="1679" ht="13.5"/>
    <row r="1680" ht="13.5"/>
    <row r="1681" ht="13.5"/>
    <row r="1682" ht="13.5"/>
    <row r="1683" ht="13.5"/>
    <row r="1684" ht="13.5"/>
    <row r="1685" ht="13.5"/>
    <row r="1686" ht="13.5"/>
    <row r="1687" ht="13.5"/>
    <row r="1688" ht="13.5"/>
    <row r="1689" ht="13.5"/>
    <row r="1690" ht="13.5"/>
    <row r="1691" ht="13.5"/>
    <row r="1692" ht="13.5"/>
    <row r="1693" ht="13.5"/>
    <row r="1694" ht="13.5"/>
    <row r="1695" ht="13.5"/>
    <row r="1696" ht="13.5"/>
    <row r="1697" ht="13.5"/>
    <row r="1698" ht="13.5"/>
    <row r="1699" ht="13.5"/>
    <row r="1700" ht="13.5"/>
    <row r="1701" ht="13.5"/>
    <row r="1702" ht="13.5"/>
    <row r="1703" ht="13.5"/>
    <row r="1704" ht="13.5"/>
    <row r="1705" ht="13.5"/>
    <row r="1706" ht="13.5"/>
    <row r="1707" ht="13.5"/>
    <row r="1708" ht="13.5"/>
    <row r="1709" ht="13.5"/>
    <row r="1710" ht="13.5"/>
    <row r="1711" ht="13.5"/>
    <row r="1712" ht="13.5"/>
    <row r="1713" ht="13.5"/>
    <row r="1714" ht="13.5"/>
    <row r="1715" ht="13.5"/>
    <row r="1716" ht="13.5"/>
    <row r="1717" ht="13.5"/>
    <row r="1718" ht="13.5"/>
    <row r="1719" ht="13.5"/>
    <row r="1720" ht="13.5"/>
    <row r="1721" ht="13.5"/>
    <row r="1722" ht="13.5"/>
    <row r="1723" ht="13.5"/>
    <row r="1724" ht="13.5"/>
    <row r="1725" ht="13.5"/>
    <row r="1726" ht="13.5"/>
    <row r="1727" ht="13.5"/>
    <row r="1728" ht="13.5"/>
    <row r="1729" ht="13.5"/>
    <row r="1730" ht="13.5"/>
    <row r="1731" ht="13.5"/>
    <row r="1732" ht="13.5"/>
    <row r="1733" ht="13.5"/>
    <row r="1734" ht="13.5"/>
    <row r="1735" ht="13.5"/>
    <row r="1736" ht="13.5"/>
    <row r="1737" ht="13.5"/>
    <row r="1738" ht="13.5"/>
    <row r="1739" ht="13.5"/>
    <row r="1740" ht="13.5"/>
    <row r="1741" ht="13.5"/>
    <row r="1742" ht="13.5"/>
    <row r="1743" ht="13.5"/>
    <row r="1744" ht="13.5"/>
    <row r="1745" ht="13.5"/>
    <row r="1746" ht="13.5"/>
    <row r="1747" ht="13.5"/>
    <row r="1748" ht="13.5"/>
    <row r="1749" ht="13.5"/>
    <row r="1750" ht="13.5"/>
    <row r="1751" ht="13.5"/>
    <row r="1752" ht="13.5"/>
    <row r="1753" ht="13.5"/>
    <row r="1754" ht="13.5"/>
    <row r="1755" ht="13.5"/>
    <row r="1756" ht="13.5"/>
    <row r="1757" ht="13.5"/>
    <row r="1758" ht="13.5"/>
    <row r="1759" ht="13.5"/>
    <row r="1760" ht="13.5"/>
    <row r="1761" ht="13.5"/>
    <row r="1762" ht="13.5"/>
    <row r="1763" ht="13.5"/>
    <row r="1764" ht="13.5"/>
    <row r="1765" ht="13.5"/>
    <row r="1766" ht="13.5"/>
    <row r="1767" ht="13.5"/>
    <row r="1768" ht="13.5"/>
    <row r="1769" ht="13.5"/>
    <row r="1770" ht="13.5"/>
    <row r="1771" ht="13.5"/>
    <row r="1772" ht="13.5"/>
    <row r="1773" ht="13.5"/>
    <row r="1774" ht="13.5"/>
    <row r="1775" ht="13.5"/>
    <row r="1776" ht="13.5"/>
    <row r="1777" ht="13.5"/>
    <row r="1778" ht="13.5"/>
    <row r="1779" ht="13.5"/>
    <row r="1780" ht="13.5"/>
    <row r="1781" ht="13.5"/>
    <row r="1782" ht="13.5"/>
    <row r="1783" ht="13.5"/>
    <row r="1784" ht="13.5"/>
    <row r="1785" ht="13.5"/>
    <row r="1786" ht="13.5"/>
    <row r="1787" ht="13.5"/>
    <row r="1788" ht="13.5"/>
    <row r="1789" ht="13.5"/>
    <row r="1790" ht="13.5"/>
    <row r="1791" ht="13.5"/>
    <row r="1792" ht="13.5"/>
    <row r="1793" ht="13.5"/>
    <row r="1794" ht="13.5"/>
    <row r="1795" ht="13.5"/>
    <row r="1796" ht="13.5"/>
    <row r="1797" ht="13.5"/>
    <row r="1798" ht="13.5"/>
    <row r="1799" ht="13.5"/>
    <row r="1800" ht="13.5"/>
    <row r="1801" ht="13.5"/>
    <row r="1802" ht="13.5"/>
    <row r="1803" ht="13.5"/>
    <row r="1804" ht="13.5"/>
    <row r="1805" ht="13.5"/>
    <row r="1806" ht="13.5"/>
    <row r="1807" ht="13.5"/>
    <row r="1808" ht="13.5"/>
    <row r="1809" ht="13.5"/>
    <row r="1810" ht="13.5"/>
    <row r="1811" ht="13.5"/>
    <row r="1812" ht="13.5"/>
    <row r="1813" ht="13.5"/>
    <row r="1814" ht="13.5"/>
    <row r="1815" ht="13.5"/>
    <row r="1816" ht="13.5"/>
    <row r="1817" ht="13.5"/>
    <row r="1818" ht="13.5"/>
    <row r="1819" ht="13.5"/>
    <row r="1820" ht="13.5"/>
    <row r="1821" ht="13.5"/>
    <row r="1822" ht="13.5"/>
    <row r="1823" ht="13.5"/>
    <row r="1824" ht="13.5"/>
    <row r="1825" ht="13.5"/>
    <row r="1826" ht="13.5"/>
    <row r="1827" ht="13.5"/>
    <row r="1828" ht="13.5"/>
    <row r="1829" ht="13.5"/>
    <row r="1830" ht="13.5"/>
    <row r="1831" ht="13.5"/>
    <row r="1832" ht="13.5"/>
    <row r="1833" ht="13.5"/>
    <row r="1834" ht="13.5"/>
    <row r="1835" ht="13.5"/>
    <row r="1836" ht="13.5"/>
    <row r="1837" ht="13.5"/>
    <row r="1838" ht="13.5"/>
    <row r="1839" ht="13.5"/>
    <row r="1840" ht="13.5"/>
    <row r="1841" ht="13.5"/>
    <row r="1842" ht="13.5"/>
    <row r="1843" ht="13.5"/>
    <row r="1844" ht="13.5"/>
    <row r="1845" ht="13.5"/>
    <row r="1846" ht="13.5"/>
    <row r="1847" ht="13.5"/>
    <row r="1848" ht="13.5"/>
    <row r="1849" ht="13.5"/>
    <row r="1850" ht="13.5"/>
    <row r="1851" ht="13.5"/>
    <row r="1852" ht="13.5"/>
    <row r="1853" ht="13.5"/>
    <row r="1854" ht="13.5"/>
    <row r="1855" ht="13.5"/>
    <row r="1856" ht="13.5"/>
    <row r="1857" ht="13.5"/>
    <row r="1858" ht="13.5"/>
    <row r="1859" ht="13.5"/>
    <row r="1860" ht="13.5"/>
    <row r="1861" ht="13.5"/>
    <row r="1862" ht="13.5"/>
    <row r="1863" ht="13.5"/>
    <row r="1864" ht="13.5"/>
    <row r="1865" ht="13.5"/>
    <row r="1866" ht="13.5"/>
    <row r="1867" ht="13.5"/>
    <row r="1868" ht="13.5"/>
    <row r="1869" ht="13.5"/>
    <row r="1870" ht="13.5"/>
    <row r="1871" ht="13.5"/>
    <row r="1872" ht="13.5"/>
    <row r="1873" ht="13.5"/>
    <row r="1874" ht="13.5"/>
    <row r="1875" ht="13.5"/>
    <row r="1876" ht="13.5"/>
    <row r="1877" ht="13.5"/>
    <row r="1878" ht="13.5"/>
    <row r="1879" ht="13.5"/>
    <row r="1880" ht="13.5"/>
    <row r="1881" ht="13.5"/>
    <row r="1882" ht="13.5"/>
    <row r="1883" ht="13.5"/>
    <row r="1884" ht="13.5"/>
    <row r="1885" ht="13.5"/>
    <row r="1886" ht="13.5"/>
    <row r="1887" ht="13.5"/>
    <row r="1888" ht="13.5"/>
    <row r="1889" ht="13.5"/>
    <row r="1890" ht="13.5"/>
    <row r="1891" ht="13.5"/>
    <row r="1892" ht="13.5"/>
    <row r="1893" ht="13.5"/>
    <row r="1894" ht="13.5"/>
    <row r="1895" ht="13.5"/>
    <row r="1896" ht="13.5"/>
    <row r="1897" ht="13.5"/>
    <row r="1898" ht="13.5"/>
    <row r="1899" ht="13.5"/>
    <row r="1900" ht="13.5"/>
    <row r="1901" ht="13.5"/>
    <row r="1902" ht="13.5"/>
    <row r="1903" ht="13.5"/>
    <row r="1904" ht="13.5"/>
    <row r="1905" ht="13.5"/>
    <row r="1906" ht="13.5"/>
    <row r="1907" ht="13.5"/>
    <row r="1908" ht="13.5"/>
    <row r="1909" ht="13.5"/>
    <row r="1910" ht="13.5"/>
    <row r="1911" ht="13.5"/>
    <row r="1912" ht="13.5"/>
    <row r="1913" ht="13.5"/>
    <row r="1914" ht="13.5"/>
    <row r="1915" ht="13.5"/>
    <row r="1916" ht="13.5"/>
    <row r="1917" ht="13.5"/>
    <row r="1918" ht="13.5"/>
    <row r="1919" ht="13.5"/>
    <row r="1920" ht="13.5"/>
    <row r="1921" ht="13.5"/>
    <row r="1922" ht="13.5"/>
    <row r="1923" ht="13.5"/>
    <row r="1924" ht="13.5"/>
    <row r="1925" ht="13.5"/>
    <row r="1926" ht="13.5"/>
    <row r="1927" ht="13.5"/>
    <row r="1928" ht="13.5"/>
    <row r="1929" ht="13.5"/>
    <row r="1930" ht="13.5"/>
    <row r="1931" ht="13.5"/>
    <row r="1932" ht="13.5"/>
    <row r="1933" ht="13.5"/>
    <row r="1934" ht="13.5"/>
    <row r="1935" ht="13.5"/>
    <row r="1936" ht="13.5"/>
    <row r="1937" ht="13.5"/>
    <row r="1938" ht="13.5"/>
    <row r="1939" ht="13.5"/>
    <row r="1940" ht="13.5"/>
    <row r="1941" ht="13.5"/>
    <row r="1942" ht="13.5"/>
    <row r="1943" ht="13.5"/>
    <row r="1944" ht="13.5"/>
    <row r="1945" ht="13.5"/>
    <row r="1946" ht="13.5"/>
    <row r="1947" ht="13.5"/>
    <row r="1948" ht="13.5"/>
    <row r="1949" ht="13.5"/>
    <row r="1950" ht="13.5"/>
    <row r="1951" ht="13.5"/>
    <row r="1952" ht="13.5"/>
    <row r="1953" ht="13.5"/>
    <row r="1954" ht="13.5"/>
    <row r="1955" ht="13.5"/>
    <row r="1956" ht="13.5"/>
    <row r="1957" ht="13.5"/>
    <row r="1958" ht="13.5"/>
    <row r="1959" ht="13.5"/>
    <row r="1960" ht="13.5"/>
    <row r="1961" ht="13.5"/>
    <row r="1962" ht="13.5"/>
    <row r="1963" ht="13.5"/>
    <row r="1964" ht="13.5"/>
    <row r="1965" ht="13.5"/>
    <row r="1966" ht="13.5"/>
    <row r="1967" ht="13.5"/>
    <row r="1968" ht="13.5"/>
    <row r="1969" ht="13.5"/>
    <row r="1970" ht="13.5"/>
    <row r="1971" ht="13.5"/>
    <row r="1972" ht="13.5"/>
    <row r="1973" ht="13.5"/>
    <row r="1974" ht="13.5"/>
    <row r="1975" ht="13.5"/>
    <row r="1976" ht="13.5"/>
    <row r="1977" ht="13.5"/>
    <row r="1978" ht="13.5"/>
    <row r="1979" ht="13.5"/>
    <row r="1980" ht="13.5"/>
    <row r="1981" ht="13.5"/>
    <row r="1982" ht="13.5"/>
    <row r="1983" ht="13.5"/>
    <row r="1984" ht="13.5"/>
    <row r="1985" ht="13.5"/>
    <row r="1986" ht="13.5"/>
    <row r="1987" ht="13.5"/>
    <row r="1988" ht="13.5"/>
    <row r="1989" ht="13.5"/>
    <row r="1990" ht="13.5"/>
    <row r="1991" ht="13.5"/>
    <row r="1992" ht="13.5"/>
    <row r="1993" ht="13.5"/>
    <row r="1994" ht="13.5"/>
    <row r="1995" ht="13.5"/>
    <row r="1996" ht="13.5"/>
    <row r="1997" ht="13.5"/>
    <row r="1998" ht="13.5"/>
    <row r="1999" ht="13.5"/>
    <row r="2000" ht="13.5"/>
    <row r="2001" ht="13.5"/>
    <row r="2002" ht="13.5"/>
    <row r="2003" ht="13.5"/>
    <row r="2004" ht="13.5"/>
    <row r="2005" ht="13.5"/>
    <row r="2006" ht="13.5"/>
    <row r="2007" ht="13.5"/>
    <row r="2008" ht="13.5"/>
    <row r="2009" ht="13.5"/>
    <row r="2010" ht="13.5"/>
    <row r="2011" ht="13.5"/>
    <row r="2012" ht="13.5"/>
    <row r="2013" ht="13.5"/>
    <row r="2014" ht="13.5"/>
    <row r="2015" ht="13.5"/>
    <row r="2016" ht="13.5"/>
    <row r="2017" ht="13.5"/>
    <row r="2018" ht="13.5"/>
    <row r="2019" ht="13.5"/>
    <row r="2020" ht="13.5"/>
    <row r="2021" ht="13.5"/>
    <row r="2022" ht="13.5"/>
    <row r="2023" ht="13.5"/>
    <row r="2024" ht="13.5"/>
    <row r="2025" ht="13.5"/>
    <row r="2026" ht="13.5"/>
    <row r="2027" ht="13.5"/>
    <row r="2028" ht="13.5"/>
    <row r="2029" ht="13.5"/>
    <row r="2030" ht="13.5"/>
    <row r="2031" ht="13.5"/>
    <row r="2032" ht="13.5"/>
    <row r="2033" ht="13.5"/>
    <row r="2034" ht="13.5"/>
    <row r="2035" ht="13.5"/>
    <row r="2036" ht="13.5"/>
    <row r="2037" ht="13.5"/>
    <row r="2038" ht="13.5"/>
    <row r="2039" ht="13.5"/>
    <row r="2040" ht="13.5"/>
    <row r="2041" ht="13.5"/>
    <row r="2042" ht="13.5"/>
    <row r="2043" ht="13.5"/>
    <row r="2044" ht="13.5"/>
    <row r="2045" ht="13.5"/>
    <row r="2046" ht="13.5"/>
    <row r="2047" ht="13.5"/>
    <row r="2048" ht="13.5"/>
    <row r="2049" ht="13.5"/>
    <row r="2050" ht="13.5"/>
    <row r="2051" ht="13.5"/>
    <row r="2052" ht="13.5"/>
    <row r="2053" ht="13.5"/>
    <row r="2054" ht="13.5"/>
    <row r="2055" ht="13.5"/>
    <row r="2056" ht="13.5"/>
    <row r="2057" ht="13.5"/>
    <row r="2058" ht="13.5"/>
    <row r="2059" ht="13.5"/>
    <row r="2060" ht="13.5"/>
    <row r="2061" ht="13.5"/>
    <row r="2062" ht="13.5"/>
    <row r="2063" ht="13.5"/>
    <row r="2064" ht="13.5"/>
    <row r="2065" ht="13.5"/>
    <row r="2066" ht="13.5"/>
    <row r="2067" ht="13.5"/>
    <row r="2068" ht="13.5"/>
    <row r="2069" ht="13.5"/>
    <row r="2070" ht="13.5"/>
    <row r="2071" ht="13.5"/>
    <row r="2072" ht="13.5"/>
    <row r="2073" ht="13.5"/>
    <row r="2074" ht="13.5"/>
    <row r="2075" ht="13.5"/>
    <row r="2076" ht="13.5"/>
    <row r="2077" ht="13.5"/>
    <row r="2078" ht="13.5"/>
    <row r="2079" ht="13.5"/>
    <row r="2080" ht="13.5"/>
    <row r="2081" ht="13.5"/>
    <row r="2082" ht="13.5"/>
    <row r="2083" ht="13.5"/>
    <row r="2084" ht="13.5"/>
    <row r="2085" ht="13.5"/>
    <row r="2086" ht="13.5"/>
    <row r="2087" ht="13.5"/>
    <row r="2088" ht="13.5"/>
    <row r="2089" ht="13.5"/>
    <row r="2090" ht="13.5"/>
    <row r="2091" ht="13.5"/>
    <row r="2092" ht="13.5"/>
    <row r="2093" ht="13.5"/>
    <row r="2094" ht="13.5"/>
    <row r="2095" ht="13.5"/>
    <row r="2096" ht="13.5"/>
    <row r="2097" ht="13.5"/>
    <row r="2098" ht="13.5"/>
    <row r="2099" ht="13.5"/>
    <row r="2100" ht="13.5"/>
    <row r="2101" ht="13.5"/>
    <row r="2102" ht="13.5"/>
    <row r="2103" ht="13.5"/>
    <row r="2104" ht="13.5"/>
    <row r="2105" ht="13.5"/>
    <row r="2106" ht="13.5"/>
    <row r="2107" ht="13.5"/>
    <row r="2108" ht="13.5"/>
    <row r="2109" ht="13.5"/>
    <row r="2110" ht="13.5"/>
    <row r="2111" ht="13.5"/>
    <row r="2112" ht="13.5"/>
    <row r="2113" ht="13.5"/>
    <row r="2114" ht="13.5"/>
    <row r="2115" ht="13.5"/>
    <row r="2116" ht="13.5"/>
    <row r="2117" ht="13.5"/>
    <row r="2118" ht="13.5"/>
    <row r="2119" ht="13.5"/>
    <row r="2120" ht="13.5"/>
    <row r="2121" ht="13.5"/>
    <row r="2122" ht="13.5"/>
    <row r="2123" ht="13.5"/>
    <row r="2124" ht="13.5"/>
    <row r="2125" ht="13.5"/>
    <row r="2126" ht="13.5"/>
    <row r="2127" ht="13.5"/>
    <row r="2128" ht="13.5"/>
    <row r="2129" ht="13.5"/>
    <row r="2130" ht="13.5"/>
    <row r="2131" ht="13.5"/>
    <row r="2132" ht="13.5"/>
    <row r="2133" ht="13.5"/>
    <row r="2134" ht="13.5"/>
    <row r="2135" ht="13.5"/>
    <row r="2136" ht="13.5"/>
    <row r="2137" ht="13.5"/>
    <row r="2138" ht="13.5"/>
    <row r="2139" ht="13.5"/>
    <row r="2140" ht="13.5"/>
    <row r="2141" ht="13.5"/>
    <row r="2142" ht="13.5"/>
    <row r="2143" ht="13.5"/>
    <row r="2144" ht="13.5"/>
    <row r="2145" ht="13.5"/>
    <row r="2146" ht="13.5"/>
    <row r="2147" ht="13.5"/>
    <row r="2148" ht="13.5"/>
    <row r="2149" ht="13.5"/>
    <row r="2150" ht="13.5"/>
    <row r="2151" ht="13.5"/>
    <row r="2152" ht="13.5"/>
    <row r="2153" ht="13.5"/>
    <row r="2154" ht="13.5"/>
    <row r="2155" ht="13.5"/>
    <row r="2156" ht="13.5"/>
    <row r="2157" ht="13.5"/>
    <row r="2158" ht="13.5"/>
    <row r="2159" ht="13.5"/>
    <row r="2160" ht="13.5"/>
    <row r="2161" ht="13.5"/>
    <row r="2162" ht="13.5"/>
    <row r="2163" ht="13.5"/>
    <row r="2164" ht="13.5"/>
    <row r="2165" ht="13.5"/>
    <row r="2166" ht="13.5"/>
    <row r="2167" ht="13.5"/>
    <row r="2168" ht="13.5"/>
    <row r="2169" ht="13.5"/>
    <row r="2170" ht="13.5"/>
    <row r="2171" ht="13.5"/>
    <row r="2172" ht="13.5"/>
    <row r="2173" ht="13.5"/>
    <row r="2174" ht="13.5"/>
    <row r="2175" ht="13.5"/>
    <row r="2176" ht="13.5"/>
    <row r="2177" ht="13.5"/>
    <row r="2178" ht="13.5"/>
    <row r="2179" ht="13.5"/>
    <row r="2180" ht="13.5"/>
    <row r="2181" ht="13.5"/>
    <row r="2182" ht="13.5"/>
    <row r="2183" ht="13.5"/>
    <row r="2184" ht="13.5"/>
    <row r="2185" ht="13.5"/>
    <row r="2186" ht="13.5"/>
    <row r="2187" ht="13.5"/>
    <row r="2188" ht="13.5"/>
    <row r="2189" ht="13.5"/>
    <row r="2190" ht="13.5"/>
    <row r="2191" ht="13.5"/>
    <row r="2192" ht="13.5"/>
    <row r="2193" ht="13.5"/>
    <row r="2194" ht="13.5"/>
    <row r="2195" ht="13.5"/>
    <row r="2196" ht="13.5"/>
    <row r="2197" ht="13.5"/>
    <row r="2198" ht="13.5"/>
    <row r="2199" ht="13.5"/>
    <row r="2200" ht="13.5"/>
    <row r="2201" ht="13.5"/>
    <row r="2202" ht="13.5"/>
    <row r="2203" ht="13.5"/>
    <row r="2204" ht="13.5"/>
    <row r="2205" ht="13.5"/>
    <row r="2206" ht="13.5"/>
    <row r="2207" ht="13.5"/>
    <row r="2208" ht="13.5"/>
    <row r="2209" ht="13.5"/>
    <row r="2210" ht="13.5"/>
    <row r="2211" ht="13.5"/>
    <row r="2212" ht="13.5"/>
    <row r="2213" ht="13.5"/>
    <row r="2214" ht="13.5"/>
    <row r="2215" ht="13.5"/>
    <row r="2216" ht="13.5"/>
    <row r="2217" ht="13.5"/>
    <row r="2218" ht="13.5"/>
    <row r="2219" ht="13.5"/>
    <row r="2220" ht="13.5"/>
    <row r="2221" ht="13.5"/>
    <row r="2222" ht="13.5"/>
    <row r="2223" ht="13.5"/>
    <row r="2224" ht="13.5"/>
    <row r="2225" ht="13.5"/>
    <row r="2226" ht="13.5"/>
    <row r="2227" ht="13.5"/>
    <row r="2228" ht="13.5"/>
    <row r="2229" ht="13.5"/>
    <row r="2230" ht="13.5"/>
    <row r="2231" ht="13.5"/>
    <row r="2232" ht="13.5"/>
    <row r="2233" ht="13.5"/>
    <row r="2234" ht="13.5"/>
    <row r="2235" ht="13.5"/>
    <row r="2236" ht="13.5"/>
    <row r="2237" ht="13.5"/>
    <row r="2238" ht="13.5"/>
    <row r="2239" ht="13.5"/>
    <row r="2240" ht="13.5"/>
    <row r="2241" ht="13.5"/>
    <row r="2242" ht="13.5"/>
    <row r="2243" ht="13.5"/>
    <row r="2244" ht="13.5"/>
    <row r="2245" ht="13.5"/>
    <row r="2246" ht="13.5"/>
    <row r="2247" ht="13.5"/>
    <row r="2248" ht="13.5"/>
    <row r="2249" ht="13.5"/>
    <row r="2250" ht="13.5"/>
    <row r="2251" ht="13.5"/>
    <row r="2252" ht="13.5"/>
    <row r="2253" ht="13.5"/>
    <row r="2254" ht="13.5"/>
    <row r="2255" ht="13.5"/>
    <row r="2256" ht="13.5"/>
    <row r="2257" ht="13.5"/>
    <row r="2258" ht="13.5"/>
    <row r="2259" ht="13.5"/>
    <row r="2260" ht="13.5"/>
    <row r="2261" ht="13.5"/>
    <row r="2262" ht="13.5"/>
    <row r="2263" ht="13.5"/>
    <row r="2264" ht="13.5"/>
    <row r="2265" ht="13.5"/>
    <row r="2266" ht="13.5"/>
    <row r="2267" ht="13.5"/>
    <row r="2268" ht="13.5"/>
    <row r="2269" ht="13.5"/>
    <row r="2270" ht="13.5"/>
    <row r="2271" ht="13.5"/>
    <row r="2272" ht="13.5"/>
    <row r="2273" ht="13.5"/>
    <row r="2274" ht="13.5"/>
    <row r="2275" ht="13.5"/>
    <row r="2276" ht="13.5"/>
    <row r="2277" ht="13.5"/>
    <row r="2278" ht="13.5"/>
    <row r="2279" ht="13.5"/>
    <row r="2280" ht="13.5"/>
    <row r="2281" ht="13.5"/>
    <row r="2282" ht="13.5"/>
    <row r="2283" ht="13.5"/>
    <row r="2284" ht="13.5"/>
    <row r="2285" ht="13.5"/>
    <row r="2286" ht="13.5"/>
    <row r="2287" ht="13.5"/>
    <row r="2288" ht="13.5"/>
    <row r="2289" ht="13.5"/>
    <row r="2290" ht="13.5"/>
    <row r="2291" ht="13.5"/>
    <row r="2292" ht="13.5"/>
    <row r="2293" ht="13.5"/>
    <row r="2294" ht="13.5"/>
    <row r="2295" ht="13.5"/>
    <row r="2296" ht="13.5"/>
    <row r="2297" ht="13.5"/>
    <row r="2298" ht="13.5"/>
    <row r="2299" ht="13.5"/>
    <row r="2300" ht="13.5"/>
    <row r="2301" ht="13.5"/>
    <row r="2302" ht="13.5"/>
    <row r="2303" ht="13.5"/>
    <row r="2304" ht="13.5"/>
    <row r="2305" ht="13.5"/>
    <row r="2306" ht="13.5"/>
    <row r="2307" ht="13.5"/>
    <row r="2308" ht="13.5"/>
    <row r="2309" ht="13.5"/>
    <row r="2310" ht="13.5"/>
    <row r="2311" ht="13.5"/>
    <row r="2312" ht="13.5"/>
    <row r="2313" ht="13.5"/>
    <row r="2314" ht="13.5"/>
    <row r="2315" ht="13.5"/>
    <row r="2316" ht="13.5"/>
    <row r="2317" ht="13.5"/>
    <row r="2318" ht="13.5"/>
    <row r="2319" ht="13.5"/>
    <row r="2320" ht="13.5"/>
    <row r="2321" ht="13.5"/>
    <row r="2322" ht="13.5"/>
    <row r="2323" ht="13.5"/>
    <row r="2324" ht="13.5"/>
    <row r="2325" ht="13.5"/>
    <row r="2326" ht="13.5"/>
    <row r="2327" ht="13.5"/>
    <row r="2328" ht="13.5"/>
    <row r="2329" ht="13.5"/>
    <row r="2330" ht="13.5"/>
    <row r="2331" ht="13.5"/>
    <row r="2332" ht="13.5"/>
    <row r="2333" ht="13.5"/>
    <row r="2334" ht="13.5"/>
    <row r="2335" ht="13.5"/>
    <row r="2336" ht="13.5"/>
    <row r="2337" ht="13.5"/>
    <row r="2338" ht="13.5"/>
    <row r="2339" ht="13.5"/>
    <row r="2340" ht="13.5"/>
    <row r="2341" ht="13.5"/>
    <row r="2342" ht="13.5"/>
    <row r="2343" ht="13.5"/>
    <row r="2344" ht="13.5"/>
    <row r="2345" ht="13.5"/>
    <row r="2346" ht="13.5"/>
    <row r="2347" ht="13.5"/>
    <row r="2348" ht="13.5"/>
    <row r="2349" ht="13.5"/>
    <row r="2350" ht="13.5"/>
    <row r="2351" ht="13.5"/>
    <row r="2352" ht="13.5"/>
    <row r="2353" ht="13.5"/>
    <row r="2354" ht="13.5"/>
    <row r="2355" ht="13.5"/>
    <row r="2356" ht="13.5"/>
    <row r="2357" ht="13.5"/>
    <row r="2358" ht="13.5"/>
    <row r="2359" ht="13.5"/>
    <row r="2360" ht="13.5"/>
    <row r="2361" ht="13.5"/>
    <row r="2362" ht="13.5"/>
    <row r="2363" ht="13.5"/>
    <row r="2364" ht="13.5"/>
    <row r="2365" ht="13.5"/>
    <row r="2366" ht="13.5"/>
    <row r="2367" ht="13.5"/>
    <row r="2368" ht="13.5"/>
    <row r="2369" ht="13.5"/>
    <row r="2370" ht="13.5"/>
    <row r="2371" ht="13.5"/>
    <row r="2372" ht="13.5"/>
    <row r="2373" ht="13.5"/>
    <row r="2374" ht="13.5"/>
    <row r="2375" ht="13.5"/>
    <row r="2376" ht="13.5"/>
    <row r="2377" ht="13.5"/>
    <row r="2378" ht="13.5"/>
    <row r="2379" ht="13.5"/>
    <row r="2380" ht="13.5"/>
    <row r="2381" ht="13.5"/>
    <row r="2382" ht="13.5"/>
    <row r="2383" ht="13.5"/>
    <row r="2384" ht="13.5"/>
    <row r="2385" ht="13.5"/>
    <row r="2386" ht="13.5"/>
    <row r="2387" ht="13.5"/>
    <row r="2388" ht="13.5"/>
    <row r="2389" ht="13.5"/>
    <row r="2390" ht="13.5"/>
    <row r="2391" ht="13.5"/>
    <row r="2392" ht="13.5"/>
    <row r="2393" ht="13.5"/>
    <row r="2394" ht="13.5"/>
    <row r="2395" ht="13.5"/>
    <row r="2396" ht="13.5"/>
    <row r="2397" ht="13.5"/>
    <row r="2398" ht="13.5"/>
    <row r="2399" ht="13.5"/>
    <row r="2400" ht="13.5"/>
    <row r="2401" ht="13.5"/>
    <row r="2402" ht="13.5"/>
    <row r="2403" ht="13.5"/>
    <row r="2404" ht="13.5"/>
    <row r="2405" ht="13.5"/>
    <row r="2406" ht="13.5"/>
    <row r="2407" ht="13.5"/>
    <row r="2408" ht="13.5"/>
    <row r="2409" ht="13.5"/>
    <row r="2410" ht="13.5"/>
    <row r="2411" ht="13.5"/>
    <row r="2412" ht="13.5"/>
    <row r="2413" ht="13.5"/>
    <row r="2414" ht="13.5"/>
    <row r="2415" ht="13.5"/>
    <row r="2416" ht="13.5"/>
    <row r="2417" ht="13.5"/>
    <row r="2418" ht="13.5"/>
    <row r="2419" ht="13.5"/>
    <row r="2420" ht="13.5"/>
    <row r="2421" ht="13.5"/>
    <row r="2422" ht="13.5"/>
    <row r="2423" ht="13.5"/>
    <row r="2424" ht="13.5"/>
    <row r="2425" ht="13.5"/>
    <row r="2426" ht="13.5"/>
    <row r="2427" ht="13.5"/>
    <row r="2428" ht="13.5"/>
    <row r="2429" ht="13.5"/>
    <row r="2430" ht="13.5"/>
    <row r="2431" ht="13.5"/>
    <row r="2432" ht="13.5"/>
    <row r="2433" ht="13.5"/>
    <row r="2434" ht="13.5"/>
    <row r="2435" ht="13.5"/>
    <row r="2436" ht="13.5"/>
    <row r="2437" ht="13.5"/>
    <row r="2438" ht="13.5"/>
    <row r="2439" ht="13.5"/>
    <row r="2440" ht="13.5"/>
    <row r="2441" ht="13.5"/>
    <row r="2442" ht="13.5"/>
    <row r="2443" ht="13.5"/>
    <row r="2444" ht="13.5"/>
    <row r="2445" ht="13.5"/>
    <row r="2446" ht="13.5"/>
    <row r="2447" ht="13.5"/>
    <row r="2448" ht="13.5"/>
    <row r="2449" ht="13.5"/>
    <row r="2450" ht="13.5"/>
    <row r="2451" ht="13.5"/>
    <row r="2452" ht="13.5"/>
    <row r="2453" ht="13.5"/>
    <row r="2454" ht="13.5"/>
    <row r="2455" ht="13.5"/>
    <row r="2456" ht="13.5"/>
    <row r="2457" ht="13.5"/>
    <row r="2458" ht="13.5"/>
    <row r="2459" ht="13.5"/>
    <row r="2460" ht="13.5"/>
    <row r="2461" ht="13.5"/>
    <row r="2462" ht="13.5"/>
    <row r="2463" ht="13.5"/>
    <row r="2464" ht="13.5"/>
    <row r="2465" ht="13.5"/>
    <row r="2466" ht="13.5"/>
    <row r="2467" ht="13.5"/>
    <row r="2468" ht="13.5"/>
    <row r="2469" ht="13.5"/>
    <row r="2470" ht="13.5"/>
    <row r="2471" ht="13.5"/>
    <row r="2472" ht="13.5"/>
    <row r="2473" ht="13.5"/>
    <row r="2474" ht="13.5"/>
    <row r="2475" ht="13.5"/>
    <row r="2476" ht="13.5"/>
    <row r="2477" ht="13.5"/>
    <row r="2478" ht="13.5"/>
    <row r="2479" ht="13.5"/>
    <row r="2480" ht="13.5"/>
    <row r="2481" ht="13.5"/>
    <row r="2482" ht="13.5"/>
    <row r="2483" ht="13.5"/>
    <row r="2484" ht="13.5"/>
    <row r="2485" ht="13.5"/>
    <row r="2486" ht="13.5"/>
    <row r="2487" ht="13.5"/>
    <row r="2488" ht="13.5"/>
    <row r="2489" ht="13.5"/>
    <row r="2490" ht="13.5"/>
    <row r="2491" ht="13.5"/>
    <row r="2492" ht="13.5"/>
    <row r="2493" ht="13.5"/>
    <row r="2494" ht="13.5"/>
    <row r="2495" ht="13.5"/>
    <row r="2496" ht="13.5"/>
    <row r="2497" ht="13.5"/>
    <row r="2498" ht="13.5"/>
    <row r="2499" ht="13.5"/>
    <row r="2500" ht="13.5"/>
    <row r="2501" ht="13.5"/>
    <row r="2502" ht="13.5"/>
    <row r="2503" ht="13.5"/>
    <row r="2504" ht="13.5"/>
    <row r="2505" ht="13.5"/>
    <row r="2506" ht="13.5"/>
    <row r="2507" ht="13.5"/>
    <row r="2508" ht="13.5"/>
    <row r="2509" ht="13.5"/>
    <row r="2510" ht="13.5"/>
    <row r="2511" ht="13.5"/>
    <row r="2512" ht="13.5"/>
    <row r="2513" ht="13.5"/>
    <row r="2514" ht="13.5"/>
    <row r="2515" ht="13.5"/>
    <row r="2516" ht="13.5"/>
    <row r="2517" ht="13.5"/>
    <row r="2518" ht="13.5"/>
    <row r="2519" ht="13.5"/>
    <row r="2520" ht="13.5"/>
    <row r="2521" ht="13.5"/>
    <row r="2522" ht="13.5"/>
    <row r="2523" ht="13.5"/>
    <row r="2524" ht="13.5"/>
    <row r="2525" ht="13.5"/>
    <row r="2526" ht="13.5"/>
    <row r="2527" ht="13.5"/>
    <row r="2528" ht="13.5"/>
    <row r="2529" ht="13.5"/>
    <row r="2530" ht="13.5"/>
    <row r="2531" ht="13.5"/>
    <row r="2532" ht="13.5"/>
    <row r="2533" ht="13.5"/>
    <row r="2534" ht="13.5"/>
    <row r="2535" ht="13.5"/>
    <row r="2536" ht="13.5"/>
    <row r="2537" ht="13.5"/>
    <row r="2538" ht="13.5"/>
    <row r="2539" ht="13.5"/>
    <row r="2540" ht="13.5"/>
    <row r="2541" ht="13.5"/>
    <row r="2542" ht="13.5"/>
    <row r="2543" ht="13.5"/>
    <row r="2544" ht="13.5"/>
    <row r="2545" ht="13.5"/>
    <row r="2546" ht="13.5"/>
    <row r="2547" ht="13.5"/>
    <row r="2548" ht="13.5"/>
    <row r="2549" ht="13.5"/>
    <row r="2550" ht="13.5"/>
    <row r="2551" ht="13.5"/>
    <row r="2552" ht="13.5"/>
    <row r="2553" ht="13.5"/>
    <row r="2554" ht="13.5"/>
    <row r="2555" ht="13.5"/>
    <row r="2556" ht="13.5"/>
    <row r="2557" ht="13.5"/>
    <row r="2558" ht="13.5"/>
    <row r="2559" ht="13.5"/>
    <row r="2560" ht="13.5"/>
    <row r="2561" ht="13.5"/>
    <row r="2562" ht="13.5"/>
    <row r="2563" ht="13.5"/>
    <row r="2564" ht="13.5"/>
    <row r="2565" ht="13.5"/>
    <row r="2566" ht="13.5"/>
    <row r="2567" ht="13.5"/>
    <row r="2568" ht="13.5"/>
    <row r="2569" ht="13.5"/>
    <row r="2570" ht="13.5"/>
    <row r="2571" ht="13.5"/>
    <row r="2572" ht="13.5"/>
    <row r="2573" ht="13.5"/>
    <row r="2574" ht="13.5"/>
    <row r="2575" ht="13.5"/>
    <row r="2576" ht="13.5"/>
    <row r="2577" ht="13.5"/>
    <row r="2578" ht="13.5"/>
    <row r="2579" ht="13.5"/>
    <row r="2580" ht="13.5"/>
    <row r="2581" ht="13.5"/>
    <row r="2582" ht="13.5"/>
    <row r="2583" ht="13.5"/>
    <row r="2584" ht="13.5"/>
    <row r="2585" ht="13.5"/>
    <row r="2586" ht="13.5"/>
    <row r="2587" ht="13.5"/>
    <row r="2588" ht="13.5"/>
    <row r="2589" ht="13.5"/>
    <row r="2590" ht="13.5"/>
    <row r="2591" ht="13.5"/>
    <row r="2592" ht="13.5"/>
    <row r="2593" ht="13.5"/>
    <row r="2594" ht="13.5"/>
    <row r="2595" ht="13.5"/>
    <row r="2596" ht="13.5"/>
    <row r="2597" ht="13.5"/>
    <row r="2598" ht="13.5"/>
    <row r="2599" ht="13.5"/>
    <row r="2600" ht="13.5"/>
    <row r="2601" ht="13.5"/>
    <row r="2602" ht="13.5"/>
    <row r="2603" ht="13.5"/>
    <row r="2604" ht="13.5"/>
    <row r="2605" ht="13.5"/>
    <row r="2606" ht="13.5"/>
    <row r="2607" ht="13.5"/>
    <row r="2608" ht="13.5"/>
    <row r="2609" ht="13.5"/>
    <row r="2610" ht="13.5"/>
    <row r="2611" ht="13.5"/>
    <row r="2612" ht="13.5"/>
    <row r="2613" ht="13.5"/>
    <row r="2614" ht="13.5"/>
    <row r="2615" ht="13.5"/>
    <row r="2616" ht="13.5"/>
    <row r="2617" ht="13.5"/>
    <row r="2618" ht="13.5"/>
    <row r="2619" ht="13.5"/>
    <row r="2620" ht="13.5"/>
    <row r="2621" ht="13.5"/>
    <row r="2622" ht="13.5"/>
    <row r="2623" ht="13.5"/>
    <row r="2624" ht="13.5"/>
    <row r="2625" ht="13.5"/>
    <row r="2626" ht="13.5"/>
    <row r="2627" ht="13.5"/>
    <row r="2628" ht="13.5"/>
    <row r="2629" ht="13.5"/>
    <row r="2630" ht="13.5"/>
    <row r="2631" ht="13.5"/>
    <row r="2632" ht="13.5"/>
    <row r="2633" ht="13.5"/>
    <row r="2634" ht="13.5"/>
    <row r="2635" ht="13.5"/>
    <row r="2636" ht="13.5"/>
    <row r="2637" ht="13.5"/>
    <row r="2638" ht="13.5"/>
    <row r="2639" ht="13.5"/>
    <row r="2640" ht="13.5"/>
    <row r="2641" ht="13.5"/>
    <row r="2642" ht="13.5"/>
    <row r="2643" ht="13.5"/>
    <row r="2644" ht="13.5"/>
    <row r="2645" ht="13.5"/>
    <row r="2646" ht="13.5"/>
    <row r="2647" ht="13.5"/>
    <row r="2648" ht="13.5"/>
    <row r="2649" ht="13.5"/>
    <row r="2650" ht="13.5"/>
    <row r="2651" ht="13.5"/>
    <row r="2652" ht="13.5"/>
    <row r="2653" ht="13.5"/>
    <row r="2654" ht="13.5"/>
    <row r="2655" ht="13.5"/>
    <row r="2656" ht="13.5"/>
    <row r="2657" ht="13.5"/>
    <row r="2658" ht="13.5"/>
    <row r="2659" ht="13.5"/>
    <row r="2660" ht="13.5"/>
    <row r="2661" ht="13.5"/>
    <row r="2662" ht="13.5"/>
    <row r="2663" ht="13.5"/>
    <row r="2664" ht="13.5"/>
    <row r="2665" ht="13.5"/>
    <row r="2666" ht="13.5"/>
    <row r="2667" ht="13.5"/>
    <row r="2668" ht="13.5"/>
    <row r="2669" ht="13.5"/>
    <row r="2670" ht="13.5"/>
    <row r="2671" ht="13.5"/>
    <row r="2672" ht="13.5"/>
    <row r="2673" ht="13.5"/>
    <row r="2674" ht="13.5"/>
    <row r="2675" ht="13.5"/>
    <row r="2676" ht="13.5"/>
    <row r="2677" ht="13.5"/>
    <row r="2678" ht="13.5"/>
    <row r="2679" ht="13.5"/>
    <row r="2680" ht="13.5"/>
    <row r="2681" ht="13.5"/>
    <row r="2682" ht="13.5"/>
    <row r="2683" ht="13.5"/>
    <row r="2684" ht="13.5"/>
    <row r="2685" ht="13.5"/>
    <row r="2686" ht="13.5"/>
    <row r="2687" ht="13.5"/>
    <row r="2688" ht="13.5"/>
    <row r="2689" ht="13.5"/>
    <row r="2690" ht="13.5"/>
    <row r="2691" ht="13.5"/>
    <row r="2692" ht="13.5"/>
    <row r="2693" ht="13.5"/>
    <row r="2694" ht="13.5"/>
    <row r="2695" ht="13.5"/>
    <row r="2696" ht="13.5"/>
    <row r="2697" ht="13.5"/>
    <row r="2698" ht="13.5"/>
    <row r="2699" ht="13.5"/>
    <row r="2700" ht="13.5"/>
    <row r="2701" ht="13.5"/>
    <row r="2702" ht="13.5"/>
    <row r="2703" ht="13.5"/>
    <row r="2704" ht="13.5"/>
    <row r="2705" ht="13.5"/>
    <row r="2706" ht="13.5"/>
    <row r="2707" ht="13.5"/>
    <row r="2708" ht="13.5"/>
    <row r="2709" ht="13.5"/>
    <row r="2710" ht="13.5"/>
    <row r="2711" ht="13.5"/>
    <row r="2712" ht="13.5"/>
    <row r="2713" ht="13.5"/>
    <row r="2714" ht="13.5"/>
    <row r="2715" ht="13.5"/>
    <row r="2716" ht="13.5"/>
    <row r="2717" ht="13.5"/>
    <row r="2718" ht="13.5"/>
    <row r="2719" ht="13.5"/>
    <row r="2720" ht="13.5"/>
    <row r="2721" ht="13.5"/>
    <row r="2722" ht="13.5"/>
    <row r="2723" ht="13.5"/>
    <row r="2724" ht="13.5"/>
    <row r="2725" ht="13.5"/>
    <row r="2726" ht="13.5"/>
    <row r="2727" ht="13.5"/>
    <row r="2728" ht="13.5"/>
    <row r="2729" ht="13.5"/>
    <row r="2730" ht="13.5"/>
    <row r="2731" ht="13.5"/>
    <row r="2732" ht="13.5"/>
    <row r="2733" ht="13.5"/>
    <row r="2734" ht="13.5"/>
    <row r="2735" ht="13.5"/>
    <row r="2736" ht="13.5"/>
    <row r="2737" ht="13.5"/>
    <row r="2738" ht="13.5"/>
    <row r="2739" ht="13.5"/>
    <row r="2740" ht="13.5"/>
    <row r="2741" ht="13.5"/>
    <row r="2742" ht="13.5"/>
    <row r="2743" ht="13.5"/>
    <row r="2744" ht="13.5"/>
    <row r="2745" ht="13.5"/>
    <row r="2746" ht="13.5"/>
    <row r="2747" ht="13.5"/>
    <row r="2748" ht="13.5"/>
    <row r="2749" ht="13.5"/>
    <row r="2750" ht="13.5"/>
    <row r="2751" ht="13.5"/>
    <row r="2752" ht="13.5"/>
    <row r="2753" ht="13.5"/>
    <row r="2754" ht="13.5"/>
    <row r="2755" ht="13.5"/>
    <row r="2756" ht="13.5"/>
    <row r="2757" ht="13.5"/>
    <row r="2758" ht="13.5"/>
    <row r="2759" ht="13.5"/>
    <row r="2760" ht="13.5"/>
    <row r="2761" ht="13.5"/>
    <row r="2762" ht="13.5"/>
    <row r="2763" ht="13.5"/>
    <row r="2764" ht="13.5"/>
    <row r="2765" ht="13.5"/>
    <row r="2766" ht="13.5"/>
    <row r="2767" ht="13.5"/>
    <row r="2768" ht="13.5"/>
    <row r="2769" ht="13.5"/>
    <row r="2770" ht="13.5"/>
    <row r="2771" ht="13.5"/>
    <row r="2772" ht="13.5"/>
    <row r="2773" ht="13.5"/>
    <row r="2774" ht="13.5"/>
    <row r="2775" ht="13.5"/>
    <row r="2776" ht="13.5"/>
    <row r="2777" ht="13.5"/>
    <row r="2778" ht="13.5"/>
    <row r="2779" ht="13.5"/>
    <row r="2780" ht="13.5"/>
    <row r="2781" ht="13.5"/>
    <row r="2782" ht="13.5"/>
    <row r="2783" ht="13.5"/>
    <row r="2784" ht="13.5"/>
    <row r="2785" ht="13.5"/>
    <row r="2786" ht="13.5"/>
    <row r="2787" ht="13.5"/>
    <row r="2788" ht="13.5"/>
    <row r="2789" ht="13.5"/>
    <row r="2790" ht="13.5"/>
    <row r="2791" ht="13.5"/>
    <row r="2792" ht="13.5"/>
    <row r="2793" ht="13.5"/>
    <row r="2794" ht="13.5"/>
    <row r="2795" ht="13.5"/>
    <row r="2796" ht="13.5"/>
    <row r="2797" ht="13.5"/>
    <row r="2798" ht="13.5"/>
    <row r="2799" ht="13.5"/>
    <row r="2800" ht="13.5"/>
    <row r="2801" ht="13.5"/>
    <row r="2802" ht="13.5"/>
    <row r="2803" ht="13.5"/>
    <row r="2804" ht="13.5"/>
    <row r="2805" ht="13.5"/>
    <row r="2806" ht="13.5"/>
    <row r="2807" ht="13.5"/>
    <row r="2808" ht="13.5"/>
    <row r="2809" ht="13.5"/>
    <row r="2810" ht="13.5"/>
    <row r="2811" ht="13.5"/>
    <row r="2812" ht="13.5"/>
    <row r="2813" ht="13.5"/>
    <row r="2814" ht="13.5"/>
    <row r="2815" ht="13.5"/>
    <row r="2816" ht="13.5"/>
    <row r="2817" ht="13.5"/>
    <row r="2818" ht="13.5"/>
    <row r="2819" ht="13.5"/>
    <row r="2820" ht="13.5"/>
    <row r="2821" ht="13.5"/>
    <row r="2822" ht="13.5"/>
    <row r="2823" ht="13.5"/>
    <row r="2824" ht="13.5"/>
    <row r="2825" ht="13.5"/>
    <row r="2826" ht="13.5"/>
    <row r="2827" ht="13.5"/>
    <row r="2828" ht="13.5"/>
    <row r="2829" ht="13.5"/>
    <row r="2830" ht="13.5"/>
    <row r="2831" ht="13.5"/>
    <row r="2832" ht="13.5"/>
    <row r="2833" ht="13.5"/>
    <row r="2834" ht="13.5"/>
    <row r="2835" ht="13.5"/>
    <row r="2836" ht="13.5"/>
    <row r="2837" ht="13.5"/>
    <row r="2838" ht="13.5"/>
    <row r="2839" ht="13.5"/>
    <row r="2840" ht="13.5"/>
    <row r="2841" ht="13.5"/>
    <row r="2842" ht="13.5"/>
    <row r="2843" ht="13.5"/>
    <row r="2844" ht="13.5"/>
    <row r="2845" ht="13.5"/>
    <row r="2846" ht="13.5"/>
    <row r="2847" ht="13.5"/>
    <row r="2848" ht="13.5"/>
    <row r="2849" ht="13.5"/>
    <row r="2850" ht="13.5"/>
    <row r="2851" ht="13.5"/>
    <row r="2852" ht="13.5"/>
    <row r="2853" ht="13.5"/>
    <row r="2854" ht="13.5"/>
    <row r="2855" ht="13.5"/>
    <row r="2856" ht="13.5"/>
    <row r="2857" ht="13.5"/>
    <row r="2858" ht="13.5"/>
    <row r="2859" ht="13.5"/>
    <row r="2860" ht="13.5"/>
    <row r="2861" ht="13.5"/>
    <row r="2862" ht="13.5"/>
    <row r="2863" ht="13.5"/>
    <row r="2864" ht="13.5"/>
    <row r="2865" ht="13.5"/>
    <row r="2866" ht="13.5"/>
    <row r="2867" ht="13.5"/>
    <row r="2868" ht="13.5"/>
    <row r="2869" ht="13.5"/>
    <row r="2870" ht="13.5"/>
    <row r="2871" ht="13.5"/>
    <row r="2872" ht="13.5"/>
    <row r="2873" ht="13.5"/>
    <row r="2874" ht="13.5"/>
    <row r="2875" ht="13.5"/>
    <row r="2876" ht="13.5"/>
    <row r="2877" ht="13.5"/>
    <row r="2878" ht="13.5"/>
    <row r="2879" ht="13.5"/>
    <row r="2880" ht="13.5"/>
    <row r="2881" ht="13.5"/>
    <row r="2882" ht="13.5"/>
    <row r="2883" ht="13.5"/>
    <row r="2884" ht="13.5"/>
    <row r="2885" ht="13.5"/>
    <row r="2886" ht="13.5"/>
    <row r="2887" ht="13.5"/>
    <row r="2888" ht="13.5"/>
    <row r="2889" ht="13.5"/>
    <row r="2890" ht="13.5"/>
    <row r="2891" ht="13.5"/>
    <row r="2892" ht="13.5"/>
    <row r="2893" ht="13.5"/>
    <row r="2894" ht="13.5"/>
    <row r="2895" ht="13.5"/>
    <row r="2896" ht="13.5"/>
    <row r="2897" ht="13.5"/>
    <row r="2898" ht="13.5"/>
    <row r="2899" ht="13.5"/>
    <row r="2900" ht="13.5"/>
    <row r="2901" ht="13.5"/>
    <row r="2902" ht="13.5"/>
    <row r="2903" ht="13.5"/>
    <row r="2904" ht="13.5"/>
    <row r="2905" ht="13.5"/>
    <row r="2906" ht="13.5"/>
    <row r="2907" ht="13.5"/>
    <row r="2908" ht="13.5"/>
    <row r="2909" ht="13.5"/>
    <row r="2910" ht="13.5"/>
    <row r="2911" ht="13.5"/>
    <row r="2912" ht="13.5"/>
    <row r="2913" ht="13.5"/>
    <row r="2914" ht="13.5"/>
    <row r="2915" ht="13.5"/>
    <row r="2916" ht="13.5"/>
    <row r="2917" ht="13.5"/>
    <row r="2918" ht="13.5"/>
    <row r="2919" ht="13.5"/>
    <row r="2920" ht="13.5"/>
    <row r="2921" ht="13.5"/>
    <row r="2922" ht="13.5"/>
    <row r="2923" ht="13.5"/>
    <row r="2924" ht="13.5"/>
    <row r="2925" ht="13.5"/>
    <row r="2926" ht="13.5"/>
    <row r="2927" ht="13.5"/>
    <row r="2928" ht="13.5"/>
    <row r="2929" ht="13.5"/>
    <row r="2930" ht="13.5"/>
    <row r="2931" ht="13.5"/>
    <row r="2932" ht="13.5"/>
    <row r="2933" ht="13.5"/>
    <row r="2934" ht="13.5"/>
    <row r="2935" ht="13.5"/>
    <row r="2936" ht="13.5"/>
    <row r="2937" ht="13.5"/>
    <row r="2938" ht="13.5"/>
    <row r="2939" ht="13.5"/>
    <row r="2940" ht="13.5"/>
    <row r="2941" ht="13.5"/>
    <row r="2942" ht="13.5"/>
    <row r="2943" ht="13.5"/>
    <row r="2944" ht="13.5"/>
    <row r="2945" ht="13.5"/>
    <row r="2946" ht="13.5"/>
    <row r="2947" ht="13.5"/>
    <row r="2948" ht="13.5"/>
    <row r="2949" ht="13.5"/>
    <row r="2950" ht="13.5"/>
    <row r="2951" ht="13.5"/>
    <row r="2952" ht="13.5"/>
    <row r="2953" ht="13.5"/>
    <row r="2954" ht="13.5"/>
    <row r="2955" ht="13.5"/>
    <row r="2956" ht="13.5"/>
    <row r="2957" ht="13.5"/>
    <row r="2958" ht="13.5"/>
    <row r="2959" ht="13.5"/>
    <row r="2960" ht="13.5"/>
    <row r="2961" ht="13.5"/>
    <row r="2962" ht="13.5"/>
    <row r="2963" ht="13.5"/>
    <row r="2964" ht="13.5"/>
    <row r="2965" ht="13.5"/>
    <row r="2966" ht="13.5"/>
    <row r="2967" ht="13.5"/>
    <row r="2968" ht="13.5"/>
    <row r="2969" ht="13.5"/>
    <row r="2970" ht="13.5"/>
    <row r="2971" ht="13.5"/>
    <row r="2972" ht="13.5"/>
    <row r="2973" ht="13.5"/>
    <row r="2974" ht="13.5"/>
    <row r="2975" ht="13.5"/>
    <row r="2976" ht="13.5"/>
    <row r="2977" ht="13.5"/>
    <row r="2978" ht="13.5"/>
    <row r="2979" ht="13.5"/>
    <row r="2980" ht="13.5"/>
    <row r="2981" ht="13.5"/>
    <row r="2982" ht="13.5"/>
    <row r="2983" ht="13.5"/>
    <row r="2984" ht="13.5"/>
    <row r="2985" ht="13.5"/>
    <row r="2986" ht="13.5"/>
    <row r="2987" ht="13.5"/>
    <row r="2988" ht="13.5"/>
    <row r="2989" ht="13.5"/>
    <row r="2990" ht="13.5"/>
    <row r="2991" ht="13.5"/>
    <row r="2992" ht="13.5"/>
    <row r="2993" ht="13.5"/>
    <row r="2994" ht="13.5"/>
    <row r="2995" ht="13.5"/>
    <row r="2996" ht="13.5"/>
    <row r="2997" ht="13.5"/>
    <row r="2998" ht="13.5"/>
    <row r="2999" ht="13.5"/>
    <row r="3000" ht="13.5"/>
    <row r="3001" ht="13.5"/>
    <row r="3002" ht="13.5"/>
    <row r="3003" ht="13.5"/>
    <row r="3004" ht="13.5"/>
    <row r="3005" ht="13.5"/>
    <row r="3006" ht="13.5"/>
    <row r="3007" ht="13.5"/>
    <row r="3008" ht="13.5"/>
    <row r="3009" ht="13.5"/>
    <row r="3010" ht="13.5"/>
    <row r="3011" ht="13.5"/>
    <row r="3012" ht="13.5"/>
    <row r="3013" ht="13.5"/>
    <row r="3014" ht="13.5"/>
    <row r="3015" ht="13.5"/>
    <row r="3016" ht="13.5"/>
    <row r="3017" ht="13.5"/>
    <row r="3018" ht="13.5"/>
    <row r="3019" ht="13.5"/>
    <row r="3020" ht="13.5"/>
    <row r="3021" ht="13.5"/>
    <row r="3022" ht="13.5"/>
    <row r="3023" ht="13.5"/>
    <row r="3024" ht="13.5"/>
    <row r="3025" ht="13.5"/>
    <row r="3026" ht="13.5"/>
    <row r="3027" ht="13.5"/>
    <row r="3028" ht="13.5"/>
    <row r="3029" ht="13.5"/>
    <row r="3030" ht="13.5"/>
    <row r="3031" ht="13.5"/>
    <row r="3032" ht="13.5"/>
    <row r="3033" ht="13.5"/>
    <row r="3034" ht="13.5"/>
    <row r="3035" ht="13.5"/>
    <row r="3036" ht="13.5"/>
    <row r="3037" ht="13.5"/>
    <row r="3038" ht="13.5"/>
    <row r="3039" ht="13.5"/>
    <row r="3040" ht="13.5"/>
    <row r="3041" ht="13.5"/>
    <row r="3042" ht="13.5"/>
    <row r="3043" ht="13.5"/>
    <row r="3044" ht="13.5"/>
    <row r="3045" ht="13.5"/>
    <row r="3046" ht="13.5"/>
    <row r="3047" ht="13.5"/>
    <row r="3048" ht="13.5"/>
    <row r="3049" ht="13.5"/>
    <row r="3050" ht="13.5"/>
    <row r="3051" ht="13.5"/>
    <row r="3052" ht="13.5"/>
    <row r="3053" ht="13.5"/>
    <row r="3054" ht="13.5"/>
    <row r="3055" ht="13.5"/>
    <row r="3056" ht="13.5"/>
    <row r="3057" ht="13.5"/>
    <row r="3058" ht="13.5"/>
    <row r="3059" ht="13.5"/>
    <row r="3060" ht="13.5"/>
    <row r="3061" ht="13.5"/>
    <row r="3062" ht="13.5"/>
    <row r="3063" ht="13.5"/>
    <row r="3064" ht="13.5"/>
    <row r="3065" ht="13.5"/>
    <row r="3066" ht="13.5"/>
    <row r="3067" ht="13.5"/>
    <row r="3068" ht="13.5"/>
    <row r="3069" ht="13.5"/>
    <row r="3070" ht="13.5"/>
    <row r="3071" ht="13.5"/>
    <row r="3072" ht="13.5"/>
    <row r="3073" ht="13.5"/>
    <row r="3074" ht="13.5"/>
    <row r="3075" ht="13.5"/>
    <row r="3076" ht="13.5"/>
    <row r="3077" ht="13.5"/>
    <row r="3078" ht="13.5"/>
    <row r="3079" ht="13.5"/>
    <row r="3080" ht="13.5"/>
    <row r="3081" ht="13.5"/>
    <row r="3082" ht="13.5"/>
    <row r="3083" ht="13.5"/>
    <row r="3084" ht="13.5"/>
    <row r="3085" ht="13.5"/>
    <row r="3086" ht="13.5"/>
    <row r="3087" ht="13.5"/>
    <row r="3088" ht="13.5"/>
    <row r="3089" ht="13.5"/>
    <row r="3090" ht="13.5"/>
    <row r="3091" ht="13.5"/>
    <row r="3092" ht="13.5"/>
    <row r="3093" ht="13.5"/>
    <row r="3094" ht="13.5"/>
    <row r="3095" ht="13.5"/>
    <row r="3096" ht="13.5"/>
    <row r="3097" ht="13.5"/>
    <row r="3098" ht="13.5"/>
    <row r="3099" ht="13.5"/>
    <row r="3100" ht="13.5"/>
    <row r="3101" ht="13.5"/>
    <row r="3102" ht="13.5"/>
    <row r="3103" ht="13.5"/>
    <row r="3104" ht="13.5"/>
    <row r="3105" ht="13.5"/>
    <row r="3106" ht="13.5"/>
    <row r="3107" ht="13.5"/>
    <row r="3108" ht="13.5"/>
    <row r="3109" ht="13.5"/>
    <row r="3110" ht="13.5"/>
    <row r="3111" ht="13.5"/>
    <row r="3112" ht="13.5"/>
    <row r="3113" ht="13.5"/>
    <row r="3114" ht="13.5"/>
    <row r="3115" ht="13.5"/>
    <row r="3116" ht="13.5"/>
    <row r="3117" ht="13.5"/>
    <row r="3118" ht="13.5"/>
    <row r="3119" ht="13.5"/>
    <row r="3120" ht="13.5"/>
    <row r="3121" ht="13.5"/>
    <row r="3122" ht="13.5"/>
    <row r="3123" ht="13.5"/>
    <row r="3124" ht="13.5"/>
    <row r="3125" ht="13.5"/>
    <row r="3126" ht="13.5"/>
    <row r="3127" ht="13.5"/>
    <row r="3128" ht="13.5"/>
    <row r="3129" ht="13.5"/>
    <row r="3130" ht="13.5"/>
    <row r="3131" ht="13.5"/>
    <row r="3132" ht="13.5"/>
    <row r="3133" ht="13.5"/>
    <row r="3134" ht="13.5"/>
    <row r="3135" ht="13.5"/>
    <row r="3136" ht="13.5"/>
    <row r="3137" ht="13.5"/>
    <row r="3138" ht="13.5"/>
    <row r="3139" ht="13.5"/>
    <row r="3140" ht="13.5"/>
    <row r="3141" ht="13.5"/>
    <row r="3142" ht="13.5"/>
    <row r="3143" ht="13.5"/>
    <row r="3144" ht="13.5"/>
    <row r="3145" ht="13.5"/>
    <row r="3146" ht="13.5"/>
    <row r="3147" ht="13.5"/>
    <row r="3148" ht="13.5"/>
    <row r="3149" ht="13.5"/>
    <row r="3150" ht="13.5"/>
    <row r="3151" ht="13.5"/>
    <row r="3152" ht="13.5"/>
    <row r="3153" ht="13.5"/>
    <row r="3154" ht="13.5"/>
    <row r="3155" ht="13.5"/>
    <row r="3156" ht="13.5"/>
    <row r="3157" ht="13.5"/>
    <row r="3158" ht="13.5"/>
    <row r="3159" ht="13.5"/>
    <row r="3160" ht="13.5"/>
    <row r="3161" ht="13.5"/>
    <row r="3162" ht="13.5"/>
    <row r="3163" ht="13.5"/>
    <row r="3164" ht="13.5"/>
    <row r="3165" ht="13.5"/>
    <row r="3166" ht="13.5"/>
    <row r="3167" ht="13.5"/>
    <row r="3168" ht="13.5"/>
    <row r="3169" ht="13.5"/>
    <row r="3170" ht="13.5"/>
    <row r="3171" ht="13.5"/>
    <row r="3172" ht="13.5"/>
    <row r="3173" ht="13.5"/>
    <row r="3174" ht="13.5"/>
    <row r="3175" ht="13.5"/>
    <row r="3176" ht="13.5"/>
    <row r="3177" ht="13.5"/>
    <row r="3178" ht="13.5"/>
    <row r="3179" ht="13.5"/>
    <row r="3180" ht="13.5"/>
    <row r="3181" ht="13.5"/>
    <row r="3182" ht="13.5"/>
    <row r="3183" ht="13.5"/>
    <row r="3184" ht="13.5"/>
    <row r="3185" ht="13.5"/>
    <row r="3186" ht="13.5"/>
    <row r="3187" ht="13.5"/>
    <row r="3188" ht="13.5"/>
    <row r="3189" ht="13.5"/>
    <row r="3190" ht="13.5"/>
    <row r="3191" ht="13.5"/>
    <row r="3192" ht="13.5"/>
    <row r="3193" ht="13.5"/>
    <row r="3194" ht="13.5"/>
    <row r="3195" ht="13.5"/>
    <row r="3196" ht="13.5"/>
    <row r="3197" ht="13.5"/>
    <row r="3198" ht="13.5"/>
    <row r="3199" ht="13.5"/>
    <row r="3200" ht="13.5"/>
    <row r="3201" ht="13.5"/>
    <row r="3202" ht="13.5"/>
    <row r="3203" ht="13.5"/>
    <row r="3204" ht="13.5"/>
    <row r="3205" ht="13.5"/>
    <row r="3206" ht="13.5"/>
    <row r="3207" ht="13.5"/>
    <row r="3208" ht="13.5"/>
    <row r="3209" ht="13.5"/>
    <row r="3210" ht="13.5"/>
    <row r="3211" ht="13.5"/>
    <row r="3212" ht="13.5"/>
    <row r="3213" ht="13.5"/>
    <row r="3214" ht="13.5"/>
    <row r="3215" ht="13.5"/>
    <row r="3216" ht="13.5"/>
    <row r="3217" ht="13.5"/>
    <row r="3218" ht="13.5"/>
    <row r="3219" ht="13.5"/>
    <row r="3220" ht="13.5"/>
    <row r="3221" ht="13.5"/>
    <row r="3222" ht="13.5"/>
    <row r="3223" ht="13.5"/>
    <row r="3224" ht="13.5"/>
    <row r="3225" ht="13.5"/>
    <row r="3226" ht="13.5"/>
    <row r="3227" ht="13.5"/>
    <row r="3228" ht="13.5"/>
    <row r="3229" ht="13.5"/>
    <row r="3230" ht="13.5"/>
    <row r="3231" ht="13.5"/>
    <row r="3232" ht="13.5"/>
    <row r="3233" ht="13.5"/>
    <row r="3234" ht="13.5"/>
    <row r="3235" ht="13.5"/>
    <row r="3236" ht="13.5"/>
    <row r="3237" ht="13.5"/>
    <row r="3238" ht="13.5"/>
    <row r="3239" ht="13.5"/>
    <row r="3240" ht="13.5"/>
    <row r="3241" ht="13.5"/>
    <row r="3242" ht="13.5"/>
    <row r="3243" ht="13.5"/>
    <row r="3244" ht="13.5"/>
    <row r="3245" ht="13.5"/>
    <row r="3246" ht="13.5"/>
    <row r="3247" ht="13.5"/>
    <row r="3248" ht="13.5"/>
    <row r="3249" ht="13.5"/>
    <row r="3250" ht="13.5"/>
    <row r="3251" ht="13.5"/>
    <row r="3252" ht="13.5"/>
    <row r="3253" ht="13.5"/>
    <row r="3254" ht="13.5"/>
    <row r="3255" ht="13.5"/>
    <row r="3256" ht="13.5"/>
    <row r="3257" ht="13.5"/>
    <row r="3258" ht="13.5"/>
    <row r="3259" ht="13.5"/>
    <row r="3260" ht="13.5"/>
    <row r="3261" ht="13.5"/>
    <row r="3262" ht="13.5"/>
    <row r="3263" ht="13.5"/>
    <row r="3264" ht="13.5"/>
    <row r="3265" ht="13.5"/>
    <row r="3266" ht="13.5"/>
    <row r="3267" ht="13.5"/>
    <row r="3268" ht="13.5"/>
    <row r="3269" ht="13.5"/>
    <row r="3270" ht="13.5"/>
    <row r="3271" ht="13.5"/>
    <row r="3272" ht="13.5"/>
    <row r="3273" ht="13.5"/>
    <row r="3274" ht="13.5"/>
    <row r="3275" ht="13.5"/>
    <row r="3276" ht="13.5"/>
    <row r="3277" ht="13.5"/>
    <row r="3278" ht="13.5"/>
    <row r="3279" ht="13.5"/>
    <row r="3280" ht="13.5"/>
    <row r="3281" ht="13.5"/>
    <row r="3282" ht="13.5"/>
    <row r="3283" ht="13.5"/>
    <row r="3284" ht="13.5"/>
    <row r="3285" ht="13.5"/>
    <row r="3286" ht="13.5"/>
    <row r="3287" ht="13.5"/>
    <row r="3288" ht="13.5"/>
    <row r="3289" ht="13.5"/>
    <row r="3290" ht="13.5"/>
    <row r="3291" ht="13.5"/>
    <row r="3292" ht="13.5"/>
    <row r="3293" ht="13.5"/>
    <row r="3294" ht="13.5"/>
    <row r="3295" ht="13.5"/>
    <row r="3296" ht="13.5"/>
    <row r="3297" ht="13.5"/>
    <row r="3298" ht="13.5"/>
    <row r="3299" ht="13.5"/>
    <row r="3300" ht="13.5"/>
    <row r="3301" ht="13.5"/>
    <row r="3302" ht="13.5"/>
    <row r="3303" ht="13.5"/>
    <row r="3304" ht="13.5"/>
    <row r="3305" ht="13.5"/>
    <row r="3306" ht="13.5"/>
    <row r="3307" ht="13.5"/>
    <row r="3308" ht="13.5"/>
    <row r="3309" ht="13.5"/>
    <row r="3310" ht="13.5"/>
    <row r="3311" ht="13.5"/>
    <row r="3312" ht="13.5"/>
    <row r="3313" ht="13.5"/>
    <row r="3314" ht="13.5"/>
    <row r="3315" ht="13.5"/>
    <row r="3316" ht="13.5"/>
    <row r="3317" ht="13.5"/>
    <row r="3318" ht="13.5"/>
    <row r="3319" ht="13.5"/>
    <row r="3320" ht="13.5"/>
    <row r="3321" ht="13.5"/>
    <row r="3322" ht="13.5"/>
    <row r="3323" ht="13.5"/>
    <row r="3324" ht="13.5"/>
    <row r="3325" ht="13.5"/>
    <row r="3326" ht="13.5"/>
    <row r="3327" ht="13.5"/>
    <row r="3328" ht="13.5"/>
    <row r="3329" ht="13.5"/>
    <row r="3330" ht="13.5"/>
    <row r="3331" ht="13.5"/>
    <row r="3332" ht="13.5"/>
    <row r="3333" ht="13.5"/>
    <row r="3334" ht="13.5"/>
    <row r="3335" ht="13.5"/>
    <row r="3336" ht="13.5"/>
    <row r="3337" ht="13.5"/>
    <row r="3338" ht="13.5"/>
    <row r="3339" ht="13.5"/>
    <row r="3340" ht="13.5"/>
    <row r="3341" ht="13.5"/>
    <row r="3342" ht="13.5"/>
    <row r="3343" ht="13.5"/>
    <row r="3344" ht="13.5"/>
    <row r="3345" ht="13.5"/>
    <row r="3346" ht="13.5"/>
    <row r="3347" ht="13.5"/>
    <row r="3348" ht="13.5"/>
    <row r="3349" ht="13.5"/>
    <row r="3350" ht="13.5"/>
    <row r="3351" ht="13.5"/>
    <row r="3352" ht="13.5"/>
    <row r="3353" ht="13.5"/>
    <row r="3354" ht="13.5"/>
    <row r="3355" ht="13.5"/>
    <row r="3356" ht="13.5"/>
    <row r="3357" ht="13.5"/>
    <row r="3358" ht="13.5"/>
    <row r="3359" ht="13.5"/>
    <row r="3360" ht="13.5"/>
    <row r="3361" ht="13.5"/>
    <row r="3362" ht="13.5"/>
    <row r="3363" ht="13.5"/>
    <row r="3364" ht="13.5"/>
    <row r="3365" ht="13.5"/>
    <row r="3366" ht="13.5"/>
    <row r="3367" ht="13.5"/>
    <row r="3368" ht="13.5"/>
    <row r="3369" ht="13.5"/>
    <row r="3370" ht="13.5"/>
    <row r="3371" ht="13.5"/>
    <row r="3372" ht="13.5"/>
    <row r="3373" ht="13.5"/>
    <row r="3374" ht="13.5"/>
    <row r="3375" ht="13.5"/>
    <row r="3376" ht="13.5"/>
    <row r="3377" ht="13.5"/>
    <row r="3378" ht="13.5"/>
    <row r="3379" ht="13.5"/>
    <row r="3380" ht="13.5"/>
    <row r="3381" ht="13.5"/>
    <row r="3382" ht="13.5"/>
    <row r="3383" ht="13.5"/>
    <row r="3384" ht="13.5"/>
    <row r="3385" ht="13.5"/>
    <row r="3386" ht="13.5"/>
    <row r="3387" ht="13.5"/>
    <row r="3388" ht="13.5"/>
    <row r="3389" ht="13.5"/>
    <row r="3390" ht="13.5"/>
    <row r="3391" ht="13.5"/>
    <row r="3392" ht="13.5"/>
    <row r="3393" ht="13.5"/>
    <row r="3394" ht="13.5"/>
    <row r="3395" ht="13.5"/>
    <row r="3396" ht="13.5"/>
    <row r="3397" ht="13.5"/>
    <row r="3398" ht="13.5"/>
    <row r="3399" ht="13.5"/>
    <row r="3400" ht="13.5"/>
    <row r="3401" ht="13.5"/>
    <row r="3402" ht="13.5"/>
    <row r="3403" ht="13.5"/>
    <row r="3404" ht="13.5"/>
    <row r="3405" ht="13.5"/>
    <row r="3406" ht="13.5"/>
    <row r="3407" ht="13.5"/>
    <row r="3408" ht="13.5"/>
    <row r="3409" ht="13.5"/>
    <row r="3410" ht="13.5"/>
    <row r="3411" ht="13.5"/>
    <row r="3412" ht="13.5"/>
    <row r="3413" ht="13.5"/>
    <row r="3414" ht="13.5"/>
    <row r="3415" ht="13.5"/>
    <row r="3416" ht="13.5"/>
    <row r="3417" ht="13.5"/>
    <row r="3418" ht="13.5"/>
    <row r="3419" ht="13.5"/>
    <row r="3420" ht="13.5"/>
    <row r="3421" ht="13.5"/>
    <row r="3422" ht="13.5"/>
    <row r="3423" ht="13.5"/>
    <row r="3424" ht="13.5"/>
    <row r="3425" ht="13.5"/>
    <row r="3426" ht="13.5"/>
    <row r="3427" ht="13.5"/>
    <row r="3428" ht="13.5"/>
    <row r="3429" ht="13.5"/>
    <row r="3430" ht="13.5"/>
    <row r="3431" ht="13.5"/>
    <row r="3432" ht="13.5"/>
    <row r="3433" ht="13.5"/>
    <row r="3434" ht="13.5"/>
    <row r="3435" ht="13.5"/>
    <row r="3436" ht="13.5"/>
    <row r="3437" ht="13.5"/>
    <row r="3438" ht="13.5"/>
    <row r="3439" ht="13.5"/>
    <row r="3440" ht="13.5"/>
    <row r="3441" ht="13.5"/>
    <row r="3442" ht="13.5"/>
    <row r="3443" ht="13.5"/>
    <row r="3444" ht="13.5"/>
    <row r="3445" ht="13.5"/>
    <row r="3446" ht="13.5"/>
    <row r="3447" ht="13.5"/>
    <row r="3448" ht="13.5"/>
    <row r="3449" ht="13.5"/>
    <row r="3450" ht="13.5"/>
    <row r="3451" ht="13.5"/>
    <row r="3452" ht="13.5"/>
    <row r="3453" ht="13.5"/>
    <row r="3454" ht="13.5"/>
    <row r="3455" ht="13.5"/>
    <row r="3456" ht="13.5"/>
    <row r="3457" ht="13.5"/>
    <row r="3458" ht="13.5"/>
    <row r="3459" ht="13.5"/>
    <row r="3460" ht="13.5"/>
    <row r="3461" ht="13.5"/>
    <row r="3462" ht="13.5"/>
    <row r="3463" ht="13.5"/>
    <row r="3464" ht="13.5"/>
    <row r="3465" ht="13.5"/>
    <row r="3466" ht="13.5"/>
    <row r="3467" ht="13.5"/>
    <row r="3468" ht="13.5"/>
    <row r="3469" ht="13.5"/>
    <row r="3470" ht="13.5"/>
    <row r="3471" ht="13.5"/>
    <row r="3472" ht="13.5"/>
    <row r="3473" ht="13.5"/>
    <row r="3474" ht="13.5"/>
    <row r="3475" ht="13.5"/>
    <row r="3476" ht="13.5"/>
    <row r="3477" ht="13.5"/>
    <row r="3478" ht="13.5"/>
    <row r="3479" ht="13.5"/>
    <row r="3480" ht="13.5"/>
    <row r="3481" ht="13.5"/>
    <row r="3482" ht="13.5"/>
    <row r="3483" ht="13.5"/>
    <row r="3484" ht="13.5"/>
    <row r="3485" ht="13.5"/>
    <row r="3486" ht="13.5"/>
    <row r="3487" ht="13.5"/>
    <row r="3488" ht="13.5"/>
    <row r="3489" ht="13.5"/>
    <row r="3490" ht="13.5"/>
    <row r="3491" ht="13.5"/>
    <row r="3492" ht="13.5"/>
    <row r="3493" ht="13.5"/>
    <row r="3494" ht="13.5"/>
    <row r="3495" ht="13.5"/>
    <row r="3496" ht="13.5"/>
    <row r="3497" ht="13.5"/>
    <row r="3498" ht="13.5"/>
    <row r="3499" ht="13.5"/>
    <row r="3500" ht="13.5"/>
    <row r="3501" ht="13.5"/>
    <row r="3502" ht="13.5"/>
    <row r="3503" ht="13.5"/>
    <row r="3504" ht="13.5"/>
    <row r="3505" ht="13.5"/>
    <row r="3506" ht="13.5"/>
    <row r="3507" ht="13.5"/>
    <row r="3508" ht="13.5"/>
    <row r="3509" ht="13.5"/>
    <row r="3510" ht="13.5"/>
    <row r="3511" ht="13.5"/>
    <row r="3512" ht="13.5"/>
    <row r="3513" ht="13.5"/>
    <row r="3514" ht="13.5"/>
    <row r="3515" ht="13.5"/>
    <row r="3516" ht="13.5"/>
    <row r="3517" ht="13.5"/>
    <row r="3518" ht="13.5"/>
    <row r="3519" ht="13.5"/>
    <row r="3520" ht="13.5"/>
    <row r="3521" ht="13.5"/>
    <row r="3522" ht="13.5"/>
    <row r="3523" ht="13.5"/>
    <row r="3524" ht="13.5"/>
    <row r="3525" ht="13.5"/>
    <row r="3526" ht="13.5"/>
    <row r="3527" ht="13.5"/>
    <row r="3528" ht="13.5"/>
    <row r="3529" ht="13.5"/>
    <row r="3530" ht="13.5"/>
    <row r="3531" ht="13.5"/>
    <row r="3532" ht="13.5"/>
    <row r="3533" ht="13.5"/>
    <row r="3534" ht="13.5"/>
    <row r="3535" ht="13.5"/>
    <row r="3536" ht="13.5"/>
    <row r="3537" ht="13.5"/>
    <row r="3538" ht="13.5"/>
    <row r="3539" ht="13.5"/>
    <row r="3540" ht="13.5"/>
    <row r="3541" ht="13.5"/>
    <row r="3542" ht="13.5"/>
    <row r="3543" ht="13.5"/>
    <row r="3544" ht="13.5"/>
    <row r="3545" ht="13.5"/>
    <row r="3546" ht="13.5"/>
    <row r="3547" ht="13.5"/>
    <row r="3548" ht="13.5"/>
    <row r="3549" ht="13.5"/>
    <row r="3550" ht="13.5"/>
    <row r="3551" ht="13.5"/>
    <row r="3552" ht="13.5"/>
    <row r="3553" ht="13.5"/>
    <row r="3554" ht="13.5"/>
    <row r="3555" ht="13.5"/>
    <row r="3556" ht="13.5"/>
    <row r="3557" ht="13.5"/>
    <row r="3558" ht="13.5"/>
    <row r="3559" ht="13.5"/>
    <row r="3560" ht="13.5"/>
    <row r="3561" ht="13.5"/>
    <row r="3562" ht="13.5"/>
    <row r="3563" ht="13.5"/>
    <row r="3564" ht="13.5"/>
    <row r="3565" ht="13.5"/>
    <row r="3566" ht="13.5"/>
    <row r="3567" ht="13.5"/>
    <row r="3568" ht="13.5"/>
    <row r="3569" ht="13.5"/>
    <row r="3570" ht="13.5"/>
    <row r="3571" ht="13.5"/>
    <row r="3572" ht="13.5"/>
    <row r="3573" ht="13.5"/>
    <row r="3574" ht="13.5"/>
    <row r="3575" ht="13.5"/>
    <row r="3576" ht="13.5"/>
    <row r="3577" ht="13.5"/>
    <row r="3578" ht="13.5"/>
    <row r="3579" ht="13.5"/>
    <row r="3580" ht="13.5"/>
    <row r="3581" ht="13.5"/>
    <row r="3582" ht="13.5"/>
    <row r="3583" ht="13.5"/>
    <row r="3584" ht="13.5"/>
    <row r="3585" ht="13.5"/>
    <row r="3586" ht="13.5"/>
    <row r="3587" ht="13.5"/>
    <row r="3588" ht="13.5"/>
    <row r="3589" ht="13.5"/>
    <row r="3590" ht="13.5"/>
    <row r="3591" ht="13.5"/>
    <row r="3592" ht="13.5"/>
    <row r="3593" ht="13.5"/>
    <row r="3594" ht="13.5"/>
    <row r="3595" ht="13.5"/>
    <row r="3596" ht="13.5"/>
    <row r="3597" ht="13.5"/>
    <row r="3598" ht="13.5"/>
    <row r="3599" ht="13.5"/>
    <row r="3600" ht="13.5"/>
    <row r="3601" ht="13.5"/>
    <row r="3602" ht="13.5"/>
    <row r="3603" ht="13.5"/>
    <row r="3604" ht="13.5"/>
    <row r="3605" ht="13.5"/>
    <row r="3606" ht="13.5"/>
    <row r="3607" ht="13.5"/>
    <row r="3608" ht="13.5"/>
    <row r="3609" ht="13.5"/>
    <row r="3610" ht="13.5"/>
    <row r="3611" ht="13.5"/>
    <row r="3612" ht="13.5"/>
    <row r="3613" ht="13.5"/>
    <row r="3614" ht="13.5"/>
    <row r="3615" ht="13.5"/>
    <row r="3616" ht="13.5"/>
    <row r="3617" ht="13.5"/>
    <row r="3618" ht="13.5"/>
    <row r="3619" ht="13.5"/>
    <row r="3620" ht="13.5"/>
    <row r="3621" ht="13.5"/>
    <row r="3622" ht="13.5"/>
    <row r="3623" ht="13.5"/>
    <row r="3624" ht="13.5"/>
    <row r="3625" ht="13.5"/>
    <row r="3626" ht="13.5"/>
    <row r="3627" ht="13.5"/>
    <row r="3628" ht="13.5"/>
    <row r="3629" ht="13.5"/>
    <row r="3630" ht="13.5"/>
    <row r="3631" ht="13.5"/>
    <row r="3632" ht="13.5"/>
    <row r="3633" ht="13.5"/>
    <row r="3634" ht="13.5"/>
    <row r="3635" ht="13.5"/>
    <row r="3636" ht="13.5"/>
    <row r="3637" ht="13.5"/>
    <row r="3638" ht="13.5"/>
    <row r="3639" ht="13.5"/>
    <row r="3640" ht="13.5"/>
    <row r="3641" ht="13.5"/>
    <row r="3642" ht="13.5"/>
    <row r="3643" ht="13.5"/>
    <row r="3644" ht="13.5"/>
    <row r="3645" ht="13.5"/>
    <row r="3646" ht="13.5"/>
    <row r="3647" ht="13.5"/>
    <row r="3648" ht="13.5"/>
    <row r="3649" ht="13.5"/>
    <row r="3650" ht="13.5"/>
    <row r="3651" ht="13.5"/>
    <row r="3652" ht="13.5"/>
    <row r="3653" ht="13.5"/>
    <row r="3654" ht="13.5"/>
    <row r="3655" ht="13.5"/>
    <row r="3656" ht="13.5"/>
    <row r="3657" ht="13.5"/>
    <row r="3658" ht="13.5"/>
    <row r="3659" ht="13.5"/>
    <row r="3660" ht="13.5"/>
    <row r="3661" ht="13.5"/>
    <row r="3662" ht="13.5"/>
    <row r="3663" ht="13.5"/>
    <row r="3664" ht="13.5"/>
    <row r="3665" ht="13.5"/>
    <row r="3666" ht="13.5"/>
    <row r="3667" ht="13.5"/>
    <row r="3668" ht="13.5"/>
    <row r="3669" ht="13.5"/>
    <row r="3670" ht="13.5"/>
    <row r="3671" ht="13.5"/>
    <row r="3672" ht="13.5"/>
    <row r="3673" ht="13.5"/>
    <row r="3674" ht="13.5"/>
    <row r="3675" ht="13.5"/>
    <row r="3676" ht="13.5"/>
    <row r="3677" ht="13.5"/>
    <row r="3678" ht="13.5"/>
    <row r="3679" ht="13.5"/>
    <row r="3680" ht="13.5"/>
    <row r="3681" ht="13.5"/>
    <row r="3682" ht="13.5"/>
    <row r="3683" ht="13.5"/>
    <row r="3684" ht="13.5"/>
    <row r="3685" ht="13.5"/>
    <row r="3686" ht="13.5"/>
    <row r="3687" ht="13.5"/>
    <row r="3688" ht="13.5"/>
    <row r="3689" ht="13.5"/>
    <row r="3690" ht="13.5"/>
    <row r="3691" ht="13.5"/>
    <row r="3692" ht="13.5"/>
    <row r="3693" ht="13.5"/>
    <row r="3694" ht="13.5"/>
    <row r="3695" ht="13.5"/>
    <row r="3696" ht="13.5"/>
    <row r="3697" ht="13.5"/>
    <row r="3698" ht="13.5"/>
    <row r="3699" ht="13.5"/>
    <row r="3700" ht="13.5"/>
    <row r="3701" ht="13.5"/>
    <row r="3702" ht="13.5"/>
    <row r="3703" ht="13.5"/>
    <row r="3704" ht="13.5"/>
    <row r="3705" ht="13.5"/>
    <row r="3706" ht="13.5"/>
    <row r="3707" ht="13.5"/>
    <row r="3708" ht="13.5"/>
    <row r="3709" ht="13.5"/>
    <row r="3710" ht="13.5"/>
    <row r="3711" ht="13.5"/>
    <row r="3712" ht="13.5"/>
    <row r="3713" ht="13.5"/>
    <row r="3714" ht="13.5"/>
    <row r="3715" ht="13.5"/>
    <row r="3716" ht="13.5"/>
    <row r="3717" ht="13.5"/>
    <row r="3718" ht="13.5"/>
    <row r="3719" ht="13.5"/>
    <row r="3720" ht="13.5"/>
    <row r="3721" ht="13.5"/>
    <row r="3722" ht="13.5"/>
    <row r="3723" ht="13.5"/>
    <row r="3724" ht="13.5"/>
    <row r="3725" ht="13.5"/>
    <row r="3726" ht="13.5"/>
    <row r="3727" ht="13.5"/>
    <row r="3728" ht="13.5"/>
    <row r="3729" ht="13.5"/>
    <row r="3730" ht="13.5"/>
    <row r="3731" ht="13.5"/>
    <row r="3732" ht="13.5"/>
    <row r="3733" ht="13.5"/>
    <row r="3734" ht="13.5"/>
    <row r="3735" ht="13.5"/>
    <row r="3736" ht="13.5"/>
    <row r="3737" ht="13.5"/>
    <row r="3738" ht="13.5"/>
    <row r="3739" ht="13.5"/>
    <row r="3740" ht="13.5"/>
    <row r="3741" ht="13.5"/>
    <row r="3742" ht="13.5"/>
    <row r="3743" ht="13.5"/>
    <row r="3744" ht="13.5"/>
    <row r="3745" ht="13.5"/>
    <row r="3746" ht="13.5"/>
    <row r="3747" ht="13.5"/>
    <row r="3748" ht="13.5"/>
    <row r="3749" ht="13.5"/>
    <row r="3750" ht="13.5"/>
    <row r="3751" ht="13.5"/>
    <row r="3752" ht="13.5"/>
    <row r="3753" ht="13.5"/>
    <row r="3754" ht="13.5"/>
    <row r="3755" ht="13.5"/>
    <row r="3756" ht="13.5"/>
    <row r="3757" ht="13.5"/>
    <row r="3758" ht="13.5"/>
    <row r="3759" ht="13.5"/>
    <row r="3760" ht="13.5"/>
    <row r="3761" ht="13.5"/>
    <row r="3762" ht="13.5"/>
    <row r="3763" ht="13.5"/>
    <row r="3764" ht="13.5"/>
    <row r="3765" ht="13.5"/>
    <row r="3766" ht="13.5"/>
    <row r="3767" ht="13.5"/>
    <row r="3768" ht="13.5"/>
    <row r="3769" ht="13.5"/>
    <row r="3770" ht="13.5"/>
    <row r="3771" ht="13.5"/>
    <row r="3772" ht="13.5"/>
    <row r="3773" ht="13.5"/>
    <row r="3774" ht="13.5"/>
    <row r="3775" ht="13.5"/>
    <row r="3776" ht="13.5"/>
    <row r="3777" ht="13.5"/>
    <row r="3778" ht="13.5"/>
    <row r="3779" ht="13.5"/>
    <row r="3780" ht="13.5"/>
    <row r="3781" ht="13.5"/>
    <row r="3782" ht="13.5"/>
    <row r="3783" ht="13.5"/>
    <row r="3784" ht="13.5"/>
    <row r="3785" ht="13.5"/>
    <row r="3786" ht="13.5"/>
    <row r="3787" ht="13.5"/>
    <row r="3788" ht="13.5"/>
    <row r="3789" ht="13.5"/>
    <row r="3790" ht="13.5"/>
    <row r="3791" ht="13.5"/>
    <row r="3792" ht="13.5"/>
    <row r="3793" ht="13.5"/>
    <row r="3794" ht="13.5"/>
    <row r="3795" ht="13.5"/>
    <row r="3796" ht="13.5"/>
    <row r="3797" ht="13.5"/>
    <row r="3798" ht="13.5"/>
    <row r="3799" ht="13.5"/>
    <row r="3800" ht="13.5"/>
    <row r="3801" ht="13.5"/>
    <row r="3802" ht="13.5"/>
    <row r="3803" ht="13.5"/>
    <row r="3804" ht="13.5"/>
    <row r="3805" ht="13.5"/>
    <row r="3806" ht="13.5"/>
    <row r="3807" ht="13.5"/>
    <row r="3808" ht="13.5"/>
    <row r="3809" ht="13.5"/>
    <row r="3810" ht="13.5"/>
    <row r="3811" ht="13.5"/>
    <row r="3812" ht="13.5"/>
    <row r="3813" ht="13.5"/>
    <row r="3814" ht="13.5"/>
    <row r="3815" ht="13.5"/>
    <row r="3816" ht="13.5"/>
    <row r="3817" ht="13.5"/>
    <row r="3818" ht="13.5"/>
    <row r="3819" ht="13.5"/>
    <row r="3820" ht="13.5"/>
    <row r="3821" ht="13.5"/>
    <row r="3822" ht="13.5"/>
    <row r="3823" ht="13.5"/>
    <row r="3824" ht="13.5"/>
    <row r="3825" ht="13.5"/>
    <row r="3826" ht="13.5"/>
    <row r="3827" ht="13.5"/>
    <row r="3828" ht="13.5"/>
    <row r="3829" ht="13.5"/>
    <row r="3830" ht="13.5"/>
    <row r="3831" ht="13.5"/>
    <row r="3832" ht="13.5"/>
    <row r="3833" ht="13.5"/>
    <row r="3834" ht="13.5"/>
    <row r="3835" ht="13.5"/>
    <row r="3836" ht="13.5"/>
    <row r="3837" ht="13.5"/>
    <row r="3838" ht="13.5"/>
    <row r="3839" ht="13.5"/>
    <row r="3840" ht="13.5"/>
    <row r="3841" ht="13.5"/>
    <row r="3842" ht="13.5"/>
    <row r="3843" ht="13.5"/>
    <row r="3844" ht="13.5"/>
    <row r="3845" ht="13.5"/>
    <row r="3846" ht="13.5"/>
    <row r="3847" ht="13.5"/>
    <row r="3848" ht="13.5"/>
    <row r="3849" ht="13.5"/>
    <row r="3850" ht="13.5"/>
    <row r="3851" ht="13.5"/>
    <row r="3852" ht="13.5"/>
    <row r="3853" ht="13.5"/>
    <row r="3854" ht="13.5"/>
    <row r="3855" ht="13.5"/>
    <row r="3856" ht="13.5"/>
    <row r="3857" ht="13.5"/>
    <row r="3858" ht="13.5"/>
    <row r="3859" ht="13.5"/>
    <row r="3860" ht="13.5"/>
    <row r="3861" ht="13.5"/>
    <row r="3862" ht="13.5"/>
    <row r="3863" ht="13.5"/>
    <row r="3864" ht="13.5"/>
    <row r="3865" ht="13.5"/>
    <row r="3866" ht="13.5"/>
    <row r="3867" ht="13.5"/>
    <row r="3868" ht="13.5"/>
    <row r="3869" ht="13.5"/>
    <row r="3870" ht="13.5"/>
    <row r="3871" ht="13.5"/>
    <row r="3872" ht="13.5"/>
    <row r="3873" ht="13.5"/>
    <row r="3874" ht="13.5"/>
    <row r="3875" ht="13.5"/>
    <row r="3876" ht="13.5"/>
    <row r="3877" ht="13.5"/>
    <row r="3878" ht="13.5"/>
    <row r="3879" ht="13.5"/>
    <row r="3880" ht="13.5"/>
    <row r="3881" ht="13.5"/>
    <row r="3882" ht="13.5"/>
    <row r="3883" ht="13.5"/>
    <row r="3884" ht="13.5"/>
    <row r="3885" ht="13.5"/>
    <row r="3886" ht="13.5"/>
    <row r="3887" ht="13.5"/>
    <row r="3888" ht="13.5"/>
    <row r="3889" ht="13.5"/>
    <row r="3890" ht="13.5"/>
    <row r="3891" ht="13.5"/>
    <row r="3892" ht="13.5"/>
    <row r="3893" ht="13.5"/>
    <row r="3894" ht="13.5"/>
    <row r="3895" ht="13.5"/>
    <row r="3896" ht="13.5"/>
    <row r="3897" ht="13.5"/>
    <row r="3898" ht="13.5"/>
    <row r="3899" ht="13.5"/>
    <row r="3900" ht="13.5"/>
    <row r="3901" ht="13.5"/>
    <row r="3902" ht="13.5"/>
    <row r="3903" ht="13.5"/>
    <row r="3904" ht="13.5"/>
    <row r="3905" ht="13.5"/>
    <row r="3906" ht="13.5"/>
    <row r="3907" ht="13.5"/>
    <row r="3908" ht="13.5"/>
    <row r="3909" ht="13.5"/>
    <row r="3910" ht="13.5"/>
    <row r="3911" ht="13.5"/>
    <row r="3912" ht="13.5"/>
    <row r="3913" ht="13.5"/>
    <row r="3914" ht="13.5"/>
    <row r="3915" ht="13.5"/>
    <row r="3916" ht="13.5"/>
    <row r="3917" ht="13.5"/>
    <row r="3918" ht="13.5"/>
    <row r="3919" ht="13.5"/>
    <row r="3920" ht="13.5"/>
    <row r="3921" ht="13.5"/>
    <row r="3922" ht="13.5"/>
    <row r="3923" ht="13.5"/>
    <row r="3924" ht="13.5"/>
    <row r="3925" ht="13.5"/>
    <row r="3926" ht="13.5"/>
    <row r="3927" ht="13.5"/>
    <row r="3928" ht="13.5"/>
    <row r="3929" ht="13.5"/>
    <row r="3930" ht="13.5"/>
    <row r="3931" ht="13.5"/>
    <row r="3932" ht="13.5"/>
    <row r="3933" ht="13.5"/>
    <row r="3934" ht="13.5"/>
    <row r="3935" ht="13.5"/>
    <row r="3936" ht="13.5"/>
    <row r="3937" ht="13.5"/>
    <row r="3938" ht="13.5"/>
    <row r="3939" ht="13.5"/>
    <row r="3940" ht="13.5"/>
    <row r="3941" ht="13.5"/>
    <row r="3942" ht="13.5"/>
    <row r="3943" ht="13.5"/>
    <row r="3944" ht="13.5"/>
    <row r="3945" ht="13.5"/>
    <row r="3946" ht="13.5"/>
    <row r="3947" ht="13.5"/>
    <row r="3948" ht="13.5"/>
    <row r="3949" ht="13.5"/>
    <row r="3950" ht="13.5"/>
    <row r="3951" ht="13.5"/>
    <row r="3952" ht="13.5"/>
    <row r="3953" ht="13.5"/>
    <row r="3954" ht="13.5"/>
    <row r="3955" ht="13.5"/>
    <row r="3956" ht="13.5"/>
    <row r="3957" ht="13.5"/>
    <row r="3958" ht="13.5"/>
    <row r="3959" ht="13.5"/>
    <row r="3960" ht="13.5"/>
    <row r="3961" ht="13.5"/>
    <row r="3962" ht="13.5"/>
    <row r="3963" ht="13.5"/>
    <row r="3964" ht="13.5"/>
    <row r="3965" ht="13.5"/>
    <row r="3966" ht="13.5"/>
    <row r="3967" ht="13.5"/>
    <row r="3968" ht="13.5"/>
    <row r="3969" ht="13.5"/>
    <row r="3970" ht="13.5"/>
    <row r="3971" ht="13.5"/>
    <row r="3972" ht="13.5"/>
    <row r="3973" ht="13.5"/>
    <row r="3974" ht="13.5"/>
    <row r="3975" ht="13.5"/>
    <row r="3976" ht="13.5"/>
    <row r="3977" ht="13.5"/>
    <row r="3978" ht="13.5"/>
    <row r="3979" ht="13.5"/>
    <row r="3980" ht="13.5"/>
    <row r="3981" ht="13.5"/>
    <row r="3982" ht="13.5"/>
    <row r="3983" ht="13.5"/>
    <row r="3984" ht="13.5"/>
    <row r="3985" ht="13.5"/>
    <row r="3986" ht="13.5"/>
    <row r="3987" ht="13.5"/>
    <row r="3988" ht="13.5"/>
    <row r="3989" ht="13.5"/>
    <row r="3990" ht="13.5"/>
    <row r="3991" ht="13.5"/>
    <row r="3992" ht="13.5"/>
    <row r="3993" ht="13.5"/>
    <row r="3994" ht="13.5"/>
    <row r="3995" ht="13.5"/>
    <row r="3996" ht="13.5"/>
    <row r="3997" ht="13.5"/>
    <row r="3998" ht="13.5"/>
    <row r="3999" ht="13.5"/>
    <row r="4000" ht="13.5"/>
    <row r="4001" ht="13.5"/>
    <row r="4002" ht="13.5"/>
    <row r="4003" ht="13.5"/>
    <row r="4004" ht="13.5"/>
    <row r="4005" ht="13.5"/>
    <row r="4006" ht="13.5"/>
    <row r="4007" ht="13.5"/>
    <row r="4008" ht="13.5"/>
    <row r="4009" ht="13.5"/>
    <row r="4010" ht="13.5"/>
    <row r="4011" ht="13.5"/>
    <row r="4012" ht="13.5"/>
    <row r="4013" ht="13.5"/>
    <row r="4014" ht="13.5"/>
    <row r="4015" ht="13.5"/>
    <row r="4016" ht="13.5"/>
    <row r="4017" ht="13.5"/>
    <row r="4018" ht="13.5"/>
    <row r="4019" ht="13.5"/>
    <row r="4020" ht="13.5"/>
    <row r="4021" ht="13.5"/>
    <row r="4022" ht="13.5"/>
    <row r="4023" ht="13.5"/>
    <row r="4024" ht="13.5"/>
    <row r="4025" ht="13.5"/>
    <row r="4026" ht="13.5"/>
    <row r="4027" ht="13.5"/>
    <row r="4028" ht="13.5"/>
    <row r="4029" ht="13.5"/>
    <row r="4030" ht="13.5"/>
    <row r="4031" ht="13.5"/>
    <row r="4032" ht="13.5"/>
    <row r="4033" ht="13.5"/>
    <row r="4034" ht="13.5"/>
    <row r="4035" ht="13.5"/>
    <row r="4036" ht="13.5"/>
    <row r="4037" ht="13.5"/>
    <row r="4038" ht="13.5"/>
    <row r="4039" ht="13.5"/>
    <row r="4040" ht="13.5"/>
    <row r="4041" ht="13.5"/>
    <row r="4042" ht="13.5"/>
    <row r="4043" ht="13.5"/>
    <row r="4044" ht="13.5"/>
    <row r="4045" ht="13.5"/>
    <row r="4046" ht="13.5"/>
    <row r="4047" ht="13.5"/>
    <row r="4048" ht="13.5"/>
    <row r="4049" ht="13.5"/>
    <row r="4050" ht="13.5"/>
    <row r="4051" ht="13.5"/>
    <row r="4052" ht="13.5"/>
    <row r="4053" ht="13.5"/>
    <row r="4054" ht="13.5"/>
    <row r="4055" ht="13.5"/>
    <row r="4056" ht="13.5"/>
    <row r="4057" ht="13.5"/>
    <row r="4058" ht="13.5"/>
    <row r="4059" ht="13.5"/>
    <row r="4060" ht="13.5"/>
    <row r="4061" ht="13.5"/>
    <row r="4062" ht="13.5"/>
    <row r="4063" ht="13.5"/>
    <row r="4064" ht="13.5"/>
    <row r="4065" ht="13.5"/>
    <row r="4066" ht="13.5"/>
    <row r="4067" ht="13.5"/>
    <row r="4068" ht="13.5"/>
    <row r="4069" ht="13.5"/>
    <row r="4070" ht="13.5"/>
    <row r="4071" ht="13.5"/>
    <row r="4072" ht="13.5"/>
    <row r="4073" ht="13.5"/>
    <row r="4074" ht="13.5"/>
    <row r="4075" ht="13.5"/>
    <row r="4076" ht="13.5"/>
    <row r="4077" ht="13.5"/>
    <row r="4078" ht="13.5"/>
    <row r="4079" ht="13.5"/>
    <row r="4080" ht="13.5"/>
    <row r="4081" ht="13.5"/>
    <row r="4082" ht="13.5"/>
    <row r="4083" ht="13.5"/>
    <row r="4084" ht="13.5"/>
    <row r="4085" ht="13.5"/>
    <row r="4086" ht="13.5"/>
    <row r="4087" ht="13.5"/>
    <row r="4088" ht="13.5"/>
    <row r="4089" ht="13.5"/>
    <row r="4090" ht="13.5"/>
    <row r="4091" ht="13.5"/>
    <row r="4092" ht="13.5"/>
    <row r="4093" ht="13.5"/>
    <row r="4094" ht="13.5"/>
    <row r="4095" ht="13.5"/>
    <row r="4096" ht="13.5"/>
    <row r="4097" ht="13.5"/>
    <row r="4098" ht="13.5"/>
    <row r="4099" ht="13.5"/>
    <row r="4100" ht="13.5"/>
    <row r="4101" ht="13.5"/>
    <row r="4102" ht="13.5"/>
    <row r="4103" ht="13.5"/>
    <row r="4104" ht="13.5"/>
    <row r="4105" ht="13.5"/>
    <row r="4106" ht="13.5"/>
    <row r="4107" ht="13.5"/>
    <row r="4108" ht="13.5"/>
    <row r="4109" ht="13.5"/>
    <row r="4110" ht="13.5"/>
    <row r="4111" ht="13.5"/>
    <row r="4112" ht="13.5"/>
    <row r="4113" ht="13.5"/>
    <row r="4114" ht="13.5"/>
    <row r="4115" ht="13.5"/>
    <row r="4116" ht="13.5"/>
    <row r="4117" ht="13.5"/>
    <row r="4118" ht="13.5"/>
    <row r="4119" ht="13.5"/>
    <row r="4120" ht="13.5"/>
    <row r="4121" ht="13.5"/>
    <row r="4122" ht="13.5"/>
    <row r="4123" ht="13.5"/>
    <row r="4124" ht="13.5"/>
    <row r="4125" ht="13.5"/>
    <row r="4126" ht="13.5"/>
    <row r="4127" ht="13.5"/>
    <row r="4128" ht="13.5"/>
    <row r="4129" ht="13.5"/>
    <row r="4130" ht="13.5"/>
    <row r="4131" ht="13.5"/>
    <row r="4132" ht="13.5"/>
    <row r="4133" ht="13.5"/>
    <row r="4134" ht="13.5"/>
    <row r="4135" ht="13.5"/>
    <row r="4136" ht="13.5"/>
    <row r="4137" ht="13.5"/>
    <row r="4138" ht="13.5"/>
    <row r="4139" ht="13.5"/>
    <row r="4140" ht="13.5"/>
    <row r="4141" ht="13.5"/>
    <row r="4142" ht="13.5"/>
    <row r="4143" ht="13.5"/>
    <row r="4144" ht="13.5"/>
    <row r="4145" ht="13.5"/>
    <row r="4146" ht="13.5"/>
    <row r="4147" ht="13.5"/>
    <row r="4148" ht="13.5"/>
    <row r="4149" ht="13.5"/>
    <row r="4150" ht="13.5"/>
    <row r="4151" ht="13.5"/>
    <row r="4152" ht="13.5"/>
    <row r="4153" ht="13.5"/>
    <row r="4154" ht="13.5"/>
    <row r="4155" ht="13.5"/>
    <row r="4156" ht="13.5"/>
    <row r="4157" ht="13.5"/>
    <row r="4158" ht="13.5"/>
    <row r="4159" ht="13.5"/>
    <row r="4160" ht="13.5"/>
    <row r="4161" ht="13.5"/>
    <row r="4162" ht="13.5"/>
    <row r="4163" ht="13.5"/>
    <row r="4164" ht="13.5"/>
    <row r="4165" ht="13.5"/>
    <row r="4166" ht="13.5"/>
    <row r="4167" ht="13.5"/>
    <row r="4168" ht="13.5"/>
    <row r="4169" ht="13.5"/>
    <row r="4170" ht="13.5"/>
    <row r="4171" ht="13.5"/>
    <row r="4172" ht="13.5"/>
    <row r="4173" ht="13.5"/>
    <row r="4174" ht="13.5"/>
    <row r="4175" ht="13.5"/>
    <row r="4176" ht="13.5"/>
    <row r="4177" ht="13.5"/>
    <row r="4178" ht="13.5"/>
    <row r="4179" ht="13.5"/>
    <row r="4180" ht="13.5"/>
    <row r="4181" ht="13.5"/>
    <row r="4182" ht="13.5"/>
    <row r="4183" ht="13.5"/>
    <row r="4184" ht="13.5"/>
    <row r="4185" ht="13.5"/>
    <row r="4186" ht="13.5"/>
    <row r="4187" ht="13.5"/>
    <row r="4188" ht="13.5"/>
    <row r="4189" ht="13.5"/>
    <row r="4190" ht="13.5"/>
    <row r="4191" ht="13.5"/>
    <row r="4192" ht="13.5"/>
    <row r="4193" ht="13.5"/>
    <row r="4194" ht="13.5"/>
    <row r="4195" ht="13.5"/>
    <row r="4196" ht="13.5"/>
    <row r="4197" ht="13.5"/>
    <row r="4198" ht="13.5"/>
    <row r="4199" ht="13.5"/>
    <row r="4200" ht="13.5"/>
    <row r="4201" ht="13.5"/>
    <row r="4202" ht="13.5"/>
    <row r="4203" ht="13.5"/>
    <row r="4204" ht="13.5"/>
    <row r="4205" ht="13.5"/>
    <row r="4206" ht="13.5"/>
    <row r="4207" ht="13.5"/>
    <row r="4208" ht="13.5"/>
    <row r="4209" ht="13.5"/>
    <row r="4210" ht="13.5"/>
    <row r="4211" ht="13.5"/>
    <row r="4212" ht="13.5"/>
    <row r="4213" ht="13.5"/>
    <row r="4214" ht="13.5"/>
    <row r="4215" ht="13.5"/>
    <row r="4216" ht="13.5"/>
    <row r="4217" ht="13.5"/>
    <row r="4218" ht="13.5"/>
    <row r="4219" ht="13.5"/>
    <row r="4220" ht="13.5"/>
    <row r="4221" ht="13.5"/>
    <row r="4222" ht="13.5"/>
    <row r="4223" ht="13.5"/>
    <row r="4224" ht="13.5"/>
    <row r="4225" ht="13.5"/>
    <row r="4226" ht="13.5"/>
    <row r="4227" ht="13.5"/>
    <row r="4228" ht="13.5"/>
    <row r="4229" ht="13.5"/>
    <row r="4230" ht="13.5"/>
    <row r="4231" ht="13.5"/>
    <row r="4232" ht="13.5"/>
    <row r="4233" ht="13.5"/>
    <row r="4234" ht="13.5"/>
    <row r="4235" ht="13.5"/>
    <row r="4236" ht="13.5"/>
    <row r="4237" ht="13.5"/>
    <row r="4238" ht="13.5"/>
    <row r="4239" ht="13.5"/>
    <row r="4240" ht="13.5"/>
    <row r="4241" ht="13.5"/>
    <row r="4242" ht="13.5"/>
    <row r="4243" ht="13.5"/>
    <row r="4244" ht="13.5"/>
    <row r="4245" ht="13.5"/>
    <row r="4246" ht="13.5"/>
    <row r="4247" ht="13.5"/>
    <row r="4248" ht="13.5"/>
    <row r="4249" ht="13.5"/>
    <row r="4250" ht="13.5"/>
    <row r="4251" ht="13.5"/>
    <row r="4252" ht="13.5"/>
    <row r="4253" ht="13.5"/>
    <row r="4254" ht="13.5"/>
    <row r="4255" ht="13.5"/>
    <row r="4256" ht="13.5"/>
    <row r="4257" ht="13.5"/>
    <row r="4258" ht="13.5"/>
    <row r="4259" ht="13.5"/>
    <row r="4260" ht="13.5"/>
    <row r="4261" ht="13.5"/>
    <row r="4262" ht="13.5"/>
    <row r="4263" ht="13.5"/>
    <row r="4264" ht="13.5"/>
    <row r="4265" ht="13.5"/>
    <row r="4266" ht="13.5"/>
    <row r="4267" ht="13.5"/>
    <row r="4268" ht="13.5"/>
    <row r="4269" ht="13.5"/>
    <row r="4270" ht="13.5"/>
    <row r="4271" ht="13.5"/>
    <row r="4272" ht="13.5"/>
    <row r="4273" ht="13.5"/>
    <row r="4274" ht="13.5"/>
    <row r="4275" ht="13.5"/>
    <row r="4276" ht="13.5"/>
    <row r="4277" ht="13.5"/>
    <row r="4278" ht="13.5"/>
    <row r="4279" ht="13.5"/>
    <row r="4280" ht="13.5"/>
    <row r="4281" ht="13.5"/>
    <row r="4282" ht="13.5"/>
    <row r="4283" ht="13.5"/>
    <row r="4284" ht="13.5"/>
    <row r="4285" ht="13.5"/>
    <row r="4286" ht="13.5"/>
    <row r="4287" ht="13.5"/>
    <row r="4288" ht="13.5"/>
    <row r="4289" ht="13.5"/>
    <row r="4290" ht="13.5"/>
    <row r="4291" ht="13.5"/>
    <row r="4292" ht="13.5"/>
    <row r="4293" ht="13.5"/>
    <row r="4294" ht="13.5"/>
    <row r="4295" ht="13.5"/>
    <row r="4296" ht="13.5"/>
    <row r="4297" ht="13.5"/>
    <row r="4298" ht="13.5"/>
    <row r="4299" ht="13.5"/>
    <row r="4300" ht="13.5"/>
    <row r="4301" ht="13.5"/>
    <row r="4302" ht="13.5"/>
    <row r="4303" ht="13.5"/>
    <row r="4304" ht="13.5"/>
    <row r="4305" ht="13.5"/>
    <row r="4306" ht="13.5"/>
    <row r="4307" ht="13.5"/>
    <row r="4308" ht="13.5"/>
    <row r="4309" ht="13.5"/>
    <row r="4310" ht="13.5"/>
    <row r="4311" ht="13.5"/>
    <row r="4312" ht="13.5"/>
    <row r="4313" ht="13.5"/>
    <row r="4314" ht="13.5"/>
    <row r="4315" ht="13.5"/>
    <row r="4316" ht="13.5"/>
    <row r="4317" ht="13.5"/>
    <row r="4318" ht="13.5"/>
    <row r="4319" ht="13.5"/>
    <row r="4320" ht="13.5"/>
    <row r="4321" ht="13.5"/>
    <row r="4322" ht="13.5"/>
    <row r="4323" ht="13.5"/>
    <row r="4324" ht="13.5"/>
    <row r="4325" ht="13.5"/>
    <row r="4326" ht="13.5"/>
    <row r="4327" ht="13.5"/>
    <row r="4328" ht="13.5"/>
    <row r="4329" ht="13.5"/>
    <row r="4330" ht="13.5"/>
    <row r="4331" ht="13.5"/>
    <row r="4332" ht="13.5"/>
    <row r="4333" ht="13.5"/>
    <row r="4334" ht="13.5"/>
    <row r="4335" ht="13.5"/>
    <row r="4336" ht="13.5"/>
    <row r="4337" ht="13.5"/>
    <row r="4338" ht="13.5"/>
    <row r="4339" ht="13.5"/>
    <row r="4340" ht="13.5"/>
    <row r="4341" ht="13.5"/>
    <row r="4342" ht="13.5"/>
    <row r="4343" ht="13.5"/>
  </sheetData>
  <phoneticPr fontId="14" type="noConversion"/>
  <conditionalFormatting sqref="G3:M3">
    <cfRule type="expression" dxfId="296"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BF4" sqref="BF4:BO211"/>
    </sheetView>
  </sheetViews>
  <sheetFormatPr defaultColWidth="8.88671875" defaultRowHeight="20.100000000000001" customHeight="1"/>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5.6640625" style="1" bestFit="1" customWidth="1"/>
    <col min="22" max="22" width="11.77734375" style="1" customWidth="1"/>
    <col min="24" max="24" width="4.6640625" style="1" bestFit="1" customWidth="1"/>
    <col min="25" max="25" width="10.44140625" style="1" bestFit="1" customWidth="1"/>
    <col min="26" max="26" width="4.44140625" style="20" bestFit="1" customWidth="1"/>
    <col min="27" max="27" width="6.77734375" style="20" bestFit="1" customWidth="1"/>
    <col min="28" max="28" width="11.44140625" style="1" customWidth="1"/>
    <col min="29" max="29" width="22.33203125" style="1" bestFit="1" customWidth="1"/>
    <col min="30" max="30" width="6" style="20" bestFit="1" customWidth="1"/>
    <col min="31" max="32" width="7" style="20" bestFit="1" customWidth="1"/>
    <col min="33" max="33" width="13.33203125" style="20" bestFit="1" customWidth="1"/>
    <col min="34" max="34" width="19.44140625" style="1" bestFit="1" customWidth="1"/>
    <col min="35" max="35" width="20" style="1" bestFit="1" customWidth="1"/>
    <col min="36" max="36" width="6.6640625" style="1" customWidth="1"/>
    <col min="37" max="39" width="7.88671875" style="33" customWidth="1"/>
    <col min="40" max="40" width="21.33203125" style="20" bestFit="1" customWidth="1"/>
    <col min="41" max="41" width="33.109375" style="20" customWidth="1"/>
    <col min="42" max="42" width="19.33203125" style="20" bestFit="1" customWidth="1"/>
    <col min="43" max="43" width="13.21875" style="20" bestFit="1" customWidth="1"/>
    <col min="44" max="44" width="10.33203125" style="20" bestFit="1" customWidth="1"/>
    <col min="45" max="45" width="13.33203125" style="20" bestFit="1" customWidth="1"/>
    <col min="46" max="47" width="12" style="20" bestFit="1" customWidth="1"/>
    <col min="48" max="48" width="11.5546875" style="20" bestFit="1" customWidth="1"/>
    <col min="49" max="49" width="14.44140625" style="20" customWidth="1"/>
    <col min="50" max="50" width="13.6640625" style="20" bestFit="1" customWidth="1"/>
    <col min="51" max="51" width="10.77734375" style="20" bestFit="1" customWidth="1"/>
    <col min="52" max="53" width="9.33203125" style="20" bestFit="1" customWidth="1"/>
    <col min="54" max="54" width="9.88671875" style="20" customWidth="1"/>
    <col min="55" max="55" width="7.6640625" style="33" bestFit="1" customWidth="1"/>
    <col min="56" max="56" width="4.109375" style="33" customWidth="1"/>
    <col min="57" max="57" width="4.109375" style="20" customWidth="1"/>
    <col min="58" max="58" width="28.109375" style="20" bestFit="1" customWidth="1"/>
    <col min="59" max="59" width="26.44140625" style="20" bestFit="1" customWidth="1"/>
    <col min="60" max="60" width="14.44140625" style="20" bestFit="1" customWidth="1"/>
    <col min="61" max="61" width="11.5546875" style="20" customWidth="1"/>
    <col min="62" max="62" width="12.44140625" style="20" bestFit="1" customWidth="1"/>
    <col min="63" max="64" width="10.77734375" style="20" bestFit="1" customWidth="1"/>
    <col min="65" max="67" width="11.33203125" style="20" bestFit="1" customWidth="1"/>
    <col min="68" max="68" width="15.6640625" style="20" customWidth="1"/>
    <col min="69" max="71" width="1.77734375" style="20" customWidth="1"/>
    <col min="72" max="72" width="9.44140625" style="20" bestFit="1" customWidth="1"/>
    <col min="73" max="73" width="37.33203125" style="20" bestFit="1" customWidth="1"/>
    <col min="74" max="75" width="1.33203125" style="20" customWidth="1"/>
    <col min="76" max="16384" width="8.88671875" style="20"/>
  </cols>
  <sheetData>
    <row r="1" spans="1:71" s="33" customFormat="1" ht="49.5">
      <c r="A1" s="32" t="s">
        <v>684</v>
      </c>
      <c r="C1" s="41" t="s">
        <v>265</v>
      </c>
      <c r="F1" s="40" t="s">
        <v>261</v>
      </c>
      <c r="G1" s="40" t="s">
        <v>86</v>
      </c>
      <c r="H1" s="40" t="s">
        <v>540</v>
      </c>
      <c r="I1" s="40" t="s">
        <v>148</v>
      </c>
      <c r="J1" s="85" t="s">
        <v>266</v>
      </c>
      <c r="P1" s="32" t="s">
        <v>250</v>
      </c>
      <c r="Q1" s="41" t="s">
        <v>264</v>
      </c>
      <c r="R1" s="40" t="s">
        <v>118</v>
      </c>
      <c r="S1" s="40" t="s">
        <v>84</v>
      </c>
      <c r="T1" s="40" t="s">
        <v>50</v>
      </c>
      <c r="U1" s="40" t="s">
        <v>130</v>
      </c>
      <c r="W1" s="40" t="s">
        <v>194</v>
      </c>
      <c r="X1" s="40" t="s">
        <v>86</v>
      </c>
      <c r="Y1" s="40" t="s">
        <v>61</v>
      </c>
      <c r="AN1" s="32" t="s">
        <v>268</v>
      </c>
      <c r="AO1" s="41" t="s">
        <v>262</v>
      </c>
      <c r="AT1" s="85" t="s">
        <v>488</v>
      </c>
      <c r="AU1" s="40" t="s">
        <v>136</v>
      </c>
      <c r="AV1" s="40" t="s">
        <v>135</v>
      </c>
      <c r="AX1" s="40" t="s">
        <v>126</v>
      </c>
      <c r="AY1" s="40" t="s">
        <v>161</v>
      </c>
      <c r="AZ1" s="40" t="s">
        <v>162</v>
      </c>
      <c r="BA1" s="40" t="s">
        <v>163</v>
      </c>
      <c r="BC1" s="111" t="s">
        <v>263</v>
      </c>
      <c r="BF1" s="32" t="s">
        <v>683</v>
      </c>
      <c r="BG1" s="40" t="s">
        <v>142</v>
      </c>
      <c r="BH1" s="40" t="s">
        <v>182</v>
      </c>
      <c r="BI1" s="40" t="s">
        <v>502</v>
      </c>
      <c r="BJ1" s="40" t="s">
        <v>503</v>
      </c>
      <c r="BK1" s="40" t="s">
        <v>166</v>
      </c>
      <c r="BL1" s="105" t="s">
        <v>504</v>
      </c>
      <c r="BS1" s="106" t="s">
        <v>685</v>
      </c>
    </row>
    <row r="2" spans="1:71" s="34" customFormat="1" ht="75" customHeight="1">
      <c r="A2" s="86" t="s">
        <v>267</v>
      </c>
      <c r="D2" s="43"/>
      <c r="I2" s="43"/>
      <c r="J2" s="43"/>
      <c r="Q2" s="35"/>
      <c r="R2" s="43" t="s">
        <v>205</v>
      </c>
      <c r="S2" s="43" t="s">
        <v>205</v>
      </c>
      <c r="T2" s="43" t="s">
        <v>205</v>
      </c>
      <c r="U2" s="43" t="s">
        <v>205</v>
      </c>
      <c r="V2" s="43" t="s">
        <v>205</v>
      </c>
      <c r="W2" s="43" t="s">
        <v>205</v>
      </c>
      <c r="X2" s="44"/>
      <c r="Y2" s="43"/>
      <c r="AJ2" s="33"/>
      <c r="AK2" s="33"/>
      <c r="AL2" s="33"/>
      <c r="AU2" s="43"/>
      <c r="AV2" s="43"/>
      <c r="AW2" s="43"/>
      <c r="AX2" s="43"/>
      <c r="AY2" s="43"/>
      <c r="AZ2" s="43"/>
      <c r="BA2" s="43"/>
      <c r="BB2" s="33"/>
      <c r="BC2" s="33"/>
      <c r="BG2" s="43" t="s">
        <v>205</v>
      </c>
      <c r="BH2" s="43" t="s">
        <v>205</v>
      </c>
      <c r="BI2" s="43" t="s">
        <v>205</v>
      </c>
      <c r="BJ2" s="43" t="s">
        <v>205</v>
      </c>
      <c r="BK2" s="43" t="s">
        <v>205</v>
      </c>
      <c r="BL2" s="43" t="s">
        <v>205</v>
      </c>
      <c r="BS2" s="107" t="s">
        <v>686</v>
      </c>
    </row>
    <row r="3" spans="1:71" s="37" customFormat="1" ht="15">
      <c r="A3" s="77" t="s">
        <v>261</v>
      </c>
      <c r="B3" s="36" t="s">
        <v>45</v>
      </c>
      <c r="C3" s="36" t="s">
        <v>46</v>
      </c>
      <c r="D3" s="36" t="s">
        <v>90</v>
      </c>
      <c r="E3" s="36" t="s">
        <v>117</v>
      </c>
      <c r="F3" s="36" t="s">
        <v>141</v>
      </c>
      <c r="G3" s="36" t="s">
        <v>86</v>
      </c>
      <c r="H3" s="36" t="s">
        <v>540</v>
      </c>
      <c r="I3" s="36" t="s">
        <v>148</v>
      </c>
      <c r="J3" s="36" t="s">
        <v>149</v>
      </c>
      <c r="K3" s="36" t="s">
        <v>119</v>
      </c>
      <c r="P3" s="36" t="s">
        <v>46</v>
      </c>
      <c r="Q3" s="36" t="s">
        <v>90</v>
      </c>
      <c r="R3" s="36" t="s">
        <v>118</v>
      </c>
      <c r="S3" s="36" t="s">
        <v>84</v>
      </c>
      <c r="T3" s="36" t="s">
        <v>50</v>
      </c>
      <c r="U3" s="36" t="s">
        <v>130</v>
      </c>
      <c r="V3" s="36" t="s">
        <v>132</v>
      </c>
      <c r="W3" s="36" t="s">
        <v>120</v>
      </c>
      <c r="X3" s="36" t="s">
        <v>61</v>
      </c>
      <c r="Y3" s="36" t="s">
        <v>54</v>
      </c>
      <c r="Z3" s="36" t="s">
        <v>83</v>
      </c>
      <c r="AA3" s="36" t="s">
        <v>112</v>
      </c>
      <c r="AB3" s="36" t="s">
        <v>292</v>
      </c>
      <c r="AC3" s="36" t="s">
        <v>87</v>
      </c>
      <c r="AD3" s="36" t="s">
        <v>137</v>
      </c>
      <c r="AE3" s="36" t="s">
        <v>138</v>
      </c>
      <c r="AF3" s="36" t="s">
        <v>171</v>
      </c>
      <c r="AG3" s="36" t="s">
        <v>45</v>
      </c>
      <c r="AH3" s="36" t="s">
        <v>119</v>
      </c>
      <c r="AI3" s="36"/>
      <c r="AJ3" s="33"/>
      <c r="AK3" s="33"/>
      <c r="AL3" s="33"/>
      <c r="AN3" s="36" t="s">
        <v>90</v>
      </c>
      <c r="AO3" s="36" t="s">
        <v>119</v>
      </c>
      <c r="AP3" s="36" t="s">
        <v>45</v>
      </c>
      <c r="AQ3" s="36" t="s">
        <v>46</v>
      </c>
      <c r="AR3" s="36" t="s">
        <v>165</v>
      </c>
      <c r="AS3" s="36" t="s">
        <v>150</v>
      </c>
      <c r="AT3" s="36" t="s">
        <v>488</v>
      </c>
      <c r="AU3" s="36" t="s">
        <v>136</v>
      </c>
      <c r="AV3" s="36" t="s">
        <v>135</v>
      </c>
      <c r="AW3" s="36" t="s">
        <v>145</v>
      </c>
      <c r="AX3" s="36" t="s">
        <v>134</v>
      </c>
      <c r="AY3" s="36" t="s">
        <v>126</v>
      </c>
      <c r="AZ3" s="36" t="s">
        <v>161</v>
      </c>
      <c r="BA3" s="36" t="s">
        <v>162</v>
      </c>
      <c r="BB3" s="36" t="s">
        <v>163</v>
      </c>
      <c r="BC3" s="33"/>
      <c r="BD3" s="33"/>
      <c r="BF3" s="36" t="s">
        <v>90</v>
      </c>
      <c r="BG3" s="36" t="s">
        <v>142</v>
      </c>
      <c r="BH3" s="36" t="s">
        <v>182</v>
      </c>
      <c r="BI3" s="36" t="s">
        <v>502</v>
      </c>
      <c r="BJ3" s="36" t="s">
        <v>503</v>
      </c>
      <c r="BK3" s="36" t="s">
        <v>166</v>
      </c>
      <c r="BL3" s="36" t="s">
        <v>504</v>
      </c>
      <c r="BM3" s="36" t="s">
        <v>85</v>
      </c>
      <c r="BN3" s="36" t="s">
        <v>42</v>
      </c>
      <c r="BO3" s="36" t="s">
        <v>43</v>
      </c>
      <c r="BS3" s="36"/>
    </row>
    <row r="4" spans="1:71" ht="16.5">
      <c r="A4" s="29"/>
      <c r="B4" s="21"/>
      <c r="C4" s="76"/>
      <c r="D4" s="75"/>
      <c r="E4" s="87"/>
      <c r="F4" s="87"/>
      <c r="G4" s="21"/>
      <c r="H4" s="21"/>
      <c r="I4" s="21"/>
      <c r="J4" s="21"/>
      <c r="K4" s="21"/>
      <c r="P4" s="82"/>
      <c r="Q4" s="82"/>
      <c r="R4" s="38"/>
      <c r="S4" s="38"/>
      <c r="T4" s="84"/>
      <c r="U4" s="84"/>
      <c r="V4" s="38"/>
      <c r="W4" s="83"/>
      <c r="X4" s="38"/>
      <c r="Y4" s="39"/>
      <c r="Z4" s="38"/>
      <c r="AA4" s="38"/>
      <c r="AB4" s="38"/>
      <c r="AC4" s="38"/>
      <c r="AD4" s="38"/>
      <c r="AE4" s="38"/>
      <c r="AF4" s="38"/>
      <c r="AG4" s="38"/>
      <c r="AH4" s="38"/>
      <c r="AI4" s="38"/>
      <c r="AJ4" s="33"/>
      <c r="AM4" s="20"/>
      <c r="AN4" s="37"/>
      <c r="AO4" s="37"/>
      <c r="AP4" s="78"/>
      <c r="AQ4" s="78"/>
      <c r="AR4" s="37"/>
      <c r="AS4" s="37"/>
      <c r="AT4" s="37"/>
      <c r="AU4" s="37"/>
      <c r="AV4" s="79"/>
      <c r="AW4" s="37"/>
      <c r="AX4" s="80"/>
      <c r="AY4" s="37"/>
      <c r="AZ4" s="81"/>
      <c r="BA4" s="81"/>
      <c r="BB4" s="79"/>
      <c r="BF4" s="37"/>
      <c r="BG4" s="37"/>
      <c r="BH4" s="37"/>
      <c r="BI4" s="37"/>
      <c r="BJ4" s="37"/>
      <c r="BK4" s="37"/>
      <c r="BL4" s="37"/>
      <c r="BM4" s="37"/>
      <c r="BN4" s="37"/>
      <c r="BO4" s="37"/>
      <c r="BS4"/>
    </row>
    <row r="5" spans="1:71" ht="16.5">
      <c r="A5" s="29"/>
      <c r="B5" s="21"/>
      <c r="C5" s="76"/>
      <c r="D5" s="75"/>
      <c r="E5" s="87"/>
      <c r="F5" s="87"/>
      <c r="G5" s="21"/>
      <c r="H5" s="21"/>
      <c r="I5" s="21"/>
      <c r="J5" s="21"/>
      <c r="K5" s="21"/>
      <c r="P5" s="82"/>
      <c r="Q5" s="82"/>
      <c r="R5" s="38"/>
      <c r="S5" s="38"/>
      <c r="T5" s="38"/>
      <c r="U5" s="38"/>
      <c r="V5" s="38"/>
      <c r="W5" s="83"/>
      <c r="X5" s="38"/>
      <c r="Y5" s="39"/>
      <c r="Z5" s="38"/>
      <c r="AA5" s="38"/>
      <c r="AB5" s="38"/>
      <c r="AC5" s="38"/>
      <c r="AD5" s="38"/>
      <c r="AE5" s="38"/>
      <c r="AF5" s="38"/>
      <c r="AG5" s="38"/>
      <c r="AH5" s="38"/>
      <c r="AI5" s="38"/>
      <c r="AJ5" s="33"/>
      <c r="AM5" s="20"/>
      <c r="AN5" s="37"/>
      <c r="AO5" s="37"/>
      <c r="AP5" s="78"/>
      <c r="AQ5" s="78"/>
      <c r="AR5" s="37"/>
      <c r="AS5" s="37"/>
      <c r="AT5" s="37"/>
      <c r="AU5" s="37"/>
      <c r="AV5" s="79"/>
      <c r="AW5" s="37"/>
      <c r="AX5" s="80"/>
      <c r="AY5" s="37"/>
      <c r="AZ5" s="81"/>
      <c r="BA5" s="81"/>
      <c r="BB5" s="79"/>
      <c r="BF5" s="37"/>
      <c r="BG5" s="37"/>
      <c r="BH5" s="37"/>
      <c r="BI5" s="37"/>
      <c r="BJ5" s="37"/>
      <c r="BK5" s="37"/>
      <c r="BL5" s="37"/>
      <c r="BM5" s="37"/>
      <c r="BN5" s="37"/>
      <c r="BO5" s="37"/>
      <c r="BS5"/>
    </row>
    <row r="6" spans="1:71" ht="16.5">
      <c r="A6" s="21"/>
      <c r="B6" s="21"/>
      <c r="C6" s="76"/>
      <c r="D6" s="75"/>
      <c r="E6" s="87"/>
      <c r="F6" s="21"/>
      <c r="G6" s="21"/>
      <c r="H6" s="21"/>
      <c r="I6" s="21"/>
      <c r="J6" s="21"/>
      <c r="K6" s="21"/>
      <c r="P6" s="82"/>
      <c r="Q6" s="82"/>
      <c r="R6" s="39"/>
      <c r="S6" s="39"/>
      <c r="T6" s="94"/>
      <c r="U6" s="38"/>
      <c r="V6" s="38"/>
      <c r="W6" s="84"/>
      <c r="X6" s="38"/>
      <c r="Y6" s="39"/>
      <c r="Z6" s="38"/>
      <c r="AA6" s="38"/>
      <c r="AB6" s="38"/>
      <c r="AC6" s="38"/>
      <c r="AD6" s="38"/>
      <c r="AE6" s="38"/>
      <c r="AF6" s="38"/>
      <c r="AG6" s="38"/>
      <c r="AH6" s="38"/>
      <c r="AI6" s="38"/>
      <c r="AJ6" s="33"/>
      <c r="AM6" s="20"/>
      <c r="AN6" s="37"/>
      <c r="AO6" s="37"/>
      <c r="AP6" s="78"/>
      <c r="AQ6" s="78"/>
      <c r="AR6" s="37"/>
      <c r="AS6" s="37"/>
      <c r="AT6" s="37"/>
      <c r="AU6" s="37"/>
      <c r="AV6" s="79"/>
      <c r="AW6" s="37"/>
      <c r="AX6" s="80"/>
      <c r="AY6" s="37"/>
      <c r="AZ6" s="81"/>
      <c r="BA6" s="79"/>
      <c r="BB6" s="37"/>
      <c r="BF6" s="37"/>
      <c r="BG6" s="37"/>
      <c r="BH6" s="37"/>
      <c r="BI6" s="37"/>
      <c r="BJ6" s="37"/>
      <c r="BK6" s="37"/>
      <c r="BL6" s="37"/>
      <c r="BM6" s="37"/>
      <c r="BN6" s="37"/>
      <c r="BO6" s="37"/>
      <c r="BS6"/>
    </row>
    <row r="7" spans="1:71" ht="16.5">
      <c r="A7" s="21"/>
      <c r="B7" s="21"/>
      <c r="C7" s="76"/>
      <c r="D7" s="75"/>
      <c r="E7" s="87"/>
      <c r="F7" s="21"/>
      <c r="G7" s="21"/>
      <c r="H7" s="21"/>
      <c r="I7" s="21"/>
      <c r="J7" s="21"/>
      <c r="K7" s="21"/>
      <c r="P7" s="82"/>
      <c r="Q7" s="82"/>
      <c r="R7" s="38"/>
      <c r="S7" s="39"/>
      <c r="T7" s="100"/>
      <c r="U7" s="38"/>
      <c r="V7" s="38"/>
      <c r="W7" s="84"/>
      <c r="X7" s="38"/>
      <c r="Y7" s="39"/>
      <c r="Z7" s="38"/>
      <c r="AA7" s="38"/>
      <c r="AB7" s="38"/>
      <c r="AC7" s="38"/>
      <c r="AD7" s="38"/>
      <c r="AE7" s="38"/>
      <c r="AF7" s="38"/>
      <c r="AG7" s="38"/>
      <c r="AH7" s="38"/>
      <c r="AI7" s="38"/>
      <c r="AJ7" s="33"/>
      <c r="AM7" s="20"/>
      <c r="AN7" s="37"/>
      <c r="AO7" s="37"/>
      <c r="AP7" s="78"/>
      <c r="AQ7" s="78"/>
      <c r="AR7" s="37"/>
      <c r="AS7" s="37"/>
      <c r="AT7" s="37"/>
      <c r="AU7" s="37"/>
      <c r="AV7" s="79"/>
      <c r="AW7" s="37"/>
      <c r="AX7" s="80"/>
      <c r="AY7" s="37"/>
      <c r="AZ7" s="81"/>
      <c r="BA7" s="81"/>
      <c r="BB7" s="79"/>
      <c r="BF7" s="37"/>
      <c r="BG7" s="37"/>
      <c r="BH7" s="37"/>
      <c r="BI7" s="37"/>
      <c r="BJ7" s="37"/>
      <c r="BK7" s="37"/>
      <c r="BL7" s="37"/>
      <c r="BM7" s="37"/>
      <c r="BN7" s="37"/>
      <c r="BO7" s="37"/>
      <c r="BS7"/>
    </row>
    <row r="8" spans="1:71" ht="15">
      <c r="A8" s="21"/>
      <c r="B8" s="21"/>
      <c r="C8" s="76"/>
      <c r="D8" s="75"/>
      <c r="E8" s="87"/>
      <c r="F8" s="87"/>
      <c r="G8" s="21"/>
      <c r="H8" s="21"/>
      <c r="I8" s="21"/>
      <c r="J8" s="21"/>
      <c r="K8" s="21"/>
      <c r="P8" s="82"/>
      <c r="Q8" s="82"/>
      <c r="R8" s="39"/>
      <c r="S8" s="39"/>
      <c r="T8" s="38"/>
      <c r="U8" s="84"/>
      <c r="V8" s="38"/>
      <c r="W8" s="84"/>
      <c r="X8" s="38"/>
      <c r="Y8" s="39"/>
      <c r="Z8" s="38"/>
      <c r="AA8" s="38"/>
      <c r="AB8" s="38"/>
      <c r="AC8" s="38"/>
      <c r="AD8" s="38"/>
      <c r="AE8" s="38"/>
      <c r="AF8" s="38"/>
      <c r="AG8" s="38"/>
      <c r="AH8" s="38"/>
      <c r="AI8" s="38"/>
      <c r="AJ8" s="33"/>
      <c r="AM8" s="20"/>
      <c r="AN8" s="37"/>
      <c r="AO8" s="37"/>
      <c r="AP8" s="78"/>
      <c r="AQ8" s="78"/>
      <c r="AR8" s="37"/>
      <c r="AS8" s="37"/>
      <c r="AT8" s="37"/>
      <c r="AU8" s="37"/>
      <c r="AV8" s="79"/>
      <c r="AW8" s="37"/>
      <c r="AX8" s="79"/>
      <c r="AY8" s="37"/>
      <c r="AZ8" s="81"/>
      <c r="BA8" s="79"/>
      <c r="BB8" s="37"/>
      <c r="BF8" s="37"/>
      <c r="BG8" s="37"/>
      <c r="BH8" s="37"/>
      <c r="BI8" s="37"/>
      <c r="BJ8" s="37"/>
      <c r="BK8" s="37"/>
      <c r="BL8" s="37"/>
      <c r="BM8" s="37"/>
      <c r="BN8" s="37"/>
      <c r="BO8" s="37"/>
      <c r="BS8"/>
    </row>
    <row r="9" spans="1:71" ht="15">
      <c r="A9" s="21"/>
      <c r="B9" s="21"/>
      <c r="C9" s="76"/>
      <c r="D9" s="75"/>
      <c r="E9" s="87"/>
      <c r="F9" s="21"/>
      <c r="G9" s="21"/>
      <c r="H9" s="21"/>
      <c r="I9" s="21"/>
      <c r="J9" s="21"/>
      <c r="K9" s="21"/>
      <c r="P9" s="82"/>
      <c r="Q9" s="82"/>
      <c r="R9" s="39"/>
      <c r="S9" s="39"/>
      <c r="T9" s="84"/>
      <c r="U9" s="38"/>
      <c r="V9" s="38"/>
      <c r="W9" s="84"/>
      <c r="X9" s="39"/>
      <c r="Y9" s="39"/>
      <c r="Z9" s="38"/>
      <c r="AA9" s="38"/>
      <c r="AB9" s="38"/>
      <c r="AC9" s="38"/>
      <c r="AD9" s="38"/>
      <c r="AE9" s="38"/>
      <c r="AF9" s="38"/>
      <c r="AG9" s="38"/>
      <c r="AH9" s="38"/>
      <c r="AI9" s="38"/>
      <c r="AJ9" s="33"/>
      <c r="AM9" s="20"/>
      <c r="AN9" s="37"/>
      <c r="AO9" s="37"/>
      <c r="AP9" s="78"/>
      <c r="AQ9" s="78"/>
      <c r="AR9" s="37"/>
      <c r="AS9" s="37"/>
      <c r="AT9" s="37"/>
      <c r="AU9" s="37"/>
      <c r="AV9" s="79"/>
      <c r="AW9" s="79"/>
      <c r="AX9" s="79"/>
      <c r="AY9" s="37"/>
      <c r="AZ9" s="81"/>
      <c r="BA9" s="79"/>
      <c r="BB9" s="37"/>
      <c r="BF9" s="37"/>
      <c r="BG9" s="37"/>
      <c r="BH9" s="37"/>
      <c r="BI9" s="37"/>
      <c r="BJ9" s="37"/>
      <c r="BK9" s="37"/>
      <c r="BL9" s="37"/>
      <c r="BM9" s="37"/>
      <c r="BN9" s="37"/>
      <c r="BO9" s="37"/>
      <c r="BS9"/>
    </row>
    <row r="10" spans="1:71" ht="15">
      <c r="A10" s="21"/>
      <c r="B10" s="21"/>
      <c r="C10" s="76"/>
      <c r="D10" s="75"/>
      <c r="E10" s="87"/>
      <c r="F10" s="87"/>
      <c r="G10" s="21"/>
      <c r="H10" s="21"/>
      <c r="I10" s="21"/>
      <c r="J10" s="21"/>
      <c r="K10" s="21"/>
      <c r="P10" s="82"/>
      <c r="Q10" s="82"/>
      <c r="R10" s="39"/>
      <c r="S10" s="39"/>
      <c r="T10" s="38"/>
      <c r="U10" s="38"/>
      <c r="V10" s="38"/>
      <c r="W10" s="84"/>
      <c r="X10" s="38"/>
      <c r="Y10" s="39"/>
      <c r="Z10" s="38"/>
      <c r="AA10" s="38"/>
      <c r="AB10" s="38"/>
      <c r="AC10" s="38"/>
      <c r="AD10" s="38"/>
      <c r="AE10" s="38"/>
      <c r="AF10" s="38"/>
      <c r="AG10" s="38"/>
      <c r="AH10" s="38"/>
      <c r="AI10" s="38"/>
      <c r="AJ10" s="33"/>
      <c r="AM10" s="20"/>
      <c r="AN10" s="37"/>
      <c r="AO10" s="37"/>
      <c r="AP10" s="78"/>
      <c r="AQ10" s="78"/>
      <c r="AR10" s="37"/>
      <c r="AS10" s="37"/>
      <c r="AT10" s="37"/>
      <c r="AU10" s="37"/>
      <c r="AV10" s="79"/>
      <c r="AW10" s="37"/>
      <c r="AX10" s="37"/>
      <c r="AY10" s="37"/>
      <c r="AZ10" s="81"/>
      <c r="BA10" s="37"/>
      <c r="BB10" s="37"/>
      <c r="BF10" s="37"/>
      <c r="BG10" s="37"/>
      <c r="BH10" s="37"/>
      <c r="BI10" s="37"/>
      <c r="BJ10" s="37"/>
      <c r="BK10" s="37"/>
      <c r="BL10" s="37"/>
      <c r="BM10" s="37"/>
      <c r="BN10" s="37"/>
      <c r="BO10" s="37"/>
      <c r="BS10"/>
    </row>
    <row r="11" spans="1:71" ht="15">
      <c r="A11" s="21"/>
      <c r="B11" s="21"/>
      <c r="C11" s="76"/>
      <c r="D11" s="75"/>
      <c r="E11" s="21"/>
      <c r="F11" s="87"/>
      <c r="G11" s="21"/>
      <c r="H11" s="21"/>
      <c r="I11" s="21"/>
      <c r="J11" s="21"/>
      <c r="K11" s="21"/>
      <c r="P11" s="82"/>
      <c r="Q11" s="82"/>
      <c r="R11" s="39"/>
      <c r="S11" s="39"/>
      <c r="T11" s="38"/>
      <c r="U11" s="84"/>
      <c r="V11" s="38"/>
      <c r="W11" s="84"/>
      <c r="X11" s="38"/>
      <c r="Y11" s="39"/>
      <c r="Z11" s="38"/>
      <c r="AA11" s="38"/>
      <c r="AB11" s="38"/>
      <c r="AC11" s="38"/>
      <c r="AD11" s="38"/>
      <c r="AE11" s="38"/>
      <c r="AF11" s="38"/>
      <c r="AG11" s="38"/>
      <c r="AH11" s="38"/>
      <c r="AI11" s="38"/>
      <c r="AJ11" s="33"/>
      <c r="AM11" s="20"/>
      <c r="AN11" s="37"/>
      <c r="AO11" s="37"/>
      <c r="AP11" s="78"/>
      <c r="AQ11" s="78"/>
      <c r="AR11" s="37"/>
      <c r="AS11" s="37"/>
      <c r="AT11" s="37"/>
      <c r="AU11" s="37"/>
      <c r="AV11" s="79"/>
      <c r="AW11" s="37"/>
      <c r="AX11" s="37"/>
      <c r="AY11" s="37"/>
      <c r="AZ11" s="78"/>
      <c r="BA11" s="37"/>
      <c r="BB11" s="37"/>
      <c r="BF11" s="37"/>
      <c r="BG11" s="37"/>
      <c r="BH11" s="37"/>
      <c r="BI11" s="37"/>
      <c r="BJ11" s="37"/>
      <c r="BK11" s="37"/>
      <c r="BL11" s="37"/>
      <c r="BM11" s="37"/>
      <c r="BN11" s="37"/>
      <c r="BO11" s="37"/>
      <c r="BS11"/>
    </row>
    <row r="12" spans="1:71" ht="15">
      <c r="A12" s="21"/>
      <c r="B12" s="21"/>
      <c r="C12" s="76"/>
      <c r="D12" s="75"/>
      <c r="E12" s="21"/>
      <c r="F12" s="21"/>
      <c r="G12" s="21"/>
      <c r="H12" s="21"/>
      <c r="I12" s="21"/>
      <c r="J12" s="21"/>
      <c r="K12" s="21"/>
      <c r="P12" s="82"/>
      <c r="Q12" s="82"/>
      <c r="R12" s="38"/>
      <c r="S12" s="39"/>
      <c r="T12" s="84"/>
      <c r="U12" s="38"/>
      <c r="V12" s="38"/>
      <c r="W12" s="84"/>
      <c r="X12" s="38"/>
      <c r="Y12" s="39"/>
      <c r="Z12" s="38"/>
      <c r="AA12" s="38"/>
      <c r="AB12" s="38"/>
      <c r="AC12" s="38"/>
      <c r="AD12" s="38"/>
      <c r="AE12" s="38"/>
      <c r="AF12" s="38"/>
      <c r="AG12" s="38"/>
      <c r="AH12" s="38"/>
      <c r="AI12" s="38"/>
      <c r="AJ12" s="33"/>
      <c r="AM12" s="20"/>
      <c r="AN12" s="37"/>
      <c r="AO12" s="37"/>
      <c r="AP12" s="78"/>
      <c r="AQ12" s="78"/>
      <c r="AR12" s="37"/>
      <c r="AS12" s="37"/>
      <c r="AT12" s="37"/>
      <c r="AU12" s="37"/>
      <c r="AV12" s="79"/>
      <c r="AW12" s="37"/>
      <c r="AX12" s="37"/>
      <c r="AY12" s="37"/>
      <c r="AZ12" s="78"/>
      <c r="BA12" s="37"/>
      <c r="BB12" s="37"/>
      <c r="BF12" s="37"/>
      <c r="BG12" s="37"/>
      <c r="BH12" s="37"/>
      <c r="BI12" s="37"/>
      <c r="BJ12" s="37"/>
      <c r="BK12" s="37"/>
      <c r="BL12" s="37"/>
      <c r="BM12" s="37"/>
      <c r="BN12" s="37"/>
      <c r="BO12" s="37"/>
      <c r="BS12"/>
    </row>
    <row r="13" spans="1:71" ht="15">
      <c r="A13" s="21"/>
      <c r="B13" s="21"/>
      <c r="C13" s="76"/>
      <c r="D13" s="75"/>
      <c r="E13" s="21"/>
      <c r="F13" s="21"/>
      <c r="G13" s="21"/>
      <c r="H13" s="21"/>
      <c r="I13" s="21"/>
      <c r="J13" s="21"/>
      <c r="K13" s="21"/>
      <c r="P13" s="82"/>
      <c r="Q13" s="82"/>
      <c r="R13" s="38"/>
      <c r="S13" s="38"/>
      <c r="T13" s="84"/>
      <c r="U13" s="38"/>
      <c r="V13" s="38"/>
      <c r="W13" s="84"/>
      <c r="X13" s="38"/>
      <c r="Y13" s="39"/>
      <c r="Z13" s="38"/>
      <c r="AA13" s="38"/>
      <c r="AB13" s="38"/>
      <c r="AC13" s="38"/>
      <c r="AD13" s="38"/>
      <c r="AE13" s="38"/>
      <c r="AF13" s="38"/>
      <c r="AG13" s="38"/>
      <c r="AH13" s="38"/>
      <c r="AI13" s="38"/>
      <c r="AJ13" s="33"/>
      <c r="AM13" s="20"/>
      <c r="AN13" s="37"/>
      <c r="AO13" s="37"/>
      <c r="AP13" s="78"/>
      <c r="AQ13" s="37"/>
      <c r="AR13" s="37"/>
      <c r="AS13" s="37"/>
      <c r="AT13" s="37"/>
      <c r="AU13" s="37"/>
      <c r="AV13" s="37"/>
      <c r="AW13" s="37"/>
      <c r="AX13" s="37"/>
      <c r="AY13" s="37"/>
      <c r="AZ13" s="78"/>
      <c r="BA13" s="37"/>
      <c r="BB13" s="112"/>
      <c r="BD13" s="20"/>
      <c r="BF13" s="37"/>
      <c r="BG13" s="37"/>
      <c r="BH13" s="37"/>
      <c r="BI13" s="37"/>
      <c r="BJ13" s="37"/>
      <c r="BK13" s="37"/>
      <c r="BL13" s="37"/>
      <c r="BM13" s="37"/>
      <c r="BN13" s="37"/>
      <c r="BO13" s="37"/>
      <c r="BS13"/>
    </row>
    <row r="14" spans="1:71" ht="15">
      <c r="A14" s="21"/>
      <c r="B14" s="21"/>
      <c r="C14" s="76"/>
      <c r="D14" s="75"/>
      <c r="E14" s="21"/>
      <c r="F14" s="21"/>
      <c r="G14" s="21"/>
      <c r="H14" s="21"/>
      <c r="I14" s="21"/>
      <c r="J14" s="21"/>
      <c r="K14" s="21"/>
      <c r="P14" s="82"/>
      <c r="Q14" s="82"/>
      <c r="R14" s="38"/>
      <c r="S14" s="38"/>
      <c r="T14" s="84"/>
      <c r="U14" s="84"/>
      <c r="V14" s="38"/>
      <c r="W14" s="38"/>
      <c r="X14" s="38"/>
      <c r="Y14" s="39"/>
      <c r="Z14" s="38"/>
      <c r="AA14" s="38"/>
      <c r="AB14" s="38"/>
      <c r="AC14" s="38"/>
      <c r="AD14" s="38"/>
      <c r="AE14" s="38"/>
      <c r="AF14" s="38"/>
      <c r="AG14" s="38"/>
      <c r="AH14" s="38"/>
      <c r="AI14" s="38"/>
      <c r="AJ14" s="33"/>
      <c r="AM14" s="20"/>
      <c r="AN14" s="37"/>
      <c r="AO14" s="37"/>
      <c r="AP14" s="78"/>
      <c r="AQ14" s="37"/>
      <c r="AR14" s="37"/>
      <c r="AS14" s="37"/>
      <c r="AT14" s="37"/>
      <c r="AU14" s="37"/>
      <c r="AV14" s="37"/>
      <c r="AW14" s="37"/>
      <c r="AX14" s="37"/>
      <c r="AY14" s="37"/>
      <c r="AZ14" s="78"/>
      <c r="BA14" s="37"/>
      <c r="BB14" s="112"/>
      <c r="BD14" s="20"/>
      <c r="BF14" s="37"/>
      <c r="BG14" s="37"/>
      <c r="BH14" s="37"/>
      <c r="BI14" s="37"/>
      <c r="BJ14" s="37"/>
      <c r="BK14" s="37"/>
      <c r="BL14" s="37"/>
      <c r="BM14" s="37"/>
      <c r="BN14" s="37"/>
      <c r="BO14" s="37"/>
      <c r="BS14"/>
    </row>
    <row r="15" spans="1:71" ht="15">
      <c r="A15" s="21"/>
      <c r="B15" s="21"/>
      <c r="C15" s="76"/>
      <c r="D15" s="75"/>
      <c r="E15" s="21"/>
      <c r="F15" s="21"/>
      <c r="G15" s="21"/>
      <c r="H15" s="21"/>
      <c r="I15" s="21"/>
      <c r="J15" s="21"/>
      <c r="K15" s="21"/>
      <c r="P15" s="82"/>
      <c r="Q15" s="82"/>
      <c r="R15" s="38"/>
      <c r="S15" s="38"/>
      <c r="T15" s="84"/>
      <c r="U15" s="38"/>
      <c r="V15" s="38"/>
      <c r="W15" s="84"/>
      <c r="X15" s="38"/>
      <c r="Y15" s="39"/>
      <c r="Z15" s="38"/>
      <c r="AA15" s="38"/>
      <c r="AB15" s="38"/>
      <c r="AC15" s="38"/>
      <c r="AD15" s="38"/>
      <c r="AE15" s="38"/>
      <c r="AF15" s="38"/>
      <c r="AG15" s="38"/>
      <c r="AH15" s="38"/>
      <c r="AI15" s="38"/>
      <c r="AJ15" s="33"/>
      <c r="AM15" s="20"/>
      <c r="AN15" s="37"/>
      <c r="AO15" s="37"/>
      <c r="AP15" s="78"/>
      <c r="AQ15" s="37"/>
      <c r="AR15" s="37"/>
      <c r="AS15" s="37"/>
      <c r="AT15" s="37"/>
      <c r="AU15" s="37"/>
      <c r="AV15" s="37"/>
      <c r="AW15" s="37"/>
      <c r="AX15" s="37"/>
      <c r="AY15" s="37"/>
      <c r="AZ15" s="78"/>
      <c r="BA15" s="37"/>
      <c r="BB15" s="112"/>
      <c r="BD15" s="20"/>
      <c r="BF15" s="37"/>
      <c r="BG15" s="37"/>
      <c r="BH15" s="37"/>
      <c r="BI15" s="37"/>
      <c r="BJ15" s="37"/>
      <c r="BK15" s="37"/>
      <c r="BL15" s="37"/>
      <c r="BM15" s="37"/>
      <c r="BN15" s="37"/>
      <c r="BO15" s="37"/>
      <c r="BS15"/>
    </row>
    <row r="16" spans="1:71" ht="15">
      <c r="A16" s="21"/>
      <c r="B16" s="21"/>
      <c r="C16" s="76"/>
      <c r="D16" s="75"/>
      <c r="E16" s="21"/>
      <c r="F16" s="21"/>
      <c r="G16" s="21"/>
      <c r="H16" s="21"/>
      <c r="I16" s="21"/>
      <c r="J16" s="21"/>
      <c r="K16" s="21"/>
      <c r="P16" s="82"/>
      <c r="Q16" s="82"/>
      <c r="R16" s="38"/>
      <c r="S16" s="38"/>
      <c r="T16" s="84"/>
      <c r="U16" s="38"/>
      <c r="V16" s="38"/>
      <c r="W16" s="38"/>
      <c r="X16" s="38"/>
      <c r="Y16" s="39"/>
      <c r="Z16" s="38"/>
      <c r="AA16" s="38"/>
      <c r="AB16" s="38"/>
      <c r="AC16" s="38"/>
      <c r="AD16" s="38"/>
      <c r="AE16" s="38"/>
      <c r="AF16" s="38"/>
      <c r="AG16" s="38"/>
      <c r="AH16" s="38"/>
      <c r="AI16" s="38"/>
      <c r="AJ16" s="33"/>
      <c r="AM16" s="20"/>
      <c r="AN16" s="37"/>
      <c r="AO16" s="37"/>
      <c r="AP16" s="78"/>
      <c r="AQ16" s="37"/>
      <c r="AR16" s="37"/>
      <c r="AS16" s="37"/>
      <c r="AT16" s="37"/>
      <c r="AU16" s="37"/>
      <c r="AV16" s="37"/>
      <c r="AW16" s="37"/>
      <c r="AX16" s="37"/>
      <c r="AY16" s="37"/>
      <c r="AZ16" s="78"/>
      <c r="BA16" s="37"/>
      <c r="BB16" s="112"/>
      <c r="BD16" s="20"/>
      <c r="BF16" s="37"/>
      <c r="BG16" s="37"/>
      <c r="BH16" s="37"/>
      <c r="BI16" s="37"/>
      <c r="BJ16" s="37"/>
      <c r="BK16" s="37"/>
      <c r="BL16" s="37"/>
      <c r="BM16" s="37"/>
      <c r="BN16" s="37"/>
      <c r="BO16" s="37"/>
      <c r="BS16"/>
    </row>
    <row r="17" spans="1:71" ht="15">
      <c r="A17" s="21"/>
      <c r="B17" s="21"/>
      <c r="C17" s="76"/>
      <c r="D17" s="75"/>
      <c r="E17" s="21"/>
      <c r="F17" s="21"/>
      <c r="G17" s="21"/>
      <c r="H17" s="21"/>
      <c r="I17" s="21"/>
      <c r="J17" s="21"/>
      <c r="K17" s="21"/>
      <c r="P17" s="82"/>
      <c r="Q17" s="82"/>
      <c r="R17" s="38"/>
      <c r="S17" s="38"/>
      <c r="T17" s="38"/>
      <c r="U17" s="38"/>
      <c r="V17" s="38"/>
      <c r="W17" s="38"/>
      <c r="X17" s="38"/>
      <c r="Y17" s="39"/>
      <c r="Z17" s="38"/>
      <c r="AA17" s="38"/>
      <c r="AB17" s="38"/>
      <c r="AC17" s="38"/>
      <c r="AD17" s="38"/>
      <c r="AE17" s="38"/>
      <c r="AF17" s="38"/>
      <c r="AG17" s="38"/>
      <c r="AH17" s="38"/>
      <c r="AI17" s="38"/>
      <c r="AJ17" s="33"/>
      <c r="AM17" s="20"/>
      <c r="AN17" s="37"/>
      <c r="AO17" s="37"/>
      <c r="AP17" s="78"/>
      <c r="AQ17" s="37"/>
      <c r="AR17" s="37"/>
      <c r="AS17" s="37"/>
      <c r="AT17" s="37"/>
      <c r="AU17" s="37"/>
      <c r="AV17" s="37"/>
      <c r="AW17" s="37"/>
      <c r="AX17" s="37"/>
      <c r="AY17" s="37"/>
      <c r="AZ17" s="78"/>
      <c r="BA17" s="37"/>
      <c r="BB17" s="112"/>
      <c r="BD17" s="20"/>
      <c r="BF17" s="37"/>
      <c r="BG17" s="37"/>
      <c r="BH17" s="37"/>
      <c r="BI17" s="37"/>
      <c r="BJ17" s="37"/>
      <c r="BK17" s="37"/>
      <c r="BL17" s="37"/>
      <c r="BM17" s="37"/>
      <c r="BN17" s="37"/>
      <c r="BO17" s="37"/>
      <c r="BS17"/>
    </row>
    <row r="18" spans="1:71" ht="15">
      <c r="A18" s="21"/>
      <c r="B18" s="21"/>
      <c r="C18" s="76"/>
      <c r="D18" s="75"/>
      <c r="E18" s="21"/>
      <c r="F18" s="21"/>
      <c r="G18" s="21"/>
      <c r="H18" s="21"/>
      <c r="I18" s="21"/>
      <c r="J18" s="21"/>
      <c r="K18" s="21"/>
      <c r="P18" s="82"/>
      <c r="Q18" s="82"/>
      <c r="R18" s="38"/>
      <c r="S18" s="38"/>
      <c r="T18" s="38"/>
      <c r="U18" s="38"/>
      <c r="V18" s="38"/>
      <c r="W18" s="38"/>
      <c r="X18" s="38"/>
      <c r="Y18" s="39"/>
      <c r="Z18" s="38"/>
      <c r="AA18" s="38"/>
      <c r="AB18" s="38"/>
      <c r="AC18" s="38"/>
      <c r="AD18" s="38"/>
      <c r="AE18" s="38"/>
      <c r="AF18" s="38"/>
      <c r="AG18" s="38"/>
      <c r="AH18" s="38"/>
      <c r="AI18" s="38"/>
      <c r="AJ18" s="33"/>
      <c r="AM18" s="20"/>
      <c r="AN18" s="37"/>
      <c r="AO18" s="37"/>
      <c r="AP18" s="78"/>
      <c r="AQ18" s="37"/>
      <c r="AR18" s="37"/>
      <c r="AS18" s="37"/>
      <c r="AT18" s="37"/>
      <c r="AU18" s="37"/>
      <c r="AV18" s="37"/>
      <c r="AW18" s="37"/>
      <c r="AX18" s="37"/>
      <c r="AY18" s="37"/>
      <c r="AZ18" s="78"/>
      <c r="BA18" s="37"/>
      <c r="BB18" s="112"/>
      <c r="BD18" s="20"/>
      <c r="BF18" s="37"/>
      <c r="BG18" s="37"/>
      <c r="BH18" s="37"/>
      <c r="BI18" s="37"/>
      <c r="BJ18" s="37"/>
      <c r="BK18" s="37"/>
      <c r="BL18" s="37"/>
      <c r="BM18" s="37"/>
      <c r="BN18" s="37"/>
      <c r="BO18" s="37"/>
      <c r="BS18"/>
    </row>
    <row r="19" spans="1:71" ht="15">
      <c r="A19" s="21"/>
      <c r="B19" s="21"/>
      <c r="C19" s="76"/>
      <c r="D19" s="75"/>
      <c r="E19" s="21"/>
      <c r="F19" s="21"/>
      <c r="G19" s="21"/>
      <c r="H19" s="21"/>
      <c r="I19" s="21"/>
      <c r="J19" s="21"/>
      <c r="K19" s="21"/>
      <c r="P19" s="82"/>
      <c r="Q19" s="82"/>
      <c r="R19" s="38"/>
      <c r="S19" s="38"/>
      <c r="T19" s="38"/>
      <c r="U19" s="38"/>
      <c r="V19" s="38"/>
      <c r="W19" s="38"/>
      <c r="X19" s="38"/>
      <c r="Y19" s="39"/>
      <c r="Z19" s="38"/>
      <c r="AA19" s="38"/>
      <c r="AB19" s="38"/>
      <c r="AC19" s="38"/>
      <c r="AD19" s="38"/>
      <c r="AE19" s="38"/>
      <c r="AF19" s="38"/>
      <c r="AG19" s="38"/>
      <c r="AH19" s="38"/>
      <c r="AI19" s="38"/>
      <c r="AJ19" s="33"/>
      <c r="AM19" s="20"/>
      <c r="AN19" s="37"/>
      <c r="AO19" s="37"/>
      <c r="AP19" s="78"/>
      <c r="AQ19" s="37"/>
      <c r="AR19" s="37"/>
      <c r="AS19" s="37"/>
      <c r="AT19" s="37"/>
      <c r="AU19" s="37"/>
      <c r="AV19" s="37"/>
      <c r="AW19" s="37"/>
      <c r="AX19" s="37"/>
      <c r="AY19" s="37"/>
      <c r="AZ19" s="78"/>
      <c r="BA19" s="37"/>
      <c r="BB19" s="112"/>
      <c r="BD19" s="20"/>
      <c r="BF19" s="37"/>
      <c r="BG19" s="37"/>
      <c r="BH19" s="37"/>
      <c r="BI19" s="37"/>
      <c r="BJ19" s="37"/>
      <c r="BK19" s="37"/>
      <c r="BL19" s="37"/>
      <c r="BM19" s="37"/>
      <c r="BN19" s="37"/>
      <c r="BO19" s="37"/>
      <c r="BS19"/>
    </row>
    <row r="20" spans="1:71" ht="15">
      <c r="A20" s="21"/>
      <c r="B20" s="21"/>
      <c r="C20" s="76"/>
      <c r="D20" s="75"/>
      <c r="E20" s="21"/>
      <c r="F20" s="21"/>
      <c r="G20" s="21"/>
      <c r="H20" s="21"/>
      <c r="I20" s="21"/>
      <c r="J20" s="21"/>
      <c r="K20" s="21"/>
      <c r="P20" s="82"/>
      <c r="Q20" s="82"/>
      <c r="R20" s="38"/>
      <c r="S20" s="38"/>
      <c r="T20" s="38"/>
      <c r="U20" s="38"/>
      <c r="V20" s="38"/>
      <c r="W20" s="38"/>
      <c r="X20" s="38"/>
      <c r="Y20" s="39"/>
      <c r="Z20" s="38"/>
      <c r="AA20" s="38"/>
      <c r="AB20" s="38"/>
      <c r="AC20" s="38"/>
      <c r="AD20" s="38"/>
      <c r="AE20" s="38"/>
      <c r="AF20" s="38"/>
      <c r="AG20" s="38"/>
      <c r="AH20" s="38"/>
      <c r="AI20" s="38"/>
      <c r="AJ20" s="33"/>
      <c r="AM20" s="20"/>
      <c r="AN20" s="37"/>
      <c r="AO20" s="37"/>
      <c r="AP20" s="78"/>
      <c r="AQ20" s="37"/>
      <c r="AR20" s="37"/>
      <c r="AS20" s="37"/>
      <c r="AT20" s="37"/>
      <c r="AU20" s="37"/>
      <c r="AV20" s="37"/>
      <c r="AW20" s="37"/>
      <c r="AX20" s="37"/>
      <c r="AY20" s="37"/>
      <c r="AZ20" s="78"/>
      <c r="BA20" s="37"/>
      <c r="BB20" s="112"/>
      <c r="BD20" s="20"/>
      <c r="BF20" s="37"/>
      <c r="BG20" s="37"/>
      <c r="BH20" s="37"/>
      <c r="BI20" s="37"/>
      <c r="BJ20" s="37"/>
      <c r="BK20" s="37"/>
      <c r="BL20" s="37"/>
      <c r="BM20" s="37"/>
      <c r="BN20" s="37"/>
      <c r="BO20" s="37"/>
      <c r="BS20"/>
    </row>
    <row r="21" spans="1:71" ht="15">
      <c r="A21" s="21"/>
      <c r="B21" s="21"/>
      <c r="C21" s="76"/>
      <c r="D21" s="75"/>
      <c r="E21" s="21"/>
      <c r="F21" s="87"/>
      <c r="G21" s="21"/>
      <c r="H21" s="21"/>
      <c r="I21" s="21"/>
      <c r="J21" s="21"/>
      <c r="K21" s="21"/>
      <c r="P21" s="82"/>
      <c r="Q21" s="82"/>
      <c r="R21" s="38"/>
      <c r="S21" s="38"/>
      <c r="T21" s="84"/>
      <c r="U21" s="38"/>
      <c r="V21" s="38"/>
      <c r="W21" s="38"/>
      <c r="X21" s="38"/>
      <c r="Y21" s="39"/>
      <c r="Z21" s="38"/>
      <c r="AA21" s="38"/>
      <c r="AB21" s="38"/>
      <c r="AC21" s="38"/>
      <c r="AD21" s="38"/>
      <c r="AE21" s="38"/>
      <c r="AF21" s="38"/>
      <c r="AG21" s="38"/>
      <c r="AH21" s="38"/>
      <c r="AI21" s="38"/>
      <c r="AJ21" s="33"/>
      <c r="AM21" s="20"/>
      <c r="AN21" s="37"/>
      <c r="AO21" s="37"/>
      <c r="AP21" s="78"/>
      <c r="AQ21" s="37"/>
      <c r="AR21" s="37"/>
      <c r="AS21" s="37"/>
      <c r="AT21" s="37"/>
      <c r="AU21" s="37"/>
      <c r="AV21" s="37"/>
      <c r="AW21" s="37"/>
      <c r="AX21" s="37"/>
      <c r="AY21" s="37"/>
      <c r="AZ21" s="78"/>
      <c r="BA21" s="37"/>
      <c r="BB21" s="112"/>
      <c r="BD21" s="20"/>
      <c r="BF21" s="37"/>
      <c r="BG21" s="37"/>
      <c r="BH21" s="37"/>
      <c r="BI21" s="37"/>
      <c r="BJ21" s="37"/>
      <c r="BK21" s="37"/>
      <c r="BL21" s="37"/>
      <c r="BM21" s="37"/>
      <c r="BN21" s="37"/>
      <c r="BO21" s="37"/>
      <c r="BS21"/>
    </row>
    <row r="22" spans="1:71" ht="15">
      <c r="A22" s="21"/>
      <c r="B22" s="21"/>
      <c r="C22" s="76"/>
      <c r="D22" s="75"/>
      <c r="E22" s="21"/>
      <c r="F22" s="21"/>
      <c r="G22" s="21"/>
      <c r="H22" s="21"/>
      <c r="I22" s="21"/>
      <c r="J22" s="21"/>
      <c r="K22" s="21"/>
      <c r="P22" s="82"/>
      <c r="Q22" s="82"/>
      <c r="R22" s="38"/>
      <c r="S22" s="38"/>
      <c r="T22" s="38"/>
      <c r="U22" s="38"/>
      <c r="V22" s="38"/>
      <c r="W22" s="38"/>
      <c r="X22" s="38"/>
      <c r="Y22" s="39"/>
      <c r="Z22" s="38"/>
      <c r="AA22" s="38"/>
      <c r="AB22" s="38"/>
      <c r="AC22" s="38"/>
      <c r="AD22" s="38"/>
      <c r="AE22" s="38"/>
      <c r="AF22" s="38"/>
      <c r="AG22" s="38"/>
      <c r="AH22" s="38"/>
      <c r="AI22" s="38"/>
      <c r="AJ22" s="33"/>
      <c r="AM22" s="20"/>
      <c r="AN22" s="37"/>
      <c r="AO22" s="37"/>
      <c r="AP22" s="78"/>
      <c r="AQ22" s="37"/>
      <c r="AR22" s="37"/>
      <c r="AS22" s="37"/>
      <c r="AT22" s="37"/>
      <c r="AU22" s="37"/>
      <c r="AV22" s="37"/>
      <c r="AW22" s="37"/>
      <c r="AX22" s="37"/>
      <c r="AY22" s="37"/>
      <c r="AZ22" s="78"/>
      <c r="BA22" s="37"/>
      <c r="BB22" s="112"/>
      <c r="BD22" s="20"/>
      <c r="BF22" s="37"/>
      <c r="BG22" s="37"/>
      <c r="BH22" s="37"/>
      <c r="BI22" s="37"/>
      <c r="BJ22" s="37"/>
      <c r="BK22" s="37"/>
      <c r="BL22" s="37"/>
      <c r="BM22" s="37"/>
      <c r="BN22" s="37"/>
      <c r="BO22" s="37"/>
      <c r="BS22"/>
    </row>
    <row r="23" spans="1:71" ht="15">
      <c r="A23" s="21"/>
      <c r="B23" s="21"/>
      <c r="C23" s="76"/>
      <c r="D23" s="75"/>
      <c r="E23" s="21"/>
      <c r="F23" s="21"/>
      <c r="G23" s="21"/>
      <c r="H23" s="21"/>
      <c r="I23" s="21"/>
      <c r="J23" s="21"/>
      <c r="K23" s="21"/>
      <c r="P23" s="82"/>
      <c r="Q23" s="82"/>
      <c r="R23" s="38"/>
      <c r="S23" s="38"/>
      <c r="T23" s="38"/>
      <c r="U23" s="38"/>
      <c r="V23" s="38"/>
      <c r="W23" s="38"/>
      <c r="X23" s="38"/>
      <c r="Y23" s="39"/>
      <c r="Z23" s="38"/>
      <c r="AA23" s="38"/>
      <c r="AB23" s="38"/>
      <c r="AC23" s="38"/>
      <c r="AD23" s="38"/>
      <c r="AE23" s="38"/>
      <c r="AF23" s="38"/>
      <c r="AG23" s="38"/>
      <c r="AH23" s="38"/>
      <c r="AI23" s="38"/>
      <c r="AJ23" s="33"/>
      <c r="AM23" s="20"/>
      <c r="AN23" s="37"/>
      <c r="AO23" s="37"/>
      <c r="AP23" s="78"/>
      <c r="AQ23" s="37"/>
      <c r="AR23" s="37"/>
      <c r="AS23" s="37"/>
      <c r="AT23" s="37"/>
      <c r="AU23" s="37"/>
      <c r="AV23" s="37"/>
      <c r="AW23" s="37"/>
      <c r="AX23" s="37"/>
      <c r="AY23" s="37"/>
      <c r="AZ23" s="78"/>
      <c r="BA23" s="37"/>
      <c r="BB23" s="112"/>
      <c r="BD23" s="20"/>
      <c r="BF23" s="37"/>
      <c r="BG23" s="37"/>
      <c r="BH23" s="37"/>
      <c r="BI23" s="37"/>
      <c r="BJ23" s="37"/>
      <c r="BK23" s="37"/>
      <c r="BL23" s="37"/>
      <c r="BM23" s="37"/>
      <c r="BN23" s="37"/>
      <c r="BO23" s="37"/>
      <c r="BS23"/>
    </row>
    <row r="24" spans="1:71" ht="15">
      <c r="A24" s="21"/>
      <c r="B24" s="21"/>
      <c r="C24" s="76"/>
      <c r="D24" s="75"/>
      <c r="E24" s="21"/>
      <c r="F24" s="21"/>
      <c r="G24" s="21"/>
      <c r="H24" s="21"/>
      <c r="I24" s="21"/>
      <c r="J24" s="21"/>
      <c r="K24" s="21"/>
      <c r="P24" s="82"/>
      <c r="Q24" s="82"/>
      <c r="R24" s="38"/>
      <c r="S24" s="38"/>
      <c r="T24" s="38"/>
      <c r="U24" s="38"/>
      <c r="V24" s="38"/>
      <c r="W24" s="38"/>
      <c r="X24" s="38"/>
      <c r="Y24" s="39"/>
      <c r="Z24" s="38"/>
      <c r="AA24" s="38"/>
      <c r="AB24" s="38"/>
      <c r="AC24" s="38"/>
      <c r="AD24" s="38"/>
      <c r="AE24" s="38"/>
      <c r="AF24" s="38"/>
      <c r="AG24" s="38"/>
      <c r="AH24" s="38"/>
      <c r="AI24" s="38"/>
      <c r="AJ24" s="33"/>
      <c r="AM24" s="20"/>
      <c r="AN24" s="37"/>
      <c r="AO24" s="37"/>
      <c r="AP24" s="78"/>
      <c r="AQ24" s="37"/>
      <c r="AR24" s="37"/>
      <c r="AS24" s="37"/>
      <c r="AT24" s="37"/>
      <c r="AU24" s="37"/>
      <c r="AV24" s="37"/>
      <c r="AW24" s="37"/>
      <c r="AX24" s="37"/>
      <c r="AY24" s="37"/>
      <c r="AZ24" s="78"/>
      <c r="BA24" s="37"/>
      <c r="BB24" s="112"/>
      <c r="BD24" s="20"/>
      <c r="BF24" s="37"/>
      <c r="BG24" s="37"/>
      <c r="BH24" s="37"/>
      <c r="BI24" s="37"/>
      <c r="BJ24" s="37"/>
      <c r="BK24" s="37"/>
      <c r="BL24" s="37"/>
      <c r="BM24" s="37"/>
      <c r="BN24" s="37"/>
      <c r="BO24" s="37"/>
      <c r="BS24"/>
    </row>
    <row r="25" spans="1:71" ht="15">
      <c r="A25" s="21"/>
      <c r="B25" s="21"/>
      <c r="C25" s="76"/>
      <c r="D25" s="75"/>
      <c r="E25" s="21"/>
      <c r="F25" s="21"/>
      <c r="G25" s="21"/>
      <c r="H25" s="21"/>
      <c r="I25" s="21"/>
      <c r="J25" s="21"/>
      <c r="K25" s="21"/>
      <c r="P25" s="82"/>
      <c r="Q25" s="82"/>
      <c r="R25" s="38"/>
      <c r="S25" s="38"/>
      <c r="T25" s="38"/>
      <c r="U25" s="38"/>
      <c r="V25" s="38"/>
      <c r="W25" s="38"/>
      <c r="X25" s="38"/>
      <c r="Y25" s="39"/>
      <c r="Z25" s="38"/>
      <c r="AA25" s="38"/>
      <c r="AB25" s="38"/>
      <c r="AC25" s="38"/>
      <c r="AD25" s="38"/>
      <c r="AE25" s="38"/>
      <c r="AF25" s="38"/>
      <c r="AG25" s="38"/>
      <c r="AH25" s="38"/>
      <c r="AI25" s="38"/>
      <c r="AJ25" s="33"/>
      <c r="AM25" s="20"/>
      <c r="AN25" s="37"/>
      <c r="AO25" s="37"/>
      <c r="AP25" s="78"/>
      <c r="AQ25" s="37"/>
      <c r="AR25" s="37"/>
      <c r="AS25" s="37"/>
      <c r="AT25" s="37"/>
      <c r="AU25" s="37"/>
      <c r="AV25" s="37"/>
      <c r="AW25" s="37"/>
      <c r="AX25" s="37"/>
      <c r="AY25" s="37"/>
      <c r="AZ25" s="78"/>
      <c r="BA25" s="37"/>
      <c r="BB25" s="112"/>
      <c r="BD25" s="20"/>
      <c r="BF25" s="37"/>
      <c r="BG25" s="37"/>
      <c r="BH25" s="37"/>
      <c r="BI25" s="37"/>
      <c r="BJ25" s="37"/>
      <c r="BK25" s="37"/>
      <c r="BL25" s="37"/>
      <c r="BM25" s="37"/>
      <c r="BN25" s="37"/>
      <c r="BO25" s="37"/>
      <c r="BS25"/>
    </row>
    <row r="26" spans="1:71" ht="15">
      <c r="A26" s="21"/>
      <c r="B26" s="21"/>
      <c r="C26" s="76"/>
      <c r="D26" s="75"/>
      <c r="E26" s="21"/>
      <c r="F26" s="21"/>
      <c r="G26" s="21"/>
      <c r="H26" s="21"/>
      <c r="I26" s="21"/>
      <c r="J26" s="21"/>
      <c r="K26" s="21"/>
      <c r="P26" s="82"/>
      <c r="Q26" s="82"/>
      <c r="R26" s="38"/>
      <c r="S26" s="38"/>
      <c r="T26" s="38"/>
      <c r="U26" s="38"/>
      <c r="V26" s="38"/>
      <c r="W26" s="38"/>
      <c r="X26" s="38"/>
      <c r="Y26" s="39"/>
      <c r="Z26" s="38"/>
      <c r="AA26" s="38"/>
      <c r="AB26" s="38"/>
      <c r="AC26" s="38"/>
      <c r="AD26" s="38"/>
      <c r="AE26" s="38"/>
      <c r="AF26" s="38"/>
      <c r="AG26" s="38"/>
      <c r="AH26" s="38"/>
      <c r="AI26" s="38"/>
      <c r="AJ26" s="33"/>
      <c r="AM26" s="20"/>
      <c r="AN26" s="37"/>
      <c r="AO26" s="37"/>
      <c r="AP26" s="78"/>
      <c r="AQ26" s="37"/>
      <c r="AR26" s="37"/>
      <c r="AS26" s="37"/>
      <c r="AT26" s="37"/>
      <c r="AU26" s="37"/>
      <c r="AV26" s="37"/>
      <c r="AW26" s="37"/>
      <c r="AX26" s="37"/>
      <c r="AY26" s="37"/>
      <c r="AZ26" s="78"/>
      <c r="BA26" s="37"/>
      <c r="BB26" s="112"/>
      <c r="BD26" s="20"/>
      <c r="BF26" s="37"/>
      <c r="BG26" s="37"/>
      <c r="BH26" s="37"/>
      <c r="BI26" s="37"/>
      <c r="BJ26" s="37"/>
      <c r="BK26" s="37"/>
      <c r="BL26" s="37"/>
      <c r="BM26" s="37"/>
      <c r="BN26" s="37"/>
      <c r="BO26" s="37"/>
      <c r="BS26"/>
    </row>
    <row r="27" spans="1:71" ht="15">
      <c r="C27" s="113"/>
      <c r="D27" s="114"/>
      <c r="P27" s="82"/>
      <c r="Q27" s="82"/>
      <c r="R27" s="38"/>
      <c r="S27" s="38"/>
      <c r="T27" s="38"/>
      <c r="U27" s="38"/>
      <c r="V27" s="38"/>
      <c r="W27" s="38"/>
      <c r="X27" s="38"/>
      <c r="Y27" s="38"/>
      <c r="Z27" s="38"/>
      <c r="AA27" s="38"/>
      <c r="AB27" s="38"/>
      <c r="AC27" s="38"/>
      <c r="AD27" s="38"/>
      <c r="AE27" s="38"/>
      <c r="AF27" s="38"/>
      <c r="AG27" s="38"/>
      <c r="AH27" s="38"/>
      <c r="AN27" s="37"/>
      <c r="AO27" s="37"/>
      <c r="AP27" s="78"/>
      <c r="AQ27" s="37"/>
      <c r="AR27" s="37"/>
      <c r="AS27" s="37"/>
      <c r="AT27" s="37"/>
      <c r="AU27" s="37"/>
      <c r="AV27" s="37"/>
      <c r="AW27" s="37"/>
      <c r="AX27" s="37"/>
      <c r="AY27" s="37"/>
      <c r="AZ27" s="78"/>
      <c r="BA27" s="37"/>
      <c r="BB27" s="78"/>
      <c r="BF27" s="37"/>
      <c r="BG27" s="37"/>
      <c r="BH27" s="37"/>
      <c r="BI27" s="37"/>
      <c r="BJ27" s="37"/>
      <c r="BK27" s="37"/>
      <c r="BL27" s="37"/>
      <c r="BM27" s="37"/>
      <c r="BN27" s="37"/>
      <c r="BO27" s="37"/>
    </row>
    <row r="28" spans="1:71" ht="15">
      <c r="C28" s="113"/>
      <c r="D28" s="114"/>
      <c r="P28" s="82"/>
      <c r="Q28" s="82"/>
      <c r="R28" s="38"/>
      <c r="S28" s="38"/>
      <c r="T28" s="38"/>
      <c r="U28" s="38"/>
      <c r="V28" s="38"/>
      <c r="W28" s="38"/>
      <c r="X28" s="38"/>
      <c r="Y28" s="38"/>
      <c r="Z28" s="38"/>
      <c r="AA28" s="38"/>
      <c r="AB28" s="38"/>
      <c r="AC28" s="38"/>
      <c r="AD28" s="38"/>
      <c r="AE28" s="38"/>
      <c r="AF28" s="38"/>
      <c r="AG28" s="38"/>
      <c r="AH28" s="38"/>
      <c r="AN28" s="37"/>
      <c r="AO28" s="37"/>
      <c r="AP28" s="78"/>
      <c r="AQ28" s="37"/>
      <c r="AR28" s="37"/>
      <c r="AS28" s="37"/>
      <c r="AT28" s="37"/>
      <c r="AU28" s="37"/>
      <c r="AV28" s="37"/>
      <c r="AW28" s="37"/>
      <c r="AX28" s="37"/>
      <c r="AY28" s="37"/>
      <c r="AZ28" s="78"/>
      <c r="BA28" s="37"/>
      <c r="BB28" s="78"/>
      <c r="BF28" s="37"/>
      <c r="BG28" s="37"/>
      <c r="BH28" s="37"/>
      <c r="BI28" s="37"/>
      <c r="BJ28" s="37"/>
      <c r="BK28" s="37"/>
      <c r="BL28" s="37"/>
      <c r="BM28" s="37"/>
      <c r="BN28" s="37"/>
      <c r="BO28" s="37"/>
    </row>
    <row r="29" spans="1:71" ht="15">
      <c r="C29" s="113"/>
      <c r="D29" s="114"/>
      <c r="P29" s="82"/>
      <c r="Q29" s="82"/>
      <c r="R29" s="38"/>
      <c r="S29" s="38"/>
      <c r="T29" s="38"/>
      <c r="U29" s="38"/>
      <c r="V29" s="38"/>
      <c r="W29" s="38"/>
      <c r="X29" s="38"/>
      <c r="Y29" s="38"/>
      <c r="Z29" s="38"/>
      <c r="AA29" s="38"/>
      <c r="AB29" s="38"/>
      <c r="AC29" s="38"/>
      <c r="AD29" s="38"/>
      <c r="AE29" s="38"/>
      <c r="AF29" s="38"/>
      <c r="AG29" s="38"/>
      <c r="AH29" s="38"/>
      <c r="AN29" s="37"/>
      <c r="AO29" s="37"/>
      <c r="AP29" s="78"/>
      <c r="AQ29" s="37"/>
      <c r="AR29" s="37"/>
      <c r="AS29" s="37"/>
      <c r="AT29" s="37"/>
      <c r="AU29" s="37"/>
      <c r="AV29" s="37"/>
      <c r="AW29" s="37"/>
      <c r="AX29" s="37"/>
      <c r="AY29" s="37"/>
      <c r="AZ29" s="78"/>
      <c r="BA29" s="37"/>
      <c r="BB29" s="78"/>
      <c r="BF29" s="37"/>
      <c r="BG29" s="37"/>
      <c r="BH29" s="37"/>
      <c r="BI29" s="37"/>
      <c r="BJ29" s="37"/>
      <c r="BK29" s="37"/>
      <c r="BL29" s="37"/>
      <c r="BM29" s="37"/>
      <c r="BN29" s="37"/>
      <c r="BO29" s="37"/>
    </row>
    <row r="30" spans="1:71" ht="15">
      <c r="C30" s="113"/>
      <c r="D30" s="114"/>
      <c r="P30" s="82"/>
      <c r="Q30" s="82"/>
      <c r="R30" s="38"/>
      <c r="S30" s="38"/>
      <c r="T30" s="38"/>
      <c r="U30" s="38"/>
      <c r="V30" s="38"/>
      <c r="W30" s="38"/>
      <c r="X30" s="38"/>
      <c r="Y30" s="38"/>
      <c r="Z30" s="38"/>
      <c r="AA30" s="38"/>
      <c r="AB30" s="38"/>
      <c r="AC30" s="38"/>
      <c r="AD30" s="38"/>
      <c r="AE30" s="38"/>
      <c r="AF30" s="38"/>
      <c r="AG30" s="38"/>
      <c r="AH30" s="38"/>
      <c r="AN30" s="37"/>
      <c r="AO30" s="37"/>
      <c r="AP30" s="78"/>
      <c r="AQ30" s="37"/>
      <c r="AR30" s="37"/>
      <c r="AS30" s="37"/>
      <c r="AT30" s="37"/>
      <c r="AU30" s="37"/>
      <c r="AV30" s="37"/>
      <c r="AW30" s="37"/>
      <c r="AX30" s="37"/>
      <c r="AY30" s="37"/>
      <c r="AZ30" s="78"/>
      <c r="BA30" s="37"/>
      <c r="BB30" s="78"/>
      <c r="BF30" s="37"/>
      <c r="BG30" s="37"/>
      <c r="BH30" s="37"/>
      <c r="BI30" s="37"/>
      <c r="BJ30" s="37"/>
      <c r="BK30" s="37"/>
      <c r="BL30" s="37"/>
      <c r="BM30" s="37"/>
      <c r="BN30" s="37"/>
      <c r="BO30" s="37"/>
    </row>
    <row r="31" spans="1:71" ht="15">
      <c r="C31" s="113"/>
      <c r="D31" s="114"/>
      <c r="P31" s="82"/>
      <c r="Q31" s="82"/>
      <c r="R31" s="38"/>
      <c r="S31" s="38"/>
      <c r="T31" s="38"/>
      <c r="U31" s="38"/>
      <c r="V31" s="38"/>
      <c r="W31" s="38"/>
      <c r="X31" s="38"/>
      <c r="Y31" s="38"/>
      <c r="Z31" s="38"/>
      <c r="AA31" s="38"/>
      <c r="AB31" s="38"/>
      <c r="AC31" s="38"/>
      <c r="AD31" s="38"/>
      <c r="AE31" s="38"/>
      <c r="AF31" s="38"/>
      <c r="AG31" s="38"/>
      <c r="AH31" s="38"/>
      <c r="AN31" s="37"/>
      <c r="AO31" s="37"/>
      <c r="AP31" s="78"/>
      <c r="AQ31" s="37"/>
      <c r="AR31" s="37"/>
      <c r="AS31" s="37"/>
      <c r="AT31" s="37"/>
      <c r="AU31" s="37"/>
      <c r="AV31" s="37"/>
      <c r="AW31" s="37"/>
      <c r="AX31" s="37"/>
      <c r="AY31" s="37"/>
      <c r="AZ31" s="78"/>
      <c r="BA31" s="37"/>
      <c r="BB31" s="78"/>
      <c r="BF31" s="37"/>
      <c r="BG31" s="37"/>
      <c r="BH31" s="37"/>
      <c r="BI31" s="37"/>
      <c r="BJ31" s="37"/>
      <c r="BK31" s="37"/>
      <c r="BL31" s="37"/>
      <c r="BM31" s="37"/>
      <c r="BN31" s="37"/>
      <c r="BO31" s="37"/>
    </row>
    <row r="32" spans="1:71" ht="15">
      <c r="C32" s="113"/>
      <c r="D32" s="114"/>
      <c r="P32" s="82"/>
      <c r="Q32" s="82"/>
      <c r="R32" s="38"/>
      <c r="S32" s="38"/>
      <c r="T32" s="38"/>
      <c r="U32" s="38"/>
      <c r="V32" s="38"/>
      <c r="W32" s="38"/>
      <c r="X32" s="38"/>
      <c r="Y32" s="38"/>
      <c r="Z32" s="38"/>
      <c r="AA32" s="38"/>
      <c r="AB32" s="38"/>
      <c r="AC32" s="38"/>
      <c r="AD32" s="38"/>
      <c r="AE32" s="38"/>
      <c r="AF32" s="38"/>
      <c r="AG32" s="38"/>
      <c r="AH32" s="38"/>
      <c r="AN32" s="37"/>
      <c r="AO32" s="37"/>
      <c r="AP32" s="78"/>
      <c r="AQ32" s="37"/>
      <c r="AR32" s="37"/>
      <c r="AS32" s="37"/>
      <c r="AT32" s="37"/>
      <c r="AU32" s="37"/>
      <c r="AV32" s="37"/>
      <c r="AW32" s="37"/>
      <c r="AX32" s="37"/>
      <c r="AY32" s="37"/>
      <c r="AZ32" s="78"/>
      <c r="BA32" s="37"/>
      <c r="BB32" s="78"/>
      <c r="BF32" s="37"/>
      <c r="BG32" s="37"/>
      <c r="BH32" s="37"/>
      <c r="BI32" s="37"/>
      <c r="BJ32" s="37"/>
      <c r="BK32" s="37"/>
      <c r="BL32" s="37"/>
      <c r="BM32" s="37"/>
      <c r="BN32" s="37"/>
      <c r="BO32" s="37"/>
    </row>
    <row r="33" spans="3:67" ht="15">
      <c r="C33" s="113"/>
      <c r="D33" s="114"/>
      <c r="P33" s="82"/>
      <c r="Q33" s="82"/>
      <c r="R33" s="38"/>
      <c r="S33" s="38"/>
      <c r="T33" s="38"/>
      <c r="U33" s="38"/>
      <c r="V33" s="38"/>
      <c r="W33" s="38"/>
      <c r="X33" s="38"/>
      <c r="Y33" s="38"/>
      <c r="Z33" s="38"/>
      <c r="AA33" s="38"/>
      <c r="AB33" s="38"/>
      <c r="AC33" s="38"/>
      <c r="AD33" s="38"/>
      <c r="AE33" s="38"/>
      <c r="AF33" s="38"/>
      <c r="AG33" s="38"/>
      <c r="AH33" s="38"/>
      <c r="AN33" s="37"/>
      <c r="AO33" s="37"/>
      <c r="AP33" s="78"/>
      <c r="AQ33" s="37"/>
      <c r="AR33" s="37"/>
      <c r="AS33" s="37"/>
      <c r="AT33" s="37"/>
      <c r="AU33" s="37"/>
      <c r="AV33" s="37"/>
      <c r="AW33" s="37"/>
      <c r="AX33" s="37"/>
      <c r="AY33" s="37"/>
      <c r="AZ33" s="78"/>
      <c r="BA33" s="37"/>
      <c r="BB33" s="78"/>
      <c r="BF33" s="37"/>
      <c r="BG33" s="37"/>
      <c r="BH33" s="37"/>
      <c r="BI33" s="37"/>
      <c r="BJ33" s="37"/>
      <c r="BK33" s="37"/>
      <c r="BL33" s="37"/>
      <c r="BM33" s="37"/>
      <c r="BN33" s="37"/>
      <c r="BO33" s="37"/>
    </row>
    <row r="34" spans="3:67" ht="15">
      <c r="C34" s="113"/>
      <c r="D34" s="114"/>
      <c r="P34" s="82"/>
      <c r="Q34" s="82"/>
      <c r="R34" s="38"/>
      <c r="S34" s="38"/>
      <c r="T34" s="38"/>
      <c r="U34" s="38"/>
      <c r="V34" s="38"/>
      <c r="W34" s="38"/>
      <c r="X34" s="38"/>
      <c r="Y34" s="38"/>
      <c r="Z34" s="38"/>
      <c r="AA34" s="38"/>
      <c r="AB34" s="38"/>
      <c r="AC34" s="38"/>
      <c r="AD34" s="38"/>
      <c r="AE34" s="38"/>
      <c r="AF34" s="38"/>
      <c r="AG34" s="38"/>
      <c r="AH34" s="38"/>
      <c r="AN34" s="37"/>
      <c r="AO34" s="37"/>
      <c r="AP34" s="78"/>
      <c r="AQ34" s="37"/>
      <c r="AR34" s="37"/>
      <c r="AS34" s="37"/>
      <c r="AT34" s="37"/>
      <c r="AU34" s="37"/>
      <c r="AV34" s="37"/>
      <c r="AW34" s="37"/>
      <c r="AX34" s="37"/>
      <c r="AY34" s="37"/>
      <c r="AZ34" s="78"/>
      <c r="BA34" s="37"/>
      <c r="BB34" s="78"/>
      <c r="BF34" s="37"/>
      <c r="BG34" s="37"/>
      <c r="BH34" s="37"/>
      <c r="BI34" s="37"/>
      <c r="BJ34" s="37"/>
      <c r="BK34" s="37"/>
      <c r="BL34" s="37"/>
      <c r="BM34" s="37"/>
      <c r="BN34" s="37"/>
      <c r="BO34" s="37"/>
    </row>
    <row r="35" spans="3:67" ht="15">
      <c r="C35" s="113"/>
      <c r="D35" s="114"/>
      <c r="P35" s="82"/>
      <c r="Q35" s="82"/>
      <c r="R35" s="38"/>
      <c r="S35" s="38"/>
      <c r="T35" s="38"/>
      <c r="U35" s="38"/>
      <c r="V35" s="38"/>
      <c r="W35" s="38"/>
      <c r="X35" s="38"/>
      <c r="Y35" s="38"/>
      <c r="Z35" s="38"/>
      <c r="AA35" s="38"/>
      <c r="AB35" s="38"/>
      <c r="AC35" s="38"/>
      <c r="AD35" s="38"/>
      <c r="AE35" s="38"/>
      <c r="AF35" s="38"/>
      <c r="AG35" s="38"/>
      <c r="AH35" s="38"/>
      <c r="AN35" s="37"/>
      <c r="AO35" s="37"/>
      <c r="AP35" s="78"/>
      <c r="AQ35" s="37"/>
      <c r="AR35" s="37"/>
      <c r="AS35" s="37"/>
      <c r="AT35" s="37"/>
      <c r="AU35" s="37"/>
      <c r="AV35" s="37"/>
      <c r="AW35" s="37"/>
      <c r="AX35" s="37"/>
      <c r="AY35" s="37"/>
      <c r="AZ35" s="78"/>
      <c r="BA35" s="37"/>
      <c r="BB35" s="78"/>
      <c r="BF35" s="37"/>
      <c r="BG35" s="37"/>
      <c r="BH35" s="37"/>
      <c r="BI35" s="37"/>
      <c r="BJ35" s="37"/>
      <c r="BK35" s="37"/>
      <c r="BL35" s="37"/>
      <c r="BM35" s="37"/>
      <c r="BN35" s="37"/>
      <c r="BO35" s="37"/>
    </row>
    <row r="36" spans="3:67" ht="15">
      <c r="C36" s="113"/>
      <c r="D36" s="114"/>
      <c r="P36" s="82"/>
      <c r="Q36" s="82"/>
      <c r="R36" s="38"/>
      <c r="S36" s="38"/>
      <c r="T36" s="38"/>
      <c r="U36" s="38"/>
      <c r="V36" s="38"/>
      <c r="W36" s="38"/>
      <c r="X36" s="38"/>
      <c r="Y36" s="38"/>
      <c r="Z36" s="38"/>
      <c r="AA36" s="38"/>
      <c r="AB36" s="38"/>
      <c r="AC36" s="38"/>
      <c r="AD36" s="38"/>
      <c r="AE36" s="38"/>
      <c r="AF36" s="38"/>
      <c r="AG36" s="38"/>
      <c r="AH36" s="38"/>
      <c r="AN36" s="37"/>
      <c r="AO36" s="37"/>
      <c r="AP36" s="78"/>
      <c r="AQ36" s="37"/>
      <c r="AR36" s="37"/>
      <c r="AS36" s="37"/>
      <c r="AT36" s="37"/>
      <c r="AU36" s="37"/>
      <c r="AV36" s="37"/>
      <c r="AW36" s="37"/>
      <c r="AX36" s="37"/>
      <c r="AY36" s="37"/>
      <c r="AZ36" s="78"/>
      <c r="BA36" s="37"/>
      <c r="BB36" s="78"/>
      <c r="BF36" s="37"/>
      <c r="BG36" s="37"/>
      <c r="BH36" s="37"/>
      <c r="BI36" s="37"/>
      <c r="BJ36" s="37"/>
      <c r="BK36" s="37"/>
      <c r="BL36" s="37"/>
      <c r="BM36" s="37"/>
      <c r="BN36" s="37"/>
      <c r="BO36" s="37"/>
    </row>
    <row r="37" spans="3:67" ht="15">
      <c r="C37" s="113"/>
      <c r="D37" s="114"/>
      <c r="P37" s="82"/>
      <c r="Q37" s="82"/>
      <c r="R37" s="38"/>
      <c r="S37" s="38"/>
      <c r="T37" s="38"/>
      <c r="U37" s="38"/>
      <c r="V37" s="38"/>
      <c r="W37" s="38"/>
      <c r="X37" s="38"/>
      <c r="Y37" s="38"/>
      <c r="Z37" s="38"/>
      <c r="AA37" s="38"/>
      <c r="AB37" s="38"/>
      <c r="AC37" s="38"/>
      <c r="AD37" s="38"/>
      <c r="AE37" s="38"/>
      <c r="AF37" s="38"/>
      <c r="AG37" s="38"/>
      <c r="AH37" s="38"/>
      <c r="AN37" s="37"/>
      <c r="AO37" s="37"/>
      <c r="AP37" s="78"/>
      <c r="AQ37" s="37"/>
      <c r="AR37" s="37"/>
      <c r="AS37" s="37"/>
      <c r="AT37" s="37"/>
      <c r="AU37" s="37"/>
      <c r="AV37" s="37"/>
      <c r="AW37" s="37"/>
      <c r="AX37" s="37"/>
      <c r="AY37" s="37"/>
      <c r="AZ37" s="78"/>
      <c r="BA37" s="37"/>
      <c r="BB37" s="78"/>
      <c r="BF37" s="37"/>
      <c r="BG37" s="37"/>
      <c r="BH37" s="37"/>
      <c r="BI37" s="37"/>
      <c r="BJ37" s="37"/>
      <c r="BK37" s="37"/>
      <c r="BL37" s="37"/>
      <c r="BM37" s="37"/>
      <c r="BN37" s="37"/>
      <c r="BO37" s="37"/>
    </row>
    <row r="38" spans="3:67" ht="15">
      <c r="C38" s="113"/>
      <c r="D38" s="114"/>
      <c r="P38" s="82"/>
      <c r="Q38" s="82"/>
      <c r="R38" s="38"/>
      <c r="S38" s="38"/>
      <c r="T38" s="38"/>
      <c r="U38" s="38"/>
      <c r="V38" s="38"/>
      <c r="W38" s="38"/>
      <c r="X38" s="38"/>
      <c r="Y38" s="38"/>
      <c r="Z38" s="38"/>
      <c r="AA38" s="38"/>
      <c r="AB38" s="38"/>
      <c r="AC38" s="38"/>
      <c r="AD38" s="38"/>
      <c r="AE38" s="38"/>
      <c r="AF38" s="38"/>
      <c r="AG38" s="38"/>
      <c r="AH38" s="38"/>
      <c r="AN38" s="37"/>
      <c r="AO38" s="37"/>
      <c r="AP38" s="78"/>
      <c r="AQ38" s="37"/>
      <c r="AR38" s="37"/>
      <c r="AS38" s="37"/>
      <c r="AT38" s="37"/>
      <c r="AU38" s="37"/>
      <c r="AV38" s="37"/>
      <c r="AW38" s="37"/>
      <c r="AX38" s="37"/>
      <c r="AY38" s="37"/>
      <c r="AZ38" s="78"/>
      <c r="BA38" s="37"/>
      <c r="BB38" s="78"/>
      <c r="BF38" s="37"/>
      <c r="BG38" s="37"/>
      <c r="BH38" s="37"/>
      <c r="BI38" s="37"/>
      <c r="BJ38" s="37"/>
      <c r="BK38" s="37"/>
      <c r="BL38" s="37"/>
      <c r="BM38" s="37"/>
      <c r="BN38" s="37"/>
      <c r="BO38" s="37"/>
    </row>
    <row r="39" spans="3:67" ht="15">
      <c r="C39" s="113"/>
      <c r="D39" s="114"/>
      <c r="P39" s="82"/>
      <c r="Q39" s="82"/>
      <c r="R39" s="38"/>
      <c r="S39" s="38"/>
      <c r="T39" s="38"/>
      <c r="U39" s="38"/>
      <c r="V39" s="38"/>
      <c r="W39" s="38"/>
      <c r="X39" s="38"/>
      <c r="Y39" s="38"/>
      <c r="Z39" s="38"/>
      <c r="AA39" s="38"/>
      <c r="AB39" s="38"/>
      <c r="AC39" s="38"/>
      <c r="AD39" s="38"/>
      <c r="AE39" s="38"/>
      <c r="AF39" s="38"/>
      <c r="AG39" s="38"/>
      <c r="AH39" s="38"/>
      <c r="AN39" s="37"/>
      <c r="AO39" s="37"/>
      <c r="AP39" s="78"/>
      <c r="AQ39" s="37"/>
      <c r="AR39" s="37"/>
      <c r="AS39" s="37"/>
      <c r="AT39" s="37"/>
      <c r="AU39" s="37"/>
      <c r="AV39" s="37"/>
      <c r="AW39" s="37"/>
      <c r="AX39" s="37"/>
      <c r="AY39" s="37"/>
      <c r="AZ39" s="78"/>
      <c r="BA39" s="37"/>
      <c r="BB39" s="78"/>
      <c r="BF39" s="37"/>
      <c r="BG39" s="37"/>
      <c r="BH39" s="37"/>
      <c r="BI39" s="37"/>
      <c r="BJ39" s="37"/>
      <c r="BK39" s="37"/>
      <c r="BL39" s="37"/>
      <c r="BM39" s="37"/>
      <c r="BN39" s="37"/>
      <c r="BO39" s="37"/>
    </row>
    <row r="40" spans="3:67" ht="15">
      <c r="C40" s="113"/>
      <c r="D40" s="114"/>
      <c r="P40" s="82"/>
      <c r="Q40" s="82"/>
      <c r="R40" s="38"/>
      <c r="S40" s="38"/>
      <c r="T40" s="38"/>
      <c r="U40" s="38"/>
      <c r="V40" s="38"/>
      <c r="W40" s="38"/>
      <c r="X40" s="38"/>
      <c r="Y40" s="38"/>
      <c r="Z40" s="38"/>
      <c r="AA40" s="38"/>
      <c r="AB40" s="38"/>
      <c r="AC40" s="38"/>
      <c r="AD40" s="38"/>
      <c r="AE40" s="38"/>
      <c r="AF40" s="38"/>
      <c r="AG40" s="38"/>
      <c r="AH40" s="38"/>
      <c r="AN40" s="37"/>
      <c r="AO40" s="37"/>
      <c r="AP40" s="78"/>
      <c r="AQ40" s="37"/>
      <c r="AR40" s="37"/>
      <c r="AS40" s="37"/>
      <c r="AT40" s="37"/>
      <c r="AU40" s="37"/>
      <c r="AV40" s="37"/>
      <c r="AW40" s="37"/>
      <c r="AX40" s="37"/>
      <c r="AY40" s="37"/>
      <c r="AZ40" s="78"/>
      <c r="BA40" s="37"/>
      <c r="BB40" s="78"/>
      <c r="BF40" s="37"/>
      <c r="BG40" s="37"/>
      <c r="BH40" s="37"/>
      <c r="BI40" s="37"/>
      <c r="BJ40" s="37"/>
      <c r="BK40" s="37"/>
      <c r="BL40" s="37"/>
      <c r="BM40" s="37"/>
      <c r="BN40" s="37"/>
      <c r="BO40" s="37"/>
    </row>
    <row r="41" spans="3:67" ht="15">
      <c r="C41" s="113"/>
      <c r="D41" s="114"/>
      <c r="P41" s="82"/>
      <c r="Q41" s="82"/>
      <c r="R41" s="38"/>
      <c r="S41" s="38"/>
      <c r="T41" s="38"/>
      <c r="U41" s="38"/>
      <c r="V41" s="38"/>
      <c r="W41" s="38"/>
      <c r="X41" s="38"/>
      <c r="Y41" s="38"/>
      <c r="Z41" s="38"/>
      <c r="AA41" s="38"/>
      <c r="AB41" s="38"/>
      <c r="AC41" s="38"/>
      <c r="AD41" s="38"/>
      <c r="AE41" s="38"/>
      <c r="AF41" s="38"/>
      <c r="AG41" s="38"/>
      <c r="AH41" s="38"/>
      <c r="AN41" s="37"/>
      <c r="AO41" s="37"/>
      <c r="AP41" s="78"/>
      <c r="AQ41" s="37"/>
      <c r="AR41" s="37"/>
      <c r="AS41" s="37"/>
      <c r="AT41" s="37"/>
      <c r="AU41" s="37"/>
      <c r="AV41" s="37"/>
      <c r="AW41" s="37"/>
      <c r="AX41" s="37"/>
      <c r="AY41" s="37"/>
      <c r="AZ41" s="78"/>
      <c r="BA41" s="37"/>
      <c r="BB41" s="78"/>
      <c r="BF41" s="37"/>
      <c r="BG41" s="37"/>
      <c r="BH41" s="37"/>
      <c r="BI41" s="37"/>
      <c r="BJ41" s="37"/>
      <c r="BK41" s="37"/>
      <c r="BL41" s="37"/>
      <c r="BM41" s="37"/>
      <c r="BN41" s="37"/>
      <c r="BO41" s="37"/>
    </row>
    <row r="42" spans="3:67" ht="15">
      <c r="C42" s="113"/>
      <c r="D42" s="114"/>
      <c r="P42" s="82"/>
      <c r="Q42" s="82"/>
      <c r="R42" s="38"/>
      <c r="S42" s="38"/>
      <c r="T42" s="38"/>
      <c r="U42" s="38"/>
      <c r="V42" s="38"/>
      <c r="W42" s="38"/>
      <c r="X42" s="38"/>
      <c r="Y42" s="38"/>
      <c r="Z42" s="38"/>
      <c r="AA42" s="38"/>
      <c r="AB42" s="38"/>
      <c r="AC42" s="38"/>
      <c r="AD42" s="38"/>
      <c r="AE42" s="38"/>
      <c r="AF42" s="38"/>
      <c r="AG42" s="38"/>
      <c r="AH42" s="38"/>
      <c r="AN42" s="37"/>
      <c r="AO42" s="37"/>
      <c r="AP42" s="78"/>
      <c r="AQ42" s="37"/>
      <c r="AR42" s="37"/>
      <c r="AS42" s="37"/>
      <c r="AT42" s="37"/>
      <c r="AU42" s="37"/>
      <c r="AV42" s="37"/>
      <c r="AW42" s="37"/>
      <c r="AX42" s="37"/>
      <c r="AY42" s="37"/>
      <c r="AZ42" s="78"/>
      <c r="BA42" s="37"/>
      <c r="BB42" s="78"/>
      <c r="BF42" s="37"/>
      <c r="BG42" s="37"/>
      <c r="BH42" s="37"/>
      <c r="BI42" s="37"/>
      <c r="BJ42" s="37"/>
      <c r="BK42" s="37"/>
      <c r="BL42" s="37"/>
      <c r="BM42" s="37"/>
      <c r="BN42" s="37"/>
      <c r="BO42" s="37"/>
    </row>
    <row r="43" spans="3:67" ht="15">
      <c r="C43" s="113"/>
      <c r="D43" s="114"/>
      <c r="P43" s="82"/>
      <c r="Q43" s="82"/>
      <c r="R43" s="38"/>
      <c r="S43" s="38"/>
      <c r="T43" s="38"/>
      <c r="U43" s="38"/>
      <c r="V43" s="38"/>
      <c r="W43" s="38"/>
      <c r="X43" s="38"/>
      <c r="Y43" s="38"/>
      <c r="Z43" s="38"/>
      <c r="AA43" s="38"/>
      <c r="AB43" s="38"/>
      <c r="AC43" s="38"/>
      <c r="AD43" s="38"/>
      <c r="AE43" s="38"/>
      <c r="AF43" s="38"/>
      <c r="AG43" s="38"/>
      <c r="AH43" s="38"/>
      <c r="AN43" s="37"/>
      <c r="AO43" s="37"/>
      <c r="AP43" s="78"/>
      <c r="AQ43" s="37"/>
      <c r="AR43" s="37"/>
      <c r="AS43" s="37"/>
      <c r="AT43" s="37"/>
      <c r="AU43" s="37"/>
      <c r="AV43" s="37"/>
      <c r="AW43" s="37"/>
      <c r="AX43" s="37"/>
      <c r="AY43" s="37"/>
      <c r="AZ43" s="78"/>
      <c r="BA43" s="37"/>
      <c r="BB43" s="78"/>
      <c r="BF43" s="37"/>
      <c r="BG43" s="37"/>
      <c r="BH43" s="37"/>
      <c r="BI43" s="37"/>
      <c r="BJ43" s="37"/>
      <c r="BK43" s="37"/>
      <c r="BL43" s="37"/>
      <c r="BM43" s="37"/>
      <c r="BN43" s="37"/>
      <c r="BO43" s="37"/>
    </row>
    <row r="44" spans="3:67" ht="15">
      <c r="C44" s="113"/>
      <c r="D44" s="114"/>
      <c r="P44" s="82"/>
      <c r="Q44" s="82"/>
      <c r="R44" s="38"/>
      <c r="S44" s="38"/>
      <c r="T44" s="38"/>
      <c r="U44" s="38"/>
      <c r="V44" s="38"/>
      <c r="W44" s="38"/>
      <c r="X44" s="38"/>
      <c r="Y44" s="38"/>
      <c r="Z44" s="38"/>
      <c r="AA44" s="38"/>
      <c r="AB44" s="38"/>
      <c r="AC44" s="38"/>
      <c r="AD44" s="38"/>
      <c r="AE44" s="38"/>
      <c r="AF44" s="38"/>
      <c r="AG44" s="38"/>
      <c r="AH44" s="38"/>
      <c r="AN44" s="37"/>
      <c r="AO44" s="37"/>
      <c r="AP44" s="78"/>
      <c r="AQ44" s="37"/>
      <c r="AR44" s="37"/>
      <c r="AS44" s="37"/>
      <c r="AT44" s="37"/>
      <c r="AU44" s="37"/>
      <c r="AV44" s="37"/>
      <c r="AW44" s="37"/>
      <c r="AX44" s="37"/>
      <c r="AY44" s="37"/>
      <c r="AZ44" s="78"/>
      <c r="BA44" s="37"/>
      <c r="BB44" s="78"/>
      <c r="BF44" s="37"/>
      <c r="BG44" s="37"/>
      <c r="BH44" s="37"/>
      <c r="BI44" s="37"/>
      <c r="BJ44" s="37"/>
      <c r="BK44" s="37"/>
      <c r="BL44" s="37"/>
      <c r="BM44" s="37"/>
      <c r="BN44" s="37"/>
      <c r="BO44" s="37"/>
    </row>
    <row r="45" spans="3:67" ht="15">
      <c r="C45" s="113"/>
      <c r="D45" s="114"/>
      <c r="P45" s="82"/>
      <c r="Q45" s="82"/>
      <c r="R45" s="38"/>
      <c r="S45" s="38"/>
      <c r="T45" s="38"/>
      <c r="U45" s="38"/>
      <c r="V45" s="38"/>
      <c r="W45" s="38"/>
      <c r="X45" s="38"/>
      <c r="Y45" s="38"/>
      <c r="Z45" s="38"/>
      <c r="AA45" s="38"/>
      <c r="AB45" s="38"/>
      <c r="AC45" s="38"/>
      <c r="AD45" s="38"/>
      <c r="AE45" s="38"/>
      <c r="AF45" s="38"/>
      <c r="AG45" s="38"/>
      <c r="AH45" s="38"/>
      <c r="AN45" s="37"/>
      <c r="AO45" s="37"/>
      <c r="AP45" s="78"/>
      <c r="AQ45" s="37"/>
      <c r="AR45" s="37"/>
      <c r="AS45" s="37"/>
      <c r="AT45" s="37"/>
      <c r="AU45" s="37"/>
      <c r="AV45" s="37"/>
      <c r="AW45" s="37"/>
      <c r="AX45" s="37"/>
      <c r="AY45" s="37"/>
      <c r="AZ45" s="78"/>
      <c r="BA45" s="37"/>
      <c r="BB45" s="78"/>
      <c r="BF45" s="37"/>
      <c r="BG45" s="37"/>
      <c r="BH45" s="37"/>
      <c r="BI45" s="37"/>
      <c r="BJ45" s="37"/>
      <c r="BK45" s="37"/>
      <c r="BL45" s="37"/>
      <c r="BM45" s="37"/>
      <c r="BN45" s="37"/>
      <c r="BO45" s="37"/>
    </row>
    <row r="46" spans="3:67" ht="15">
      <c r="C46" s="113"/>
      <c r="D46" s="114"/>
      <c r="P46" s="82"/>
      <c r="Q46" s="82"/>
      <c r="R46" s="38"/>
      <c r="S46" s="38"/>
      <c r="T46" s="38"/>
      <c r="U46" s="38"/>
      <c r="V46" s="38"/>
      <c r="W46" s="38"/>
      <c r="X46" s="38"/>
      <c r="Y46" s="38"/>
      <c r="Z46" s="38"/>
      <c r="AA46" s="38"/>
      <c r="AB46" s="38"/>
      <c r="AC46" s="38"/>
      <c r="AD46" s="38"/>
      <c r="AE46" s="38"/>
      <c r="AF46" s="38"/>
      <c r="AG46" s="38"/>
      <c r="AH46" s="38"/>
      <c r="AN46" s="37"/>
      <c r="AO46" s="37"/>
      <c r="AP46" s="78"/>
      <c r="AQ46" s="37"/>
      <c r="AR46" s="37"/>
      <c r="AS46" s="37"/>
      <c r="AT46" s="37"/>
      <c r="AU46" s="37"/>
      <c r="AV46" s="37"/>
      <c r="AW46" s="37"/>
      <c r="AX46" s="37"/>
      <c r="AY46" s="37"/>
      <c r="AZ46" s="78"/>
      <c r="BA46" s="37"/>
      <c r="BB46" s="78"/>
      <c r="BF46" s="37"/>
      <c r="BG46" s="37"/>
      <c r="BH46" s="37"/>
      <c r="BI46" s="37"/>
      <c r="BJ46" s="37"/>
      <c r="BK46" s="37"/>
      <c r="BL46" s="37"/>
      <c r="BM46" s="37"/>
      <c r="BN46" s="37"/>
      <c r="BO46" s="37"/>
    </row>
    <row r="47" spans="3:67" ht="15">
      <c r="C47" s="113"/>
      <c r="D47" s="114"/>
      <c r="P47" s="82"/>
      <c r="Q47" s="82"/>
      <c r="R47" s="38"/>
      <c r="S47" s="38"/>
      <c r="T47" s="38"/>
      <c r="U47" s="38"/>
      <c r="V47" s="38"/>
      <c r="W47" s="38"/>
      <c r="X47" s="38"/>
      <c r="Y47" s="38"/>
      <c r="Z47" s="38"/>
      <c r="AA47" s="38"/>
      <c r="AB47" s="38"/>
      <c r="AC47" s="38"/>
      <c r="AD47" s="38"/>
      <c r="AE47" s="38"/>
      <c r="AF47" s="38"/>
      <c r="AG47" s="38"/>
      <c r="AH47" s="38"/>
      <c r="AN47" s="37"/>
      <c r="AO47" s="37"/>
      <c r="AP47" s="78"/>
      <c r="AQ47" s="37"/>
      <c r="AR47" s="37"/>
      <c r="AS47" s="37"/>
      <c r="AT47" s="37"/>
      <c r="AU47" s="37"/>
      <c r="AV47" s="37"/>
      <c r="AW47" s="37"/>
      <c r="AX47" s="37"/>
      <c r="AY47" s="37"/>
      <c r="AZ47" s="78"/>
      <c r="BA47" s="37"/>
      <c r="BB47" s="78"/>
      <c r="BF47" s="37"/>
      <c r="BG47" s="37"/>
      <c r="BH47" s="37"/>
      <c r="BI47" s="37"/>
      <c r="BJ47" s="37"/>
      <c r="BK47" s="37"/>
      <c r="BL47" s="37"/>
      <c r="BM47" s="37"/>
      <c r="BN47" s="37"/>
      <c r="BO47" s="37"/>
    </row>
    <row r="48" spans="3:67" ht="15">
      <c r="C48" s="113"/>
      <c r="D48" s="114"/>
      <c r="P48" s="82"/>
      <c r="Q48" s="82"/>
      <c r="R48" s="38"/>
      <c r="S48" s="38"/>
      <c r="T48" s="38"/>
      <c r="U48" s="38"/>
      <c r="V48" s="38"/>
      <c r="W48" s="38"/>
      <c r="X48" s="38"/>
      <c r="Y48" s="38"/>
      <c r="Z48" s="38"/>
      <c r="AA48" s="38"/>
      <c r="AB48" s="38"/>
      <c r="AC48" s="38"/>
      <c r="AD48" s="38"/>
      <c r="AE48" s="38"/>
      <c r="AF48" s="38"/>
      <c r="AG48" s="38"/>
      <c r="AH48" s="38"/>
      <c r="AN48" s="37"/>
      <c r="AO48" s="37"/>
      <c r="AP48" s="78"/>
      <c r="AQ48" s="37"/>
      <c r="AR48" s="37"/>
      <c r="AS48" s="37"/>
      <c r="AT48" s="37"/>
      <c r="AU48" s="37"/>
      <c r="AV48" s="37"/>
      <c r="AW48" s="37"/>
      <c r="AX48" s="37"/>
      <c r="AY48" s="37"/>
      <c r="AZ48" s="78"/>
      <c r="BA48" s="37"/>
      <c r="BB48" s="78"/>
      <c r="BF48" s="37"/>
      <c r="BG48" s="37"/>
      <c r="BH48" s="37"/>
      <c r="BI48" s="37"/>
      <c r="BJ48" s="37"/>
      <c r="BK48" s="37"/>
      <c r="BL48" s="37"/>
      <c r="BM48" s="37"/>
      <c r="BN48" s="37"/>
      <c r="BO48" s="37"/>
    </row>
    <row r="49" spans="3:67" ht="15">
      <c r="C49" s="113"/>
      <c r="D49" s="114"/>
      <c r="P49" s="82"/>
      <c r="Q49" s="82"/>
      <c r="R49" s="38"/>
      <c r="S49" s="38"/>
      <c r="T49" s="38"/>
      <c r="U49" s="38"/>
      <c r="V49" s="38"/>
      <c r="W49" s="38"/>
      <c r="X49" s="38"/>
      <c r="Y49" s="38"/>
      <c r="Z49" s="38"/>
      <c r="AA49" s="38"/>
      <c r="AB49" s="38"/>
      <c r="AC49" s="38"/>
      <c r="AD49" s="38"/>
      <c r="AE49" s="38"/>
      <c r="AF49" s="38"/>
      <c r="AG49" s="38"/>
      <c r="AH49" s="38"/>
      <c r="AN49" s="37"/>
      <c r="AO49" s="37"/>
      <c r="AP49" s="78"/>
      <c r="AQ49" s="37"/>
      <c r="AR49" s="37"/>
      <c r="AS49" s="37"/>
      <c r="AT49" s="37"/>
      <c r="AU49" s="37"/>
      <c r="AV49" s="37"/>
      <c r="AW49" s="37"/>
      <c r="AX49" s="37"/>
      <c r="AY49" s="37"/>
      <c r="AZ49" s="78"/>
      <c r="BA49" s="37"/>
      <c r="BB49" s="78"/>
      <c r="BF49" s="37"/>
      <c r="BG49" s="37"/>
      <c r="BH49" s="37"/>
      <c r="BI49" s="37"/>
      <c r="BJ49" s="37"/>
      <c r="BK49" s="37"/>
      <c r="BL49" s="37"/>
      <c r="BM49" s="37"/>
      <c r="BN49" s="37"/>
      <c r="BO49" s="37"/>
    </row>
    <row r="50" spans="3:67" ht="15">
      <c r="C50" s="113"/>
      <c r="D50" s="114"/>
      <c r="P50" s="82"/>
      <c r="Q50" s="82"/>
      <c r="R50" s="38"/>
      <c r="S50" s="38"/>
      <c r="T50" s="38"/>
      <c r="U50" s="38"/>
      <c r="V50" s="38"/>
      <c r="W50" s="38"/>
      <c r="X50" s="38"/>
      <c r="Y50" s="38"/>
      <c r="Z50" s="38"/>
      <c r="AA50" s="38"/>
      <c r="AB50" s="38"/>
      <c r="AC50" s="38"/>
      <c r="AD50" s="38"/>
      <c r="AE50" s="38"/>
      <c r="AF50" s="38"/>
      <c r="AG50" s="38"/>
      <c r="AH50" s="38"/>
      <c r="AN50" s="37"/>
      <c r="AO50" s="37"/>
      <c r="AP50" s="78"/>
      <c r="AQ50" s="37"/>
      <c r="AR50" s="37"/>
      <c r="AS50" s="37"/>
      <c r="AT50" s="37"/>
      <c r="AU50" s="37"/>
      <c r="AV50" s="37"/>
      <c r="AW50" s="37"/>
      <c r="AX50" s="37"/>
      <c r="AY50" s="37"/>
      <c r="AZ50" s="78"/>
      <c r="BA50" s="37"/>
      <c r="BB50" s="78"/>
      <c r="BF50" s="37"/>
      <c r="BG50" s="37"/>
      <c r="BH50" s="37"/>
      <c r="BI50" s="37"/>
      <c r="BJ50" s="37"/>
      <c r="BK50" s="37"/>
      <c r="BL50" s="37"/>
      <c r="BM50" s="37"/>
      <c r="BN50" s="37"/>
      <c r="BO50" s="37"/>
    </row>
    <row r="51" spans="3:67" ht="15">
      <c r="C51" s="113"/>
      <c r="D51" s="114"/>
      <c r="P51" s="82"/>
      <c r="Q51" s="82"/>
      <c r="R51" s="38"/>
      <c r="S51" s="38"/>
      <c r="T51" s="38"/>
      <c r="U51" s="38"/>
      <c r="V51" s="38"/>
      <c r="W51" s="38"/>
      <c r="X51" s="38"/>
      <c r="Y51" s="38"/>
      <c r="Z51" s="38"/>
      <c r="AA51" s="38"/>
      <c r="AB51" s="38"/>
      <c r="AC51" s="38"/>
      <c r="AD51" s="38"/>
      <c r="AE51" s="38"/>
      <c r="AF51" s="38"/>
      <c r="AG51" s="38"/>
      <c r="AH51" s="38"/>
      <c r="AN51" s="37"/>
      <c r="AO51" s="37"/>
      <c r="AP51" s="78"/>
      <c r="AQ51" s="37"/>
      <c r="AR51" s="37"/>
      <c r="AS51" s="37"/>
      <c r="AT51" s="37"/>
      <c r="AU51" s="37"/>
      <c r="AV51" s="37"/>
      <c r="AW51" s="37"/>
      <c r="AX51" s="37"/>
      <c r="AY51" s="37"/>
      <c r="AZ51" s="78"/>
      <c r="BA51" s="37"/>
      <c r="BB51" s="78"/>
      <c r="BF51" s="37"/>
      <c r="BG51" s="37"/>
      <c r="BH51" s="37"/>
      <c r="BI51" s="37"/>
      <c r="BJ51" s="37"/>
      <c r="BK51" s="37"/>
      <c r="BL51" s="37"/>
      <c r="BM51" s="37"/>
      <c r="BN51" s="37"/>
      <c r="BO51" s="37"/>
    </row>
    <row r="52" spans="3:67" ht="15">
      <c r="C52" s="113"/>
      <c r="D52" s="114"/>
      <c r="P52" s="82"/>
      <c r="Q52" s="82"/>
      <c r="R52" s="38"/>
      <c r="S52" s="38"/>
      <c r="T52" s="38"/>
      <c r="U52" s="38"/>
      <c r="V52" s="38"/>
      <c r="W52" s="38"/>
      <c r="X52" s="38"/>
      <c r="Y52" s="38"/>
      <c r="Z52" s="38"/>
      <c r="AA52" s="38"/>
      <c r="AB52" s="38"/>
      <c r="AC52" s="38"/>
      <c r="AD52" s="38"/>
      <c r="AE52" s="38"/>
      <c r="AF52" s="38"/>
      <c r="AG52" s="38"/>
      <c r="AH52" s="38"/>
      <c r="AN52" s="37"/>
      <c r="AO52" s="37"/>
      <c r="AP52" s="78"/>
      <c r="AQ52" s="37"/>
      <c r="AR52" s="37"/>
      <c r="AS52" s="37"/>
      <c r="AT52" s="37"/>
      <c r="AU52" s="37"/>
      <c r="AV52" s="37"/>
      <c r="AW52" s="37"/>
      <c r="AX52" s="37"/>
      <c r="AY52" s="37"/>
      <c r="AZ52" s="78"/>
      <c r="BA52" s="37"/>
      <c r="BB52" s="78"/>
      <c r="BF52" s="37"/>
      <c r="BG52" s="37"/>
      <c r="BH52" s="37"/>
      <c r="BI52" s="37"/>
      <c r="BJ52" s="37"/>
      <c r="BK52" s="37"/>
      <c r="BL52" s="37"/>
      <c r="BM52" s="37"/>
      <c r="BN52" s="37"/>
      <c r="BO52" s="37"/>
    </row>
    <row r="53" spans="3:67" ht="15">
      <c r="C53" s="113"/>
      <c r="D53" s="114"/>
      <c r="P53" s="82"/>
      <c r="Q53" s="82"/>
      <c r="R53" s="38"/>
      <c r="S53" s="38"/>
      <c r="T53" s="38"/>
      <c r="U53" s="38"/>
      <c r="V53" s="38"/>
      <c r="W53" s="38"/>
      <c r="X53" s="38"/>
      <c r="Y53" s="38"/>
      <c r="Z53" s="38"/>
      <c r="AA53" s="38"/>
      <c r="AB53" s="38"/>
      <c r="AC53" s="38"/>
      <c r="AD53" s="38"/>
      <c r="AE53" s="38"/>
      <c r="AF53" s="38"/>
      <c r="AG53" s="38"/>
      <c r="AH53" s="38"/>
      <c r="AN53" s="37"/>
      <c r="AO53" s="37"/>
      <c r="AP53" s="78"/>
      <c r="AQ53" s="37"/>
      <c r="AR53" s="37"/>
      <c r="AS53" s="37"/>
      <c r="AT53" s="37"/>
      <c r="AU53" s="37"/>
      <c r="AV53" s="37"/>
      <c r="AW53" s="37"/>
      <c r="AX53" s="37"/>
      <c r="AY53" s="37"/>
      <c r="AZ53" s="78"/>
      <c r="BA53" s="37"/>
      <c r="BB53" s="78"/>
      <c r="BF53" s="37"/>
      <c r="BG53" s="37"/>
      <c r="BH53" s="37"/>
      <c r="BI53" s="37"/>
      <c r="BJ53" s="37"/>
      <c r="BK53" s="37"/>
      <c r="BL53" s="37"/>
      <c r="BM53" s="37"/>
      <c r="BN53" s="37"/>
      <c r="BO53" s="37"/>
    </row>
    <row r="54" spans="3:67" ht="15">
      <c r="C54" s="113"/>
      <c r="D54" s="114"/>
      <c r="P54" s="82"/>
      <c r="Q54" s="82"/>
      <c r="R54" s="38"/>
      <c r="S54" s="38"/>
      <c r="T54" s="38"/>
      <c r="U54" s="38"/>
      <c r="V54" s="38"/>
      <c r="W54" s="38"/>
      <c r="X54" s="38"/>
      <c r="Y54" s="38"/>
      <c r="Z54" s="38"/>
      <c r="AA54" s="38"/>
      <c r="AB54" s="38"/>
      <c r="AC54" s="38"/>
      <c r="AD54" s="38"/>
      <c r="AE54" s="38"/>
      <c r="AF54" s="38"/>
      <c r="AG54" s="38"/>
      <c r="AH54" s="38"/>
      <c r="AN54" s="37"/>
      <c r="AO54" s="37"/>
      <c r="AP54" s="78"/>
      <c r="AQ54" s="37"/>
      <c r="AR54" s="37"/>
      <c r="AS54" s="37"/>
      <c r="AT54" s="37"/>
      <c r="AU54" s="37"/>
      <c r="AV54" s="37"/>
      <c r="AW54" s="37"/>
      <c r="AX54" s="37"/>
      <c r="AY54" s="37"/>
      <c r="AZ54" s="78"/>
      <c r="BA54" s="37"/>
      <c r="BB54" s="78"/>
      <c r="BF54" s="37"/>
      <c r="BG54" s="37"/>
      <c r="BH54" s="37"/>
      <c r="BI54" s="37"/>
      <c r="BJ54" s="37"/>
      <c r="BK54" s="37"/>
      <c r="BL54" s="37"/>
      <c r="BM54" s="37"/>
      <c r="BN54" s="37"/>
      <c r="BO54" s="37"/>
    </row>
    <row r="55" spans="3:67" ht="15">
      <c r="C55" s="113"/>
      <c r="D55" s="114"/>
      <c r="P55" s="82"/>
      <c r="Q55" s="82"/>
      <c r="R55" s="38"/>
      <c r="S55" s="38"/>
      <c r="T55" s="38"/>
      <c r="U55" s="38"/>
      <c r="V55" s="38"/>
      <c r="W55" s="38"/>
      <c r="X55" s="38"/>
      <c r="Y55" s="38"/>
      <c r="Z55" s="38"/>
      <c r="AA55" s="38"/>
      <c r="AB55" s="38"/>
      <c r="AC55" s="38"/>
      <c r="AD55" s="38"/>
      <c r="AE55" s="38"/>
      <c r="AF55" s="38"/>
      <c r="AG55" s="38"/>
      <c r="AH55" s="38"/>
      <c r="AN55" s="37"/>
      <c r="AO55" s="37"/>
      <c r="AP55" s="78"/>
      <c r="AQ55" s="37"/>
      <c r="AR55" s="37"/>
      <c r="AS55" s="37"/>
      <c r="AT55" s="37"/>
      <c r="AU55" s="37"/>
      <c r="AV55" s="37"/>
      <c r="AW55" s="37"/>
      <c r="AX55" s="37"/>
      <c r="AY55" s="37"/>
      <c r="AZ55" s="78"/>
      <c r="BA55" s="37"/>
      <c r="BB55" s="78"/>
      <c r="BF55" s="37"/>
      <c r="BG55" s="37"/>
      <c r="BH55" s="37"/>
      <c r="BI55" s="37"/>
      <c r="BJ55" s="37"/>
      <c r="BK55" s="37"/>
      <c r="BL55" s="37"/>
      <c r="BM55" s="37"/>
      <c r="BN55" s="37"/>
      <c r="BO55" s="37"/>
    </row>
    <row r="56" spans="3:67" ht="15">
      <c r="C56" s="113"/>
      <c r="D56" s="114"/>
      <c r="P56" s="82"/>
      <c r="Q56" s="82"/>
      <c r="R56" s="38"/>
      <c r="S56" s="38"/>
      <c r="T56" s="38"/>
      <c r="U56" s="38"/>
      <c r="V56" s="38"/>
      <c r="W56" s="38"/>
      <c r="X56" s="38"/>
      <c r="Y56" s="38"/>
      <c r="Z56" s="38"/>
      <c r="AA56" s="38"/>
      <c r="AB56" s="38"/>
      <c r="AC56" s="38"/>
      <c r="AD56" s="38"/>
      <c r="AE56" s="38"/>
      <c r="AF56" s="38"/>
      <c r="AG56" s="38"/>
      <c r="AH56" s="38"/>
      <c r="AN56" s="37"/>
      <c r="AO56" s="37"/>
      <c r="AP56" s="78"/>
      <c r="AQ56" s="37"/>
      <c r="AR56" s="37"/>
      <c r="AS56" s="37"/>
      <c r="AT56" s="37"/>
      <c r="AU56" s="37"/>
      <c r="AV56" s="37"/>
      <c r="AW56" s="37"/>
      <c r="AX56" s="37"/>
      <c r="AY56" s="37"/>
      <c r="AZ56" s="78"/>
      <c r="BA56" s="37"/>
      <c r="BB56" s="78"/>
      <c r="BF56" s="37"/>
      <c r="BG56" s="37"/>
      <c r="BH56" s="37"/>
      <c r="BI56" s="37"/>
      <c r="BJ56" s="37"/>
      <c r="BK56" s="37"/>
      <c r="BL56" s="37"/>
      <c r="BM56" s="37"/>
      <c r="BN56" s="37"/>
      <c r="BO56" s="37"/>
    </row>
    <row r="57" spans="3:67" ht="15">
      <c r="C57" s="113"/>
      <c r="D57" s="114"/>
      <c r="P57" s="82"/>
      <c r="Q57" s="82"/>
      <c r="R57" s="38"/>
      <c r="S57" s="38"/>
      <c r="T57" s="38"/>
      <c r="U57" s="38"/>
      <c r="V57" s="38"/>
      <c r="W57" s="38"/>
      <c r="X57" s="38"/>
      <c r="Y57" s="38"/>
      <c r="Z57" s="38"/>
      <c r="AA57" s="38"/>
      <c r="AB57" s="38"/>
      <c r="AC57" s="38"/>
      <c r="AD57" s="38"/>
      <c r="AE57" s="38"/>
      <c r="AF57" s="38"/>
      <c r="AG57" s="38"/>
      <c r="AH57" s="38"/>
      <c r="AN57" s="37"/>
      <c r="AO57" s="37"/>
      <c r="AP57" s="78"/>
      <c r="AQ57" s="37"/>
      <c r="AR57" s="37"/>
      <c r="AS57" s="37"/>
      <c r="AT57" s="37"/>
      <c r="AU57" s="37"/>
      <c r="AV57" s="37"/>
      <c r="AW57" s="37"/>
      <c r="AX57" s="37"/>
      <c r="AY57" s="37"/>
      <c r="AZ57" s="78"/>
      <c r="BA57" s="37"/>
      <c r="BB57" s="78"/>
      <c r="BF57" s="37"/>
      <c r="BG57" s="37"/>
      <c r="BH57" s="37"/>
      <c r="BI57" s="37"/>
      <c r="BJ57" s="37"/>
      <c r="BK57" s="37"/>
      <c r="BL57" s="37"/>
      <c r="BM57" s="37"/>
      <c r="BN57" s="37"/>
      <c r="BO57" s="37"/>
    </row>
    <row r="58" spans="3:67" ht="15">
      <c r="C58" s="113"/>
      <c r="D58" s="114"/>
      <c r="P58" s="82"/>
      <c r="Q58" s="82"/>
      <c r="R58" s="38"/>
      <c r="S58" s="38"/>
      <c r="T58" s="38"/>
      <c r="U58" s="38"/>
      <c r="V58" s="38"/>
      <c r="W58" s="38"/>
      <c r="X58" s="38"/>
      <c r="Y58" s="38"/>
      <c r="Z58" s="38"/>
      <c r="AA58" s="38"/>
      <c r="AB58" s="38"/>
      <c r="AC58" s="38"/>
      <c r="AD58" s="38"/>
      <c r="AE58" s="38"/>
      <c r="AF58" s="38"/>
      <c r="AG58" s="38"/>
      <c r="AH58" s="38"/>
      <c r="AN58" s="37"/>
      <c r="AO58" s="37"/>
      <c r="AP58" s="78"/>
      <c r="AQ58" s="37"/>
      <c r="AR58" s="37"/>
      <c r="AS58" s="37"/>
      <c r="AT58" s="37"/>
      <c r="AU58" s="37"/>
      <c r="AV58" s="37"/>
      <c r="AW58" s="37"/>
      <c r="AX58" s="37"/>
      <c r="AY58" s="37"/>
      <c r="AZ58" s="78"/>
      <c r="BA58" s="37"/>
      <c r="BB58" s="78"/>
      <c r="BF58" s="37"/>
      <c r="BG58" s="37"/>
      <c r="BH58" s="37"/>
      <c r="BI58" s="37"/>
      <c r="BJ58" s="37"/>
      <c r="BK58" s="37"/>
      <c r="BL58" s="37"/>
      <c r="BM58" s="37"/>
      <c r="BN58" s="37"/>
      <c r="BO58" s="37"/>
    </row>
    <row r="59" spans="3:67" ht="15">
      <c r="C59" s="113"/>
      <c r="D59" s="114"/>
      <c r="P59" s="82"/>
      <c r="Q59" s="82"/>
      <c r="R59" s="38"/>
      <c r="S59" s="38"/>
      <c r="T59" s="38"/>
      <c r="U59" s="38"/>
      <c r="V59" s="38"/>
      <c r="W59" s="38"/>
      <c r="X59" s="38"/>
      <c r="Y59" s="38"/>
      <c r="Z59" s="38"/>
      <c r="AA59" s="38"/>
      <c r="AB59" s="38"/>
      <c r="AC59" s="38"/>
      <c r="AD59" s="38"/>
      <c r="AE59" s="38"/>
      <c r="AF59" s="38"/>
      <c r="AG59" s="38"/>
      <c r="AH59" s="38"/>
      <c r="AN59" s="37"/>
      <c r="AO59" s="37"/>
      <c r="AP59" s="78"/>
      <c r="AQ59" s="37"/>
      <c r="AR59" s="37"/>
      <c r="AS59" s="37"/>
      <c r="AT59" s="37"/>
      <c r="AU59" s="37"/>
      <c r="AV59" s="37"/>
      <c r="AW59" s="37"/>
      <c r="AX59" s="37"/>
      <c r="AY59" s="37"/>
      <c r="AZ59" s="78"/>
      <c r="BA59" s="37"/>
      <c r="BB59" s="78"/>
      <c r="BF59" s="37"/>
      <c r="BG59" s="37"/>
      <c r="BH59" s="37"/>
      <c r="BI59" s="37"/>
      <c r="BJ59" s="37"/>
      <c r="BK59" s="37"/>
      <c r="BL59" s="37"/>
      <c r="BM59" s="37"/>
      <c r="BN59" s="37"/>
      <c r="BO59" s="37"/>
    </row>
    <row r="60" spans="3:67" ht="15">
      <c r="C60" s="113"/>
      <c r="D60" s="114"/>
      <c r="P60" s="82"/>
      <c r="Q60" s="82"/>
      <c r="R60" s="38"/>
      <c r="S60" s="38"/>
      <c r="T60" s="38"/>
      <c r="U60" s="38"/>
      <c r="V60" s="38"/>
      <c r="W60" s="38"/>
      <c r="X60" s="38"/>
      <c r="Y60" s="38"/>
      <c r="Z60" s="38"/>
      <c r="AA60" s="38"/>
      <c r="AB60" s="38"/>
      <c r="AC60" s="38"/>
      <c r="AD60" s="38"/>
      <c r="AE60" s="38"/>
      <c r="AF60" s="38"/>
      <c r="AG60" s="38"/>
      <c r="AH60" s="38"/>
      <c r="AN60" s="37"/>
      <c r="AO60" s="37"/>
      <c r="AP60" s="78"/>
      <c r="AQ60" s="37"/>
      <c r="AR60" s="37"/>
      <c r="AS60" s="37"/>
      <c r="AT60" s="37"/>
      <c r="AU60" s="37"/>
      <c r="AV60" s="37"/>
      <c r="AW60" s="37"/>
      <c r="AX60" s="37"/>
      <c r="AY60" s="37"/>
      <c r="AZ60" s="78"/>
      <c r="BA60" s="37"/>
      <c r="BB60" s="78"/>
      <c r="BF60" s="37"/>
      <c r="BG60" s="37"/>
      <c r="BH60" s="37"/>
      <c r="BI60" s="37"/>
      <c r="BJ60" s="37"/>
      <c r="BK60" s="37"/>
      <c r="BL60" s="37"/>
      <c r="BM60" s="37"/>
      <c r="BN60" s="37"/>
      <c r="BO60" s="37"/>
    </row>
    <row r="61" spans="3:67" ht="15">
      <c r="C61" s="113"/>
      <c r="D61" s="114"/>
      <c r="P61" s="82"/>
      <c r="Q61" s="82"/>
      <c r="R61" s="38"/>
      <c r="S61" s="38"/>
      <c r="T61" s="38"/>
      <c r="U61" s="38"/>
      <c r="V61" s="38"/>
      <c r="W61" s="38"/>
      <c r="X61" s="38"/>
      <c r="Y61" s="38"/>
      <c r="Z61" s="38"/>
      <c r="AA61" s="38"/>
      <c r="AB61" s="38"/>
      <c r="AC61" s="38"/>
      <c r="AD61" s="38"/>
      <c r="AE61" s="38"/>
      <c r="AF61" s="38"/>
      <c r="AG61" s="38"/>
      <c r="AH61" s="38"/>
      <c r="AN61" s="37"/>
      <c r="AO61" s="37"/>
      <c r="AP61" s="78"/>
      <c r="AQ61" s="37"/>
      <c r="AR61" s="37"/>
      <c r="AS61" s="37"/>
      <c r="AT61" s="37"/>
      <c r="AU61" s="37"/>
      <c r="AV61" s="37"/>
      <c r="AW61" s="37"/>
      <c r="AX61" s="37"/>
      <c r="AY61" s="37"/>
      <c r="AZ61" s="78"/>
      <c r="BA61" s="37"/>
      <c r="BB61" s="78"/>
      <c r="BF61" s="37"/>
      <c r="BG61" s="37"/>
      <c r="BH61" s="37"/>
      <c r="BI61" s="37"/>
      <c r="BJ61" s="37"/>
      <c r="BK61" s="37"/>
      <c r="BL61" s="37"/>
      <c r="BM61" s="37"/>
      <c r="BN61" s="37"/>
      <c r="BO61" s="37"/>
    </row>
    <row r="62" spans="3:67" ht="15">
      <c r="C62" s="113"/>
      <c r="D62" s="114"/>
      <c r="P62" s="82"/>
      <c r="Q62" s="82"/>
      <c r="R62" s="38"/>
      <c r="S62" s="38"/>
      <c r="T62" s="38"/>
      <c r="U62" s="38"/>
      <c r="V62" s="38"/>
      <c r="W62" s="38"/>
      <c r="X62" s="38"/>
      <c r="Y62" s="38"/>
      <c r="Z62" s="38"/>
      <c r="AA62" s="38"/>
      <c r="AB62" s="38"/>
      <c r="AC62" s="38"/>
      <c r="AD62" s="38"/>
      <c r="AE62" s="38"/>
      <c r="AF62" s="38"/>
      <c r="AG62" s="38"/>
      <c r="AH62" s="38"/>
      <c r="AN62" s="37"/>
      <c r="AO62" s="37"/>
      <c r="AP62" s="78"/>
      <c r="AQ62" s="37"/>
      <c r="AR62" s="37"/>
      <c r="AS62" s="37"/>
      <c r="AT62" s="37"/>
      <c r="AU62" s="37"/>
      <c r="AV62" s="37"/>
      <c r="AW62" s="37"/>
      <c r="AX62" s="37"/>
      <c r="AY62" s="37"/>
      <c r="AZ62" s="78"/>
      <c r="BA62" s="37"/>
      <c r="BB62" s="78"/>
      <c r="BF62" s="37"/>
      <c r="BG62" s="37"/>
      <c r="BH62" s="37"/>
      <c r="BI62" s="37"/>
      <c r="BJ62" s="37"/>
      <c r="BK62" s="37"/>
      <c r="BL62" s="37"/>
      <c r="BM62" s="37"/>
      <c r="BN62" s="37"/>
      <c r="BO62" s="37"/>
    </row>
    <row r="63" spans="3:67" ht="15">
      <c r="C63" s="113"/>
      <c r="D63" s="114"/>
      <c r="P63" s="82"/>
      <c r="Q63" s="82"/>
      <c r="R63" s="38"/>
      <c r="S63" s="38"/>
      <c r="T63" s="38"/>
      <c r="U63" s="38"/>
      <c r="V63" s="38"/>
      <c r="W63" s="38"/>
      <c r="X63" s="38"/>
      <c r="Y63" s="38"/>
      <c r="Z63" s="38"/>
      <c r="AA63" s="38"/>
      <c r="AB63" s="38"/>
      <c r="AC63" s="38"/>
      <c r="AD63" s="38"/>
      <c r="AE63" s="38"/>
      <c r="AF63" s="38"/>
      <c r="AG63" s="38"/>
      <c r="AH63" s="38"/>
      <c r="AN63" s="37"/>
      <c r="AO63" s="37"/>
      <c r="AP63" s="78"/>
      <c r="AQ63" s="37"/>
      <c r="AR63" s="37"/>
      <c r="AS63" s="37"/>
      <c r="AT63" s="37"/>
      <c r="AU63" s="37"/>
      <c r="AV63" s="37"/>
      <c r="AW63" s="37"/>
      <c r="AX63" s="37"/>
      <c r="AY63" s="37"/>
      <c r="AZ63" s="78"/>
      <c r="BA63" s="37"/>
      <c r="BB63" s="78"/>
      <c r="BF63" s="37"/>
      <c r="BG63" s="37"/>
      <c r="BH63" s="37"/>
      <c r="BI63" s="37"/>
      <c r="BJ63" s="37"/>
      <c r="BK63" s="37"/>
      <c r="BL63" s="37"/>
      <c r="BM63" s="37"/>
      <c r="BN63" s="37"/>
      <c r="BO63" s="37"/>
    </row>
    <row r="64" spans="3:67" ht="15">
      <c r="C64" s="113"/>
      <c r="D64" s="114"/>
      <c r="P64" s="82"/>
      <c r="Q64" s="82"/>
      <c r="R64" s="38"/>
      <c r="S64" s="38"/>
      <c r="T64" s="38"/>
      <c r="U64" s="38"/>
      <c r="V64" s="38"/>
      <c r="W64" s="38"/>
      <c r="X64" s="38"/>
      <c r="Y64" s="38"/>
      <c r="Z64" s="38"/>
      <c r="AA64" s="38"/>
      <c r="AB64" s="38"/>
      <c r="AC64" s="38"/>
      <c r="AD64" s="38"/>
      <c r="AE64" s="38"/>
      <c r="AF64" s="38"/>
      <c r="AG64" s="38"/>
      <c r="AH64" s="38"/>
      <c r="AN64" s="37"/>
      <c r="AO64" s="37"/>
      <c r="AP64" s="78"/>
      <c r="AQ64" s="37"/>
      <c r="AR64" s="37"/>
      <c r="AS64" s="37"/>
      <c r="AT64" s="37"/>
      <c r="AU64" s="37"/>
      <c r="AV64" s="37"/>
      <c r="AW64" s="37"/>
      <c r="AX64" s="37"/>
      <c r="AY64" s="37"/>
      <c r="AZ64" s="78"/>
      <c r="BA64" s="37"/>
      <c r="BB64" s="78"/>
      <c r="BF64" s="37"/>
      <c r="BG64" s="37"/>
      <c r="BH64" s="37"/>
      <c r="BI64" s="37"/>
      <c r="BJ64" s="37"/>
      <c r="BK64" s="37"/>
      <c r="BL64" s="37"/>
      <c r="BM64" s="37"/>
      <c r="BN64" s="37"/>
      <c r="BO64" s="37"/>
    </row>
    <row r="65" spans="3:67" ht="15">
      <c r="C65" s="113"/>
      <c r="D65" s="114"/>
      <c r="P65" s="82"/>
      <c r="Q65" s="82"/>
      <c r="R65" s="38"/>
      <c r="S65" s="38"/>
      <c r="T65" s="38"/>
      <c r="U65" s="38"/>
      <c r="V65" s="38"/>
      <c r="W65" s="38"/>
      <c r="X65" s="38"/>
      <c r="Y65" s="38"/>
      <c r="Z65" s="38"/>
      <c r="AA65" s="38"/>
      <c r="AB65" s="38"/>
      <c r="AC65" s="38"/>
      <c r="AD65" s="38"/>
      <c r="AE65" s="38"/>
      <c r="AF65" s="38"/>
      <c r="AG65" s="38"/>
      <c r="AH65" s="38"/>
      <c r="AN65" s="37"/>
      <c r="AO65" s="37"/>
      <c r="AP65" s="78"/>
      <c r="AQ65" s="37"/>
      <c r="AR65" s="37"/>
      <c r="AS65" s="37"/>
      <c r="AT65" s="37"/>
      <c r="AU65" s="37"/>
      <c r="AV65" s="37"/>
      <c r="AW65" s="37"/>
      <c r="AX65" s="37"/>
      <c r="AY65" s="37"/>
      <c r="AZ65" s="78"/>
      <c r="BA65" s="37"/>
      <c r="BB65" s="78"/>
      <c r="BF65" s="37"/>
      <c r="BG65" s="37"/>
      <c r="BH65" s="37"/>
      <c r="BI65" s="37"/>
      <c r="BJ65" s="37"/>
      <c r="BK65" s="37"/>
      <c r="BL65" s="37"/>
      <c r="BM65" s="37"/>
      <c r="BN65" s="37"/>
      <c r="BO65" s="37"/>
    </row>
    <row r="66" spans="3:67" ht="15">
      <c r="C66" s="113"/>
      <c r="D66" s="114"/>
      <c r="P66" s="82"/>
      <c r="Q66" s="82"/>
      <c r="R66" s="38"/>
      <c r="S66" s="38"/>
      <c r="T66" s="38"/>
      <c r="U66" s="38"/>
      <c r="V66" s="38"/>
      <c r="W66" s="38"/>
      <c r="X66" s="38"/>
      <c r="Y66" s="38"/>
      <c r="Z66" s="38"/>
      <c r="AA66" s="38"/>
      <c r="AB66" s="38"/>
      <c r="AC66" s="38"/>
      <c r="AD66" s="38"/>
      <c r="AE66" s="38"/>
      <c r="AF66" s="38"/>
      <c r="AG66" s="38"/>
      <c r="AH66" s="38"/>
      <c r="AN66" s="37"/>
      <c r="AO66" s="37"/>
      <c r="AP66" s="78"/>
      <c r="AQ66" s="37"/>
      <c r="AR66" s="37"/>
      <c r="AS66" s="37"/>
      <c r="AT66" s="37"/>
      <c r="AU66" s="37"/>
      <c r="AV66" s="37"/>
      <c r="AW66" s="37"/>
      <c r="AX66" s="37"/>
      <c r="AY66" s="37"/>
      <c r="AZ66" s="78"/>
      <c r="BA66" s="37"/>
      <c r="BB66" s="78"/>
      <c r="BF66" s="37"/>
      <c r="BG66" s="37"/>
      <c r="BH66" s="37"/>
      <c r="BI66" s="37"/>
      <c r="BJ66" s="37"/>
      <c r="BK66" s="37"/>
      <c r="BL66" s="37"/>
      <c r="BM66" s="37"/>
      <c r="BN66" s="37"/>
      <c r="BO66" s="37"/>
    </row>
    <row r="67" spans="3:67" ht="15">
      <c r="C67" s="113"/>
      <c r="D67" s="114"/>
      <c r="P67" s="82"/>
      <c r="Q67" s="82"/>
      <c r="R67" s="38"/>
      <c r="S67" s="38"/>
      <c r="T67" s="38"/>
      <c r="U67" s="38"/>
      <c r="V67" s="38"/>
      <c r="W67" s="38"/>
      <c r="X67" s="38"/>
      <c r="Y67" s="38"/>
      <c r="Z67" s="38"/>
      <c r="AA67" s="38"/>
      <c r="AB67" s="38"/>
      <c r="AC67" s="38"/>
      <c r="AD67" s="38"/>
      <c r="AE67" s="38"/>
      <c r="AF67" s="38"/>
      <c r="AG67" s="38"/>
      <c r="AH67" s="38"/>
      <c r="AN67" s="37"/>
      <c r="AO67" s="37"/>
      <c r="AP67" s="78"/>
      <c r="AQ67" s="37"/>
      <c r="AR67" s="37"/>
      <c r="AS67" s="37"/>
      <c r="AT67" s="37"/>
      <c r="AU67" s="37"/>
      <c r="AV67" s="37"/>
      <c r="AW67" s="37"/>
      <c r="AX67" s="37"/>
      <c r="AY67" s="37"/>
      <c r="AZ67" s="78"/>
      <c r="BA67" s="37"/>
      <c r="BB67" s="78"/>
      <c r="BF67" s="37"/>
      <c r="BG67" s="37"/>
      <c r="BH67" s="37"/>
      <c r="BI67" s="37"/>
      <c r="BJ67" s="37"/>
      <c r="BK67" s="37"/>
      <c r="BL67" s="37"/>
      <c r="BM67" s="37"/>
      <c r="BN67" s="37"/>
      <c r="BO67" s="37"/>
    </row>
    <row r="68" spans="3:67" ht="15">
      <c r="C68" s="113"/>
      <c r="D68" s="114"/>
      <c r="P68" s="82"/>
      <c r="Q68" s="82"/>
      <c r="R68" s="38"/>
      <c r="S68" s="38"/>
      <c r="T68" s="38"/>
      <c r="U68" s="38"/>
      <c r="V68" s="38"/>
      <c r="W68" s="38"/>
      <c r="X68" s="38"/>
      <c r="Y68" s="38"/>
      <c r="Z68" s="38"/>
      <c r="AA68" s="38"/>
      <c r="AB68" s="38"/>
      <c r="AC68" s="38"/>
      <c r="AD68" s="38"/>
      <c r="AE68" s="38"/>
      <c r="AF68" s="38"/>
      <c r="AG68" s="38"/>
      <c r="AH68" s="38"/>
      <c r="AN68" s="37"/>
      <c r="AO68" s="37"/>
      <c r="AP68" s="78"/>
      <c r="AQ68" s="37"/>
      <c r="AR68" s="37"/>
      <c r="AS68" s="37"/>
      <c r="AT68" s="37"/>
      <c r="AU68" s="37"/>
      <c r="AV68" s="37"/>
      <c r="AW68" s="37"/>
      <c r="AX68" s="37"/>
      <c r="AY68" s="37"/>
      <c r="AZ68" s="78"/>
      <c r="BA68" s="37"/>
      <c r="BB68" s="78"/>
      <c r="BF68" s="37"/>
      <c r="BG68" s="37"/>
      <c r="BH68" s="37"/>
      <c r="BI68" s="37"/>
      <c r="BJ68" s="37"/>
      <c r="BK68" s="37"/>
      <c r="BL68" s="37"/>
      <c r="BM68" s="37"/>
      <c r="BN68" s="37"/>
      <c r="BO68" s="37"/>
    </row>
    <row r="69" spans="3:67" ht="15">
      <c r="C69" s="113"/>
      <c r="D69" s="114"/>
      <c r="P69" s="82"/>
      <c r="Q69" s="82"/>
      <c r="R69" s="38"/>
      <c r="S69" s="38"/>
      <c r="T69" s="38"/>
      <c r="U69" s="38"/>
      <c r="V69" s="38"/>
      <c r="W69" s="38"/>
      <c r="X69" s="38"/>
      <c r="Y69" s="38"/>
      <c r="Z69" s="38"/>
      <c r="AA69" s="38"/>
      <c r="AB69" s="38"/>
      <c r="AC69" s="38"/>
      <c r="AD69" s="38"/>
      <c r="AE69" s="38"/>
      <c r="AF69" s="38"/>
      <c r="AG69" s="38"/>
      <c r="AH69" s="38"/>
      <c r="AN69" s="37"/>
      <c r="AO69" s="37"/>
      <c r="AP69" s="78"/>
      <c r="AQ69" s="37"/>
      <c r="AR69" s="37"/>
      <c r="AS69" s="37"/>
      <c r="AT69" s="37"/>
      <c r="AU69" s="37"/>
      <c r="AV69" s="37"/>
      <c r="AW69" s="37"/>
      <c r="AX69" s="37"/>
      <c r="AY69" s="37"/>
      <c r="AZ69" s="78"/>
      <c r="BA69" s="37"/>
      <c r="BB69" s="78"/>
      <c r="BF69" s="37"/>
      <c r="BG69" s="37"/>
      <c r="BH69" s="37"/>
      <c r="BI69" s="37"/>
      <c r="BJ69" s="37"/>
      <c r="BK69" s="37"/>
      <c r="BL69" s="37"/>
      <c r="BM69" s="37"/>
      <c r="BN69" s="37"/>
      <c r="BO69" s="37"/>
    </row>
    <row r="70" spans="3:67" ht="15">
      <c r="C70" s="113"/>
      <c r="D70" s="114"/>
      <c r="P70" s="82"/>
      <c r="Q70" s="82"/>
      <c r="R70" s="38"/>
      <c r="S70" s="38"/>
      <c r="T70" s="38"/>
      <c r="U70" s="38"/>
      <c r="V70" s="38"/>
      <c r="W70" s="38"/>
      <c r="X70" s="38"/>
      <c r="Y70" s="38"/>
      <c r="Z70" s="38"/>
      <c r="AA70" s="38"/>
      <c r="AB70" s="38"/>
      <c r="AC70" s="38"/>
      <c r="AD70" s="38"/>
      <c r="AE70" s="38"/>
      <c r="AF70" s="38"/>
      <c r="AG70" s="38"/>
      <c r="AH70" s="38"/>
      <c r="AN70" s="37"/>
      <c r="AO70" s="37"/>
      <c r="AP70" s="78"/>
      <c r="AQ70" s="37"/>
      <c r="AR70" s="37"/>
      <c r="AS70" s="37"/>
      <c r="AT70" s="37"/>
      <c r="AU70" s="37"/>
      <c r="AV70" s="37"/>
      <c r="AW70" s="37"/>
      <c r="AX70" s="37"/>
      <c r="AY70" s="37"/>
      <c r="AZ70" s="78"/>
      <c r="BA70" s="37"/>
      <c r="BB70" s="78"/>
      <c r="BF70" s="37"/>
      <c r="BG70" s="37"/>
      <c r="BH70" s="37"/>
      <c r="BI70" s="37"/>
      <c r="BJ70" s="37"/>
      <c r="BK70" s="37"/>
      <c r="BL70" s="37"/>
      <c r="BM70" s="37"/>
      <c r="BN70" s="37"/>
      <c r="BO70" s="37"/>
    </row>
    <row r="71" spans="3:67" ht="15">
      <c r="C71" s="113"/>
      <c r="D71" s="114"/>
      <c r="P71" s="82"/>
      <c r="Q71" s="82"/>
      <c r="R71" s="38"/>
      <c r="S71" s="38"/>
      <c r="T71" s="38"/>
      <c r="U71" s="38"/>
      <c r="V71" s="38"/>
      <c r="W71" s="38"/>
      <c r="X71" s="38"/>
      <c r="Y71" s="38"/>
      <c r="Z71" s="38"/>
      <c r="AA71" s="38"/>
      <c r="AB71" s="38"/>
      <c r="AC71" s="38"/>
      <c r="AD71" s="38"/>
      <c r="AE71" s="38"/>
      <c r="AF71" s="38"/>
      <c r="AG71" s="38"/>
      <c r="AH71" s="38"/>
      <c r="AN71" s="37"/>
      <c r="AO71" s="37"/>
      <c r="AP71" s="78"/>
      <c r="AQ71" s="37"/>
      <c r="AR71" s="37"/>
      <c r="AS71" s="37"/>
      <c r="AT71" s="37"/>
      <c r="AU71" s="37"/>
      <c r="AV71" s="37"/>
      <c r="AW71" s="37"/>
      <c r="AX71" s="37"/>
      <c r="AY71" s="37"/>
      <c r="AZ71" s="78"/>
      <c r="BA71" s="37"/>
      <c r="BB71" s="78"/>
      <c r="BF71" s="37"/>
      <c r="BG71" s="37"/>
      <c r="BH71" s="37"/>
      <c r="BI71" s="37"/>
      <c r="BJ71" s="37"/>
      <c r="BK71" s="37"/>
      <c r="BL71" s="37"/>
      <c r="BM71" s="37"/>
      <c r="BN71" s="37"/>
      <c r="BO71" s="37"/>
    </row>
    <row r="72" spans="3:67" ht="15">
      <c r="C72" s="113"/>
      <c r="D72" s="114"/>
      <c r="P72" s="82"/>
      <c r="Q72" s="82"/>
      <c r="R72" s="38"/>
      <c r="S72" s="38"/>
      <c r="T72" s="38"/>
      <c r="U72" s="38"/>
      <c r="V72" s="38"/>
      <c r="W72" s="38"/>
      <c r="X72" s="38"/>
      <c r="Y72" s="38"/>
      <c r="Z72" s="38"/>
      <c r="AA72" s="38"/>
      <c r="AB72" s="38"/>
      <c r="AC72" s="38"/>
      <c r="AD72" s="38"/>
      <c r="AE72" s="38"/>
      <c r="AF72" s="38"/>
      <c r="AG72" s="38"/>
      <c r="AH72" s="38"/>
      <c r="AN72" s="37"/>
      <c r="AO72" s="37"/>
      <c r="AP72" s="78"/>
      <c r="AQ72" s="37"/>
      <c r="AR72" s="37"/>
      <c r="AS72" s="37"/>
      <c r="AT72" s="37"/>
      <c r="AU72" s="37"/>
      <c r="AV72" s="37"/>
      <c r="AW72" s="37"/>
      <c r="AX72" s="37"/>
      <c r="AY72" s="37"/>
      <c r="AZ72" s="78"/>
      <c r="BA72" s="37"/>
      <c r="BB72" s="78"/>
      <c r="BF72" s="37"/>
      <c r="BG72" s="37"/>
      <c r="BH72" s="37"/>
      <c r="BI72" s="37"/>
      <c r="BJ72" s="37"/>
      <c r="BK72" s="37"/>
      <c r="BL72" s="37"/>
      <c r="BM72" s="37"/>
      <c r="BN72" s="37"/>
      <c r="BO72" s="37"/>
    </row>
    <row r="73" spans="3:67" ht="15">
      <c r="C73" s="113"/>
      <c r="D73" s="114"/>
      <c r="P73" s="82"/>
      <c r="Q73" s="82"/>
      <c r="R73" s="38"/>
      <c r="S73" s="38"/>
      <c r="T73" s="38"/>
      <c r="U73" s="38"/>
      <c r="V73" s="38"/>
      <c r="W73" s="38"/>
      <c r="X73" s="38"/>
      <c r="Y73" s="38"/>
      <c r="Z73" s="38"/>
      <c r="AA73" s="38"/>
      <c r="AB73" s="38"/>
      <c r="AC73" s="38"/>
      <c r="AD73" s="38"/>
      <c r="AE73" s="38"/>
      <c r="AF73" s="38"/>
      <c r="AG73" s="38"/>
      <c r="AH73" s="38"/>
      <c r="AN73" s="37"/>
      <c r="AO73" s="37"/>
      <c r="AP73" s="78"/>
      <c r="AQ73" s="37"/>
      <c r="AR73" s="37"/>
      <c r="AS73" s="37"/>
      <c r="AT73" s="37"/>
      <c r="AU73" s="37"/>
      <c r="AV73" s="37"/>
      <c r="AW73" s="37"/>
      <c r="AX73" s="37"/>
      <c r="AY73" s="37"/>
      <c r="AZ73" s="78"/>
      <c r="BA73" s="37"/>
      <c r="BB73" s="78"/>
      <c r="BF73" s="37"/>
      <c r="BG73" s="37"/>
      <c r="BH73" s="37"/>
      <c r="BI73" s="37"/>
      <c r="BJ73" s="37"/>
      <c r="BK73" s="37"/>
      <c r="BL73" s="37"/>
      <c r="BM73" s="37"/>
      <c r="BN73" s="37"/>
      <c r="BO73" s="37"/>
    </row>
    <row r="74" spans="3:67" ht="15">
      <c r="C74" s="113"/>
      <c r="D74" s="114"/>
      <c r="P74" s="82"/>
      <c r="Q74" s="82"/>
      <c r="R74" s="38"/>
      <c r="S74" s="38"/>
      <c r="T74" s="38"/>
      <c r="U74" s="38"/>
      <c r="V74" s="38"/>
      <c r="W74" s="38"/>
      <c r="X74" s="38"/>
      <c r="Y74" s="38"/>
      <c r="Z74" s="38"/>
      <c r="AA74" s="38"/>
      <c r="AB74" s="38"/>
      <c r="AC74" s="38"/>
      <c r="AD74" s="38"/>
      <c r="AE74" s="38"/>
      <c r="AF74" s="38"/>
      <c r="AG74" s="38"/>
      <c r="AH74" s="38"/>
      <c r="AN74" s="37"/>
      <c r="AO74" s="37"/>
      <c r="AP74" s="78"/>
      <c r="AQ74" s="37"/>
      <c r="AR74" s="37"/>
      <c r="AS74" s="37"/>
      <c r="AT74" s="37"/>
      <c r="AU74" s="37"/>
      <c r="AV74" s="37"/>
      <c r="AW74" s="37"/>
      <c r="AX74" s="37"/>
      <c r="AY74" s="37"/>
      <c r="AZ74" s="78"/>
      <c r="BA74" s="37"/>
      <c r="BB74" s="78"/>
      <c r="BF74" s="37"/>
      <c r="BG74" s="37"/>
      <c r="BH74" s="37"/>
      <c r="BI74" s="37"/>
      <c r="BJ74" s="37"/>
      <c r="BK74" s="37"/>
      <c r="BL74" s="37"/>
      <c r="BM74" s="37"/>
      <c r="BN74" s="37"/>
      <c r="BO74" s="37"/>
    </row>
    <row r="75" spans="3:67" ht="15">
      <c r="C75" s="113"/>
      <c r="D75" s="114"/>
      <c r="P75" s="82"/>
      <c r="Q75" s="82"/>
      <c r="R75" s="38"/>
      <c r="S75" s="38"/>
      <c r="T75" s="38"/>
      <c r="U75" s="38"/>
      <c r="V75" s="38"/>
      <c r="W75" s="38"/>
      <c r="X75" s="38"/>
      <c r="Y75" s="38"/>
      <c r="Z75" s="38"/>
      <c r="AA75" s="38"/>
      <c r="AB75" s="38"/>
      <c r="AC75" s="38"/>
      <c r="AD75" s="38"/>
      <c r="AE75" s="38"/>
      <c r="AF75" s="38"/>
      <c r="AG75" s="38"/>
      <c r="AH75" s="38"/>
      <c r="AN75" s="37"/>
      <c r="AO75" s="37"/>
      <c r="AP75" s="78"/>
      <c r="AQ75" s="37"/>
      <c r="AR75" s="37"/>
      <c r="AS75" s="37"/>
      <c r="AT75" s="37"/>
      <c r="AU75" s="37"/>
      <c r="AV75" s="37"/>
      <c r="AW75" s="37"/>
      <c r="AX75" s="37"/>
      <c r="AY75" s="37"/>
      <c r="AZ75" s="78"/>
      <c r="BA75" s="37"/>
      <c r="BB75" s="78"/>
      <c r="BF75" s="37"/>
      <c r="BG75" s="37"/>
      <c r="BH75" s="37"/>
      <c r="BI75" s="37"/>
      <c r="BJ75" s="37"/>
      <c r="BK75" s="37"/>
      <c r="BL75" s="37"/>
      <c r="BM75" s="37"/>
      <c r="BN75" s="37"/>
      <c r="BO75" s="37"/>
    </row>
    <row r="76" spans="3:67" ht="15">
      <c r="C76" s="113"/>
      <c r="D76" s="114"/>
      <c r="P76" s="82"/>
      <c r="Q76" s="82"/>
      <c r="R76" s="38"/>
      <c r="S76" s="38"/>
      <c r="T76" s="38"/>
      <c r="U76" s="38"/>
      <c r="V76" s="38"/>
      <c r="W76" s="38"/>
      <c r="X76" s="38"/>
      <c r="Y76" s="38"/>
      <c r="Z76" s="38"/>
      <c r="AA76" s="38"/>
      <c r="AB76" s="38"/>
      <c r="AC76" s="38"/>
      <c r="AD76" s="38"/>
      <c r="AE76" s="38"/>
      <c r="AF76" s="38"/>
      <c r="AG76" s="38"/>
      <c r="AH76" s="38"/>
      <c r="AN76" s="37"/>
      <c r="AO76" s="37"/>
      <c r="AP76" s="78"/>
      <c r="AQ76" s="37"/>
      <c r="AR76" s="37"/>
      <c r="AS76" s="37"/>
      <c r="AT76" s="37"/>
      <c r="AU76" s="37"/>
      <c r="AV76" s="37"/>
      <c r="AW76" s="37"/>
      <c r="AX76" s="37"/>
      <c r="AY76" s="37"/>
      <c r="AZ76" s="78"/>
      <c r="BA76" s="37"/>
      <c r="BB76" s="78"/>
      <c r="BF76" s="37"/>
      <c r="BG76" s="37"/>
      <c r="BH76" s="37"/>
      <c r="BI76" s="37"/>
      <c r="BJ76" s="37"/>
      <c r="BK76" s="37"/>
      <c r="BL76" s="37"/>
      <c r="BM76" s="37"/>
      <c r="BN76" s="37"/>
      <c r="BO76" s="37"/>
    </row>
    <row r="77" spans="3:67" ht="15">
      <c r="C77" s="113"/>
      <c r="D77" s="114"/>
      <c r="P77" s="82"/>
      <c r="Q77" s="82"/>
      <c r="R77" s="38"/>
      <c r="S77" s="38"/>
      <c r="T77" s="38"/>
      <c r="U77" s="38"/>
      <c r="V77" s="38"/>
      <c r="W77" s="38"/>
      <c r="X77" s="38"/>
      <c r="Y77" s="38"/>
      <c r="Z77" s="38"/>
      <c r="AA77" s="38"/>
      <c r="AB77" s="38"/>
      <c r="AC77" s="38"/>
      <c r="AD77" s="38"/>
      <c r="AE77" s="38"/>
      <c r="AF77" s="38"/>
      <c r="AG77" s="38"/>
      <c r="AH77" s="38"/>
      <c r="AN77" s="37"/>
      <c r="AO77" s="37"/>
      <c r="AP77" s="78"/>
      <c r="AQ77" s="37"/>
      <c r="AR77" s="37"/>
      <c r="AS77" s="37"/>
      <c r="AT77" s="37"/>
      <c r="AU77" s="37"/>
      <c r="AV77" s="37"/>
      <c r="AW77" s="37"/>
      <c r="AX77" s="37"/>
      <c r="AY77" s="37"/>
      <c r="AZ77" s="78"/>
      <c r="BA77" s="37"/>
      <c r="BB77" s="78"/>
      <c r="BF77" s="37"/>
      <c r="BG77" s="37"/>
      <c r="BH77" s="37"/>
      <c r="BI77" s="37"/>
      <c r="BJ77" s="37"/>
      <c r="BK77" s="37"/>
      <c r="BL77" s="37"/>
      <c r="BM77" s="37"/>
      <c r="BN77" s="37"/>
      <c r="BO77" s="37"/>
    </row>
    <row r="78" spans="3:67" ht="15">
      <c r="C78" s="113"/>
      <c r="D78" s="114"/>
      <c r="P78" s="82"/>
      <c r="Q78" s="82"/>
      <c r="R78" s="38"/>
      <c r="S78" s="38"/>
      <c r="T78" s="38"/>
      <c r="U78" s="38"/>
      <c r="V78" s="38"/>
      <c r="W78" s="38"/>
      <c r="X78" s="38"/>
      <c r="Y78" s="38"/>
      <c r="Z78" s="38"/>
      <c r="AA78" s="38"/>
      <c r="AB78" s="38"/>
      <c r="AC78" s="38"/>
      <c r="AD78" s="38"/>
      <c r="AE78" s="38"/>
      <c r="AF78" s="38"/>
      <c r="AG78" s="38"/>
      <c r="AH78" s="38"/>
      <c r="AN78" s="37"/>
      <c r="AO78" s="37"/>
      <c r="AP78" s="78"/>
      <c r="AQ78" s="37"/>
      <c r="AR78" s="37"/>
      <c r="AS78" s="37"/>
      <c r="AT78" s="37"/>
      <c r="AU78" s="37"/>
      <c r="AV78" s="37"/>
      <c r="AW78" s="37"/>
      <c r="AX78" s="37"/>
      <c r="AY78" s="37"/>
      <c r="AZ78" s="78"/>
      <c r="BA78" s="37"/>
      <c r="BB78" s="78"/>
      <c r="BF78" s="37"/>
      <c r="BG78" s="37"/>
      <c r="BH78" s="37"/>
      <c r="BI78" s="37"/>
      <c r="BJ78" s="37"/>
      <c r="BK78" s="37"/>
      <c r="BL78" s="37"/>
      <c r="BM78" s="37"/>
      <c r="BN78" s="37"/>
      <c r="BO78" s="37"/>
    </row>
    <row r="79" spans="3:67" ht="15">
      <c r="C79" s="113"/>
      <c r="D79" s="114"/>
      <c r="P79" s="82"/>
      <c r="Q79" s="82"/>
      <c r="R79" s="38"/>
      <c r="S79" s="38"/>
      <c r="T79" s="38"/>
      <c r="U79" s="38"/>
      <c r="V79" s="38"/>
      <c r="W79" s="38"/>
      <c r="X79" s="38"/>
      <c r="Y79" s="38"/>
      <c r="Z79" s="38"/>
      <c r="AA79" s="38"/>
      <c r="AB79" s="38"/>
      <c r="AC79" s="38"/>
      <c r="AD79" s="38"/>
      <c r="AE79" s="38"/>
      <c r="AF79" s="38"/>
      <c r="AG79" s="38"/>
      <c r="AH79" s="38"/>
      <c r="AN79" s="37"/>
      <c r="AO79" s="37"/>
      <c r="AP79" s="78"/>
      <c r="AQ79" s="37"/>
      <c r="AR79" s="37"/>
      <c r="AS79" s="37"/>
      <c r="AT79" s="37"/>
      <c r="AU79" s="37"/>
      <c r="AV79" s="37"/>
      <c r="AW79" s="37"/>
      <c r="AX79" s="37"/>
      <c r="AY79" s="37"/>
      <c r="AZ79" s="78"/>
      <c r="BA79" s="37"/>
      <c r="BB79" s="78"/>
      <c r="BF79" s="37"/>
      <c r="BG79" s="37"/>
      <c r="BH79" s="37"/>
      <c r="BI79" s="37"/>
      <c r="BJ79" s="37"/>
      <c r="BK79" s="37"/>
      <c r="BL79" s="37"/>
      <c r="BM79" s="37"/>
      <c r="BN79" s="37"/>
      <c r="BO79" s="37"/>
    </row>
    <row r="80" spans="3:67" ht="15">
      <c r="C80" s="113"/>
      <c r="D80" s="114"/>
      <c r="P80" s="82"/>
      <c r="Q80" s="82"/>
      <c r="R80" s="38"/>
      <c r="S80" s="38"/>
      <c r="T80" s="38"/>
      <c r="U80" s="38"/>
      <c r="V80" s="38"/>
      <c r="W80" s="38"/>
      <c r="X80" s="38"/>
      <c r="Y80" s="38"/>
      <c r="Z80" s="38"/>
      <c r="AA80" s="38"/>
      <c r="AB80" s="38"/>
      <c r="AC80" s="38"/>
      <c r="AD80" s="38"/>
      <c r="AE80" s="38"/>
      <c r="AF80" s="38"/>
      <c r="AG80" s="38"/>
      <c r="AH80" s="38"/>
      <c r="AN80" s="37"/>
      <c r="AO80" s="37"/>
      <c r="AP80" s="78"/>
      <c r="AQ80" s="37"/>
      <c r="AR80" s="37"/>
      <c r="AS80" s="37"/>
      <c r="AT80" s="37"/>
      <c r="AU80" s="37"/>
      <c r="AV80" s="37"/>
      <c r="AW80" s="37"/>
      <c r="AX80" s="37"/>
      <c r="AY80" s="37"/>
      <c r="AZ80" s="78"/>
      <c r="BA80" s="37"/>
      <c r="BB80" s="78"/>
      <c r="BF80" s="37"/>
      <c r="BG80" s="37"/>
      <c r="BH80" s="37"/>
      <c r="BI80" s="37"/>
      <c r="BJ80" s="37"/>
      <c r="BK80" s="37"/>
      <c r="BL80" s="37"/>
      <c r="BM80" s="37"/>
      <c r="BN80" s="37"/>
      <c r="BO80" s="37"/>
    </row>
    <row r="81" spans="3:67" ht="15">
      <c r="C81" s="113"/>
      <c r="D81" s="114"/>
      <c r="P81" s="82"/>
      <c r="Q81" s="82"/>
      <c r="R81" s="38"/>
      <c r="S81" s="38"/>
      <c r="T81" s="38"/>
      <c r="U81" s="38"/>
      <c r="V81" s="38"/>
      <c r="W81" s="38"/>
      <c r="X81" s="38"/>
      <c r="Y81" s="38"/>
      <c r="Z81" s="38"/>
      <c r="AA81" s="38"/>
      <c r="AB81" s="38"/>
      <c r="AC81" s="38"/>
      <c r="AD81" s="38"/>
      <c r="AE81" s="38"/>
      <c r="AF81" s="38"/>
      <c r="AG81" s="38"/>
      <c r="AH81" s="38"/>
      <c r="AN81" s="37"/>
      <c r="AO81" s="37"/>
      <c r="AP81" s="78"/>
      <c r="AQ81" s="37"/>
      <c r="AR81" s="37"/>
      <c r="AS81" s="37"/>
      <c r="AT81" s="37"/>
      <c r="AU81" s="37"/>
      <c r="AV81" s="37"/>
      <c r="AW81" s="37"/>
      <c r="AX81" s="37"/>
      <c r="AY81" s="37"/>
      <c r="AZ81" s="78"/>
      <c r="BA81" s="37"/>
      <c r="BB81" s="78"/>
      <c r="BF81" s="37"/>
      <c r="BG81" s="37"/>
      <c r="BH81" s="37"/>
      <c r="BI81" s="37"/>
      <c r="BJ81" s="37"/>
      <c r="BK81" s="37"/>
      <c r="BL81" s="37"/>
      <c r="BM81" s="37"/>
      <c r="BN81" s="37"/>
      <c r="BO81" s="37"/>
    </row>
    <row r="82" spans="3:67" ht="15">
      <c r="C82" s="113"/>
      <c r="D82" s="114"/>
      <c r="P82" s="82"/>
      <c r="Q82" s="82"/>
      <c r="R82" s="38"/>
      <c r="S82" s="38"/>
      <c r="T82" s="38"/>
      <c r="U82" s="38"/>
      <c r="V82" s="38"/>
      <c r="W82" s="38"/>
      <c r="X82" s="38"/>
      <c r="Y82" s="38"/>
      <c r="Z82" s="38"/>
      <c r="AA82" s="38"/>
      <c r="AB82" s="38"/>
      <c r="AC82" s="38"/>
      <c r="AD82" s="38"/>
      <c r="AE82" s="38"/>
      <c r="AF82" s="38"/>
      <c r="AG82" s="38"/>
      <c r="AH82" s="38"/>
      <c r="AN82" s="37"/>
      <c r="AO82" s="37"/>
      <c r="AP82" s="78"/>
      <c r="AQ82" s="37"/>
      <c r="AR82" s="37"/>
      <c r="AS82" s="37"/>
      <c r="AT82" s="37"/>
      <c r="AU82" s="37"/>
      <c r="AV82" s="37"/>
      <c r="AW82" s="37"/>
      <c r="AX82" s="37"/>
      <c r="AY82" s="37"/>
      <c r="AZ82" s="78"/>
      <c r="BA82" s="37"/>
      <c r="BB82" s="78"/>
      <c r="BF82" s="37"/>
      <c r="BG82" s="37"/>
      <c r="BH82" s="37"/>
      <c r="BI82" s="37"/>
      <c r="BJ82" s="37"/>
      <c r="BK82" s="37"/>
      <c r="BL82" s="37"/>
      <c r="BM82" s="37"/>
      <c r="BN82" s="37"/>
      <c r="BO82" s="37"/>
    </row>
    <row r="83" spans="3:67" ht="15">
      <c r="C83" s="113"/>
      <c r="D83" s="114"/>
      <c r="P83" s="82"/>
      <c r="Q83" s="82"/>
      <c r="R83" s="38"/>
      <c r="S83" s="38"/>
      <c r="T83" s="38"/>
      <c r="U83" s="38"/>
      <c r="V83" s="38"/>
      <c r="W83" s="38"/>
      <c r="X83" s="38"/>
      <c r="Y83" s="38"/>
      <c r="Z83" s="38"/>
      <c r="AA83" s="38"/>
      <c r="AB83" s="38"/>
      <c r="AC83" s="38"/>
      <c r="AD83" s="38"/>
      <c r="AE83" s="38"/>
      <c r="AF83" s="38"/>
      <c r="AG83" s="38"/>
      <c r="AH83" s="38"/>
      <c r="AN83" s="37"/>
      <c r="AO83" s="37"/>
      <c r="AP83" s="78"/>
      <c r="AQ83" s="37"/>
      <c r="AR83" s="37"/>
      <c r="AS83" s="37"/>
      <c r="AT83" s="37"/>
      <c r="AU83" s="37"/>
      <c r="AV83" s="37"/>
      <c r="AW83" s="37"/>
      <c r="AX83" s="37"/>
      <c r="AY83" s="37"/>
      <c r="AZ83" s="78"/>
      <c r="BA83" s="37"/>
      <c r="BB83" s="78"/>
      <c r="BF83" s="37"/>
      <c r="BG83" s="37"/>
      <c r="BH83" s="37"/>
      <c r="BI83" s="37"/>
      <c r="BJ83" s="37"/>
      <c r="BK83" s="37"/>
      <c r="BL83" s="37"/>
      <c r="BM83" s="37"/>
      <c r="BN83" s="37"/>
      <c r="BO83" s="37"/>
    </row>
    <row r="84" spans="3:67" ht="15">
      <c r="C84" s="113"/>
      <c r="D84" s="114"/>
      <c r="P84" s="82"/>
      <c r="Q84" s="82"/>
      <c r="R84" s="38"/>
      <c r="S84" s="38"/>
      <c r="T84" s="38"/>
      <c r="U84" s="38"/>
      <c r="V84" s="38"/>
      <c r="W84" s="38"/>
      <c r="X84" s="38"/>
      <c r="Y84" s="38"/>
      <c r="Z84" s="38"/>
      <c r="AA84" s="38"/>
      <c r="AB84" s="38"/>
      <c r="AC84" s="38"/>
      <c r="AD84" s="38"/>
      <c r="AE84" s="38"/>
      <c r="AF84" s="38"/>
      <c r="AG84" s="38"/>
      <c r="AH84" s="38"/>
      <c r="AN84" s="37"/>
      <c r="AO84" s="37"/>
      <c r="AP84" s="78"/>
      <c r="AQ84" s="37"/>
      <c r="AR84" s="37"/>
      <c r="AS84" s="37"/>
      <c r="AT84" s="37"/>
      <c r="AU84" s="37"/>
      <c r="AV84" s="37"/>
      <c r="AW84" s="37"/>
      <c r="AX84" s="37"/>
      <c r="AY84" s="37"/>
      <c r="AZ84" s="78"/>
      <c r="BA84" s="37"/>
      <c r="BB84" s="78"/>
      <c r="BF84" s="37"/>
      <c r="BG84" s="37"/>
      <c r="BH84" s="37"/>
      <c r="BI84" s="37"/>
      <c r="BJ84" s="37"/>
      <c r="BK84" s="37"/>
      <c r="BL84" s="37"/>
      <c r="BM84" s="37"/>
      <c r="BN84" s="37"/>
      <c r="BO84" s="37"/>
    </row>
    <row r="85" spans="3:67" ht="15">
      <c r="C85" s="113"/>
      <c r="D85" s="114"/>
      <c r="P85" s="82"/>
      <c r="Q85" s="82"/>
      <c r="R85" s="38"/>
      <c r="S85" s="38"/>
      <c r="T85" s="38"/>
      <c r="U85" s="38"/>
      <c r="V85" s="38"/>
      <c r="W85" s="38"/>
      <c r="X85" s="38"/>
      <c r="Y85" s="38"/>
      <c r="Z85" s="38"/>
      <c r="AA85" s="38"/>
      <c r="AB85" s="38"/>
      <c r="AC85" s="38"/>
      <c r="AD85" s="38"/>
      <c r="AE85" s="38"/>
      <c r="AF85" s="38"/>
      <c r="AG85" s="38"/>
      <c r="AH85" s="38"/>
      <c r="AN85" s="37"/>
      <c r="AO85" s="37"/>
      <c r="AP85" s="78"/>
      <c r="AQ85" s="37"/>
      <c r="AR85" s="37"/>
      <c r="AS85" s="37"/>
      <c r="AT85" s="37"/>
      <c r="AU85" s="37"/>
      <c r="AV85" s="37"/>
      <c r="AW85" s="37"/>
      <c r="AX85" s="37"/>
      <c r="AY85" s="37"/>
      <c r="AZ85" s="78"/>
      <c r="BA85" s="37"/>
      <c r="BB85" s="78"/>
      <c r="BF85" s="37"/>
      <c r="BG85" s="37"/>
      <c r="BH85" s="37"/>
      <c r="BI85" s="37"/>
      <c r="BJ85" s="37"/>
      <c r="BK85" s="37"/>
      <c r="BL85" s="37"/>
      <c r="BM85" s="37"/>
      <c r="BN85" s="37"/>
      <c r="BO85" s="37"/>
    </row>
    <row r="86" spans="3:67" ht="15">
      <c r="C86" s="113"/>
      <c r="D86" s="114"/>
      <c r="P86" s="82"/>
      <c r="Q86" s="82"/>
      <c r="R86" s="38"/>
      <c r="S86" s="38"/>
      <c r="T86" s="38"/>
      <c r="U86" s="38"/>
      <c r="V86" s="38"/>
      <c r="W86" s="38"/>
      <c r="X86" s="38"/>
      <c r="Y86" s="38"/>
      <c r="Z86" s="38"/>
      <c r="AA86" s="38"/>
      <c r="AB86" s="38"/>
      <c r="AC86" s="38"/>
      <c r="AD86" s="38"/>
      <c r="AE86" s="38"/>
      <c r="AF86" s="38"/>
      <c r="AG86" s="38"/>
      <c r="AH86" s="38"/>
      <c r="AN86" s="37"/>
      <c r="AO86" s="37"/>
      <c r="AP86" s="78"/>
      <c r="AQ86" s="37"/>
      <c r="AR86" s="37"/>
      <c r="AS86" s="37"/>
      <c r="AT86" s="37"/>
      <c r="AU86" s="37"/>
      <c r="AV86" s="37"/>
      <c r="AW86" s="37"/>
      <c r="AX86" s="37"/>
      <c r="AY86" s="37"/>
      <c r="AZ86" s="78"/>
      <c r="BA86" s="37"/>
      <c r="BB86" s="78"/>
      <c r="BF86" s="37"/>
      <c r="BG86" s="37"/>
      <c r="BH86" s="37"/>
      <c r="BI86" s="37"/>
      <c r="BJ86" s="37"/>
      <c r="BK86" s="37"/>
      <c r="BL86" s="37"/>
      <c r="BM86" s="37"/>
      <c r="BN86" s="37"/>
      <c r="BO86" s="37"/>
    </row>
    <row r="87" spans="3:67" ht="15">
      <c r="C87" s="113"/>
      <c r="D87" s="114"/>
      <c r="P87" s="82"/>
      <c r="Q87" s="82"/>
      <c r="R87" s="38"/>
      <c r="S87" s="38"/>
      <c r="T87" s="38"/>
      <c r="U87" s="38"/>
      <c r="V87" s="38"/>
      <c r="W87" s="38"/>
      <c r="X87" s="38"/>
      <c r="Y87" s="38"/>
      <c r="Z87" s="38"/>
      <c r="AA87" s="38"/>
      <c r="AB87" s="38"/>
      <c r="AC87" s="38"/>
      <c r="AD87" s="38"/>
      <c r="AE87" s="38"/>
      <c r="AF87" s="38"/>
      <c r="AG87" s="38"/>
      <c r="AH87" s="38"/>
      <c r="AN87" s="37"/>
      <c r="AO87" s="37"/>
      <c r="AP87" s="78"/>
      <c r="AQ87" s="37"/>
      <c r="AR87" s="37"/>
      <c r="AS87" s="37"/>
      <c r="AT87" s="37"/>
      <c r="AU87" s="37"/>
      <c r="AV87" s="37"/>
      <c r="AW87" s="37"/>
      <c r="AX87" s="37"/>
      <c r="AY87" s="37"/>
      <c r="AZ87" s="78"/>
      <c r="BA87" s="37"/>
      <c r="BB87" s="78"/>
      <c r="BF87" s="37"/>
      <c r="BG87" s="37"/>
      <c r="BH87" s="37"/>
      <c r="BI87" s="37"/>
      <c r="BJ87" s="37"/>
      <c r="BK87" s="37"/>
      <c r="BL87" s="37"/>
      <c r="BM87" s="37"/>
      <c r="BN87" s="37"/>
      <c r="BO87" s="37"/>
    </row>
    <row r="88" spans="3:67" ht="15">
      <c r="C88" s="113"/>
      <c r="D88" s="114"/>
      <c r="P88" s="82"/>
      <c r="Q88" s="82"/>
      <c r="R88" s="38"/>
      <c r="S88" s="38"/>
      <c r="T88" s="38"/>
      <c r="U88" s="38"/>
      <c r="V88" s="38"/>
      <c r="W88" s="38"/>
      <c r="X88" s="38"/>
      <c r="Y88" s="38"/>
      <c r="Z88" s="38"/>
      <c r="AA88" s="38"/>
      <c r="AB88" s="38"/>
      <c r="AC88" s="38"/>
      <c r="AD88" s="38"/>
      <c r="AE88" s="38"/>
      <c r="AF88" s="38"/>
      <c r="AG88" s="38"/>
      <c r="AH88" s="38"/>
      <c r="AN88" s="37"/>
      <c r="AO88" s="37"/>
      <c r="AP88" s="78"/>
      <c r="AQ88" s="37"/>
      <c r="AR88" s="37"/>
      <c r="AS88" s="37"/>
      <c r="AT88" s="37"/>
      <c r="AU88" s="37"/>
      <c r="AV88" s="37"/>
      <c r="AW88" s="37"/>
      <c r="AX88" s="37"/>
      <c r="AY88" s="37"/>
      <c r="AZ88" s="78"/>
      <c r="BA88" s="37"/>
      <c r="BB88" s="78"/>
      <c r="BF88" s="37"/>
      <c r="BG88" s="37"/>
      <c r="BH88" s="37"/>
      <c r="BI88" s="37"/>
      <c r="BJ88" s="37"/>
      <c r="BK88" s="37"/>
      <c r="BL88" s="37"/>
      <c r="BM88" s="37"/>
      <c r="BN88" s="37"/>
      <c r="BO88" s="37"/>
    </row>
    <row r="89" spans="3:67" ht="15">
      <c r="C89" s="113"/>
      <c r="D89" s="114"/>
      <c r="P89" s="82"/>
      <c r="Q89" s="82"/>
      <c r="R89" s="38"/>
      <c r="S89" s="38"/>
      <c r="T89" s="38"/>
      <c r="U89" s="38"/>
      <c r="V89" s="38"/>
      <c r="W89" s="38"/>
      <c r="X89" s="38"/>
      <c r="Y89" s="38"/>
      <c r="Z89" s="38"/>
      <c r="AA89" s="38"/>
      <c r="AB89" s="38"/>
      <c r="AC89" s="38"/>
      <c r="AD89" s="38"/>
      <c r="AE89" s="38"/>
      <c r="AF89" s="38"/>
      <c r="AG89" s="38"/>
      <c r="AH89" s="38"/>
      <c r="AN89" s="37"/>
      <c r="AO89" s="37"/>
      <c r="AP89" s="78"/>
      <c r="AQ89" s="37"/>
      <c r="AR89" s="37"/>
      <c r="AS89" s="37"/>
      <c r="AT89" s="37"/>
      <c r="AU89" s="37"/>
      <c r="AV89" s="37"/>
      <c r="AW89" s="37"/>
      <c r="AX89" s="37"/>
      <c r="AY89" s="37"/>
      <c r="AZ89" s="78"/>
      <c r="BA89" s="37"/>
      <c r="BB89" s="78"/>
      <c r="BF89" s="37"/>
      <c r="BG89" s="37"/>
      <c r="BH89" s="37"/>
      <c r="BI89" s="37"/>
      <c r="BJ89" s="37"/>
      <c r="BK89" s="37"/>
      <c r="BL89" s="37"/>
      <c r="BM89" s="37"/>
      <c r="BN89" s="37"/>
      <c r="BO89" s="37"/>
    </row>
    <row r="90" spans="3:67" ht="15">
      <c r="C90" s="113"/>
      <c r="D90" s="114"/>
      <c r="P90" s="82"/>
      <c r="Q90" s="82"/>
      <c r="R90" s="38"/>
      <c r="S90" s="38"/>
      <c r="T90" s="38"/>
      <c r="U90" s="38"/>
      <c r="V90" s="38"/>
      <c r="W90" s="38"/>
      <c r="X90" s="38"/>
      <c r="Y90" s="38"/>
      <c r="Z90" s="38"/>
      <c r="AA90" s="38"/>
      <c r="AB90" s="38"/>
      <c r="AC90" s="38"/>
      <c r="AD90" s="38"/>
      <c r="AE90" s="38"/>
      <c r="AF90" s="38"/>
      <c r="AG90" s="38"/>
      <c r="AH90" s="38"/>
      <c r="AN90" s="37"/>
      <c r="AO90" s="37"/>
      <c r="AP90" s="78"/>
      <c r="AQ90" s="37"/>
      <c r="AR90" s="37"/>
      <c r="AS90" s="37"/>
      <c r="AT90" s="37"/>
      <c r="AU90" s="37"/>
      <c r="AV90" s="37"/>
      <c r="AW90" s="37"/>
      <c r="AX90" s="37"/>
      <c r="AY90" s="37"/>
      <c r="AZ90" s="78"/>
      <c r="BA90" s="37"/>
      <c r="BB90" s="78"/>
      <c r="BF90" s="37"/>
      <c r="BG90" s="37"/>
      <c r="BH90" s="37"/>
      <c r="BI90" s="37"/>
      <c r="BJ90" s="37"/>
      <c r="BK90" s="37"/>
      <c r="BL90" s="37"/>
      <c r="BM90" s="37"/>
      <c r="BN90" s="37"/>
      <c r="BO90" s="37"/>
    </row>
    <row r="91" spans="3:67" ht="15">
      <c r="C91" s="113"/>
      <c r="D91" s="114"/>
      <c r="P91" s="82"/>
      <c r="Q91" s="82"/>
      <c r="R91" s="38"/>
      <c r="S91" s="38"/>
      <c r="T91" s="38"/>
      <c r="U91" s="38"/>
      <c r="V91" s="38"/>
      <c r="W91" s="38"/>
      <c r="X91" s="38"/>
      <c r="Y91" s="38"/>
      <c r="Z91" s="38"/>
      <c r="AA91" s="38"/>
      <c r="AB91" s="38"/>
      <c r="AC91" s="38"/>
      <c r="AD91" s="38"/>
      <c r="AE91" s="38"/>
      <c r="AF91" s="38"/>
      <c r="AG91" s="38"/>
      <c r="AH91" s="38"/>
      <c r="AN91" s="37"/>
      <c r="AO91" s="37"/>
      <c r="AP91" s="78"/>
      <c r="AQ91" s="37"/>
      <c r="AR91" s="37"/>
      <c r="AS91" s="37"/>
      <c r="AT91" s="37"/>
      <c r="AU91" s="37"/>
      <c r="AV91" s="37"/>
      <c r="AW91" s="37"/>
      <c r="AX91" s="37"/>
      <c r="AY91" s="37"/>
      <c r="AZ91" s="78"/>
      <c r="BA91" s="37"/>
      <c r="BB91" s="78"/>
      <c r="BF91" s="37"/>
      <c r="BG91" s="37"/>
      <c r="BH91" s="37"/>
      <c r="BI91" s="37"/>
      <c r="BJ91" s="37"/>
      <c r="BK91" s="37"/>
      <c r="BL91" s="37"/>
      <c r="BM91" s="37"/>
      <c r="BN91" s="37"/>
      <c r="BO91" s="37"/>
    </row>
    <row r="92" spans="3:67" ht="15">
      <c r="C92" s="113"/>
      <c r="D92" s="114"/>
      <c r="P92" s="82"/>
      <c r="Q92" s="82"/>
      <c r="R92" s="38"/>
      <c r="S92" s="38"/>
      <c r="T92" s="38"/>
      <c r="U92" s="38"/>
      <c r="V92" s="38"/>
      <c r="W92" s="38"/>
      <c r="X92" s="38"/>
      <c r="Y92" s="38"/>
      <c r="Z92" s="38"/>
      <c r="AA92" s="38"/>
      <c r="AB92" s="38"/>
      <c r="AC92" s="38"/>
      <c r="AD92" s="38"/>
      <c r="AE92" s="38"/>
      <c r="AF92" s="38"/>
      <c r="AG92" s="38"/>
      <c r="AH92" s="38"/>
      <c r="AN92" s="37"/>
      <c r="AO92" s="37"/>
      <c r="AP92" s="78"/>
      <c r="AQ92" s="37"/>
      <c r="AR92" s="37"/>
      <c r="AS92" s="37"/>
      <c r="AT92" s="37"/>
      <c r="AU92" s="37"/>
      <c r="AV92" s="37"/>
      <c r="AW92" s="37"/>
      <c r="AX92" s="37"/>
      <c r="AY92" s="37"/>
      <c r="AZ92" s="78"/>
      <c r="BA92" s="37"/>
      <c r="BB92" s="78"/>
      <c r="BF92" s="37"/>
      <c r="BG92" s="37"/>
      <c r="BH92" s="37"/>
      <c r="BI92" s="37"/>
      <c r="BJ92" s="37"/>
      <c r="BK92" s="37"/>
      <c r="BL92" s="37"/>
      <c r="BM92" s="37"/>
      <c r="BN92" s="37"/>
      <c r="BO92" s="37"/>
    </row>
    <row r="93" spans="3:67" ht="15">
      <c r="C93" s="113"/>
      <c r="D93" s="114"/>
      <c r="P93" s="82"/>
      <c r="Q93" s="82"/>
      <c r="R93" s="38"/>
      <c r="S93" s="38"/>
      <c r="T93" s="38"/>
      <c r="U93" s="38"/>
      <c r="V93" s="38"/>
      <c r="W93" s="38"/>
      <c r="X93" s="38"/>
      <c r="Y93" s="38"/>
      <c r="Z93" s="38"/>
      <c r="AA93" s="38"/>
      <c r="AB93" s="38"/>
      <c r="AC93" s="38"/>
      <c r="AD93" s="38"/>
      <c r="AE93" s="38"/>
      <c r="AF93" s="38"/>
      <c r="AG93" s="38"/>
      <c r="AH93" s="38"/>
      <c r="AN93" s="37"/>
      <c r="AO93" s="37"/>
      <c r="AP93" s="78"/>
      <c r="AQ93" s="37"/>
      <c r="AR93" s="37"/>
      <c r="AS93" s="37"/>
      <c r="AT93" s="37"/>
      <c r="AU93" s="37"/>
      <c r="AV93" s="37"/>
      <c r="AW93" s="37"/>
      <c r="AX93" s="37"/>
      <c r="AY93" s="37"/>
      <c r="AZ93" s="78"/>
      <c r="BA93" s="37"/>
      <c r="BB93" s="78"/>
      <c r="BF93" s="37"/>
      <c r="BG93" s="37"/>
      <c r="BH93" s="37"/>
      <c r="BI93" s="37"/>
      <c r="BJ93" s="37"/>
      <c r="BK93" s="37"/>
      <c r="BL93" s="37"/>
      <c r="BM93" s="37"/>
      <c r="BN93" s="37"/>
      <c r="BO93" s="37"/>
    </row>
    <row r="94" spans="3:67" ht="15">
      <c r="C94" s="113"/>
      <c r="D94" s="114"/>
      <c r="P94" s="82"/>
      <c r="Q94" s="82"/>
      <c r="R94" s="38"/>
      <c r="S94" s="38"/>
      <c r="T94" s="38"/>
      <c r="U94" s="38"/>
      <c r="V94" s="38"/>
      <c r="W94" s="38"/>
      <c r="X94" s="38"/>
      <c r="Y94" s="38"/>
      <c r="Z94" s="38"/>
      <c r="AA94" s="38"/>
      <c r="AB94" s="38"/>
      <c r="AC94" s="38"/>
      <c r="AD94" s="38"/>
      <c r="AE94" s="38"/>
      <c r="AF94" s="38"/>
      <c r="AG94" s="38"/>
      <c r="AH94" s="38"/>
      <c r="AN94" s="37"/>
      <c r="AO94" s="37"/>
      <c r="AP94" s="78"/>
      <c r="AQ94" s="37"/>
      <c r="AR94" s="37"/>
      <c r="AS94" s="37"/>
      <c r="AT94" s="37"/>
      <c r="AU94" s="37"/>
      <c r="AV94" s="37"/>
      <c r="AW94" s="37"/>
      <c r="AX94" s="37"/>
      <c r="AY94" s="37"/>
      <c r="AZ94" s="78"/>
      <c r="BA94" s="37"/>
      <c r="BB94" s="78"/>
      <c r="BF94" s="37"/>
      <c r="BG94" s="37"/>
      <c r="BH94" s="37"/>
      <c r="BI94" s="37"/>
      <c r="BJ94" s="37"/>
      <c r="BK94" s="37"/>
      <c r="BL94" s="37"/>
      <c r="BM94" s="37"/>
      <c r="BN94" s="37"/>
      <c r="BO94" s="37"/>
    </row>
    <row r="95" spans="3:67" ht="15">
      <c r="C95" s="113"/>
      <c r="D95" s="114"/>
      <c r="P95" s="82"/>
      <c r="Q95" s="82"/>
      <c r="R95" s="38"/>
      <c r="S95" s="38"/>
      <c r="T95" s="38"/>
      <c r="U95" s="38"/>
      <c r="V95" s="38"/>
      <c r="W95" s="38"/>
      <c r="X95" s="38"/>
      <c r="Y95" s="38"/>
      <c r="Z95" s="38"/>
      <c r="AA95" s="38"/>
      <c r="AB95" s="38"/>
      <c r="AC95" s="38"/>
      <c r="AD95" s="38"/>
      <c r="AE95" s="38"/>
      <c r="AF95" s="38"/>
      <c r="AG95" s="38"/>
      <c r="AH95" s="38"/>
      <c r="AN95" s="37"/>
      <c r="AO95" s="37"/>
      <c r="AP95" s="78"/>
      <c r="AQ95" s="37"/>
      <c r="AR95" s="37"/>
      <c r="AS95" s="37"/>
      <c r="AT95" s="37"/>
      <c r="AU95" s="37"/>
      <c r="AV95" s="37"/>
      <c r="AW95" s="37"/>
      <c r="AX95" s="37"/>
      <c r="AY95" s="37"/>
      <c r="AZ95" s="78"/>
      <c r="BA95" s="37"/>
      <c r="BB95" s="78"/>
      <c r="BF95" s="37"/>
      <c r="BG95" s="37"/>
      <c r="BH95" s="37"/>
      <c r="BI95" s="37"/>
      <c r="BJ95" s="37"/>
      <c r="BK95" s="37"/>
      <c r="BL95" s="37"/>
      <c r="BM95" s="37"/>
      <c r="BN95" s="37"/>
      <c r="BO95" s="37"/>
    </row>
    <row r="96" spans="3:67" ht="15">
      <c r="C96" s="113"/>
      <c r="D96" s="114"/>
      <c r="P96" s="82"/>
      <c r="Q96" s="82"/>
      <c r="R96" s="38"/>
      <c r="S96" s="38"/>
      <c r="T96" s="38"/>
      <c r="U96" s="38"/>
      <c r="V96" s="38"/>
      <c r="W96" s="38"/>
      <c r="X96" s="38"/>
      <c r="Y96" s="38"/>
      <c r="Z96" s="38"/>
      <c r="AA96" s="38"/>
      <c r="AB96" s="38"/>
      <c r="AC96" s="38"/>
      <c r="AD96" s="38"/>
      <c r="AE96" s="38"/>
      <c r="AF96" s="38"/>
      <c r="AG96" s="38"/>
      <c r="AH96" s="38"/>
      <c r="AN96" s="37"/>
      <c r="AO96" s="37"/>
      <c r="AP96" s="78"/>
      <c r="AQ96" s="37"/>
      <c r="AR96" s="37"/>
      <c r="AS96" s="37"/>
      <c r="AT96" s="37"/>
      <c r="AU96" s="37"/>
      <c r="AV96" s="37"/>
      <c r="AW96" s="37"/>
      <c r="AX96" s="37"/>
      <c r="AY96" s="37"/>
      <c r="AZ96" s="78"/>
      <c r="BA96" s="37"/>
      <c r="BB96" s="78"/>
      <c r="BF96" s="37"/>
      <c r="BG96" s="37"/>
      <c r="BH96" s="37"/>
      <c r="BI96" s="37"/>
      <c r="BJ96" s="37"/>
      <c r="BK96" s="37"/>
      <c r="BL96" s="37"/>
      <c r="BM96" s="37"/>
      <c r="BN96" s="37"/>
      <c r="BO96" s="37"/>
    </row>
    <row r="97" spans="3:67" ht="15">
      <c r="C97" s="113"/>
      <c r="D97" s="114"/>
      <c r="P97" s="82"/>
      <c r="Q97" s="82"/>
      <c r="R97" s="38"/>
      <c r="S97" s="38"/>
      <c r="T97" s="38"/>
      <c r="U97" s="38"/>
      <c r="V97" s="38"/>
      <c r="W97" s="38"/>
      <c r="X97" s="38"/>
      <c r="Y97" s="38"/>
      <c r="Z97" s="38"/>
      <c r="AA97" s="38"/>
      <c r="AB97" s="38"/>
      <c r="AC97" s="38"/>
      <c r="AD97" s="38"/>
      <c r="AE97" s="38"/>
      <c r="AF97" s="38"/>
      <c r="AG97" s="38"/>
      <c r="AH97" s="38"/>
      <c r="AN97" s="37"/>
      <c r="AO97" s="37"/>
      <c r="AP97" s="78"/>
      <c r="AQ97" s="37"/>
      <c r="AR97" s="37"/>
      <c r="AS97" s="37"/>
      <c r="AT97" s="37"/>
      <c r="AU97" s="37"/>
      <c r="AV97" s="37"/>
      <c r="AW97" s="37"/>
      <c r="AX97" s="37"/>
      <c r="AY97" s="37"/>
      <c r="AZ97" s="78"/>
      <c r="BA97" s="37"/>
      <c r="BB97" s="78"/>
      <c r="BF97" s="37"/>
      <c r="BG97" s="37"/>
      <c r="BH97" s="37"/>
      <c r="BI97" s="37"/>
      <c r="BJ97" s="37"/>
      <c r="BK97" s="37"/>
      <c r="BL97" s="37"/>
      <c r="BM97" s="37"/>
      <c r="BN97" s="37"/>
      <c r="BO97" s="37"/>
    </row>
    <row r="98" spans="3:67" ht="15">
      <c r="C98" s="113"/>
      <c r="D98" s="114"/>
      <c r="P98" s="82"/>
      <c r="Q98" s="82"/>
      <c r="R98" s="38"/>
      <c r="S98" s="38"/>
      <c r="T98" s="38"/>
      <c r="U98" s="38"/>
      <c r="V98" s="38"/>
      <c r="W98" s="38"/>
      <c r="X98" s="38"/>
      <c r="Y98" s="38"/>
      <c r="Z98" s="38"/>
      <c r="AA98" s="38"/>
      <c r="AB98" s="38"/>
      <c r="AC98" s="38"/>
      <c r="AD98" s="38"/>
      <c r="AE98" s="38"/>
      <c r="AF98" s="38"/>
      <c r="AG98" s="38"/>
      <c r="AH98" s="38"/>
      <c r="AN98" s="37"/>
      <c r="AO98" s="37"/>
      <c r="AP98" s="78"/>
      <c r="AQ98" s="37"/>
      <c r="AR98" s="37"/>
      <c r="AS98" s="37"/>
      <c r="AT98" s="37"/>
      <c r="AU98" s="37"/>
      <c r="AV98" s="37"/>
      <c r="AW98" s="37"/>
      <c r="AX98" s="37"/>
      <c r="AY98" s="37"/>
      <c r="AZ98" s="78"/>
      <c r="BA98" s="37"/>
      <c r="BB98" s="78"/>
      <c r="BF98" s="37"/>
      <c r="BG98" s="37"/>
      <c r="BH98" s="37"/>
      <c r="BI98" s="37"/>
      <c r="BJ98" s="37"/>
      <c r="BK98" s="37"/>
      <c r="BL98" s="37"/>
      <c r="BM98" s="37"/>
      <c r="BN98" s="37"/>
      <c r="BO98" s="37"/>
    </row>
    <row r="99" spans="3:67" ht="15">
      <c r="C99" s="113"/>
      <c r="D99" s="114"/>
      <c r="P99" s="82"/>
      <c r="Q99" s="82"/>
      <c r="R99" s="38"/>
      <c r="S99" s="38"/>
      <c r="T99" s="38"/>
      <c r="U99" s="38"/>
      <c r="V99" s="38"/>
      <c r="W99" s="38"/>
      <c r="X99" s="38"/>
      <c r="Y99" s="38"/>
      <c r="Z99" s="38"/>
      <c r="AA99" s="38"/>
      <c r="AB99" s="38"/>
      <c r="AC99" s="38"/>
      <c r="AD99" s="38"/>
      <c r="AE99" s="38"/>
      <c r="AF99" s="38"/>
      <c r="AG99" s="38"/>
      <c r="AH99" s="38"/>
      <c r="AN99" s="37"/>
      <c r="AO99" s="37"/>
      <c r="AP99" s="78"/>
      <c r="AQ99" s="37"/>
      <c r="AR99" s="37"/>
      <c r="AS99" s="37"/>
      <c r="AT99" s="37"/>
      <c r="AU99" s="37"/>
      <c r="AV99" s="37"/>
      <c r="AW99" s="37"/>
      <c r="AX99" s="37"/>
      <c r="AY99" s="37"/>
      <c r="AZ99" s="78"/>
      <c r="BA99" s="37"/>
      <c r="BB99" s="78"/>
      <c r="BF99" s="37"/>
      <c r="BG99" s="37"/>
      <c r="BH99" s="37"/>
      <c r="BI99" s="37"/>
      <c r="BJ99" s="37"/>
      <c r="BK99" s="37"/>
      <c r="BL99" s="37"/>
      <c r="BM99" s="37"/>
      <c r="BN99" s="37"/>
      <c r="BO99" s="37"/>
    </row>
    <row r="100" spans="3:67" ht="15">
      <c r="C100" s="113"/>
      <c r="D100" s="114"/>
      <c r="P100" s="82"/>
      <c r="Q100" s="82"/>
      <c r="R100" s="38"/>
      <c r="S100" s="38"/>
      <c r="T100" s="38"/>
      <c r="U100" s="38"/>
      <c r="V100" s="38"/>
      <c r="W100" s="38"/>
      <c r="X100" s="38"/>
      <c r="Y100" s="38"/>
      <c r="Z100" s="38"/>
      <c r="AA100" s="38"/>
      <c r="AB100" s="38"/>
      <c r="AC100" s="38"/>
      <c r="AD100" s="38"/>
      <c r="AE100" s="38"/>
      <c r="AF100" s="38"/>
      <c r="AG100" s="38"/>
      <c r="AH100" s="38"/>
      <c r="AN100" s="37"/>
      <c r="AO100" s="37"/>
      <c r="AP100" s="78"/>
      <c r="AQ100" s="37"/>
      <c r="AR100" s="37"/>
      <c r="AS100" s="37"/>
      <c r="AT100" s="37"/>
      <c r="AU100" s="37"/>
      <c r="AV100" s="37"/>
      <c r="AW100" s="37"/>
      <c r="AX100" s="37"/>
      <c r="AY100" s="37"/>
      <c r="AZ100" s="78"/>
      <c r="BA100" s="37"/>
      <c r="BB100" s="78"/>
      <c r="BF100" s="37"/>
      <c r="BG100" s="37"/>
      <c r="BH100" s="37"/>
      <c r="BI100" s="37"/>
      <c r="BJ100" s="37"/>
      <c r="BK100" s="37"/>
      <c r="BL100" s="37"/>
      <c r="BM100" s="37"/>
      <c r="BN100" s="37"/>
      <c r="BO100" s="37"/>
    </row>
    <row r="101" spans="3:67" ht="15">
      <c r="C101" s="113"/>
      <c r="D101" s="114"/>
      <c r="P101" s="82"/>
      <c r="Q101" s="82"/>
      <c r="R101" s="38"/>
      <c r="S101" s="38"/>
      <c r="T101" s="38"/>
      <c r="U101" s="38"/>
      <c r="V101" s="38"/>
      <c r="W101" s="38"/>
      <c r="X101" s="38"/>
      <c r="Y101" s="38"/>
      <c r="Z101" s="38"/>
      <c r="AA101" s="38"/>
      <c r="AB101" s="38"/>
      <c r="AC101" s="38"/>
      <c r="AD101" s="38"/>
      <c r="AE101" s="38"/>
      <c r="AF101" s="38"/>
      <c r="AG101" s="38"/>
      <c r="AH101" s="38"/>
      <c r="AN101" s="37"/>
      <c r="AO101" s="37"/>
      <c r="AP101" s="78"/>
      <c r="AQ101" s="37"/>
      <c r="AR101" s="37"/>
      <c r="AS101" s="37"/>
      <c r="AT101" s="37"/>
      <c r="AU101" s="37"/>
      <c r="AV101" s="37"/>
      <c r="AW101" s="37"/>
      <c r="AX101" s="37"/>
      <c r="AY101" s="37"/>
      <c r="AZ101" s="78"/>
      <c r="BA101" s="37"/>
      <c r="BB101" s="78"/>
      <c r="BF101" s="37"/>
      <c r="BG101" s="37"/>
      <c r="BH101" s="37"/>
      <c r="BI101" s="37"/>
      <c r="BJ101" s="37"/>
      <c r="BK101" s="37"/>
      <c r="BL101" s="37"/>
      <c r="BM101" s="37"/>
      <c r="BN101" s="37"/>
      <c r="BO101" s="37"/>
    </row>
    <row r="102" spans="3:67" ht="24.75" customHeight="1">
      <c r="C102" s="113"/>
      <c r="D102" s="114"/>
      <c r="P102" s="82"/>
      <c r="Q102" s="82"/>
      <c r="R102" s="38"/>
      <c r="S102" s="38"/>
      <c r="T102" s="38"/>
      <c r="U102" s="38"/>
      <c r="V102" s="38"/>
      <c r="W102" s="38"/>
      <c r="X102" s="38"/>
      <c r="Y102" s="38"/>
      <c r="Z102" s="38"/>
      <c r="AA102" s="38"/>
      <c r="AB102" s="38"/>
      <c r="AC102" s="38"/>
      <c r="AD102" s="38"/>
      <c r="AE102" s="38"/>
      <c r="AF102" s="38"/>
      <c r="AG102" s="38"/>
      <c r="AH102" s="38"/>
      <c r="AN102" s="37"/>
      <c r="AO102" s="37"/>
      <c r="AP102" s="78"/>
      <c r="AQ102" s="37"/>
      <c r="AR102" s="37"/>
      <c r="AS102" s="37"/>
      <c r="AT102" s="37"/>
      <c r="AU102" s="37"/>
      <c r="AV102" s="37"/>
      <c r="AW102" s="37"/>
      <c r="AX102" s="37"/>
      <c r="AY102" s="37"/>
      <c r="AZ102" s="78"/>
      <c r="BA102" s="37"/>
      <c r="BB102" s="78"/>
      <c r="BF102" s="37"/>
      <c r="BG102" s="37"/>
      <c r="BH102" s="37"/>
      <c r="BI102" s="37"/>
      <c r="BJ102" s="37"/>
      <c r="BK102" s="37"/>
      <c r="BL102" s="37"/>
      <c r="BM102" s="37"/>
      <c r="BN102" s="37"/>
      <c r="BO102" s="37"/>
    </row>
    <row r="103" spans="3:67" ht="24.75" customHeight="1">
      <c r="C103" s="113"/>
      <c r="D103" s="114"/>
      <c r="P103" s="82"/>
      <c r="Q103" s="82"/>
      <c r="R103" s="38"/>
      <c r="S103" s="38"/>
      <c r="T103" s="38"/>
      <c r="U103" s="38"/>
      <c r="V103" s="38"/>
      <c r="W103" s="38"/>
      <c r="X103" s="38"/>
      <c r="Y103" s="38"/>
      <c r="Z103" s="38"/>
      <c r="AA103" s="38"/>
      <c r="AB103" s="38"/>
      <c r="AC103" s="38"/>
      <c r="AD103" s="38"/>
      <c r="AE103" s="38"/>
      <c r="AF103" s="38"/>
      <c r="AG103" s="38"/>
      <c r="AH103" s="38"/>
      <c r="AN103" s="37"/>
      <c r="AO103" s="37"/>
      <c r="AP103" s="78"/>
      <c r="AQ103" s="37"/>
      <c r="AR103" s="37"/>
      <c r="AS103" s="37"/>
      <c r="AT103" s="37"/>
      <c r="AU103" s="37"/>
      <c r="AV103" s="37"/>
      <c r="AW103" s="37"/>
      <c r="AX103" s="37"/>
      <c r="AY103" s="37"/>
      <c r="AZ103" s="78"/>
      <c r="BA103" s="37"/>
      <c r="BB103" s="78"/>
      <c r="BF103" s="37"/>
      <c r="BG103" s="37"/>
      <c r="BH103" s="37"/>
      <c r="BI103" s="37"/>
      <c r="BJ103" s="37"/>
      <c r="BK103" s="37"/>
      <c r="BL103" s="37"/>
      <c r="BM103" s="37"/>
      <c r="BN103" s="37"/>
      <c r="BO103" s="37"/>
    </row>
    <row r="104" spans="3:67" ht="24.75" customHeight="1">
      <c r="C104" s="113"/>
      <c r="D104" s="114"/>
      <c r="P104" s="82"/>
      <c r="Q104" s="82"/>
      <c r="R104" s="38"/>
      <c r="S104" s="38"/>
      <c r="T104" s="38"/>
      <c r="U104" s="38"/>
      <c r="V104" s="38"/>
      <c r="W104" s="38"/>
      <c r="X104" s="38"/>
      <c r="Y104" s="38"/>
      <c r="Z104" s="38"/>
      <c r="AA104" s="38"/>
      <c r="AB104" s="38"/>
      <c r="AC104" s="38"/>
      <c r="AD104" s="38"/>
      <c r="AE104" s="38"/>
      <c r="AF104" s="38"/>
      <c r="AG104" s="38"/>
      <c r="AH104" s="38"/>
      <c r="AN104" s="37"/>
      <c r="AO104" s="37"/>
      <c r="AP104" s="78"/>
      <c r="AQ104" s="37"/>
      <c r="AR104" s="37"/>
      <c r="AS104" s="37"/>
      <c r="AT104" s="37"/>
      <c r="AU104" s="37"/>
      <c r="AV104" s="37"/>
      <c r="AW104" s="37"/>
      <c r="AX104" s="37"/>
      <c r="AY104" s="37"/>
      <c r="AZ104" s="78"/>
      <c r="BA104" s="37"/>
      <c r="BB104" s="78"/>
      <c r="BF104" s="37"/>
      <c r="BG104" s="37"/>
      <c r="BH104" s="37"/>
      <c r="BI104" s="37"/>
      <c r="BJ104" s="37"/>
      <c r="BK104" s="37"/>
      <c r="BL104" s="37"/>
      <c r="BM104" s="37"/>
      <c r="BN104" s="37"/>
      <c r="BO104" s="37"/>
    </row>
    <row r="105" spans="3:67" ht="24.75" customHeight="1">
      <c r="C105" s="113"/>
      <c r="D105" s="114"/>
      <c r="P105" s="82"/>
      <c r="Q105" s="82"/>
      <c r="R105" s="38"/>
      <c r="S105" s="38"/>
      <c r="T105" s="38"/>
      <c r="U105" s="38"/>
      <c r="V105" s="38"/>
      <c r="W105" s="38"/>
      <c r="X105" s="38"/>
      <c r="Y105" s="38"/>
      <c r="Z105" s="38"/>
      <c r="AA105" s="38"/>
      <c r="AB105" s="38"/>
      <c r="AC105" s="38"/>
      <c r="AD105" s="38"/>
      <c r="AE105" s="38"/>
      <c r="AF105" s="38"/>
      <c r="AG105" s="38"/>
      <c r="AH105" s="38"/>
      <c r="AN105" s="37"/>
      <c r="AO105" s="37"/>
      <c r="AP105" s="78"/>
      <c r="AQ105" s="37"/>
      <c r="AR105" s="37"/>
      <c r="AS105" s="37"/>
      <c r="AT105" s="37"/>
      <c r="AU105" s="37"/>
      <c r="AV105" s="37"/>
      <c r="AW105" s="37"/>
      <c r="AX105" s="37"/>
      <c r="AY105" s="37"/>
      <c r="AZ105" s="78"/>
      <c r="BA105" s="37"/>
      <c r="BB105" s="78"/>
      <c r="BF105" s="37"/>
      <c r="BG105" s="37"/>
      <c r="BH105" s="37"/>
      <c r="BI105" s="37"/>
      <c r="BJ105" s="37"/>
      <c r="BK105" s="37"/>
      <c r="BL105" s="37"/>
      <c r="BM105" s="37"/>
      <c r="BN105" s="37"/>
      <c r="BO105" s="37"/>
    </row>
    <row r="106" spans="3:67" ht="20.100000000000001" customHeight="1">
      <c r="C106" s="113"/>
      <c r="D106" s="114"/>
      <c r="P106" s="82"/>
      <c r="Q106" s="82"/>
      <c r="R106" s="38"/>
      <c r="S106" s="38"/>
      <c r="T106" s="38"/>
      <c r="U106" s="38"/>
      <c r="V106" s="38"/>
      <c r="W106" s="38"/>
      <c r="X106" s="38"/>
      <c r="Y106" s="38"/>
      <c r="Z106" s="38"/>
      <c r="AA106" s="38"/>
      <c r="AB106" s="38"/>
      <c r="AC106" s="38"/>
      <c r="AD106" s="38"/>
      <c r="AE106" s="38"/>
      <c r="AF106" s="38"/>
      <c r="AG106" s="38"/>
      <c r="AH106" s="38"/>
      <c r="AN106" s="37"/>
      <c r="AO106" s="37"/>
      <c r="AP106" s="78"/>
      <c r="AQ106" s="37"/>
      <c r="AR106" s="37"/>
      <c r="AS106" s="37"/>
      <c r="AT106" s="37"/>
      <c r="AU106" s="37"/>
      <c r="AV106" s="37"/>
      <c r="AW106" s="37"/>
      <c r="AX106" s="37"/>
      <c r="AY106" s="37"/>
      <c r="AZ106" s="78"/>
      <c r="BA106" s="37"/>
      <c r="BB106" s="78"/>
      <c r="BF106" s="37"/>
      <c r="BG106" s="37"/>
      <c r="BH106" s="37"/>
      <c r="BI106" s="37"/>
      <c r="BJ106" s="37"/>
      <c r="BK106" s="37"/>
      <c r="BL106" s="37"/>
      <c r="BM106" s="37"/>
      <c r="BN106" s="37"/>
      <c r="BO106" s="37"/>
    </row>
    <row r="107" spans="3:67" ht="20.100000000000001" customHeight="1">
      <c r="C107" s="113"/>
      <c r="D107" s="114"/>
      <c r="P107" s="82"/>
      <c r="Q107" s="82"/>
      <c r="R107" s="38"/>
      <c r="S107" s="38"/>
      <c r="T107" s="38"/>
      <c r="U107" s="38"/>
      <c r="V107" s="38"/>
      <c r="W107" s="38"/>
      <c r="X107" s="38"/>
      <c r="Y107" s="38"/>
      <c r="Z107" s="38"/>
      <c r="AA107" s="38"/>
      <c r="AB107" s="38"/>
      <c r="AC107" s="38"/>
      <c r="AD107" s="38"/>
      <c r="AE107" s="38"/>
      <c r="AF107" s="38"/>
      <c r="AG107" s="38"/>
      <c r="AH107" s="38"/>
      <c r="AN107" s="37"/>
      <c r="AO107" s="37"/>
      <c r="AP107" s="78"/>
      <c r="AQ107" s="37"/>
      <c r="AR107" s="37"/>
      <c r="AS107" s="37"/>
      <c r="AT107" s="37"/>
      <c r="AU107" s="37"/>
      <c r="AV107" s="37"/>
      <c r="AW107" s="37"/>
      <c r="AX107" s="37"/>
      <c r="AY107" s="37"/>
      <c r="AZ107" s="78"/>
      <c r="BA107" s="37"/>
      <c r="BB107" s="78"/>
      <c r="BF107" s="37"/>
      <c r="BG107" s="37"/>
      <c r="BH107" s="37"/>
      <c r="BI107" s="37"/>
      <c r="BJ107" s="37"/>
      <c r="BK107" s="37"/>
      <c r="BL107" s="37"/>
      <c r="BM107" s="37"/>
      <c r="BN107" s="37"/>
      <c r="BO107" s="37"/>
    </row>
    <row r="108" spans="3:67" ht="20.100000000000001" customHeight="1">
      <c r="C108" s="113"/>
      <c r="D108" s="114"/>
      <c r="P108" s="82"/>
      <c r="Q108" s="82"/>
      <c r="R108" s="38"/>
      <c r="S108" s="38"/>
      <c r="T108" s="38"/>
      <c r="U108" s="38"/>
      <c r="V108" s="38"/>
      <c r="W108" s="38"/>
      <c r="X108" s="38"/>
      <c r="Y108" s="38"/>
      <c r="Z108" s="38"/>
      <c r="AA108" s="38"/>
      <c r="AB108" s="38"/>
      <c r="AC108" s="38"/>
      <c r="AD108" s="38"/>
      <c r="AE108" s="38"/>
      <c r="AF108" s="38"/>
      <c r="AG108" s="38"/>
      <c r="AH108" s="38"/>
      <c r="AN108" s="37"/>
      <c r="AO108" s="37"/>
      <c r="AP108" s="78"/>
      <c r="AQ108" s="37"/>
      <c r="AR108" s="37"/>
      <c r="AS108" s="37"/>
      <c r="AT108" s="37"/>
      <c r="AU108" s="37"/>
      <c r="AV108" s="37"/>
      <c r="AW108" s="37"/>
      <c r="AX108" s="37"/>
      <c r="AY108" s="37"/>
      <c r="AZ108" s="78"/>
      <c r="BA108" s="37"/>
      <c r="BB108" s="78"/>
      <c r="BF108" s="37"/>
      <c r="BG108" s="37"/>
      <c r="BH108" s="37"/>
      <c r="BI108" s="37"/>
      <c r="BJ108" s="37"/>
      <c r="BK108" s="37"/>
      <c r="BL108" s="37"/>
      <c r="BM108" s="37"/>
      <c r="BN108" s="37"/>
      <c r="BO108" s="37"/>
    </row>
    <row r="109" spans="3:67" ht="20.100000000000001" customHeight="1">
      <c r="C109" s="113"/>
      <c r="D109" s="114"/>
      <c r="P109" s="82"/>
      <c r="Q109" s="82"/>
      <c r="R109" s="38"/>
      <c r="S109" s="38"/>
      <c r="T109" s="38"/>
      <c r="U109" s="38"/>
      <c r="V109" s="38"/>
      <c r="W109" s="38"/>
      <c r="X109" s="38"/>
      <c r="Y109" s="38"/>
      <c r="Z109" s="38"/>
      <c r="AA109" s="38"/>
      <c r="AB109" s="38"/>
      <c r="AC109" s="38"/>
      <c r="AD109" s="38"/>
      <c r="AE109" s="38"/>
      <c r="AF109" s="38"/>
      <c r="AG109" s="38"/>
      <c r="AH109" s="38"/>
      <c r="AN109" s="37"/>
      <c r="AO109" s="37"/>
      <c r="AP109" s="78"/>
      <c r="AQ109" s="37"/>
      <c r="AR109" s="37"/>
      <c r="AS109" s="37"/>
      <c r="AT109" s="37"/>
      <c r="AU109" s="37"/>
      <c r="AV109" s="37"/>
      <c r="AW109" s="37"/>
      <c r="AX109" s="37"/>
      <c r="AY109" s="37"/>
      <c r="AZ109" s="78"/>
      <c r="BA109" s="37"/>
      <c r="BB109" s="78"/>
      <c r="BF109" s="37"/>
      <c r="BG109" s="37"/>
      <c r="BH109" s="37"/>
      <c r="BI109" s="37"/>
      <c r="BJ109" s="37"/>
      <c r="BK109" s="37"/>
      <c r="BL109" s="37"/>
      <c r="BM109" s="37"/>
      <c r="BN109" s="37"/>
      <c r="BO109" s="37"/>
    </row>
    <row r="110" spans="3:67" ht="20.100000000000001" customHeight="1">
      <c r="C110" s="113"/>
      <c r="D110" s="114"/>
      <c r="P110" s="82"/>
      <c r="Q110" s="82"/>
      <c r="R110" s="38"/>
      <c r="S110" s="38"/>
      <c r="T110" s="38"/>
      <c r="U110" s="38"/>
      <c r="V110" s="38"/>
      <c r="W110" s="38"/>
      <c r="X110" s="38"/>
      <c r="Y110" s="38"/>
      <c r="Z110" s="38"/>
      <c r="AA110" s="38"/>
      <c r="AB110" s="38"/>
      <c r="AC110" s="38"/>
      <c r="AD110" s="38"/>
      <c r="AE110" s="38"/>
      <c r="AF110" s="38"/>
      <c r="AG110" s="38"/>
      <c r="AH110" s="38"/>
      <c r="AN110" s="37"/>
      <c r="AO110" s="37"/>
      <c r="AP110" s="78"/>
      <c r="AQ110" s="37"/>
      <c r="AR110" s="37"/>
      <c r="AS110" s="37"/>
      <c r="AT110" s="37"/>
      <c r="AU110" s="37"/>
      <c r="AV110" s="37"/>
      <c r="AW110" s="37"/>
      <c r="AX110" s="37"/>
      <c r="AY110" s="37"/>
      <c r="AZ110" s="78"/>
      <c r="BA110" s="37"/>
      <c r="BB110" s="78"/>
      <c r="BF110" s="37"/>
      <c r="BG110" s="37"/>
      <c r="BH110" s="37"/>
      <c r="BI110" s="37"/>
      <c r="BJ110" s="37"/>
      <c r="BK110" s="37"/>
      <c r="BL110" s="37"/>
      <c r="BM110" s="37"/>
      <c r="BN110" s="37"/>
      <c r="BO110" s="37"/>
    </row>
    <row r="111" spans="3:67" ht="20.100000000000001" customHeight="1">
      <c r="C111" s="113"/>
      <c r="D111" s="114"/>
      <c r="P111" s="82"/>
      <c r="Q111" s="82"/>
      <c r="R111" s="38"/>
      <c r="S111" s="38"/>
      <c r="T111" s="38"/>
      <c r="U111" s="38"/>
      <c r="V111" s="38"/>
      <c r="W111" s="38"/>
      <c r="X111" s="38"/>
      <c r="Y111" s="38"/>
      <c r="Z111" s="38"/>
      <c r="AA111" s="38"/>
      <c r="AB111" s="38"/>
      <c r="AC111" s="38"/>
      <c r="AD111" s="38"/>
      <c r="AE111" s="38"/>
      <c r="AF111" s="38"/>
      <c r="AG111" s="38"/>
      <c r="AH111" s="38"/>
      <c r="AN111" s="37"/>
      <c r="AO111" s="37"/>
      <c r="AP111" s="78"/>
      <c r="AQ111" s="37"/>
      <c r="AR111" s="37"/>
      <c r="AS111" s="37"/>
      <c r="AT111" s="37"/>
      <c r="AU111" s="37"/>
      <c r="AV111" s="37"/>
      <c r="AW111" s="37"/>
      <c r="AX111" s="37"/>
      <c r="AY111" s="37"/>
      <c r="AZ111" s="78"/>
      <c r="BA111" s="37"/>
      <c r="BB111" s="78"/>
      <c r="BF111" s="37"/>
      <c r="BG111" s="37"/>
      <c r="BH111" s="37"/>
      <c r="BI111" s="37"/>
      <c r="BJ111" s="37"/>
      <c r="BK111" s="37"/>
      <c r="BL111" s="37"/>
      <c r="BM111" s="37"/>
      <c r="BN111" s="37"/>
      <c r="BO111" s="37"/>
    </row>
    <row r="112" spans="3:67" ht="20.100000000000001" customHeight="1">
      <c r="C112" s="113"/>
      <c r="D112" s="114"/>
      <c r="P112" s="82"/>
      <c r="Q112" s="82"/>
      <c r="R112" s="38"/>
      <c r="S112" s="38"/>
      <c r="T112" s="38"/>
      <c r="U112" s="38"/>
      <c r="V112" s="38"/>
      <c r="W112" s="38"/>
      <c r="X112" s="38"/>
      <c r="Y112" s="38"/>
      <c r="Z112" s="38"/>
      <c r="AA112" s="38"/>
      <c r="AB112" s="38"/>
      <c r="AC112" s="38"/>
      <c r="AD112" s="38"/>
      <c r="AE112" s="38"/>
      <c r="AF112" s="38"/>
      <c r="AG112" s="38"/>
      <c r="AH112" s="38"/>
      <c r="AN112" s="37"/>
      <c r="AO112" s="37"/>
      <c r="AP112" s="78"/>
      <c r="AQ112" s="37"/>
      <c r="AR112" s="37"/>
      <c r="AS112" s="37"/>
      <c r="AT112" s="37"/>
      <c r="AU112" s="37"/>
      <c r="AV112" s="37"/>
      <c r="AW112" s="37"/>
      <c r="AX112" s="37"/>
      <c r="AY112" s="37"/>
      <c r="AZ112" s="78"/>
      <c r="BA112" s="37"/>
      <c r="BB112" s="78"/>
      <c r="BF112" s="37"/>
      <c r="BG112" s="37"/>
      <c r="BH112" s="37"/>
      <c r="BI112" s="37"/>
      <c r="BJ112" s="37"/>
      <c r="BK112" s="37"/>
      <c r="BL112" s="37"/>
      <c r="BM112" s="37"/>
      <c r="BN112" s="37"/>
      <c r="BO112" s="37"/>
    </row>
    <row r="113" spans="3:67" ht="20.100000000000001" customHeight="1">
      <c r="C113" s="113"/>
      <c r="D113" s="114"/>
      <c r="P113" s="82"/>
      <c r="Q113" s="82"/>
      <c r="R113" s="38"/>
      <c r="S113" s="38"/>
      <c r="T113" s="38"/>
      <c r="U113" s="38"/>
      <c r="V113" s="38"/>
      <c r="W113" s="38"/>
      <c r="X113" s="38"/>
      <c r="Y113" s="38"/>
      <c r="Z113" s="38"/>
      <c r="AA113" s="38"/>
      <c r="AB113" s="38"/>
      <c r="AC113" s="38"/>
      <c r="AD113" s="38"/>
      <c r="AE113" s="38"/>
      <c r="AF113" s="38"/>
      <c r="AG113" s="38"/>
      <c r="AH113" s="38"/>
      <c r="AN113" s="37"/>
      <c r="AO113" s="37"/>
      <c r="AP113" s="78"/>
      <c r="AQ113" s="37"/>
      <c r="AR113" s="37"/>
      <c r="AS113" s="37"/>
      <c r="AT113" s="37"/>
      <c r="AU113" s="37"/>
      <c r="AV113" s="37"/>
      <c r="AW113" s="37"/>
      <c r="AX113" s="37"/>
      <c r="AY113" s="37"/>
      <c r="AZ113" s="78"/>
      <c r="BA113" s="37"/>
      <c r="BB113" s="78"/>
      <c r="BF113" s="37"/>
      <c r="BG113" s="37"/>
      <c r="BH113" s="37"/>
      <c r="BI113" s="37"/>
      <c r="BJ113" s="37"/>
      <c r="BK113" s="37"/>
      <c r="BL113" s="37"/>
      <c r="BM113" s="37"/>
      <c r="BN113" s="37"/>
      <c r="BO113" s="37"/>
    </row>
    <row r="114" spans="3:67" ht="20.100000000000001" customHeight="1">
      <c r="C114" s="113"/>
      <c r="D114" s="114"/>
      <c r="P114" s="82"/>
      <c r="Q114" s="82"/>
      <c r="R114" s="38"/>
      <c r="S114" s="38"/>
      <c r="T114" s="38"/>
      <c r="U114" s="38"/>
      <c r="V114" s="38"/>
      <c r="W114" s="38"/>
      <c r="X114" s="38"/>
      <c r="Y114" s="38"/>
      <c r="Z114" s="38"/>
      <c r="AA114" s="38"/>
      <c r="AB114" s="38"/>
      <c r="AC114" s="38"/>
      <c r="AD114" s="38"/>
      <c r="AE114" s="38"/>
      <c r="AF114" s="38"/>
      <c r="AG114" s="38"/>
      <c r="AH114" s="38"/>
      <c r="AN114" s="37"/>
      <c r="AO114" s="37"/>
      <c r="AP114" s="78"/>
      <c r="AQ114" s="37"/>
      <c r="AR114" s="37"/>
      <c r="AS114" s="37"/>
      <c r="AT114" s="37"/>
      <c r="AU114" s="37"/>
      <c r="AV114" s="37"/>
      <c r="AW114" s="37"/>
      <c r="AX114" s="37"/>
      <c r="AY114" s="37"/>
      <c r="AZ114" s="78"/>
      <c r="BA114" s="37"/>
      <c r="BB114" s="78"/>
      <c r="BF114" s="37"/>
      <c r="BG114" s="37"/>
      <c r="BH114" s="37"/>
      <c r="BI114" s="37"/>
      <c r="BJ114" s="37"/>
      <c r="BK114" s="37"/>
      <c r="BL114" s="37"/>
      <c r="BM114" s="37"/>
      <c r="BN114" s="37"/>
      <c r="BO114" s="37"/>
    </row>
    <row r="115" spans="3:67" ht="20.100000000000001" customHeight="1">
      <c r="C115" s="113"/>
      <c r="D115" s="114"/>
      <c r="P115" s="82"/>
      <c r="Q115" s="82"/>
      <c r="R115" s="38"/>
      <c r="S115" s="38"/>
      <c r="T115" s="38"/>
      <c r="U115" s="38"/>
      <c r="V115" s="38"/>
      <c r="W115" s="38"/>
      <c r="X115" s="38"/>
      <c r="Y115" s="38"/>
      <c r="Z115" s="38"/>
      <c r="AA115" s="38"/>
      <c r="AB115" s="38"/>
      <c r="AC115" s="38"/>
      <c r="AD115" s="38"/>
      <c r="AE115" s="38"/>
      <c r="AF115" s="38"/>
      <c r="AG115" s="38"/>
      <c r="AH115" s="38"/>
      <c r="AN115" s="37"/>
      <c r="AO115" s="37"/>
      <c r="AP115" s="78"/>
      <c r="AQ115" s="37"/>
      <c r="AR115" s="37"/>
      <c r="AS115" s="37"/>
      <c r="AT115" s="37"/>
      <c r="AU115" s="37"/>
      <c r="AV115" s="37"/>
      <c r="AW115" s="37"/>
      <c r="AX115" s="37"/>
      <c r="AY115" s="37"/>
      <c r="AZ115" s="78"/>
      <c r="BA115" s="37"/>
      <c r="BB115" s="78"/>
      <c r="BF115" s="37"/>
      <c r="BG115" s="37"/>
      <c r="BH115" s="37"/>
      <c r="BI115" s="37"/>
      <c r="BJ115" s="37"/>
      <c r="BK115" s="37"/>
      <c r="BL115" s="37"/>
      <c r="BM115" s="37"/>
      <c r="BN115" s="37"/>
      <c r="BO115" s="37"/>
    </row>
    <row r="116" spans="3:67" ht="20.100000000000001" customHeight="1">
      <c r="C116" s="113"/>
      <c r="D116" s="114"/>
      <c r="P116" s="82"/>
      <c r="Q116" s="82"/>
      <c r="R116" s="38"/>
      <c r="S116" s="38"/>
      <c r="T116" s="38"/>
      <c r="U116" s="38"/>
      <c r="V116" s="38"/>
      <c r="W116" s="38"/>
      <c r="X116" s="38"/>
      <c r="Y116" s="38"/>
      <c r="Z116" s="38"/>
      <c r="AA116" s="38"/>
      <c r="AB116" s="38"/>
      <c r="AC116" s="38"/>
      <c r="AD116" s="38"/>
      <c r="AE116" s="38"/>
      <c r="AF116" s="38"/>
      <c r="AG116" s="38"/>
      <c r="AH116" s="38"/>
      <c r="AN116" s="37"/>
      <c r="AO116" s="37"/>
      <c r="AP116" s="78"/>
      <c r="AQ116" s="37"/>
      <c r="AR116" s="37"/>
      <c r="AS116" s="37"/>
      <c r="AT116" s="37"/>
      <c r="AU116" s="37"/>
      <c r="AV116" s="37"/>
      <c r="AW116" s="37"/>
      <c r="AX116" s="37"/>
      <c r="AY116" s="37"/>
      <c r="AZ116" s="78"/>
      <c r="BA116" s="37"/>
      <c r="BB116" s="78"/>
      <c r="BF116" s="37"/>
      <c r="BG116" s="37"/>
      <c r="BH116" s="37"/>
      <c r="BI116" s="37"/>
      <c r="BJ116" s="37"/>
      <c r="BK116" s="37"/>
      <c r="BL116" s="37"/>
      <c r="BM116" s="37"/>
      <c r="BN116" s="37"/>
      <c r="BO116" s="37"/>
    </row>
    <row r="117" spans="3:67" ht="20.100000000000001" customHeight="1">
      <c r="C117" s="113"/>
      <c r="D117" s="114"/>
      <c r="P117" s="82"/>
      <c r="Q117" s="82"/>
      <c r="R117" s="38"/>
      <c r="S117" s="38"/>
      <c r="T117" s="38"/>
      <c r="U117" s="38"/>
      <c r="V117" s="38"/>
      <c r="W117" s="38"/>
      <c r="X117" s="38"/>
      <c r="Y117" s="38"/>
      <c r="Z117" s="38"/>
      <c r="AA117" s="38"/>
      <c r="AB117" s="38"/>
      <c r="AC117" s="38"/>
      <c r="AD117" s="38"/>
      <c r="AE117" s="38"/>
      <c r="AF117" s="38"/>
      <c r="AG117" s="38"/>
      <c r="AH117" s="38"/>
      <c r="AN117" s="37"/>
      <c r="AO117" s="37"/>
      <c r="AP117" s="78"/>
      <c r="AQ117" s="37"/>
      <c r="AR117" s="37"/>
      <c r="AS117" s="37"/>
      <c r="AT117" s="37"/>
      <c r="AU117" s="37"/>
      <c r="AV117" s="37"/>
      <c r="AW117" s="37"/>
      <c r="AX117" s="37"/>
      <c r="AY117" s="37"/>
      <c r="AZ117" s="78"/>
      <c r="BA117" s="37"/>
      <c r="BB117" s="78"/>
      <c r="BF117" s="37"/>
      <c r="BG117" s="37"/>
      <c r="BH117" s="37"/>
      <c r="BI117" s="37"/>
      <c r="BJ117" s="37"/>
      <c r="BK117" s="37"/>
      <c r="BL117" s="37"/>
      <c r="BM117" s="37"/>
      <c r="BN117" s="37"/>
      <c r="BO117" s="37"/>
    </row>
    <row r="118" spans="3:67" ht="20.100000000000001" customHeight="1">
      <c r="C118" s="113"/>
      <c r="D118" s="114"/>
      <c r="P118" s="82"/>
      <c r="Q118" s="82"/>
      <c r="R118" s="38"/>
      <c r="S118" s="38"/>
      <c r="T118" s="38"/>
      <c r="U118" s="38"/>
      <c r="V118" s="38"/>
      <c r="W118" s="38"/>
      <c r="X118" s="38"/>
      <c r="Y118" s="38"/>
      <c r="Z118" s="38"/>
      <c r="AA118" s="38"/>
      <c r="AB118" s="38"/>
      <c r="AC118" s="38"/>
      <c r="AD118" s="38"/>
      <c r="AE118" s="38"/>
      <c r="AF118" s="38"/>
      <c r="AG118" s="38"/>
      <c r="AH118" s="38"/>
      <c r="AN118" s="37"/>
      <c r="AO118" s="37"/>
      <c r="AP118" s="78"/>
      <c r="AQ118" s="37"/>
      <c r="AR118" s="37"/>
      <c r="AS118" s="37"/>
      <c r="AT118" s="37"/>
      <c r="AU118" s="37"/>
      <c r="AV118" s="37"/>
      <c r="AW118" s="37"/>
      <c r="AX118" s="37"/>
      <c r="AY118" s="37"/>
      <c r="AZ118" s="78"/>
      <c r="BA118" s="37"/>
      <c r="BB118" s="78"/>
      <c r="BF118" s="37"/>
      <c r="BG118" s="37"/>
      <c r="BH118" s="37"/>
      <c r="BI118" s="37"/>
      <c r="BJ118" s="37"/>
      <c r="BK118" s="37"/>
      <c r="BL118" s="37"/>
      <c r="BM118" s="37"/>
      <c r="BN118" s="37"/>
      <c r="BO118" s="37"/>
    </row>
    <row r="119" spans="3:67" ht="20.100000000000001" customHeight="1">
      <c r="C119" s="113"/>
      <c r="D119" s="114"/>
      <c r="P119" s="82"/>
      <c r="Q119" s="82"/>
      <c r="R119" s="38"/>
      <c r="S119" s="38"/>
      <c r="T119" s="38"/>
      <c r="U119" s="38"/>
      <c r="V119" s="38"/>
      <c r="W119" s="38"/>
      <c r="X119" s="38"/>
      <c r="Y119" s="38"/>
      <c r="Z119" s="38"/>
      <c r="AA119" s="38"/>
      <c r="AB119" s="38"/>
      <c r="AC119" s="38"/>
      <c r="AD119" s="38"/>
      <c r="AE119" s="38"/>
      <c r="AF119" s="38"/>
      <c r="AG119" s="38"/>
      <c r="AH119" s="38"/>
      <c r="AN119" s="37"/>
      <c r="AO119" s="37"/>
      <c r="AP119" s="78"/>
      <c r="AQ119" s="37"/>
      <c r="AR119" s="37"/>
      <c r="AS119" s="37"/>
      <c r="AT119" s="37"/>
      <c r="AU119" s="37"/>
      <c r="AV119" s="37"/>
      <c r="AW119" s="37"/>
      <c r="AX119" s="37"/>
      <c r="AY119" s="37"/>
      <c r="AZ119" s="78"/>
      <c r="BA119" s="37"/>
      <c r="BB119" s="78"/>
      <c r="BF119" s="37"/>
      <c r="BG119" s="37"/>
      <c r="BH119" s="37"/>
      <c r="BI119" s="37"/>
      <c r="BJ119" s="37"/>
      <c r="BK119" s="37"/>
      <c r="BL119" s="37"/>
      <c r="BM119" s="37"/>
      <c r="BN119" s="37"/>
      <c r="BO119" s="37"/>
    </row>
    <row r="120" spans="3:67" ht="20.100000000000001" customHeight="1">
      <c r="C120" s="113"/>
      <c r="D120" s="114"/>
      <c r="P120" s="82"/>
      <c r="Q120" s="82"/>
      <c r="R120" s="38"/>
      <c r="S120" s="38"/>
      <c r="T120" s="38"/>
      <c r="U120" s="38"/>
      <c r="V120" s="38"/>
      <c r="W120" s="38"/>
      <c r="X120" s="38"/>
      <c r="Y120" s="38"/>
      <c r="Z120" s="38"/>
      <c r="AA120" s="38"/>
      <c r="AB120" s="38"/>
      <c r="AC120" s="38"/>
      <c r="AD120" s="38"/>
      <c r="AE120" s="38"/>
      <c r="AF120" s="38"/>
      <c r="AG120" s="38"/>
      <c r="AH120" s="38"/>
      <c r="AN120" s="37"/>
      <c r="AO120" s="37"/>
      <c r="AP120" s="78"/>
      <c r="AQ120" s="37"/>
      <c r="AR120" s="37"/>
      <c r="AS120" s="37"/>
      <c r="AT120" s="37"/>
      <c r="AU120" s="37"/>
      <c r="AV120" s="37"/>
      <c r="AW120" s="37"/>
      <c r="AX120" s="37"/>
      <c r="AY120" s="37"/>
      <c r="AZ120" s="78"/>
      <c r="BA120" s="37"/>
      <c r="BB120" s="78"/>
      <c r="BF120" s="37"/>
      <c r="BG120" s="37"/>
      <c r="BH120" s="37"/>
      <c r="BI120" s="37"/>
      <c r="BJ120" s="37"/>
      <c r="BK120" s="37"/>
      <c r="BL120" s="37"/>
      <c r="BM120" s="37"/>
      <c r="BN120" s="37"/>
      <c r="BO120" s="37"/>
    </row>
    <row r="121" spans="3:67" ht="20.100000000000001" customHeight="1">
      <c r="C121" s="113"/>
      <c r="D121" s="114"/>
      <c r="P121" s="82"/>
      <c r="Q121" s="82"/>
      <c r="R121" s="38"/>
      <c r="S121" s="38"/>
      <c r="T121" s="38"/>
      <c r="U121" s="38"/>
      <c r="V121" s="38"/>
      <c r="W121" s="38"/>
      <c r="X121" s="38"/>
      <c r="Y121" s="38"/>
      <c r="Z121" s="38"/>
      <c r="AA121" s="38"/>
      <c r="AB121" s="38"/>
      <c r="AC121" s="38"/>
      <c r="AD121" s="38"/>
      <c r="AE121" s="38"/>
      <c r="AF121" s="38"/>
      <c r="AG121" s="38"/>
      <c r="AH121" s="38"/>
      <c r="AN121" s="37"/>
      <c r="AO121" s="37"/>
      <c r="AP121" s="78"/>
      <c r="AQ121" s="37"/>
      <c r="AR121" s="37"/>
      <c r="AS121" s="37"/>
      <c r="AT121" s="37"/>
      <c r="AU121" s="37"/>
      <c r="AV121" s="37"/>
      <c r="AW121" s="37"/>
      <c r="AX121" s="37"/>
      <c r="AY121" s="37"/>
      <c r="AZ121" s="78"/>
      <c r="BA121" s="37"/>
      <c r="BB121" s="78"/>
      <c r="BF121" s="37"/>
      <c r="BG121" s="37"/>
      <c r="BH121" s="37"/>
      <c r="BI121" s="37"/>
      <c r="BJ121" s="37"/>
      <c r="BK121" s="37"/>
      <c r="BL121" s="37"/>
      <c r="BM121" s="37"/>
      <c r="BN121" s="37"/>
      <c r="BO121" s="37"/>
    </row>
    <row r="122" spans="3:67" ht="20.100000000000001" customHeight="1">
      <c r="C122" s="113"/>
      <c r="D122" s="114"/>
      <c r="P122" s="82"/>
      <c r="Q122" s="82"/>
      <c r="R122" s="38"/>
      <c r="S122" s="38"/>
      <c r="T122" s="38"/>
      <c r="U122" s="38"/>
      <c r="V122" s="38"/>
      <c r="W122" s="38"/>
      <c r="X122" s="38"/>
      <c r="Y122" s="38"/>
      <c r="Z122" s="38"/>
      <c r="AA122" s="38"/>
      <c r="AB122" s="38"/>
      <c r="AC122" s="38"/>
      <c r="AD122" s="38"/>
      <c r="AE122" s="38"/>
      <c r="AF122" s="38"/>
      <c r="AG122" s="38"/>
      <c r="AH122" s="38"/>
      <c r="AN122" s="37"/>
      <c r="AO122" s="37"/>
      <c r="AP122" s="78"/>
      <c r="AQ122" s="37"/>
      <c r="AR122" s="37"/>
      <c r="AS122" s="37"/>
      <c r="AT122" s="37"/>
      <c r="AU122" s="37"/>
      <c r="AV122" s="37"/>
      <c r="AW122" s="37"/>
      <c r="AX122" s="37"/>
      <c r="AY122" s="37"/>
      <c r="AZ122" s="78"/>
      <c r="BA122" s="37"/>
      <c r="BB122" s="78"/>
      <c r="BF122" s="37"/>
      <c r="BG122" s="37"/>
      <c r="BH122" s="37"/>
      <c r="BI122" s="37"/>
      <c r="BJ122" s="37"/>
      <c r="BK122" s="37"/>
      <c r="BL122" s="37"/>
      <c r="BM122" s="37"/>
      <c r="BN122" s="37"/>
      <c r="BO122" s="37"/>
    </row>
    <row r="123" spans="3:67" ht="20.100000000000001" customHeight="1">
      <c r="C123" s="113"/>
      <c r="D123" s="114"/>
      <c r="P123" s="82"/>
      <c r="Q123" s="82"/>
      <c r="R123" s="38"/>
      <c r="S123" s="38"/>
      <c r="T123" s="38"/>
      <c r="U123" s="38"/>
      <c r="V123" s="38"/>
      <c r="W123" s="38"/>
      <c r="X123" s="38"/>
      <c r="Y123" s="38"/>
      <c r="Z123" s="38"/>
      <c r="AA123" s="38"/>
      <c r="AB123" s="38"/>
      <c r="AC123" s="38"/>
      <c r="AD123" s="38"/>
      <c r="AE123" s="38"/>
      <c r="AF123" s="38"/>
      <c r="AG123" s="38"/>
      <c r="AH123" s="38"/>
      <c r="AN123" s="37"/>
      <c r="AO123" s="37"/>
      <c r="AP123" s="78"/>
      <c r="AQ123" s="37"/>
      <c r="AR123" s="37"/>
      <c r="AS123" s="37"/>
      <c r="AT123" s="37"/>
      <c r="AU123" s="37"/>
      <c r="AV123" s="37"/>
      <c r="AW123" s="37"/>
      <c r="AX123" s="37"/>
      <c r="AY123" s="37"/>
      <c r="AZ123" s="78"/>
      <c r="BA123" s="37"/>
      <c r="BB123" s="78"/>
      <c r="BF123" s="37"/>
      <c r="BG123" s="37"/>
      <c r="BH123" s="37"/>
      <c r="BI123" s="37"/>
      <c r="BJ123" s="37"/>
      <c r="BK123" s="37"/>
      <c r="BL123" s="37"/>
      <c r="BM123" s="37"/>
      <c r="BN123" s="37"/>
      <c r="BO123" s="37"/>
    </row>
    <row r="124" spans="3:67" ht="20.100000000000001" customHeight="1">
      <c r="C124" s="113"/>
      <c r="D124" s="114"/>
      <c r="P124" s="82"/>
      <c r="Q124" s="82"/>
      <c r="R124" s="38"/>
      <c r="S124" s="38"/>
      <c r="T124" s="38"/>
      <c r="U124" s="38"/>
      <c r="V124" s="38"/>
      <c r="W124" s="38"/>
      <c r="X124" s="38"/>
      <c r="Y124" s="38"/>
      <c r="Z124" s="38"/>
      <c r="AA124" s="38"/>
      <c r="AB124" s="38"/>
      <c r="AC124" s="38"/>
      <c r="AD124" s="38"/>
      <c r="AE124" s="38"/>
      <c r="AF124" s="38"/>
      <c r="AG124" s="38"/>
      <c r="AH124" s="38"/>
      <c r="AN124" s="37"/>
      <c r="AO124" s="37"/>
      <c r="AP124" s="78"/>
      <c r="AQ124" s="37"/>
      <c r="AR124" s="37"/>
      <c r="AS124" s="37"/>
      <c r="AT124" s="37"/>
      <c r="AU124" s="37"/>
      <c r="AV124" s="37"/>
      <c r="AW124" s="37"/>
      <c r="AX124" s="37"/>
      <c r="AY124" s="37"/>
      <c r="AZ124" s="78"/>
      <c r="BA124" s="37"/>
      <c r="BB124" s="78"/>
      <c r="BF124" s="37"/>
      <c r="BG124" s="37"/>
      <c r="BH124" s="37"/>
      <c r="BI124" s="37"/>
      <c r="BJ124" s="37"/>
      <c r="BK124" s="37"/>
      <c r="BL124" s="37"/>
      <c r="BM124" s="37"/>
      <c r="BN124" s="37"/>
      <c r="BO124" s="37"/>
    </row>
    <row r="125" spans="3:67" ht="20.100000000000001" customHeight="1">
      <c r="C125" s="113"/>
      <c r="D125" s="114"/>
      <c r="P125" s="82"/>
      <c r="Q125" s="82"/>
      <c r="R125" s="38"/>
      <c r="S125" s="38"/>
      <c r="T125" s="38"/>
      <c r="U125" s="38"/>
      <c r="V125" s="38"/>
      <c r="W125" s="38"/>
      <c r="X125" s="38"/>
      <c r="Y125" s="38"/>
      <c r="Z125" s="38"/>
      <c r="AA125" s="38"/>
      <c r="AB125" s="38"/>
      <c r="AC125" s="38"/>
      <c r="AD125" s="38"/>
      <c r="AE125" s="38"/>
      <c r="AF125" s="38"/>
      <c r="AG125" s="38"/>
      <c r="AH125" s="38"/>
      <c r="AN125" s="37"/>
      <c r="AO125" s="37"/>
      <c r="AP125" s="78"/>
      <c r="AQ125" s="37"/>
      <c r="AR125" s="37"/>
      <c r="AS125" s="37"/>
      <c r="AT125" s="37"/>
      <c r="AU125" s="37"/>
      <c r="AV125" s="37"/>
      <c r="AW125" s="37"/>
      <c r="AX125" s="37"/>
      <c r="AY125" s="37"/>
      <c r="AZ125" s="78"/>
      <c r="BA125" s="37"/>
      <c r="BB125" s="78"/>
      <c r="BF125" s="37"/>
      <c r="BG125" s="37"/>
      <c r="BH125" s="37"/>
      <c r="BI125" s="37"/>
      <c r="BJ125" s="37"/>
      <c r="BK125" s="37"/>
      <c r="BL125" s="37"/>
      <c r="BM125" s="37"/>
      <c r="BN125" s="37"/>
      <c r="BO125" s="37"/>
    </row>
    <row r="126" spans="3:67" ht="20.100000000000001" customHeight="1">
      <c r="C126" s="113"/>
      <c r="D126" s="114"/>
      <c r="P126" s="82"/>
      <c r="Q126" s="82"/>
      <c r="R126" s="38"/>
      <c r="S126" s="38"/>
      <c r="T126" s="38"/>
      <c r="U126" s="38"/>
      <c r="V126" s="38"/>
      <c r="W126" s="38"/>
      <c r="X126" s="38"/>
      <c r="Y126" s="38"/>
      <c r="Z126" s="38"/>
      <c r="AA126" s="38"/>
      <c r="AB126" s="38"/>
      <c r="AC126" s="38"/>
      <c r="AD126" s="38"/>
      <c r="AE126" s="38"/>
      <c r="AF126" s="38"/>
      <c r="AG126" s="38"/>
      <c r="AH126" s="38"/>
      <c r="AN126" s="37"/>
      <c r="AO126" s="37"/>
      <c r="AP126" s="78"/>
      <c r="AQ126" s="37"/>
      <c r="AR126" s="37"/>
      <c r="AS126" s="37"/>
      <c r="AT126" s="37"/>
      <c r="AU126" s="37"/>
      <c r="AV126" s="37"/>
      <c r="AW126" s="37"/>
      <c r="AX126" s="37"/>
      <c r="AY126" s="37"/>
      <c r="AZ126" s="78"/>
      <c r="BA126" s="37"/>
      <c r="BB126" s="78"/>
      <c r="BF126" s="37"/>
      <c r="BG126" s="37"/>
      <c r="BH126" s="37"/>
      <c r="BI126" s="37"/>
      <c r="BJ126" s="37"/>
      <c r="BK126" s="37"/>
      <c r="BL126" s="37"/>
      <c r="BM126" s="37"/>
      <c r="BN126" s="37"/>
      <c r="BO126" s="37"/>
    </row>
    <row r="127" spans="3:67" ht="20.100000000000001" customHeight="1">
      <c r="C127" s="113"/>
      <c r="D127" s="114"/>
      <c r="P127" s="82"/>
      <c r="Q127" s="82"/>
      <c r="R127" s="38"/>
      <c r="S127" s="38"/>
      <c r="T127" s="38"/>
      <c r="U127" s="38"/>
      <c r="V127" s="38"/>
      <c r="W127" s="38"/>
      <c r="X127" s="38"/>
      <c r="Y127" s="38"/>
      <c r="Z127" s="38"/>
      <c r="AA127" s="38"/>
      <c r="AB127" s="38"/>
      <c r="AC127" s="38"/>
      <c r="AD127" s="38"/>
      <c r="AE127" s="38"/>
      <c r="AF127" s="38"/>
      <c r="AG127" s="38"/>
      <c r="AH127" s="38"/>
      <c r="AN127" s="37"/>
      <c r="AO127" s="37"/>
      <c r="AP127" s="78"/>
      <c r="AQ127" s="37"/>
      <c r="AR127" s="37"/>
      <c r="AS127" s="37"/>
      <c r="AT127" s="37"/>
      <c r="AU127" s="37"/>
      <c r="AV127" s="37"/>
      <c r="AW127" s="37"/>
      <c r="AX127" s="37"/>
      <c r="AY127" s="37"/>
      <c r="AZ127" s="78"/>
      <c r="BA127" s="37"/>
      <c r="BB127" s="78"/>
      <c r="BF127" s="37"/>
      <c r="BG127" s="37"/>
      <c r="BH127" s="37"/>
      <c r="BI127" s="37"/>
      <c r="BJ127" s="37"/>
      <c r="BK127" s="37"/>
      <c r="BL127" s="37"/>
      <c r="BM127" s="37"/>
      <c r="BN127" s="37"/>
      <c r="BO127" s="37"/>
    </row>
    <row r="128" spans="3:67" ht="20.100000000000001" customHeight="1">
      <c r="C128" s="113"/>
      <c r="D128" s="114"/>
      <c r="P128" s="82"/>
      <c r="Q128" s="82"/>
      <c r="R128" s="38"/>
      <c r="S128" s="38"/>
      <c r="T128" s="38"/>
      <c r="U128" s="38"/>
      <c r="V128" s="38"/>
      <c r="W128" s="38"/>
      <c r="X128" s="38"/>
      <c r="Y128" s="38"/>
      <c r="Z128" s="38"/>
      <c r="AA128" s="38"/>
      <c r="AB128" s="38"/>
      <c r="AC128" s="38"/>
      <c r="AD128" s="38"/>
      <c r="AE128" s="38"/>
      <c r="AF128" s="38"/>
      <c r="AG128" s="38"/>
      <c r="AH128" s="38"/>
      <c r="AN128" s="37"/>
      <c r="AO128" s="37"/>
      <c r="AP128" s="78"/>
      <c r="AQ128" s="37"/>
      <c r="AR128" s="37"/>
      <c r="AS128" s="37"/>
      <c r="AT128" s="37"/>
      <c r="AU128" s="37"/>
      <c r="AV128" s="37"/>
      <c r="AW128" s="37"/>
      <c r="AX128" s="37"/>
      <c r="AY128" s="37"/>
      <c r="AZ128" s="78"/>
      <c r="BA128" s="37"/>
      <c r="BB128" s="78"/>
      <c r="BF128" s="37"/>
      <c r="BG128" s="37"/>
      <c r="BH128" s="37"/>
      <c r="BI128" s="37"/>
      <c r="BJ128" s="37"/>
      <c r="BK128" s="37"/>
      <c r="BL128" s="37"/>
      <c r="BM128" s="37"/>
      <c r="BN128" s="37"/>
      <c r="BO128" s="37"/>
    </row>
    <row r="129" spans="3:67" ht="20.100000000000001" customHeight="1">
      <c r="C129" s="113"/>
      <c r="D129" s="114"/>
      <c r="P129" s="82"/>
      <c r="Q129" s="82"/>
      <c r="R129" s="38"/>
      <c r="S129" s="38"/>
      <c r="T129" s="38"/>
      <c r="U129" s="38"/>
      <c r="V129" s="38"/>
      <c r="W129" s="38"/>
      <c r="X129" s="38"/>
      <c r="Y129" s="38"/>
      <c r="Z129" s="38"/>
      <c r="AA129" s="38"/>
      <c r="AB129" s="38"/>
      <c r="AC129" s="38"/>
      <c r="AD129" s="38"/>
      <c r="AE129" s="38"/>
      <c r="AF129" s="38"/>
      <c r="AG129" s="38"/>
      <c r="AH129" s="38"/>
      <c r="AN129" s="37"/>
      <c r="AO129" s="37"/>
      <c r="AP129" s="78"/>
      <c r="AQ129" s="37"/>
      <c r="AR129" s="37"/>
      <c r="AS129" s="37"/>
      <c r="AT129" s="37"/>
      <c r="AU129" s="37"/>
      <c r="AV129" s="37"/>
      <c r="AW129" s="37"/>
      <c r="AX129" s="37"/>
      <c r="AY129" s="37"/>
      <c r="AZ129" s="78"/>
      <c r="BA129" s="37"/>
      <c r="BB129" s="78"/>
      <c r="BF129" s="37"/>
      <c r="BG129" s="37"/>
      <c r="BH129" s="37"/>
      <c r="BI129" s="37"/>
      <c r="BJ129" s="37"/>
      <c r="BK129" s="37"/>
      <c r="BL129" s="37"/>
      <c r="BM129" s="37"/>
      <c r="BN129" s="37"/>
      <c r="BO129" s="37"/>
    </row>
    <row r="130" spans="3:67" ht="20.100000000000001" customHeight="1">
      <c r="C130" s="113"/>
      <c r="D130" s="114"/>
      <c r="P130" s="82"/>
      <c r="Q130" s="82"/>
      <c r="R130" s="38"/>
      <c r="S130" s="38"/>
      <c r="T130" s="38"/>
      <c r="U130" s="38"/>
      <c r="V130" s="38"/>
      <c r="W130" s="38"/>
      <c r="X130" s="38"/>
      <c r="Y130" s="38"/>
      <c r="Z130" s="38"/>
      <c r="AA130" s="38"/>
      <c r="AB130" s="38"/>
      <c r="AC130" s="38"/>
      <c r="AD130" s="38"/>
      <c r="AE130" s="38"/>
      <c r="AF130" s="38"/>
      <c r="AG130" s="38"/>
      <c r="AH130" s="38"/>
      <c r="AN130" s="37"/>
      <c r="AO130" s="37"/>
      <c r="AP130" s="78"/>
      <c r="AQ130" s="37"/>
      <c r="AR130" s="37"/>
      <c r="AS130" s="37"/>
      <c r="AT130" s="37"/>
      <c r="AU130" s="37"/>
      <c r="AV130" s="37"/>
      <c r="AW130" s="37"/>
      <c r="AX130" s="37"/>
      <c r="AY130" s="37"/>
      <c r="AZ130" s="78"/>
      <c r="BA130" s="37"/>
      <c r="BB130" s="78"/>
      <c r="BF130" s="37"/>
      <c r="BG130" s="37"/>
      <c r="BH130" s="37"/>
      <c r="BI130" s="37"/>
      <c r="BJ130" s="37"/>
      <c r="BK130" s="37"/>
      <c r="BL130" s="37"/>
      <c r="BM130" s="37"/>
      <c r="BN130" s="37"/>
      <c r="BO130" s="37"/>
    </row>
    <row r="131" spans="3:67" ht="20.100000000000001" customHeight="1">
      <c r="C131" s="113"/>
      <c r="D131" s="114"/>
      <c r="P131" s="82"/>
      <c r="Q131" s="82"/>
      <c r="R131" s="38"/>
      <c r="S131" s="38"/>
      <c r="T131" s="38"/>
      <c r="U131" s="38"/>
      <c r="V131" s="38"/>
      <c r="W131" s="38"/>
      <c r="X131" s="38"/>
      <c r="Y131" s="38"/>
      <c r="Z131" s="38"/>
      <c r="AA131" s="38"/>
      <c r="AB131" s="38"/>
      <c r="AC131" s="38"/>
      <c r="AD131" s="38"/>
      <c r="AE131" s="38"/>
      <c r="AF131" s="38"/>
      <c r="AG131" s="38"/>
      <c r="AH131" s="38"/>
      <c r="AN131" s="37"/>
      <c r="AO131" s="37"/>
      <c r="AP131" s="78"/>
      <c r="AQ131" s="37"/>
      <c r="AR131" s="37"/>
      <c r="AS131" s="37"/>
      <c r="AT131" s="37"/>
      <c r="AU131" s="37"/>
      <c r="AV131" s="37"/>
      <c r="AW131" s="37"/>
      <c r="AX131" s="37"/>
      <c r="AY131" s="37"/>
      <c r="AZ131" s="78"/>
      <c r="BA131" s="37"/>
      <c r="BB131" s="78"/>
      <c r="BF131" s="37"/>
      <c r="BG131" s="37"/>
      <c r="BH131" s="37"/>
      <c r="BI131" s="37"/>
      <c r="BJ131" s="37"/>
      <c r="BK131" s="37"/>
      <c r="BL131" s="37"/>
      <c r="BM131" s="37"/>
      <c r="BN131" s="37"/>
      <c r="BO131" s="37"/>
    </row>
    <row r="132" spans="3:67" ht="20.100000000000001" customHeight="1">
      <c r="C132" s="113"/>
      <c r="D132" s="114"/>
      <c r="P132" s="82"/>
      <c r="Q132" s="82"/>
      <c r="R132" s="38"/>
      <c r="S132" s="38"/>
      <c r="T132" s="38"/>
      <c r="U132" s="38"/>
      <c r="V132" s="38"/>
      <c r="W132" s="38"/>
      <c r="X132" s="38"/>
      <c r="Y132" s="38"/>
      <c r="Z132" s="38"/>
      <c r="AA132" s="38"/>
      <c r="AB132" s="38"/>
      <c r="AC132" s="38"/>
      <c r="AD132" s="38"/>
      <c r="AE132" s="38"/>
      <c r="AF132" s="38"/>
      <c r="AG132" s="38"/>
      <c r="AH132" s="38"/>
      <c r="AN132" s="37"/>
      <c r="AO132" s="37"/>
      <c r="AP132" s="78"/>
      <c r="AQ132" s="37"/>
      <c r="AR132" s="37"/>
      <c r="AS132" s="37"/>
      <c r="AT132" s="37"/>
      <c r="AU132" s="37"/>
      <c r="AV132" s="37"/>
      <c r="AW132" s="37"/>
      <c r="AX132" s="37"/>
      <c r="AY132" s="37"/>
      <c r="AZ132" s="78"/>
      <c r="BA132" s="37"/>
      <c r="BB132" s="78"/>
      <c r="BF132" s="37"/>
      <c r="BG132" s="37"/>
      <c r="BH132" s="37"/>
      <c r="BI132" s="37"/>
      <c r="BJ132" s="37"/>
      <c r="BK132" s="37"/>
      <c r="BL132" s="37"/>
      <c r="BM132" s="37"/>
      <c r="BN132" s="37"/>
      <c r="BO132" s="37"/>
    </row>
    <row r="133" spans="3:67" ht="20.100000000000001" customHeight="1">
      <c r="C133" s="113"/>
      <c r="D133" s="114"/>
      <c r="P133" s="82"/>
      <c r="Q133" s="82"/>
      <c r="R133" s="38"/>
      <c r="S133" s="38"/>
      <c r="T133" s="38"/>
      <c r="U133" s="38"/>
      <c r="V133" s="38"/>
      <c r="W133" s="38"/>
      <c r="X133" s="38"/>
      <c r="Y133" s="38"/>
      <c r="Z133" s="38"/>
      <c r="AA133" s="38"/>
      <c r="AB133" s="38"/>
      <c r="AC133" s="38"/>
      <c r="AD133" s="38"/>
      <c r="AE133" s="38"/>
      <c r="AF133" s="38"/>
      <c r="AG133" s="38"/>
      <c r="AH133" s="38"/>
      <c r="AN133" s="37"/>
      <c r="AO133" s="37"/>
      <c r="AP133" s="78"/>
      <c r="AQ133" s="37"/>
      <c r="AR133" s="37"/>
      <c r="AS133" s="37"/>
      <c r="AT133" s="37"/>
      <c r="AU133" s="37"/>
      <c r="AV133" s="37"/>
      <c r="AW133" s="37"/>
      <c r="AX133" s="37"/>
      <c r="AY133" s="37"/>
      <c r="AZ133" s="78"/>
      <c r="BA133" s="37"/>
      <c r="BB133" s="78"/>
      <c r="BF133" s="37"/>
      <c r="BG133" s="37"/>
      <c r="BH133" s="37"/>
      <c r="BI133" s="37"/>
      <c r="BJ133" s="37"/>
      <c r="BK133" s="37"/>
      <c r="BL133" s="37"/>
      <c r="BM133" s="37"/>
      <c r="BN133" s="37"/>
      <c r="BO133" s="37"/>
    </row>
    <row r="134" spans="3:67" ht="20.100000000000001" customHeight="1">
      <c r="C134" s="113"/>
      <c r="D134" s="114"/>
      <c r="P134" s="82"/>
      <c r="Q134" s="82"/>
      <c r="R134" s="38"/>
      <c r="S134" s="38"/>
      <c r="T134" s="38"/>
      <c r="U134" s="38"/>
      <c r="V134" s="38"/>
      <c r="W134" s="38"/>
      <c r="X134" s="38"/>
      <c r="Y134" s="38"/>
      <c r="Z134" s="38"/>
      <c r="AA134" s="38"/>
      <c r="AB134" s="38"/>
      <c r="AC134" s="38"/>
      <c r="AD134" s="38"/>
      <c r="AE134" s="38"/>
      <c r="AF134" s="38"/>
      <c r="AG134" s="38"/>
      <c r="AH134" s="38"/>
      <c r="AN134" s="37"/>
      <c r="AO134" s="37"/>
      <c r="AP134" s="78"/>
      <c r="AQ134" s="37"/>
      <c r="AR134" s="37"/>
      <c r="AS134" s="37"/>
      <c r="AT134" s="37"/>
      <c r="AU134" s="37"/>
      <c r="AV134" s="37"/>
      <c r="AW134" s="37"/>
      <c r="AX134" s="37"/>
      <c r="AY134" s="37"/>
      <c r="AZ134" s="78"/>
      <c r="BA134" s="37"/>
      <c r="BB134" s="78"/>
      <c r="BF134" s="37"/>
      <c r="BG134" s="37"/>
      <c r="BH134" s="37"/>
      <c r="BI134" s="37"/>
      <c r="BJ134" s="37"/>
      <c r="BK134" s="37"/>
      <c r="BL134" s="37"/>
      <c r="BM134" s="37"/>
      <c r="BN134" s="37"/>
      <c r="BO134" s="37"/>
    </row>
    <row r="135" spans="3:67" ht="20.100000000000001" customHeight="1">
      <c r="C135" s="113"/>
      <c r="D135" s="114"/>
      <c r="P135" s="82"/>
      <c r="Q135" s="82"/>
      <c r="R135" s="38"/>
      <c r="S135" s="38"/>
      <c r="T135" s="38"/>
      <c r="U135" s="38"/>
      <c r="V135" s="38"/>
      <c r="W135" s="38"/>
      <c r="X135" s="38"/>
      <c r="Y135" s="38"/>
      <c r="Z135" s="38"/>
      <c r="AA135" s="38"/>
      <c r="AB135" s="38"/>
      <c r="AC135" s="38"/>
      <c r="AD135" s="38"/>
      <c r="AE135" s="38"/>
      <c r="AF135" s="38"/>
      <c r="AG135" s="38"/>
      <c r="AH135" s="38"/>
      <c r="AN135" s="37"/>
      <c r="AO135" s="37"/>
      <c r="AP135" s="78"/>
      <c r="AQ135" s="37"/>
      <c r="AR135" s="37"/>
      <c r="AS135" s="37"/>
      <c r="AT135" s="37"/>
      <c r="AU135" s="37"/>
      <c r="AV135" s="37"/>
      <c r="AW135" s="37"/>
      <c r="AX135" s="37"/>
      <c r="AY135" s="37"/>
      <c r="AZ135" s="78"/>
      <c r="BA135" s="37"/>
      <c r="BB135" s="78"/>
      <c r="BF135" s="37"/>
      <c r="BG135" s="37"/>
      <c r="BH135" s="37"/>
      <c r="BI135" s="37"/>
      <c r="BJ135" s="37"/>
      <c r="BK135" s="37"/>
      <c r="BL135" s="37"/>
      <c r="BM135" s="37"/>
      <c r="BN135" s="37"/>
      <c r="BO135" s="37"/>
    </row>
    <row r="136" spans="3:67" ht="20.100000000000001" customHeight="1">
      <c r="C136" s="113"/>
      <c r="D136" s="114"/>
      <c r="P136" s="82"/>
      <c r="Q136" s="82"/>
      <c r="R136" s="38"/>
      <c r="S136" s="38"/>
      <c r="T136" s="38"/>
      <c r="U136" s="38"/>
      <c r="V136" s="38"/>
      <c r="W136" s="38"/>
      <c r="X136" s="38"/>
      <c r="Y136" s="38"/>
      <c r="Z136" s="38"/>
      <c r="AA136" s="38"/>
      <c r="AB136" s="38"/>
      <c r="AC136" s="38"/>
      <c r="AD136" s="38"/>
      <c r="AE136" s="38"/>
      <c r="AF136" s="38"/>
      <c r="AG136" s="38"/>
      <c r="AH136" s="38"/>
      <c r="AN136" s="37"/>
      <c r="AO136" s="37"/>
      <c r="AP136" s="78"/>
      <c r="AQ136" s="37"/>
      <c r="AR136" s="37"/>
      <c r="AS136" s="37"/>
      <c r="AT136" s="37"/>
      <c r="AU136" s="37"/>
      <c r="AV136" s="37"/>
      <c r="AW136" s="37"/>
      <c r="AX136" s="37"/>
      <c r="AY136" s="37"/>
      <c r="AZ136" s="78"/>
      <c r="BA136" s="37"/>
      <c r="BB136" s="78"/>
      <c r="BF136" s="37"/>
      <c r="BG136" s="37"/>
      <c r="BH136" s="37"/>
      <c r="BI136" s="37"/>
      <c r="BJ136" s="37"/>
      <c r="BK136" s="37"/>
      <c r="BL136" s="37"/>
      <c r="BM136" s="37"/>
      <c r="BN136" s="37"/>
      <c r="BO136" s="37"/>
    </row>
    <row r="137" spans="3:67" ht="20.100000000000001" customHeight="1">
      <c r="C137" s="113"/>
      <c r="D137" s="114"/>
      <c r="P137" s="82"/>
      <c r="Q137" s="82"/>
      <c r="R137" s="38"/>
      <c r="S137" s="38"/>
      <c r="T137" s="38"/>
      <c r="U137" s="38"/>
      <c r="V137" s="38"/>
      <c r="W137" s="38"/>
      <c r="X137" s="38"/>
      <c r="Y137" s="38"/>
      <c r="Z137" s="38"/>
      <c r="AA137" s="38"/>
      <c r="AB137" s="38"/>
      <c r="AC137" s="38"/>
      <c r="AD137" s="38"/>
      <c r="AE137" s="38"/>
      <c r="AF137" s="38"/>
      <c r="AG137" s="38"/>
      <c r="AH137" s="38"/>
      <c r="AN137" s="37"/>
      <c r="AO137" s="37"/>
      <c r="AP137" s="78"/>
      <c r="AQ137" s="37"/>
      <c r="AR137" s="37"/>
      <c r="AS137" s="37"/>
      <c r="AT137" s="37"/>
      <c r="AU137" s="37"/>
      <c r="AV137" s="37"/>
      <c r="AW137" s="37"/>
      <c r="AX137" s="37"/>
      <c r="AY137" s="37"/>
      <c r="AZ137" s="78"/>
      <c r="BA137" s="37"/>
      <c r="BB137" s="78"/>
      <c r="BF137" s="37"/>
      <c r="BG137" s="37"/>
      <c r="BH137" s="37"/>
      <c r="BI137" s="37"/>
      <c r="BJ137" s="37"/>
      <c r="BK137" s="37"/>
      <c r="BL137" s="37"/>
      <c r="BM137" s="37"/>
      <c r="BN137" s="37"/>
      <c r="BO137" s="37"/>
    </row>
    <row r="138" spans="3:67" ht="20.100000000000001" customHeight="1">
      <c r="C138" s="113"/>
      <c r="D138" s="114"/>
      <c r="P138" s="82"/>
      <c r="Q138" s="82"/>
      <c r="R138" s="38"/>
      <c r="S138" s="38"/>
      <c r="T138" s="38"/>
      <c r="U138" s="38"/>
      <c r="V138" s="38"/>
      <c r="W138" s="38"/>
      <c r="X138" s="38"/>
      <c r="Y138" s="38"/>
      <c r="Z138" s="38"/>
      <c r="AA138" s="38"/>
      <c r="AB138" s="38"/>
      <c r="AC138" s="38"/>
      <c r="AD138" s="38"/>
      <c r="AE138" s="38"/>
      <c r="AF138" s="38"/>
      <c r="AG138" s="38"/>
      <c r="AH138" s="38"/>
      <c r="AN138" s="37"/>
      <c r="AO138" s="37"/>
      <c r="AP138" s="78"/>
      <c r="AQ138" s="37"/>
      <c r="AR138" s="37"/>
      <c r="AS138" s="37"/>
      <c r="AT138" s="37"/>
      <c r="AU138" s="37"/>
      <c r="AV138" s="37"/>
      <c r="AW138" s="37"/>
      <c r="AX138" s="37"/>
      <c r="AY138" s="37"/>
      <c r="AZ138" s="78"/>
      <c r="BA138" s="37"/>
      <c r="BB138" s="78"/>
      <c r="BF138" s="37"/>
      <c r="BG138" s="37"/>
      <c r="BH138" s="37"/>
      <c r="BI138" s="37"/>
      <c r="BJ138" s="37"/>
      <c r="BK138" s="37"/>
      <c r="BL138" s="37"/>
      <c r="BM138" s="37"/>
      <c r="BN138" s="37"/>
      <c r="BO138" s="37"/>
    </row>
    <row r="139" spans="3:67" ht="20.100000000000001" customHeight="1">
      <c r="C139" s="113"/>
      <c r="D139" s="114"/>
      <c r="P139" s="82"/>
      <c r="Q139" s="82"/>
      <c r="R139" s="38"/>
      <c r="S139" s="38"/>
      <c r="T139" s="38"/>
      <c r="U139" s="38"/>
      <c r="V139" s="38"/>
      <c r="W139" s="38"/>
      <c r="X139" s="38"/>
      <c r="Y139" s="38"/>
      <c r="Z139" s="38"/>
      <c r="AA139" s="38"/>
      <c r="AB139" s="38"/>
      <c r="AC139" s="38"/>
      <c r="AD139" s="38"/>
      <c r="AE139" s="38"/>
      <c r="AF139" s="38"/>
      <c r="AG139" s="38"/>
      <c r="AH139" s="38"/>
      <c r="AN139" s="37"/>
      <c r="AO139" s="37"/>
      <c r="AP139" s="78"/>
      <c r="AQ139" s="37"/>
      <c r="AR139" s="37"/>
      <c r="AS139" s="37"/>
      <c r="AT139" s="37"/>
      <c r="AU139" s="37"/>
      <c r="AV139" s="37"/>
      <c r="AW139" s="37"/>
      <c r="AX139" s="37"/>
      <c r="AY139" s="37"/>
      <c r="AZ139" s="78"/>
      <c r="BA139" s="37"/>
      <c r="BB139" s="78"/>
      <c r="BF139" s="37"/>
      <c r="BG139" s="37"/>
      <c r="BH139" s="37"/>
      <c r="BI139" s="37"/>
      <c r="BJ139" s="37"/>
      <c r="BK139" s="37"/>
      <c r="BL139" s="37"/>
      <c r="BM139" s="37"/>
      <c r="BN139" s="37"/>
      <c r="BO139" s="37"/>
    </row>
    <row r="140" spans="3:67" ht="20.100000000000001" customHeight="1">
      <c r="C140" s="113"/>
      <c r="D140" s="114"/>
      <c r="P140" s="82"/>
      <c r="Q140" s="82"/>
      <c r="R140" s="38"/>
      <c r="S140" s="38"/>
      <c r="T140" s="38"/>
      <c r="U140" s="38"/>
      <c r="V140" s="38"/>
      <c r="W140" s="38"/>
      <c r="X140" s="38"/>
      <c r="Y140" s="38"/>
      <c r="Z140" s="38"/>
      <c r="AA140" s="38"/>
      <c r="AB140" s="38"/>
      <c r="AC140" s="38"/>
      <c r="AD140" s="38"/>
      <c r="AE140" s="38"/>
      <c r="AF140" s="38"/>
      <c r="AG140" s="38"/>
      <c r="AH140" s="38"/>
      <c r="AN140" s="37"/>
      <c r="AO140" s="37"/>
      <c r="AP140" s="78"/>
      <c r="AQ140" s="37"/>
      <c r="AR140" s="37"/>
      <c r="AS140" s="37"/>
      <c r="AT140" s="37"/>
      <c r="AU140" s="37"/>
      <c r="AV140" s="37"/>
      <c r="AW140" s="37"/>
      <c r="AX140" s="37"/>
      <c r="AY140" s="37"/>
      <c r="AZ140" s="78"/>
      <c r="BA140" s="37"/>
      <c r="BB140" s="78"/>
      <c r="BF140" s="37"/>
      <c r="BG140" s="37"/>
      <c r="BH140" s="37"/>
      <c r="BI140" s="37"/>
      <c r="BJ140" s="37"/>
      <c r="BK140" s="37"/>
      <c r="BL140" s="37"/>
      <c r="BM140" s="37"/>
      <c r="BN140" s="37"/>
      <c r="BO140" s="37"/>
    </row>
    <row r="141" spans="3:67" ht="20.100000000000001" customHeight="1">
      <c r="C141" s="113"/>
      <c r="D141" s="114"/>
      <c r="P141" s="82"/>
      <c r="Q141" s="82"/>
      <c r="R141" s="38"/>
      <c r="S141" s="38"/>
      <c r="T141" s="38"/>
      <c r="U141" s="38"/>
      <c r="V141" s="38"/>
      <c r="W141" s="38"/>
      <c r="X141" s="38"/>
      <c r="Y141" s="38"/>
      <c r="Z141" s="38"/>
      <c r="AA141" s="38"/>
      <c r="AB141" s="38"/>
      <c r="AC141" s="38"/>
      <c r="AD141" s="38"/>
      <c r="AE141" s="38"/>
      <c r="AF141" s="38"/>
      <c r="AG141" s="38"/>
      <c r="AH141" s="38"/>
      <c r="AN141" s="37"/>
      <c r="AO141" s="37"/>
      <c r="AP141" s="78"/>
      <c r="AQ141" s="37"/>
      <c r="AR141" s="37"/>
      <c r="AS141" s="37"/>
      <c r="AT141" s="37"/>
      <c r="AU141" s="37"/>
      <c r="AV141" s="37"/>
      <c r="AW141" s="37"/>
      <c r="AX141" s="37"/>
      <c r="AY141" s="37"/>
      <c r="AZ141" s="78"/>
      <c r="BA141" s="37"/>
      <c r="BB141" s="78"/>
      <c r="BF141" s="37"/>
      <c r="BG141" s="37"/>
      <c r="BH141" s="37"/>
      <c r="BI141" s="37"/>
      <c r="BJ141" s="37"/>
      <c r="BK141" s="37"/>
      <c r="BL141" s="37"/>
      <c r="BM141" s="37"/>
      <c r="BN141" s="37"/>
      <c r="BO141" s="37"/>
    </row>
    <row r="142" spans="3:67" ht="20.100000000000001" customHeight="1">
      <c r="C142" s="113"/>
      <c r="D142" s="114"/>
      <c r="P142" s="82"/>
      <c r="Q142" s="82"/>
      <c r="R142" s="38"/>
      <c r="S142" s="38"/>
      <c r="T142" s="38"/>
      <c r="U142" s="38"/>
      <c r="V142" s="38"/>
      <c r="W142" s="38"/>
      <c r="X142" s="38"/>
      <c r="Y142" s="38"/>
      <c r="Z142" s="38"/>
      <c r="AA142" s="38"/>
      <c r="AB142" s="38"/>
      <c r="AC142" s="38"/>
      <c r="AD142" s="38"/>
      <c r="AE142" s="38"/>
      <c r="AF142" s="38"/>
      <c r="AG142" s="38"/>
      <c r="AH142" s="38"/>
      <c r="AN142" s="37"/>
      <c r="AO142" s="37"/>
      <c r="AP142" s="78"/>
      <c r="AQ142" s="37"/>
      <c r="AR142" s="37"/>
      <c r="AS142" s="37"/>
      <c r="AT142" s="37"/>
      <c r="AU142" s="37"/>
      <c r="AV142" s="37"/>
      <c r="AW142" s="37"/>
      <c r="AX142" s="37"/>
      <c r="AY142" s="37"/>
      <c r="AZ142" s="78"/>
      <c r="BA142" s="37"/>
      <c r="BB142" s="78"/>
      <c r="BF142" s="37"/>
      <c r="BG142" s="37"/>
      <c r="BH142" s="37"/>
      <c r="BI142" s="37"/>
      <c r="BJ142" s="37"/>
      <c r="BK142" s="37"/>
      <c r="BL142" s="37"/>
      <c r="BM142" s="37"/>
      <c r="BN142" s="37"/>
      <c r="BO142" s="37"/>
    </row>
    <row r="143" spans="3:67" ht="20.100000000000001" customHeight="1">
      <c r="C143" s="113"/>
      <c r="D143" s="114"/>
      <c r="P143" s="82"/>
      <c r="Q143" s="82"/>
      <c r="R143" s="38"/>
      <c r="S143" s="38"/>
      <c r="T143" s="38"/>
      <c r="U143" s="38"/>
      <c r="V143" s="38"/>
      <c r="W143" s="38"/>
      <c r="X143" s="38"/>
      <c r="Y143" s="38"/>
      <c r="Z143" s="38"/>
      <c r="AA143" s="38"/>
      <c r="AB143" s="38"/>
      <c r="AC143" s="38"/>
      <c r="AD143" s="38"/>
      <c r="AE143" s="38"/>
      <c r="AF143" s="38"/>
      <c r="AG143" s="38"/>
      <c r="AH143" s="38"/>
      <c r="AN143" s="37"/>
      <c r="AO143" s="37"/>
      <c r="AP143" s="78"/>
      <c r="AQ143" s="37"/>
      <c r="AR143" s="37"/>
      <c r="AS143" s="37"/>
      <c r="AT143" s="37"/>
      <c r="AU143" s="37"/>
      <c r="AV143" s="37"/>
      <c r="AW143" s="37"/>
      <c r="AX143" s="37"/>
      <c r="AY143" s="37"/>
      <c r="AZ143" s="78"/>
      <c r="BA143" s="37"/>
      <c r="BB143" s="78"/>
      <c r="BF143" s="37"/>
      <c r="BG143" s="37"/>
      <c r="BH143" s="37"/>
      <c r="BI143" s="37"/>
      <c r="BJ143" s="37"/>
      <c r="BK143" s="37"/>
      <c r="BL143" s="37"/>
      <c r="BM143" s="37"/>
      <c r="BN143" s="37"/>
      <c r="BO143" s="37"/>
    </row>
    <row r="144" spans="3:67" ht="20.100000000000001" customHeight="1">
      <c r="C144" s="113"/>
      <c r="D144" s="114"/>
      <c r="P144" s="82"/>
      <c r="Q144" s="82"/>
      <c r="R144" s="38"/>
      <c r="S144" s="38"/>
      <c r="T144" s="38"/>
      <c r="U144" s="38"/>
      <c r="V144" s="38"/>
      <c r="W144" s="38"/>
      <c r="X144" s="38"/>
      <c r="Y144" s="38"/>
      <c r="Z144" s="38"/>
      <c r="AA144" s="38"/>
      <c r="AB144" s="38"/>
      <c r="AC144" s="38"/>
      <c r="AD144" s="38"/>
      <c r="AE144" s="38"/>
      <c r="AF144" s="38"/>
      <c r="AG144" s="38"/>
      <c r="AH144" s="38"/>
      <c r="AN144" s="37"/>
      <c r="AO144" s="37"/>
      <c r="AP144" s="78"/>
      <c r="AQ144" s="37"/>
      <c r="AR144" s="37"/>
      <c r="AS144" s="37"/>
      <c r="AT144" s="37"/>
      <c r="AU144" s="37"/>
      <c r="AV144" s="37"/>
      <c r="AW144" s="37"/>
      <c r="AX144" s="37"/>
      <c r="AY144" s="37"/>
      <c r="AZ144" s="78"/>
      <c r="BA144" s="37"/>
      <c r="BB144" s="78"/>
      <c r="BF144" s="37"/>
      <c r="BG144" s="37"/>
      <c r="BH144" s="37"/>
      <c r="BI144" s="37"/>
      <c r="BJ144" s="37"/>
      <c r="BK144" s="37"/>
      <c r="BL144" s="37"/>
      <c r="BM144" s="37"/>
      <c r="BN144" s="37"/>
      <c r="BO144" s="37"/>
    </row>
    <row r="145" spans="3:67" ht="20.100000000000001" customHeight="1">
      <c r="C145" s="113"/>
      <c r="D145" s="114"/>
      <c r="P145" s="82"/>
      <c r="Q145" s="82"/>
      <c r="R145" s="38"/>
      <c r="S145" s="38"/>
      <c r="T145" s="38"/>
      <c r="U145" s="38"/>
      <c r="V145" s="38"/>
      <c r="W145" s="38"/>
      <c r="X145" s="38"/>
      <c r="Y145" s="38"/>
      <c r="Z145" s="38"/>
      <c r="AA145" s="38"/>
      <c r="AB145" s="38"/>
      <c r="AC145" s="38"/>
      <c r="AD145" s="38"/>
      <c r="AE145" s="38"/>
      <c r="AF145" s="38"/>
      <c r="AG145" s="38"/>
      <c r="AH145" s="38"/>
      <c r="AN145" s="37"/>
      <c r="AO145" s="37"/>
      <c r="AP145" s="78"/>
      <c r="AQ145" s="37"/>
      <c r="AR145" s="37"/>
      <c r="AS145" s="37"/>
      <c r="AT145" s="37"/>
      <c r="AU145" s="37"/>
      <c r="AV145" s="37"/>
      <c r="AW145" s="37"/>
      <c r="AX145" s="37"/>
      <c r="AY145" s="37"/>
      <c r="AZ145" s="78"/>
      <c r="BA145" s="37"/>
      <c r="BB145" s="78"/>
      <c r="BF145" s="37"/>
      <c r="BG145" s="37"/>
      <c r="BH145" s="37"/>
      <c r="BI145" s="37"/>
      <c r="BJ145" s="37"/>
      <c r="BK145" s="37"/>
      <c r="BL145" s="37"/>
      <c r="BM145" s="37"/>
      <c r="BN145" s="37"/>
      <c r="BO145" s="37"/>
    </row>
    <row r="146" spans="3:67" ht="20.100000000000001" customHeight="1">
      <c r="C146" s="113"/>
      <c r="D146" s="114"/>
      <c r="P146" s="82"/>
      <c r="Q146" s="82"/>
      <c r="R146" s="38"/>
      <c r="S146" s="38"/>
      <c r="T146" s="38"/>
      <c r="U146" s="38"/>
      <c r="V146" s="38"/>
      <c r="W146" s="38"/>
      <c r="X146" s="38"/>
      <c r="Y146" s="38"/>
      <c r="Z146" s="38"/>
      <c r="AA146" s="38"/>
      <c r="AB146" s="38"/>
      <c r="AC146" s="38"/>
      <c r="AD146" s="38"/>
      <c r="AE146" s="38"/>
      <c r="AF146" s="38"/>
      <c r="AG146" s="38"/>
      <c r="AH146" s="38"/>
      <c r="AN146" s="37"/>
      <c r="AO146" s="37"/>
      <c r="AP146" s="78"/>
      <c r="AQ146" s="37"/>
      <c r="AR146" s="37"/>
      <c r="AS146" s="37"/>
      <c r="AT146" s="37"/>
      <c r="AU146" s="37"/>
      <c r="AV146" s="37"/>
      <c r="AW146" s="37"/>
      <c r="AX146" s="37"/>
      <c r="AY146" s="37"/>
      <c r="AZ146" s="78"/>
      <c r="BA146" s="37"/>
      <c r="BB146" s="78"/>
      <c r="BF146" s="37"/>
      <c r="BG146" s="37"/>
      <c r="BH146" s="37"/>
      <c r="BI146" s="37"/>
      <c r="BJ146" s="37"/>
      <c r="BK146" s="37"/>
      <c r="BL146" s="37"/>
      <c r="BM146" s="37"/>
      <c r="BN146" s="37"/>
      <c r="BO146" s="37"/>
    </row>
    <row r="147" spans="3:67" ht="20.100000000000001" customHeight="1">
      <c r="C147" s="113"/>
      <c r="D147" s="114"/>
      <c r="P147" s="82"/>
      <c r="Q147" s="82"/>
      <c r="R147" s="38"/>
      <c r="S147" s="38"/>
      <c r="T147" s="38"/>
      <c r="U147" s="38"/>
      <c r="V147" s="38"/>
      <c r="W147" s="38"/>
      <c r="X147" s="38"/>
      <c r="Y147" s="38"/>
      <c r="Z147" s="38"/>
      <c r="AA147" s="38"/>
      <c r="AB147" s="38"/>
      <c r="AC147" s="38"/>
      <c r="AD147" s="38"/>
      <c r="AE147" s="38"/>
      <c r="AF147" s="38"/>
      <c r="AG147" s="38"/>
      <c r="AH147" s="38"/>
      <c r="AN147" s="37"/>
      <c r="AO147" s="37"/>
      <c r="AP147" s="78"/>
      <c r="AQ147" s="37"/>
      <c r="AR147" s="37"/>
      <c r="AS147" s="37"/>
      <c r="AT147" s="37"/>
      <c r="AU147" s="37"/>
      <c r="AV147" s="37"/>
      <c r="AW147" s="37"/>
      <c r="AX147" s="37"/>
      <c r="AY147" s="37"/>
      <c r="AZ147" s="78"/>
      <c r="BA147" s="37"/>
      <c r="BB147" s="78"/>
      <c r="BF147" s="37"/>
      <c r="BG147" s="37"/>
      <c r="BH147" s="37"/>
      <c r="BI147" s="37"/>
      <c r="BJ147" s="37"/>
      <c r="BK147" s="37"/>
      <c r="BL147" s="37"/>
      <c r="BM147" s="37"/>
      <c r="BN147" s="37"/>
      <c r="BO147" s="37"/>
    </row>
    <row r="148" spans="3:67" ht="20.100000000000001" customHeight="1">
      <c r="C148" s="113"/>
      <c r="D148" s="114"/>
      <c r="P148" s="82"/>
      <c r="Q148" s="82"/>
      <c r="R148" s="38"/>
      <c r="S148" s="38"/>
      <c r="T148" s="38"/>
      <c r="U148" s="38"/>
      <c r="V148" s="38"/>
      <c r="W148" s="38"/>
      <c r="X148" s="38"/>
      <c r="Y148" s="38"/>
      <c r="Z148" s="38"/>
      <c r="AA148" s="38"/>
      <c r="AB148" s="38"/>
      <c r="AC148" s="38"/>
      <c r="AD148" s="38"/>
      <c r="AE148" s="38"/>
      <c r="AF148" s="38"/>
      <c r="AG148" s="38"/>
      <c r="AH148" s="38"/>
      <c r="AN148" s="37"/>
      <c r="AO148" s="37"/>
      <c r="AP148" s="78"/>
      <c r="AQ148" s="37"/>
      <c r="AR148" s="37"/>
      <c r="AS148" s="37"/>
      <c r="AT148" s="37"/>
      <c r="AU148" s="37"/>
      <c r="AV148" s="37"/>
      <c r="AW148" s="37"/>
      <c r="AX148" s="37"/>
      <c r="AY148" s="37"/>
      <c r="AZ148" s="78"/>
      <c r="BA148" s="37"/>
      <c r="BB148" s="78"/>
      <c r="BF148" s="37"/>
      <c r="BG148" s="37"/>
      <c r="BH148" s="37"/>
      <c r="BI148" s="37"/>
      <c r="BJ148" s="37"/>
      <c r="BK148" s="37"/>
      <c r="BL148" s="37"/>
      <c r="BM148" s="37"/>
      <c r="BN148" s="37"/>
      <c r="BO148" s="37"/>
    </row>
    <row r="149" spans="3:67" ht="20.100000000000001" customHeight="1">
      <c r="C149" s="113"/>
      <c r="D149" s="114"/>
      <c r="P149" s="82"/>
      <c r="Q149" s="82"/>
      <c r="R149" s="38"/>
      <c r="S149" s="38"/>
      <c r="T149" s="38"/>
      <c r="U149" s="38"/>
      <c r="V149" s="38"/>
      <c r="W149" s="38"/>
      <c r="X149" s="38"/>
      <c r="Y149" s="38"/>
      <c r="Z149" s="38"/>
      <c r="AA149" s="38"/>
      <c r="AB149" s="38"/>
      <c r="AC149" s="38"/>
      <c r="AD149" s="38"/>
      <c r="AE149" s="38"/>
      <c r="AF149" s="38"/>
      <c r="AG149" s="38"/>
      <c r="AH149" s="38"/>
      <c r="AN149" s="37"/>
      <c r="AO149" s="37"/>
      <c r="AP149" s="78"/>
      <c r="AQ149" s="37"/>
      <c r="AR149" s="37"/>
      <c r="AS149" s="37"/>
      <c r="AT149" s="37"/>
      <c r="AU149" s="37"/>
      <c r="AV149" s="37"/>
      <c r="AW149" s="37"/>
      <c r="AX149" s="37"/>
      <c r="AY149" s="37"/>
      <c r="AZ149" s="78"/>
      <c r="BA149" s="37"/>
      <c r="BB149" s="78"/>
      <c r="BF149" s="37"/>
      <c r="BG149" s="37"/>
      <c r="BH149" s="37"/>
      <c r="BI149" s="37"/>
      <c r="BJ149" s="37"/>
      <c r="BK149" s="37"/>
      <c r="BL149" s="37"/>
      <c r="BM149" s="37"/>
      <c r="BN149" s="37"/>
      <c r="BO149" s="37"/>
    </row>
    <row r="150" spans="3:67" ht="20.100000000000001" customHeight="1">
      <c r="C150" s="113"/>
      <c r="D150" s="114"/>
      <c r="P150" s="82"/>
      <c r="Q150" s="82"/>
      <c r="R150" s="38"/>
      <c r="S150" s="38"/>
      <c r="T150" s="38"/>
      <c r="U150" s="38"/>
      <c r="V150" s="38"/>
      <c r="W150" s="38"/>
      <c r="X150" s="38"/>
      <c r="Y150" s="38"/>
      <c r="Z150" s="38"/>
      <c r="AA150" s="38"/>
      <c r="AB150" s="38"/>
      <c r="AC150" s="38"/>
      <c r="AD150" s="38"/>
      <c r="AE150" s="38"/>
      <c r="AF150" s="38"/>
      <c r="AG150" s="38"/>
      <c r="AH150" s="38"/>
      <c r="AN150" s="37"/>
      <c r="AO150" s="37"/>
      <c r="AP150" s="78"/>
      <c r="AQ150" s="37"/>
      <c r="AR150" s="37"/>
      <c r="AS150" s="37"/>
      <c r="AT150" s="37"/>
      <c r="AU150" s="37"/>
      <c r="AV150" s="37"/>
      <c r="AW150" s="37"/>
      <c r="AX150" s="37"/>
      <c r="AY150" s="37"/>
      <c r="AZ150" s="78"/>
      <c r="BA150" s="37"/>
      <c r="BB150" s="78"/>
      <c r="BF150" s="37"/>
      <c r="BG150" s="37"/>
      <c r="BH150" s="37"/>
      <c r="BI150" s="37"/>
      <c r="BJ150" s="37"/>
      <c r="BK150" s="37"/>
      <c r="BL150" s="37"/>
      <c r="BM150" s="37"/>
      <c r="BN150" s="37"/>
      <c r="BO150" s="37"/>
    </row>
    <row r="151" spans="3:67" ht="20.100000000000001" customHeight="1">
      <c r="C151" s="113"/>
      <c r="D151" s="114"/>
      <c r="P151" s="82"/>
      <c r="Q151" s="82"/>
      <c r="R151" s="38"/>
      <c r="S151" s="38"/>
      <c r="T151" s="38"/>
      <c r="U151" s="38"/>
      <c r="V151" s="38"/>
      <c r="W151" s="38"/>
      <c r="X151" s="38"/>
      <c r="Y151" s="38"/>
      <c r="Z151" s="38"/>
      <c r="AA151" s="38"/>
      <c r="AB151" s="38"/>
      <c r="AC151" s="38"/>
      <c r="AD151" s="38"/>
      <c r="AE151" s="38"/>
      <c r="AF151" s="38"/>
      <c r="AG151" s="38"/>
      <c r="AH151" s="38"/>
      <c r="AN151" s="37"/>
      <c r="AO151" s="37"/>
      <c r="AP151" s="78"/>
      <c r="AQ151" s="37"/>
      <c r="AR151" s="37"/>
      <c r="AS151" s="37"/>
      <c r="AT151" s="37"/>
      <c r="AU151" s="37"/>
      <c r="AV151" s="37"/>
      <c r="AW151" s="37"/>
      <c r="AX151" s="37"/>
      <c r="AY151" s="37"/>
      <c r="AZ151" s="78"/>
      <c r="BA151" s="37"/>
      <c r="BB151" s="78"/>
      <c r="BF151" s="37"/>
      <c r="BG151" s="37"/>
      <c r="BH151" s="37"/>
      <c r="BI151" s="37"/>
      <c r="BJ151" s="37"/>
      <c r="BK151" s="37"/>
      <c r="BL151" s="37"/>
      <c r="BM151" s="37"/>
      <c r="BN151" s="37"/>
      <c r="BO151" s="37"/>
    </row>
    <row r="152" spans="3:67" ht="20.100000000000001" customHeight="1">
      <c r="C152" s="113"/>
      <c r="D152" s="114"/>
      <c r="P152" s="82"/>
      <c r="Q152" s="82"/>
      <c r="R152" s="38"/>
      <c r="S152" s="38"/>
      <c r="T152" s="38"/>
      <c r="U152" s="38"/>
      <c r="V152" s="38"/>
      <c r="W152" s="38"/>
      <c r="X152" s="38"/>
      <c r="Y152" s="38"/>
      <c r="Z152" s="38"/>
      <c r="AA152" s="38"/>
      <c r="AB152" s="38"/>
      <c r="AC152" s="38"/>
      <c r="AD152" s="38"/>
      <c r="AE152" s="38"/>
      <c r="AF152" s="38"/>
      <c r="AG152" s="38"/>
      <c r="AH152" s="38"/>
      <c r="AN152" s="37"/>
      <c r="AO152" s="37"/>
      <c r="AP152" s="78"/>
      <c r="AQ152" s="37"/>
      <c r="AR152" s="37"/>
      <c r="AS152" s="37"/>
      <c r="AT152" s="37"/>
      <c r="AU152" s="37"/>
      <c r="AV152" s="37"/>
      <c r="AW152" s="37"/>
      <c r="AX152" s="37"/>
      <c r="AY152" s="37"/>
      <c r="AZ152" s="78"/>
      <c r="BA152" s="37"/>
      <c r="BB152" s="78"/>
      <c r="BF152" s="37"/>
      <c r="BG152" s="37"/>
      <c r="BH152" s="37"/>
      <c r="BI152" s="37"/>
      <c r="BJ152" s="37"/>
      <c r="BK152" s="37"/>
      <c r="BL152" s="37"/>
      <c r="BM152" s="37"/>
      <c r="BN152" s="37"/>
      <c r="BO152" s="37"/>
    </row>
    <row r="153" spans="3:67" ht="20.100000000000001" customHeight="1">
      <c r="C153" s="113"/>
      <c r="D153" s="114"/>
      <c r="P153" s="82"/>
      <c r="Q153" s="82"/>
      <c r="R153" s="38"/>
      <c r="S153" s="38"/>
      <c r="T153" s="38"/>
      <c r="U153" s="38"/>
      <c r="V153" s="38"/>
      <c r="W153" s="38"/>
      <c r="X153" s="38"/>
      <c r="Y153" s="38"/>
      <c r="Z153" s="38"/>
      <c r="AA153" s="38"/>
      <c r="AB153" s="38"/>
      <c r="AC153" s="38"/>
      <c r="AD153" s="38"/>
      <c r="AE153" s="38"/>
      <c r="AF153" s="38"/>
      <c r="AG153" s="38"/>
      <c r="AH153" s="38"/>
      <c r="AN153" s="37"/>
      <c r="AO153" s="37"/>
      <c r="AP153" s="78"/>
      <c r="AQ153" s="37"/>
      <c r="AR153" s="37"/>
      <c r="AS153" s="37"/>
      <c r="AT153" s="37"/>
      <c r="AU153" s="37"/>
      <c r="AV153" s="37"/>
      <c r="AW153" s="37"/>
      <c r="AX153" s="37"/>
      <c r="AY153" s="37"/>
      <c r="AZ153" s="78"/>
      <c r="BA153" s="37"/>
      <c r="BB153" s="78"/>
      <c r="BF153" s="37"/>
      <c r="BG153" s="37"/>
      <c r="BH153" s="37"/>
      <c r="BI153" s="37"/>
      <c r="BJ153" s="37"/>
      <c r="BK153" s="37"/>
      <c r="BL153" s="37"/>
      <c r="BM153" s="37"/>
      <c r="BN153" s="37"/>
      <c r="BO153" s="37"/>
    </row>
    <row r="154" spans="3:67" ht="20.100000000000001" customHeight="1">
      <c r="C154" s="113"/>
      <c r="D154" s="114"/>
      <c r="P154" s="82"/>
      <c r="Q154" s="82"/>
      <c r="R154" s="38"/>
      <c r="S154" s="38"/>
      <c r="T154" s="38"/>
      <c r="U154" s="38"/>
      <c r="V154" s="38"/>
      <c r="W154" s="38"/>
      <c r="X154" s="38"/>
      <c r="Y154" s="38"/>
      <c r="Z154" s="38"/>
      <c r="AA154" s="38"/>
      <c r="AB154" s="38"/>
      <c r="AC154" s="38"/>
      <c r="AD154" s="38"/>
      <c r="AE154" s="38"/>
      <c r="AF154" s="38"/>
      <c r="AG154" s="38"/>
      <c r="AH154" s="38"/>
      <c r="AN154" s="37"/>
      <c r="AO154" s="37"/>
      <c r="AP154" s="78"/>
      <c r="AQ154" s="37"/>
      <c r="AR154" s="37"/>
      <c r="AS154" s="37"/>
      <c r="AT154" s="37"/>
      <c r="AU154" s="37"/>
      <c r="AV154" s="37"/>
      <c r="AW154" s="37"/>
      <c r="AX154" s="37"/>
      <c r="AY154" s="37"/>
      <c r="AZ154" s="78"/>
      <c r="BA154" s="37"/>
      <c r="BB154" s="78"/>
      <c r="BF154" s="37"/>
      <c r="BG154" s="37"/>
      <c r="BH154" s="37"/>
      <c r="BI154" s="37"/>
      <c r="BJ154" s="37"/>
      <c r="BK154" s="37"/>
      <c r="BL154" s="37"/>
      <c r="BM154" s="37"/>
      <c r="BN154" s="37"/>
      <c r="BO154" s="37"/>
    </row>
    <row r="155" spans="3:67" ht="20.100000000000001" customHeight="1">
      <c r="C155" s="113"/>
      <c r="D155" s="114"/>
      <c r="P155" s="82"/>
      <c r="Q155" s="82"/>
      <c r="R155" s="38"/>
      <c r="S155" s="38"/>
      <c r="T155" s="38"/>
      <c r="U155" s="38"/>
      <c r="V155" s="38"/>
      <c r="W155" s="38"/>
      <c r="X155" s="38"/>
      <c r="Y155" s="38"/>
      <c r="Z155" s="38"/>
      <c r="AA155" s="38"/>
      <c r="AB155" s="38"/>
      <c r="AC155" s="38"/>
      <c r="AD155" s="38"/>
      <c r="AE155" s="38"/>
      <c r="AF155" s="38"/>
      <c r="AG155" s="38"/>
      <c r="AH155" s="38"/>
      <c r="AN155" s="37"/>
      <c r="AO155" s="37"/>
      <c r="AP155" s="78"/>
      <c r="AQ155" s="37"/>
      <c r="AR155" s="37"/>
      <c r="AS155" s="37"/>
      <c r="AT155" s="37"/>
      <c r="AU155" s="37"/>
      <c r="AV155" s="37"/>
      <c r="AW155" s="37"/>
      <c r="AX155" s="37"/>
      <c r="AY155" s="37"/>
      <c r="AZ155" s="78"/>
      <c r="BA155" s="37"/>
      <c r="BB155" s="78"/>
      <c r="BF155" s="37"/>
      <c r="BG155" s="37"/>
      <c r="BH155" s="37"/>
      <c r="BI155" s="37"/>
      <c r="BJ155" s="37"/>
      <c r="BK155" s="37"/>
      <c r="BL155" s="37"/>
      <c r="BM155" s="37"/>
      <c r="BN155" s="37"/>
      <c r="BO155" s="37"/>
    </row>
    <row r="156" spans="3:67" ht="20.100000000000001" customHeight="1">
      <c r="C156" s="113"/>
      <c r="D156" s="114"/>
      <c r="P156" s="82"/>
      <c r="Q156" s="82"/>
      <c r="R156" s="38"/>
      <c r="S156" s="38"/>
      <c r="T156" s="38"/>
      <c r="U156" s="38"/>
      <c r="V156" s="38"/>
      <c r="W156" s="38"/>
      <c r="X156" s="38"/>
      <c r="Y156" s="38"/>
      <c r="Z156" s="38"/>
      <c r="AA156" s="38"/>
      <c r="AB156" s="38"/>
      <c r="AC156" s="38"/>
      <c r="AD156" s="38"/>
      <c r="AE156" s="38"/>
      <c r="AF156" s="38"/>
      <c r="AG156" s="38"/>
      <c r="AH156" s="38"/>
      <c r="AN156" s="37"/>
      <c r="AO156" s="37"/>
      <c r="AP156" s="78"/>
      <c r="AQ156" s="37"/>
      <c r="AR156" s="37"/>
      <c r="AS156" s="37"/>
      <c r="AT156" s="37"/>
      <c r="AU156" s="37"/>
      <c r="AV156" s="37"/>
      <c r="AW156" s="37"/>
      <c r="AX156" s="37"/>
      <c r="AY156" s="37"/>
      <c r="AZ156" s="78"/>
      <c r="BA156" s="37"/>
      <c r="BB156" s="78"/>
      <c r="BF156" s="37"/>
      <c r="BG156" s="37"/>
      <c r="BH156" s="37"/>
      <c r="BI156" s="37"/>
      <c r="BJ156" s="37"/>
      <c r="BK156" s="37"/>
      <c r="BL156" s="37"/>
      <c r="BM156" s="37"/>
      <c r="BN156" s="37"/>
      <c r="BO156" s="37"/>
    </row>
    <row r="157" spans="3:67" ht="20.100000000000001" customHeight="1">
      <c r="C157" s="113"/>
      <c r="D157" s="114"/>
      <c r="P157" s="82"/>
      <c r="Q157" s="82"/>
      <c r="R157" s="38"/>
      <c r="S157" s="38"/>
      <c r="T157" s="38"/>
      <c r="U157" s="38"/>
      <c r="V157" s="38"/>
      <c r="W157" s="38"/>
      <c r="X157" s="38"/>
      <c r="Y157" s="38"/>
      <c r="Z157" s="38"/>
      <c r="AA157" s="38"/>
      <c r="AB157" s="38"/>
      <c r="AC157" s="38"/>
      <c r="AD157" s="38"/>
      <c r="AE157" s="38"/>
      <c r="AF157" s="38"/>
      <c r="AG157" s="38"/>
      <c r="AH157" s="38"/>
      <c r="AN157" s="37"/>
      <c r="AO157" s="37"/>
      <c r="AP157" s="78"/>
      <c r="AQ157" s="37"/>
      <c r="AR157" s="37"/>
      <c r="AS157" s="37"/>
      <c r="AT157" s="37"/>
      <c r="AU157" s="37"/>
      <c r="AV157" s="37"/>
      <c r="AW157" s="37"/>
      <c r="AX157" s="37"/>
      <c r="AY157" s="37"/>
      <c r="AZ157" s="78"/>
      <c r="BA157" s="37"/>
      <c r="BB157" s="78"/>
      <c r="BF157" s="37"/>
      <c r="BG157" s="37"/>
      <c r="BH157" s="37"/>
      <c r="BI157" s="37"/>
      <c r="BJ157" s="37"/>
      <c r="BK157" s="37"/>
      <c r="BL157" s="37"/>
      <c r="BM157" s="37"/>
      <c r="BN157" s="37"/>
      <c r="BO157" s="37"/>
    </row>
    <row r="158" spans="3:67" ht="20.100000000000001" customHeight="1">
      <c r="C158" s="113"/>
      <c r="D158" s="114"/>
      <c r="P158" s="82"/>
      <c r="Q158" s="82"/>
      <c r="R158" s="38"/>
      <c r="S158" s="38"/>
      <c r="T158" s="38"/>
      <c r="U158" s="38"/>
      <c r="V158" s="38"/>
      <c r="W158" s="38"/>
      <c r="X158" s="38"/>
      <c r="Y158" s="38"/>
      <c r="Z158" s="38"/>
      <c r="AA158" s="38"/>
      <c r="AB158" s="38"/>
      <c r="AC158" s="38"/>
      <c r="AD158" s="38"/>
      <c r="AE158" s="38"/>
      <c r="AF158" s="38"/>
      <c r="AG158" s="38"/>
      <c r="AH158" s="38"/>
      <c r="AN158" s="37"/>
      <c r="AO158" s="37"/>
      <c r="AP158" s="78"/>
      <c r="AQ158" s="37"/>
      <c r="AR158" s="37"/>
      <c r="AS158" s="37"/>
      <c r="AT158" s="37"/>
      <c r="AU158" s="37"/>
      <c r="AV158" s="37"/>
      <c r="AW158" s="37"/>
      <c r="AX158" s="37"/>
      <c r="AY158" s="37"/>
      <c r="AZ158" s="78"/>
      <c r="BA158" s="37"/>
      <c r="BB158" s="78"/>
      <c r="BF158" s="37"/>
      <c r="BG158" s="37"/>
      <c r="BH158" s="37"/>
      <c r="BI158" s="37"/>
      <c r="BJ158" s="37"/>
      <c r="BK158" s="37"/>
      <c r="BL158" s="37"/>
      <c r="BM158" s="37"/>
      <c r="BN158" s="37"/>
      <c r="BO158" s="37"/>
    </row>
    <row r="159" spans="3:67" ht="20.100000000000001" customHeight="1">
      <c r="C159" s="113"/>
      <c r="D159" s="114"/>
      <c r="P159" s="82"/>
      <c r="Q159" s="82"/>
      <c r="R159" s="38"/>
      <c r="S159" s="38"/>
      <c r="T159" s="38"/>
      <c r="U159" s="38"/>
      <c r="V159" s="38"/>
      <c r="W159" s="38"/>
      <c r="X159" s="38"/>
      <c r="Y159" s="38"/>
      <c r="Z159" s="38"/>
      <c r="AA159" s="38"/>
      <c r="AB159" s="38"/>
      <c r="AC159" s="38"/>
      <c r="AD159" s="38"/>
      <c r="AE159" s="38"/>
      <c r="AF159" s="38"/>
      <c r="AG159" s="38"/>
      <c r="AH159" s="38"/>
      <c r="AN159" s="37"/>
      <c r="AO159" s="37"/>
      <c r="AP159" s="78"/>
      <c r="AQ159" s="37"/>
      <c r="AR159" s="37"/>
      <c r="AS159" s="37"/>
      <c r="AT159" s="37"/>
      <c r="AU159" s="37"/>
      <c r="AV159" s="37"/>
      <c r="AW159" s="37"/>
      <c r="AX159" s="37"/>
      <c r="AY159" s="37"/>
      <c r="AZ159" s="78"/>
      <c r="BA159" s="37"/>
      <c r="BB159" s="78"/>
      <c r="BF159" s="37"/>
      <c r="BG159" s="37"/>
      <c r="BH159" s="37"/>
      <c r="BI159" s="37"/>
      <c r="BJ159" s="37"/>
      <c r="BK159" s="37"/>
      <c r="BL159" s="37"/>
      <c r="BM159" s="37"/>
      <c r="BN159" s="37"/>
      <c r="BO159" s="37"/>
    </row>
    <row r="160" spans="3:67" ht="20.100000000000001" customHeight="1">
      <c r="C160" s="113"/>
      <c r="D160" s="114"/>
      <c r="P160" s="82"/>
      <c r="Q160" s="82"/>
      <c r="R160" s="38"/>
      <c r="S160" s="38"/>
      <c r="T160" s="38"/>
      <c r="U160" s="38"/>
      <c r="V160" s="38"/>
      <c r="W160" s="38"/>
      <c r="X160" s="38"/>
      <c r="Y160" s="38"/>
      <c r="Z160" s="38"/>
      <c r="AA160" s="38"/>
      <c r="AB160" s="38"/>
      <c r="AC160" s="38"/>
      <c r="AD160" s="38"/>
      <c r="AE160" s="38"/>
      <c r="AF160" s="38"/>
      <c r="AG160" s="38"/>
      <c r="AH160" s="38"/>
      <c r="AN160" s="37"/>
      <c r="AO160" s="37"/>
      <c r="AP160" s="78"/>
      <c r="AQ160" s="37"/>
      <c r="AR160" s="37"/>
      <c r="AS160" s="37"/>
      <c r="AT160" s="37"/>
      <c r="AU160" s="37"/>
      <c r="AV160" s="37"/>
      <c r="AW160" s="37"/>
      <c r="AX160" s="37"/>
      <c r="AY160" s="37"/>
      <c r="AZ160" s="78"/>
      <c r="BA160" s="37"/>
      <c r="BB160" s="78"/>
      <c r="BF160" s="37"/>
      <c r="BG160" s="37"/>
      <c r="BH160" s="37"/>
      <c r="BI160" s="37"/>
      <c r="BJ160" s="37"/>
      <c r="BK160" s="37"/>
      <c r="BL160" s="37"/>
      <c r="BM160" s="37"/>
      <c r="BN160" s="37"/>
      <c r="BO160" s="37"/>
    </row>
    <row r="161" spans="3:67" ht="20.100000000000001" customHeight="1">
      <c r="C161" s="113"/>
      <c r="D161" s="114"/>
      <c r="P161" s="82"/>
      <c r="Q161" s="82"/>
      <c r="R161" s="38"/>
      <c r="S161" s="38"/>
      <c r="T161" s="38"/>
      <c r="U161" s="38"/>
      <c r="V161" s="38"/>
      <c r="W161" s="38"/>
      <c r="X161" s="38"/>
      <c r="Y161" s="38"/>
      <c r="Z161" s="38"/>
      <c r="AA161" s="38"/>
      <c r="AB161" s="38"/>
      <c r="AC161" s="38"/>
      <c r="AD161" s="38"/>
      <c r="AE161" s="38"/>
      <c r="AF161" s="38"/>
      <c r="AG161" s="38"/>
      <c r="AH161" s="38"/>
      <c r="AN161" s="37"/>
      <c r="AO161" s="37"/>
      <c r="AP161" s="78"/>
      <c r="AQ161" s="37"/>
      <c r="AR161" s="37"/>
      <c r="AS161" s="37"/>
      <c r="AT161" s="37"/>
      <c r="AU161" s="37"/>
      <c r="AV161" s="37"/>
      <c r="AW161" s="37"/>
      <c r="AX161" s="37"/>
      <c r="AY161" s="37"/>
      <c r="AZ161" s="78"/>
      <c r="BA161" s="37"/>
      <c r="BB161" s="78"/>
      <c r="BF161" s="37"/>
      <c r="BG161" s="37"/>
      <c r="BH161" s="37"/>
      <c r="BI161" s="37"/>
      <c r="BJ161" s="37"/>
      <c r="BK161" s="37"/>
      <c r="BL161" s="37"/>
      <c r="BM161" s="37"/>
      <c r="BN161" s="37"/>
      <c r="BO161" s="37"/>
    </row>
    <row r="162" spans="3:67" ht="20.100000000000001" customHeight="1">
      <c r="C162" s="113"/>
      <c r="D162" s="114"/>
      <c r="P162" s="82"/>
      <c r="Q162" s="82"/>
      <c r="R162" s="38"/>
      <c r="S162" s="38"/>
      <c r="T162" s="38"/>
      <c r="U162" s="38"/>
      <c r="V162" s="38"/>
      <c r="W162" s="38"/>
      <c r="X162" s="38"/>
      <c r="Y162" s="38"/>
      <c r="Z162" s="38"/>
      <c r="AA162" s="38"/>
      <c r="AB162" s="38"/>
      <c r="AC162" s="38"/>
      <c r="AD162" s="38"/>
      <c r="AE162" s="38"/>
      <c r="AF162" s="38"/>
      <c r="AG162" s="38"/>
      <c r="AH162" s="38"/>
      <c r="AN162" s="37"/>
      <c r="AO162" s="37"/>
      <c r="AP162" s="78"/>
      <c r="AQ162" s="37"/>
      <c r="AR162" s="37"/>
      <c r="AS162" s="37"/>
      <c r="AT162" s="37"/>
      <c r="AU162" s="37"/>
      <c r="AV162" s="37"/>
      <c r="AW162" s="37"/>
      <c r="AX162" s="37"/>
      <c r="AY162" s="37"/>
      <c r="AZ162" s="78"/>
      <c r="BA162" s="37"/>
      <c r="BB162" s="78"/>
      <c r="BF162" s="37"/>
      <c r="BG162" s="37"/>
      <c r="BH162" s="37"/>
      <c r="BI162" s="37"/>
      <c r="BJ162" s="37"/>
      <c r="BK162" s="37"/>
      <c r="BL162" s="37"/>
      <c r="BM162" s="37"/>
      <c r="BN162" s="37"/>
      <c r="BO162" s="37"/>
    </row>
    <row r="163" spans="3:67" ht="20.100000000000001" customHeight="1">
      <c r="C163" s="113"/>
      <c r="D163" s="114"/>
      <c r="P163" s="82"/>
      <c r="Q163" s="82"/>
      <c r="R163" s="38"/>
      <c r="S163" s="38"/>
      <c r="T163" s="38"/>
      <c r="U163" s="38"/>
      <c r="V163" s="38"/>
      <c r="W163" s="38"/>
      <c r="X163" s="38"/>
      <c r="Y163" s="38"/>
      <c r="Z163" s="38"/>
      <c r="AA163" s="38"/>
      <c r="AB163" s="38"/>
      <c r="AC163" s="38"/>
      <c r="AD163" s="38"/>
      <c r="AE163" s="38"/>
      <c r="AF163" s="38"/>
      <c r="AG163" s="38"/>
      <c r="AH163" s="38"/>
      <c r="AN163" s="37"/>
      <c r="AO163" s="37"/>
      <c r="AP163" s="78"/>
      <c r="AQ163" s="37"/>
      <c r="AR163" s="37"/>
      <c r="AS163" s="37"/>
      <c r="AT163" s="37"/>
      <c r="AU163" s="37"/>
      <c r="AV163" s="37"/>
      <c r="AW163" s="37"/>
      <c r="AX163" s="37"/>
      <c r="AY163" s="37"/>
      <c r="AZ163" s="78"/>
      <c r="BA163" s="37"/>
      <c r="BB163" s="78"/>
      <c r="BF163" s="37"/>
      <c r="BG163" s="37"/>
      <c r="BH163" s="37"/>
      <c r="BI163" s="37"/>
      <c r="BJ163" s="37"/>
      <c r="BK163" s="37"/>
      <c r="BL163" s="37"/>
      <c r="BM163" s="37"/>
      <c r="BN163" s="37"/>
      <c r="BO163" s="37"/>
    </row>
    <row r="164" spans="3:67" ht="20.100000000000001" customHeight="1">
      <c r="C164" s="113"/>
      <c r="D164" s="114"/>
      <c r="P164" s="82"/>
      <c r="Q164" s="82"/>
      <c r="R164" s="38"/>
      <c r="S164" s="38"/>
      <c r="T164" s="38"/>
      <c r="U164" s="38"/>
      <c r="V164" s="38"/>
      <c r="W164" s="38"/>
      <c r="X164" s="38"/>
      <c r="Y164" s="38"/>
      <c r="Z164" s="38"/>
      <c r="AA164" s="38"/>
      <c r="AB164" s="38"/>
      <c r="AC164" s="38"/>
      <c r="AD164" s="38"/>
      <c r="AE164" s="38"/>
      <c r="AF164" s="38"/>
      <c r="AG164" s="38"/>
      <c r="AH164" s="38"/>
      <c r="AN164" s="37"/>
      <c r="AO164" s="37"/>
      <c r="AP164" s="78"/>
      <c r="AQ164" s="37"/>
      <c r="AR164" s="37"/>
      <c r="AS164" s="37"/>
      <c r="AT164" s="37"/>
      <c r="AU164" s="37"/>
      <c r="AV164" s="37"/>
      <c r="AW164" s="37"/>
      <c r="AX164" s="37"/>
      <c r="AY164" s="37"/>
      <c r="AZ164" s="78"/>
      <c r="BA164" s="37"/>
      <c r="BB164" s="78"/>
      <c r="BF164" s="37"/>
      <c r="BG164" s="37"/>
      <c r="BH164" s="37"/>
      <c r="BI164" s="37"/>
      <c r="BJ164" s="37"/>
      <c r="BK164" s="37"/>
      <c r="BL164" s="37"/>
      <c r="BM164" s="37"/>
      <c r="BN164" s="37"/>
      <c r="BO164" s="37"/>
    </row>
    <row r="165" spans="3:67" ht="20.100000000000001" customHeight="1">
      <c r="C165" s="113"/>
      <c r="D165" s="114"/>
      <c r="P165" s="82"/>
      <c r="Q165" s="82"/>
      <c r="R165" s="38"/>
      <c r="S165" s="38"/>
      <c r="T165" s="38"/>
      <c r="U165" s="38"/>
      <c r="V165" s="38"/>
      <c r="W165" s="38"/>
      <c r="X165" s="38"/>
      <c r="Y165" s="38"/>
      <c r="Z165" s="38"/>
      <c r="AA165" s="38"/>
      <c r="AB165" s="38"/>
      <c r="AC165" s="38"/>
      <c r="AD165" s="38"/>
      <c r="AE165" s="38"/>
      <c r="AF165" s="38"/>
      <c r="AG165" s="38"/>
      <c r="AH165" s="38"/>
      <c r="AN165" s="37"/>
      <c r="AO165" s="37"/>
      <c r="AP165" s="78"/>
      <c r="AQ165" s="37"/>
      <c r="AR165" s="37"/>
      <c r="AS165" s="37"/>
      <c r="AT165" s="37"/>
      <c r="AU165" s="37"/>
      <c r="AV165" s="37"/>
      <c r="AW165" s="37"/>
      <c r="AX165" s="37"/>
      <c r="AY165" s="37"/>
      <c r="AZ165" s="78"/>
      <c r="BA165" s="37"/>
      <c r="BB165" s="78"/>
      <c r="BF165" s="37"/>
      <c r="BG165" s="37"/>
      <c r="BH165" s="37"/>
      <c r="BI165" s="37"/>
      <c r="BJ165" s="37"/>
      <c r="BK165" s="37"/>
      <c r="BL165" s="37"/>
      <c r="BM165" s="37"/>
      <c r="BN165" s="37"/>
      <c r="BO165" s="37"/>
    </row>
    <row r="166" spans="3:67" ht="20.100000000000001" customHeight="1">
      <c r="C166" s="113"/>
      <c r="D166" s="114"/>
      <c r="P166" s="82"/>
      <c r="Q166" s="82"/>
      <c r="R166" s="38"/>
      <c r="S166" s="38"/>
      <c r="T166" s="38"/>
      <c r="U166" s="38"/>
      <c r="V166" s="38"/>
      <c r="W166" s="38"/>
      <c r="X166" s="38"/>
      <c r="Y166" s="38"/>
      <c r="Z166" s="38"/>
      <c r="AA166" s="38"/>
      <c r="AB166" s="38"/>
      <c r="AC166" s="38"/>
      <c r="AD166" s="38"/>
      <c r="AE166" s="38"/>
      <c r="AF166" s="38"/>
      <c r="AG166" s="38"/>
      <c r="AH166" s="38"/>
      <c r="AN166" s="37"/>
      <c r="AO166" s="37"/>
      <c r="AP166" s="78"/>
      <c r="AQ166" s="37"/>
      <c r="AR166" s="37"/>
      <c r="AS166" s="37"/>
      <c r="AT166" s="37"/>
      <c r="AU166" s="37"/>
      <c r="AV166" s="37"/>
      <c r="AW166" s="37"/>
      <c r="AX166" s="37"/>
      <c r="AY166" s="37"/>
      <c r="AZ166" s="78"/>
      <c r="BA166" s="37"/>
      <c r="BB166" s="78"/>
      <c r="BF166" s="37"/>
      <c r="BG166" s="37"/>
      <c r="BH166" s="37"/>
      <c r="BI166" s="37"/>
      <c r="BJ166" s="37"/>
      <c r="BK166" s="37"/>
      <c r="BL166" s="37"/>
      <c r="BM166" s="37"/>
      <c r="BN166" s="37"/>
      <c r="BO166" s="37"/>
    </row>
    <row r="167" spans="3:67" ht="20.100000000000001" customHeight="1">
      <c r="C167" s="113"/>
      <c r="D167" s="114"/>
      <c r="P167" s="82"/>
      <c r="Q167" s="82"/>
      <c r="R167" s="38"/>
      <c r="S167" s="38"/>
      <c r="T167" s="38"/>
      <c r="U167" s="38"/>
      <c r="V167" s="38"/>
      <c r="W167" s="38"/>
      <c r="X167" s="38"/>
      <c r="Y167" s="38"/>
      <c r="Z167" s="38"/>
      <c r="AA167" s="38"/>
      <c r="AB167" s="38"/>
      <c r="AC167" s="38"/>
      <c r="AD167" s="38"/>
      <c r="AE167" s="38"/>
      <c r="AF167" s="38"/>
      <c r="AG167" s="38"/>
      <c r="AH167" s="38"/>
      <c r="AN167" s="37"/>
      <c r="AO167" s="37"/>
      <c r="AP167" s="78"/>
      <c r="AQ167" s="37"/>
      <c r="AR167" s="37"/>
      <c r="AS167" s="37"/>
      <c r="AT167" s="37"/>
      <c r="AU167" s="37"/>
      <c r="AV167" s="37"/>
      <c r="AW167" s="37"/>
      <c r="AX167" s="37"/>
      <c r="AY167" s="37"/>
      <c r="AZ167" s="78"/>
      <c r="BA167" s="37"/>
      <c r="BB167" s="78"/>
      <c r="BF167" s="37"/>
      <c r="BG167" s="37"/>
      <c r="BH167" s="37"/>
      <c r="BI167" s="37"/>
      <c r="BJ167" s="37"/>
      <c r="BK167" s="37"/>
      <c r="BL167" s="37"/>
      <c r="BM167" s="37"/>
      <c r="BN167" s="37"/>
      <c r="BO167" s="37"/>
    </row>
    <row r="168" spans="3:67" ht="20.100000000000001" customHeight="1">
      <c r="C168" s="113"/>
      <c r="D168" s="114"/>
      <c r="P168" s="82"/>
      <c r="Q168" s="82"/>
      <c r="R168" s="38"/>
      <c r="S168" s="38"/>
      <c r="T168" s="38"/>
      <c r="U168" s="38"/>
      <c r="V168" s="38"/>
      <c r="W168" s="38"/>
      <c r="X168" s="38"/>
      <c r="Y168" s="38"/>
      <c r="Z168" s="38"/>
      <c r="AA168" s="38"/>
      <c r="AB168" s="38"/>
      <c r="AC168" s="38"/>
      <c r="AD168" s="38"/>
      <c r="AE168" s="38"/>
      <c r="AF168" s="38"/>
      <c r="AG168" s="38"/>
      <c r="AH168" s="38"/>
      <c r="AN168" s="37"/>
      <c r="AO168" s="37"/>
      <c r="AP168" s="78"/>
      <c r="AQ168" s="37"/>
      <c r="AR168" s="37"/>
      <c r="AS168" s="37"/>
      <c r="AT168" s="37"/>
      <c r="AU168" s="37"/>
      <c r="AV168" s="37"/>
      <c r="AW168" s="37"/>
      <c r="AX168" s="37"/>
      <c r="AY168" s="37"/>
      <c r="AZ168" s="78"/>
      <c r="BA168" s="37"/>
      <c r="BB168" s="78"/>
      <c r="BF168" s="37"/>
      <c r="BG168" s="37"/>
      <c r="BH168" s="37"/>
      <c r="BI168" s="37"/>
      <c r="BJ168" s="37"/>
      <c r="BK168" s="37"/>
      <c r="BL168" s="37"/>
      <c r="BM168" s="37"/>
      <c r="BN168" s="37"/>
      <c r="BO168" s="37"/>
    </row>
    <row r="169" spans="3:67" ht="20.100000000000001" customHeight="1">
      <c r="C169" s="113"/>
      <c r="D169" s="114"/>
      <c r="P169" s="82"/>
      <c r="Q169" s="82"/>
      <c r="R169" s="38"/>
      <c r="S169" s="38"/>
      <c r="T169" s="38"/>
      <c r="U169" s="38"/>
      <c r="V169" s="38"/>
      <c r="W169" s="38"/>
      <c r="X169" s="38"/>
      <c r="Y169" s="38"/>
      <c r="Z169" s="38"/>
      <c r="AA169" s="38"/>
      <c r="AB169" s="38"/>
      <c r="AC169" s="38"/>
      <c r="AD169" s="38"/>
      <c r="AE169" s="38"/>
      <c r="AF169" s="38"/>
      <c r="AG169" s="38"/>
      <c r="AH169" s="38"/>
      <c r="AN169" s="37"/>
      <c r="AO169" s="37"/>
      <c r="AP169" s="78"/>
      <c r="AQ169" s="37"/>
      <c r="AR169" s="37"/>
      <c r="AS169" s="37"/>
      <c r="AT169" s="37"/>
      <c r="AU169" s="37"/>
      <c r="AV169" s="37"/>
      <c r="AW169" s="37"/>
      <c r="AX169" s="37"/>
      <c r="AY169" s="37"/>
      <c r="AZ169" s="78"/>
      <c r="BA169" s="37"/>
      <c r="BB169" s="78"/>
      <c r="BF169" s="37"/>
      <c r="BG169" s="37"/>
      <c r="BH169" s="37"/>
      <c r="BI169" s="37"/>
      <c r="BJ169" s="37"/>
      <c r="BK169" s="37"/>
      <c r="BL169" s="37"/>
      <c r="BM169" s="37"/>
      <c r="BN169" s="37"/>
      <c r="BO169" s="37"/>
    </row>
    <row r="170" spans="3:67" ht="20.100000000000001" customHeight="1">
      <c r="C170" s="113"/>
      <c r="D170" s="114"/>
      <c r="P170" s="82"/>
      <c r="Q170" s="82"/>
      <c r="R170" s="38"/>
      <c r="S170" s="38"/>
      <c r="T170" s="38"/>
      <c r="U170" s="38"/>
      <c r="V170" s="38"/>
      <c r="W170" s="38"/>
      <c r="X170" s="38"/>
      <c r="Y170" s="38"/>
      <c r="Z170" s="38"/>
      <c r="AA170" s="38"/>
      <c r="AB170" s="38"/>
      <c r="AC170" s="38"/>
      <c r="AD170" s="38"/>
      <c r="AE170" s="38"/>
      <c r="AF170" s="38"/>
      <c r="AG170" s="38"/>
      <c r="AH170" s="38"/>
      <c r="AN170" s="37"/>
      <c r="AO170" s="37"/>
      <c r="AP170" s="78"/>
      <c r="AQ170" s="37"/>
      <c r="AR170" s="37"/>
      <c r="AS170" s="37"/>
      <c r="AT170" s="37"/>
      <c r="AU170" s="37"/>
      <c r="AV170" s="37"/>
      <c r="AW170" s="37"/>
      <c r="AX170" s="37"/>
      <c r="AY170" s="37"/>
      <c r="AZ170" s="78"/>
      <c r="BA170" s="37"/>
      <c r="BB170" s="78"/>
      <c r="BF170" s="37"/>
      <c r="BG170" s="37"/>
      <c r="BH170" s="37"/>
      <c r="BI170" s="37"/>
      <c r="BJ170" s="37"/>
      <c r="BK170" s="37"/>
      <c r="BL170" s="37"/>
      <c r="BM170" s="37"/>
      <c r="BN170" s="37"/>
      <c r="BO170" s="37"/>
    </row>
    <row r="171" spans="3:67" ht="20.100000000000001" customHeight="1">
      <c r="C171" s="113"/>
      <c r="D171" s="114"/>
      <c r="P171" s="82"/>
      <c r="Q171" s="82"/>
      <c r="R171" s="38"/>
      <c r="S171" s="38"/>
      <c r="T171" s="38"/>
      <c r="U171" s="38"/>
      <c r="V171" s="38"/>
      <c r="W171" s="38"/>
      <c r="X171" s="38"/>
      <c r="Y171" s="38"/>
      <c r="Z171" s="38"/>
      <c r="AA171" s="38"/>
      <c r="AB171" s="38"/>
      <c r="AC171" s="38"/>
      <c r="AD171" s="38"/>
      <c r="AE171" s="38"/>
      <c r="AF171" s="38"/>
      <c r="AG171" s="38"/>
      <c r="AH171" s="38"/>
      <c r="AN171" s="37"/>
      <c r="AO171" s="37"/>
      <c r="AP171" s="78"/>
      <c r="AQ171" s="37"/>
      <c r="AR171" s="37"/>
      <c r="AS171" s="37"/>
      <c r="AT171" s="37"/>
      <c r="AU171" s="37"/>
      <c r="AV171" s="37"/>
      <c r="AW171" s="37"/>
      <c r="AX171" s="37"/>
      <c r="AY171" s="37"/>
      <c r="AZ171" s="78"/>
      <c r="BA171" s="37"/>
      <c r="BB171" s="78"/>
      <c r="BF171" s="37"/>
      <c r="BG171" s="37"/>
      <c r="BH171" s="37"/>
      <c r="BI171" s="37"/>
      <c r="BJ171" s="37"/>
      <c r="BK171" s="37"/>
      <c r="BL171" s="37"/>
      <c r="BM171" s="37"/>
      <c r="BN171" s="37"/>
      <c r="BO171" s="37"/>
    </row>
    <row r="172" spans="3:67" ht="20.100000000000001" customHeight="1">
      <c r="C172" s="113"/>
      <c r="D172" s="114"/>
      <c r="P172" s="82"/>
      <c r="Q172" s="82"/>
      <c r="R172" s="38"/>
      <c r="S172" s="38"/>
      <c r="T172" s="38"/>
      <c r="U172" s="38"/>
      <c r="V172" s="38"/>
      <c r="W172" s="38"/>
      <c r="X172" s="38"/>
      <c r="Y172" s="38"/>
      <c r="Z172" s="38"/>
      <c r="AA172" s="38"/>
      <c r="AB172" s="38"/>
      <c r="AC172" s="38"/>
      <c r="AD172" s="38"/>
      <c r="AE172" s="38"/>
      <c r="AF172" s="38"/>
      <c r="AG172" s="38"/>
      <c r="AH172" s="38"/>
      <c r="AN172" s="37"/>
      <c r="AO172" s="37"/>
      <c r="AP172" s="78"/>
      <c r="AQ172" s="37"/>
      <c r="AR172" s="37"/>
      <c r="AS172" s="37"/>
      <c r="AT172" s="37"/>
      <c r="AU172" s="37"/>
      <c r="AV172" s="37"/>
      <c r="AW172" s="37"/>
      <c r="AX172" s="37"/>
      <c r="AY172" s="37"/>
      <c r="AZ172" s="78"/>
      <c r="BA172" s="37"/>
      <c r="BB172" s="78"/>
      <c r="BF172" s="37"/>
      <c r="BG172" s="37"/>
      <c r="BH172" s="37"/>
      <c r="BI172" s="37"/>
      <c r="BJ172" s="37"/>
      <c r="BK172" s="37"/>
      <c r="BL172" s="37"/>
      <c r="BM172" s="37"/>
      <c r="BN172" s="37"/>
      <c r="BO172" s="37"/>
    </row>
    <row r="173" spans="3:67" ht="20.100000000000001" customHeight="1">
      <c r="C173" s="113"/>
      <c r="D173" s="114"/>
      <c r="P173" s="82"/>
      <c r="Q173" s="82"/>
      <c r="R173" s="38"/>
      <c r="S173" s="38"/>
      <c r="T173" s="38"/>
      <c r="U173" s="38"/>
      <c r="V173" s="38"/>
      <c r="W173" s="38"/>
      <c r="X173" s="38"/>
      <c r="Y173" s="38"/>
      <c r="Z173" s="38"/>
      <c r="AA173" s="38"/>
      <c r="AB173" s="38"/>
      <c r="AC173" s="38"/>
      <c r="AD173" s="38"/>
      <c r="AE173" s="38"/>
      <c r="AF173" s="38"/>
      <c r="AG173" s="38"/>
      <c r="AH173" s="38"/>
      <c r="AN173" s="37"/>
      <c r="AO173" s="37"/>
      <c r="AP173" s="78"/>
      <c r="AQ173" s="37"/>
      <c r="AR173" s="37"/>
      <c r="AS173" s="37"/>
      <c r="AT173" s="37"/>
      <c r="AU173" s="37"/>
      <c r="AV173" s="37"/>
      <c r="AW173" s="37"/>
      <c r="AX173" s="37"/>
      <c r="AY173" s="37"/>
      <c r="AZ173" s="78"/>
      <c r="BA173" s="37"/>
      <c r="BB173" s="78"/>
      <c r="BF173" s="37"/>
      <c r="BG173" s="37"/>
      <c r="BH173" s="37"/>
      <c r="BI173" s="37"/>
      <c r="BJ173" s="37"/>
      <c r="BK173" s="37"/>
      <c r="BL173" s="37"/>
      <c r="BM173" s="37"/>
      <c r="BN173" s="37"/>
      <c r="BO173" s="37"/>
    </row>
    <row r="174" spans="3:67" ht="20.100000000000001" customHeight="1">
      <c r="C174" s="113"/>
      <c r="D174" s="114"/>
      <c r="P174" s="82"/>
      <c r="Q174" s="82"/>
      <c r="R174" s="38"/>
      <c r="S174" s="38"/>
      <c r="T174" s="38"/>
      <c r="U174" s="38"/>
      <c r="V174" s="38"/>
      <c r="W174" s="38"/>
      <c r="X174" s="38"/>
      <c r="Y174" s="38"/>
      <c r="Z174" s="38"/>
      <c r="AA174" s="38"/>
      <c r="AB174" s="38"/>
      <c r="AC174" s="38"/>
      <c r="AD174" s="38"/>
      <c r="AE174" s="38"/>
      <c r="AF174" s="38"/>
      <c r="AG174" s="38"/>
      <c r="AH174" s="38"/>
      <c r="AN174" s="37"/>
      <c r="AO174" s="37"/>
      <c r="AP174" s="78"/>
      <c r="AQ174" s="37"/>
      <c r="AR174" s="37"/>
      <c r="AS174" s="37"/>
      <c r="AT174" s="37"/>
      <c r="AU174" s="37"/>
      <c r="AV174" s="37"/>
      <c r="AW174" s="37"/>
      <c r="AX174" s="37"/>
      <c r="AY174" s="37"/>
      <c r="AZ174" s="78"/>
      <c r="BA174" s="37"/>
      <c r="BB174" s="78"/>
      <c r="BF174" s="37"/>
      <c r="BG174" s="37"/>
      <c r="BH174" s="37"/>
      <c r="BI174" s="37"/>
      <c r="BJ174" s="37"/>
      <c r="BK174" s="37"/>
      <c r="BL174" s="37"/>
      <c r="BM174" s="37"/>
      <c r="BN174" s="37"/>
      <c r="BO174" s="37"/>
    </row>
    <row r="175" spans="3:67" ht="20.100000000000001" customHeight="1">
      <c r="C175" s="113"/>
      <c r="D175" s="114"/>
      <c r="P175" s="82"/>
      <c r="Q175" s="82"/>
      <c r="R175" s="38"/>
      <c r="S175" s="38"/>
      <c r="T175" s="38"/>
      <c r="U175" s="38"/>
      <c r="V175" s="38"/>
      <c r="W175" s="38"/>
      <c r="X175" s="38"/>
      <c r="Y175" s="38"/>
      <c r="Z175" s="38"/>
      <c r="AA175" s="38"/>
      <c r="AB175" s="38"/>
      <c r="AC175" s="38"/>
      <c r="AD175" s="38"/>
      <c r="AE175" s="38"/>
      <c r="AF175" s="38"/>
      <c r="AG175" s="38"/>
      <c r="AH175" s="38"/>
      <c r="AN175" s="37"/>
      <c r="AO175" s="37"/>
      <c r="AP175" s="78"/>
      <c r="AQ175" s="37"/>
      <c r="AR175" s="37"/>
      <c r="AS175" s="37"/>
      <c r="AT175" s="37"/>
      <c r="AU175" s="37"/>
      <c r="AV175" s="37"/>
      <c r="AW175" s="37"/>
      <c r="AX175" s="37"/>
      <c r="AY175" s="37"/>
      <c r="AZ175" s="78"/>
      <c r="BA175" s="37"/>
      <c r="BB175" s="78"/>
      <c r="BF175" s="37"/>
      <c r="BG175" s="37"/>
      <c r="BH175" s="37"/>
      <c r="BI175" s="37"/>
      <c r="BJ175" s="37"/>
      <c r="BK175" s="37"/>
      <c r="BL175" s="37"/>
      <c r="BM175" s="37"/>
      <c r="BN175" s="37"/>
      <c r="BO175" s="37"/>
    </row>
    <row r="176" spans="3:67" ht="20.100000000000001" customHeight="1">
      <c r="C176" s="113"/>
      <c r="D176" s="114"/>
      <c r="P176" s="82"/>
      <c r="Q176" s="82"/>
      <c r="R176" s="38"/>
      <c r="S176" s="38"/>
      <c r="T176" s="38"/>
      <c r="U176" s="38"/>
      <c r="V176" s="38"/>
      <c r="W176" s="38"/>
      <c r="X176" s="38"/>
      <c r="Y176" s="38"/>
      <c r="Z176" s="38"/>
      <c r="AA176" s="38"/>
      <c r="AB176" s="38"/>
      <c r="AC176" s="38"/>
      <c r="AD176" s="38"/>
      <c r="AE176" s="38"/>
      <c r="AF176" s="38"/>
      <c r="AG176" s="38"/>
      <c r="AH176" s="38"/>
      <c r="AN176" s="37"/>
      <c r="AO176" s="37"/>
      <c r="AP176" s="78"/>
      <c r="AQ176" s="37"/>
      <c r="AR176" s="37"/>
      <c r="AS176" s="37"/>
      <c r="AT176" s="37"/>
      <c r="AU176" s="37"/>
      <c r="AV176" s="37"/>
      <c r="AW176" s="37"/>
      <c r="AX176" s="37"/>
      <c r="AY176" s="37"/>
      <c r="AZ176" s="78"/>
      <c r="BA176" s="37"/>
      <c r="BB176" s="78"/>
      <c r="BF176" s="37"/>
      <c r="BG176" s="37"/>
      <c r="BH176" s="37"/>
      <c r="BI176" s="37"/>
      <c r="BJ176" s="37"/>
      <c r="BK176" s="37"/>
      <c r="BL176" s="37"/>
      <c r="BM176" s="37"/>
      <c r="BN176" s="37"/>
      <c r="BO176" s="37"/>
    </row>
    <row r="177" spans="3:67" ht="20.100000000000001" customHeight="1">
      <c r="C177" s="113"/>
      <c r="D177" s="114"/>
      <c r="P177" s="82"/>
      <c r="Q177" s="82"/>
      <c r="R177" s="38"/>
      <c r="S177" s="38"/>
      <c r="T177" s="38"/>
      <c r="U177" s="38"/>
      <c r="V177" s="38"/>
      <c r="W177" s="38"/>
      <c r="X177" s="38"/>
      <c r="Y177" s="38"/>
      <c r="Z177" s="38"/>
      <c r="AA177" s="38"/>
      <c r="AB177" s="38"/>
      <c r="AC177" s="38"/>
      <c r="AD177" s="38"/>
      <c r="AE177" s="38"/>
      <c r="AF177" s="38"/>
      <c r="AG177" s="38"/>
      <c r="AH177" s="38"/>
      <c r="AN177" s="37"/>
      <c r="AO177" s="37"/>
      <c r="AP177" s="78"/>
      <c r="AQ177" s="37"/>
      <c r="AR177" s="37"/>
      <c r="AS177" s="37"/>
      <c r="AT177" s="37"/>
      <c r="AU177" s="37"/>
      <c r="AV177" s="37"/>
      <c r="AW177" s="37"/>
      <c r="AX177" s="37"/>
      <c r="AY177" s="37"/>
      <c r="AZ177" s="78"/>
      <c r="BA177" s="37"/>
      <c r="BB177" s="78"/>
      <c r="BF177" s="37"/>
      <c r="BG177" s="37"/>
      <c r="BH177" s="37"/>
      <c r="BI177" s="37"/>
      <c r="BJ177" s="37"/>
      <c r="BK177" s="37"/>
      <c r="BL177" s="37"/>
      <c r="BM177" s="37"/>
      <c r="BN177" s="37"/>
      <c r="BO177" s="37"/>
    </row>
    <row r="178" spans="3:67" ht="20.100000000000001" customHeight="1">
      <c r="C178" s="113"/>
      <c r="D178" s="114"/>
      <c r="P178" s="82"/>
      <c r="Q178" s="82"/>
      <c r="R178" s="38"/>
      <c r="S178" s="38"/>
      <c r="T178" s="38"/>
      <c r="U178" s="38"/>
      <c r="V178" s="38"/>
      <c r="W178" s="38"/>
      <c r="X178" s="38"/>
      <c r="Y178" s="38"/>
      <c r="Z178" s="38"/>
      <c r="AA178" s="38"/>
      <c r="AB178" s="38"/>
      <c r="AC178" s="38"/>
      <c r="AD178" s="38"/>
      <c r="AE178" s="38"/>
      <c r="AF178" s="38"/>
      <c r="AG178" s="38"/>
      <c r="AH178" s="38"/>
      <c r="AN178" s="37"/>
      <c r="AO178" s="37"/>
      <c r="AP178" s="78"/>
      <c r="AQ178" s="37"/>
      <c r="AR178" s="37"/>
      <c r="AS178" s="37"/>
      <c r="AT178" s="37"/>
      <c r="AU178" s="37"/>
      <c r="AV178" s="37"/>
      <c r="AW178" s="37"/>
      <c r="AX178" s="37"/>
      <c r="AY178" s="37"/>
      <c r="AZ178" s="78"/>
      <c r="BA178" s="37"/>
      <c r="BB178" s="78"/>
      <c r="BF178" s="37"/>
      <c r="BG178" s="37"/>
      <c r="BH178" s="37"/>
      <c r="BI178" s="37"/>
      <c r="BJ178" s="37"/>
      <c r="BK178" s="37"/>
      <c r="BL178" s="37"/>
      <c r="BM178" s="37"/>
      <c r="BN178" s="37"/>
      <c r="BO178" s="37"/>
    </row>
    <row r="179" spans="3:67" ht="20.100000000000001" customHeight="1">
      <c r="C179" s="113"/>
      <c r="D179" s="114"/>
      <c r="P179" s="82"/>
      <c r="Q179" s="82"/>
      <c r="R179" s="38"/>
      <c r="S179" s="38"/>
      <c r="T179" s="38"/>
      <c r="U179" s="38"/>
      <c r="V179" s="38"/>
      <c r="W179" s="38"/>
      <c r="X179" s="38"/>
      <c r="Y179" s="38"/>
      <c r="Z179" s="38"/>
      <c r="AA179" s="38"/>
      <c r="AB179" s="38"/>
      <c r="AC179" s="38"/>
      <c r="AD179" s="38"/>
      <c r="AE179" s="38"/>
      <c r="AF179" s="38"/>
      <c r="AG179" s="38"/>
      <c r="AH179" s="38"/>
      <c r="AN179" s="37"/>
      <c r="AO179" s="37"/>
      <c r="AP179" s="78"/>
      <c r="AQ179" s="37"/>
      <c r="AR179" s="37"/>
      <c r="AS179" s="37"/>
      <c r="AT179" s="37"/>
      <c r="AU179" s="37"/>
      <c r="AV179" s="37"/>
      <c r="AW179" s="37"/>
      <c r="AX179" s="37"/>
      <c r="AY179" s="37"/>
      <c r="AZ179" s="78"/>
      <c r="BA179" s="37"/>
      <c r="BB179" s="78"/>
      <c r="BF179" s="37"/>
      <c r="BG179" s="37"/>
      <c r="BH179" s="37"/>
      <c r="BI179" s="37"/>
      <c r="BJ179" s="37"/>
      <c r="BK179" s="37"/>
      <c r="BL179" s="37"/>
      <c r="BM179" s="37"/>
      <c r="BN179" s="37"/>
      <c r="BO179" s="37"/>
    </row>
    <row r="180" spans="3:67" ht="20.100000000000001" customHeight="1">
      <c r="C180" s="113"/>
      <c r="D180" s="114"/>
      <c r="P180" s="82"/>
      <c r="Q180" s="82"/>
      <c r="R180" s="38"/>
      <c r="S180" s="38"/>
      <c r="T180" s="38"/>
      <c r="U180" s="38"/>
      <c r="V180" s="38"/>
      <c r="W180" s="38"/>
      <c r="X180" s="38"/>
      <c r="Y180" s="38"/>
      <c r="Z180" s="38"/>
      <c r="AA180" s="38"/>
      <c r="AB180" s="38"/>
      <c r="AC180" s="38"/>
      <c r="AD180" s="38"/>
      <c r="AE180" s="38"/>
      <c r="AF180" s="38"/>
      <c r="AG180" s="38"/>
      <c r="AH180" s="38"/>
      <c r="AN180" s="37"/>
      <c r="AO180" s="37"/>
      <c r="AP180" s="78"/>
      <c r="AQ180" s="37"/>
      <c r="AR180" s="37"/>
      <c r="AS180" s="37"/>
      <c r="AT180" s="37"/>
      <c r="AU180" s="37"/>
      <c r="AV180" s="37"/>
      <c r="AW180" s="37"/>
      <c r="AX180" s="37"/>
      <c r="AY180" s="37"/>
      <c r="AZ180" s="78"/>
      <c r="BA180" s="37"/>
      <c r="BB180" s="78"/>
      <c r="BF180" s="37"/>
      <c r="BG180" s="37"/>
      <c r="BH180" s="37"/>
      <c r="BI180" s="37"/>
      <c r="BJ180" s="37"/>
      <c r="BK180" s="37"/>
      <c r="BL180" s="37"/>
      <c r="BM180" s="37"/>
      <c r="BN180" s="37"/>
      <c r="BO180" s="37"/>
    </row>
    <row r="181" spans="3:67" ht="20.100000000000001" customHeight="1">
      <c r="C181" s="113"/>
      <c r="D181" s="114"/>
      <c r="P181" s="82"/>
      <c r="Q181" s="82"/>
      <c r="R181" s="38"/>
      <c r="S181" s="38"/>
      <c r="T181" s="38"/>
      <c r="U181" s="38"/>
      <c r="V181" s="38"/>
      <c r="W181" s="38"/>
      <c r="X181" s="38"/>
      <c r="Y181" s="38"/>
      <c r="Z181" s="38"/>
      <c r="AA181" s="38"/>
      <c r="AB181" s="38"/>
      <c r="AC181" s="38"/>
      <c r="AD181" s="38"/>
      <c r="AE181" s="38"/>
      <c r="AF181" s="38"/>
      <c r="AG181" s="38"/>
      <c r="AH181" s="38"/>
      <c r="AN181" s="37"/>
      <c r="AO181" s="37"/>
      <c r="AP181" s="78"/>
      <c r="AQ181" s="37"/>
      <c r="AR181" s="37"/>
      <c r="AS181" s="37"/>
      <c r="AT181" s="37"/>
      <c r="AU181" s="37"/>
      <c r="AV181" s="37"/>
      <c r="AW181" s="37"/>
      <c r="AX181" s="37"/>
      <c r="AY181" s="37"/>
      <c r="AZ181" s="78"/>
      <c r="BA181" s="37"/>
      <c r="BB181" s="78"/>
      <c r="BF181" s="37"/>
      <c r="BG181" s="37"/>
      <c r="BH181" s="37"/>
      <c r="BI181" s="37"/>
      <c r="BJ181" s="37"/>
      <c r="BK181" s="37"/>
      <c r="BL181" s="37"/>
      <c r="BM181" s="37"/>
      <c r="BN181" s="37"/>
      <c r="BO181" s="37"/>
    </row>
    <row r="182" spans="3:67" ht="20.100000000000001" customHeight="1">
      <c r="C182" s="113"/>
      <c r="D182" s="114"/>
      <c r="P182" s="82"/>
      <c r="Q182" s="82"/>
      <c r="R182" s="38"/>
      <c r="S182" s="38"/>
      <c r="T182" s="38"/>
      <c r="U182" s="38"/>
      <c r="V182" s="38"/>
      <c r="W182" s="38"/>
      <c r="X182" s="38"/>
      <c r="Y182" s="38"/>
      <c r="Z182" s="38"/>
      <c r="AA182" s="38"/>
      <c r="AB182" s="38"/>
      <c r="AC182" s="38"/>
      <c r="AD182" s="38"/>
      <c r="AE182" s="38"/>
      <c r="AF182" s="38"/>
      <c r="AG182" s="38"/>
      <c r="AH182" s="38"/>
      <c r="AN182" s="37"/>
      <c r="AO182" s="37"/>
      <c r="AP182" s="78"/>
      <c r="AQ182" s="37"/>
      <c r="AR182" s="37"/>
      <c r="AS182" s="37"/>
      <c r="AT182" s="37"/>
      <c r="AU182" s="37"/>
      <c r="AV182" s="37"/>
      <c r="AW182" s="37"/>
      <c r="AX182" s="37"/>
      <c r="AY182" s="37"/>
      <c r="AZ182" s="78"/>
      <c r="BA182" s="37"/>
      <c r="BB182" s="78"/>
      <c r="BF182" s="37"/>
      <c r="BG182" s="37"/>
      <c r="BH182" s="37"/>
      <c r="BI182" s="37"/>
      <c r="BJ182" s="37"/>
      <c r="BK182" s="37"/>
      <c r="BL182" s="37"/>
      <c r="BM182" s="37"/>
      <c r="BN182" s="37"/>
      <c r="BO182" s="37"/>
    </row>
    <row r="183" spans="3:67" ht="20.100000000000001" customHeight="1">
      <c r="C183" s="113"/>
      <c r="D183" s="114"/>
      <c r="P183" s="82"/>
      <c r="Q183" s="82"/>
      <c r="R183" s="38"/>
      <c r="S183" s="38"/>
      <c r="T183" s="38"/>
      <c r="U183" s="38"/>
      <c r="V183" s="38"/>
      <c r="W183" s="38"/>
      <c r="X183" s="38"/>
      <c r="Y183" s="38"/>
      <c r="Z183" s="38"/>
      <c r="AA183" s="38"/>
      <c r="AB183" s="38"/>
      <c r="AC183" s="38"/>
      <c r="AD183" s="38"/>
      <c r="AE183" s="38"/>
      <c r="AF183" s="38"/>
      <c r="AG183" s="38"/>
      <c r="AH183" s="38"/>
      <c r="AN183" s="37"/>
      <c r="AO183" s="37"/>
      <c r="AP183" s="78"/>
      <c r="AQ183" s="37"/>
      <c r="AR183" s="37"/>
      <c r="AS183" s="37"/>
      <c r="AT183" s="37"/>
      <c r="AU183" s="37"/>
      <c r="AV183" s="37"/>
      <c r="AW183" s="37"/>
      <c r="AX183" s="37"/>
      <c r="AY183" s="37"/>
      <c r="AZ183" s="78"/>
      <c r="BA183" s="37"/>
      <c r="BB183" s="78"/>
      <c r="BF183" s="37"/>
      <c r="BG183" s="37"/>
      <c r="BH183" s="37"/>
      <c r="BI183" s="37"/>
      <c r="BJ183" s="37"/>
      <c r="BK183" s="37"/>
      <c r="BL183" s="37"/>
      <c r="BM183" s="37"/>
      <c r="BN183" s="37"/>
      <c r="BO183" s="37"/>
    </row>
    <row r="184" spans="3:67" ht="20.100000000000001" customHeight="1">
      <c r="C184" s="113"/>
      <c r="D184" s="114"/>
      <c r="P184" s="82"/>
      <c r="Q184" s="82"/>
      <c r="R184" s="38"/>
      <c r="S184" s="38"/>
      <c r="T184" s="38"/>
      <c r="U184" s="38"/>
      <c r="V184" s="38"/>
      <c r="W184" s="38"/>
      <c r="X184" s="38"/>
      <c r="Y184" s="38"/>
      <c r="Z184" s="38"/>
      <c r="AA184" s="38"/>
      <c r="AB184" s="38"/>
      <c r="AC184" s="38"/>
      <c r="AD184" s="38"/>
      <c r="AE184" s="38"/>
      <c r="AF184" s="38"/>
      <c r="AG184" s="38"/>
      <c r="AH184" s="38"/>
      <c r="AN184" s="37"/>
      <c r="AO184" s="37"/>
      <c r="AP184" s="78"/>
      <c r="AQ184" s="37"/>
      <c r="AR184" s="37"/>
      <c r="AS184" s="37"/>
      <c r="AT184" s="37"/>
      <c r="AU184" s="37"/>
      <c r="AV184" s="37"/>
      <c r="AW184" s="37"/>
      <c r="AX184" s="37"/>
      <c r="AY184" s="37"/>
      <c r="AZ184" s="78"/>
      <c r="BA184" s="37"/>
      <c r="BB184" s="78"/>
      <c r="BF184" s="37"/>
      <c r="BG184" s="37"/>
      <c r="BH184" s="37"/>
      <c r="BI184" s="37"/>
      <c r="BJ184" s="37"/>
      <c r="BK184" s="37"/>
      <c r="BL184" s="37"/>
      <c r="BM184" s="37"/>
      <c r="BN184" s="37"/>
      <c r="BO184" s="37"/>
    </row>
    <row r="185" spans="3:67" ht="20.100000000000001" customHeight="1">
      <c r="C185" s="113"/>
      <c r="D185" s="114"/>
      <c r="P185" s="82"/>
      <c r="Q185" s="82"/>
      <c r="R185" s="38"/>
      <c r="S185" s="38"/>
      <c r="T185" s="38"/>
      <c r="U185" s="38"/>
      <c r="V185" s="38"/>
      <c r="W185" s="38"/>
      <c r="X185" s="38"/>
      <c r="Y185" s="38"/>
      <c r="Z185" s="38"/>
      <c r="AA185" s="38"/>
      <c r="AB185" s="38"/>
      <c r="AC185" s="38"/>
      <c r="AD185" s="38"/>
      <c r="AE185" s="38"/>
      <c r="AF185" s="38"/>
      <c r="AG185" s="38"/>
      <c r="AH185" s="38"/>
      <c r="AN185" s="37"/>
      <c r="AO185" s="37"/>
      <c r="AP185" s="78"/>
      <c r="AQ185" s="37"/>
      <c r="AR185" s="37"/>
      <c r="AS185" s="37"/>
      <c r="AT185" s="37"/>
      <c r="AU185" s="37"/>
      <c r="AV185" s="37"/>
      <c r="AW185" s="37"/>
      <c r="AX185" s="37"/>
      <c r="AY185" s="37"/>
      <c r="AZ185" s="78"/>
      <c r="BA185" s="37"/>
      <c r="BB185" s="78"/>
      <c r="BF185" s="37"/>
      <c r="BG185" s="37"/>
      <c r="BH185" s="37"/>
      <c r="BI185" s="37"/>
      <c r="BJ185" s="37"/>
      <c r="BK185" s="37"/>
      <c r="BL185" s="37"/>
      <c r="BM185" s="37"/>
      <c r="BN185" s="37"/>
      <c r="BO185" s="37"/>
    </row>
    <row r="186" spans="3:67" ht="20.100000000000001" customHeight="1">
      <c r="C186" s="113"/>
      <c r="D186" s="114"/>
      <c r="P186" s="82"/>
      <c r="Q186" s="82"/>
      <c r="R186" s="38"/>
      <c r="S186" s="38"/>
      <c r="T186" s="38"/>
      <c r="U186" s="38"/>
      <c r="V186" s="38"/>
      <c r="W186" s="38"/>
      <c r="X186" s="38"/>
      <c r="Y186" s="38"/>
      <c r="Z186" s="38"/>
      <c r="AA186" s="38"/>
      <c r="AB186" s="38"/>
      <c r="AC186" s="38"/>
      <c r="AD186" s="38"/>
      <c r="AE186" s="38"/>
      <c r="AF186" s="38"/>
      <c r="AG186" s="38"/>
      <c r="AH186" s="38"/>
      <c r="AN186" s="37"/>
      <c r="AO186" s="37"/>
      <c r="AP186" s="78"/>
      <c r="AQ186" s="37"/>
      <c r="AR186" s="37"/>
      <c r="AS186" s="37"/>
      <c r="AT186" s="37"/>
      <c r="AU186" s="37"/>
      <c r="AV186" s="37"/>
      <c r="AW186" s="37"/>
      <c r="AX186" s="37"/>
      <c r="AY186" s="37"/>
      <c r="AZ186" s="78"/>
      <c r="BA186" s="37"/>
      <c r="BB186" s="78"/>
      <c r="BF186" s="37"/>
      <c r="BG186" s="37"/>
      <c r="BH186" s="37"/>
      <c r="BI186" s="37"/>
      <c r="BJ186" s="37"/>
      <c r="BK186" s="37"/>
      <c r="BL186" s="37"/>
      <c r="BM186" s="37"/>
      <c r="BN186" s="37"/>
      <c r="BO186" s="37"/>
    </row>
    <row r="187" spans="3:67" ht="20.100000000000001" customHeight="1">
      <c r="C187" s="113"/>
      <c r="D187" s="114"/>
      <c r="P187" s="82"/>
      <c r="Q187" s="82"/>
      <c r="R187" s="38"/>
      <c r="S187" s="38"/>
      <c r="T187" s="38"/>
      <c r="U187" s="38"/>
      <c r="V187" s="38"/>
      <c r="W187" s="38"/>
      <c r="X187" s="38"/>
      <c r="Y187" s="38"/>
      <c r="Z187" s="38"/>
      <c r="AA187" s="38"/>
      <c r="AB187" s="38"/>
      <c r="AC187" s="38"/>
      <c r="AD187" s="38"/>
      <c r="AE187" s="38"/>
      <c r="AF187" s="38"/>
      <c r="AG187" s="38"/>
      <c r="AH187" s="38"/>
      <c r="AN187" s="37"/>
      <c r="AO187" s="37"/>
      <c r="AP187" s="78"/>
      <c r="AQ187" s="37"/>
      <c r="AR187" s="37"/>
      <c r="AS187" s="37"/>
      <c r="AT187" s="37"/>
      <c r="AU187" s="37"/>
      <c r="AV187" s="37"/>
      <c r="AW187" s="37"/>
      <c r="AX187" s="37"/>
      <c r="AY187" s="37"/>
      <c r="AZ187" s="78"/>
      <c r="BA187" s="37"/>
      <c r="BB187" s="78"/>
      <c r="BF187" s="37"/>
      <c r="BG187" s="37"/>
      <c r="BH187" s="37"/>
      <c r="BI187" s="37"/>
      <c r="BJ187" s="37"/>
      <c r="BK187" s="37"/>
      <c r="BL187" s="37"/>
      <c r="BM187" s="37"/>
      <c r="BN187" s="37"/>
      <c r="BO187" s="37"/>
    </row>
    <row r="188" spans="3:67" ht="20.100000000000001" customHeight="1">
      <c r="C188" s="113"/>
      <c r="D188" s="114"/>
      <c r="P188" s="82"/>
      <c r="Q188" s="82"/>
      <c r="R188" s="38"/>
      <c r="S188" s="38"/>
      <c r="T188" s="38"/>
      <c r="U188" s="38"/>
      <c r="V188" s="38"/>
      <c r="W188" s="38"/>
      <c r="X188" s="38"/>
      <c r="Y188" s="38"/>
      <c r="Z188" s="38"/>
      <c r="AA188" s="38"/>
      <c r="AB188" s="38"/>
      <c r="AC188" s="38"/>
      <c r="AD188" s="38"/>
      <c r="AE188" s="38"/>
      <c r="AF188" s="38"/>
      <c r="AG188" s="38"/>
      <c r="AH188" s="38"/>
      <c r="AN188" s="37"/>
      <c r="AO188" s="37"/>
      <c r="AP188" s="78"/>
      <c r="AQ188" s="37"/>
      <c r="AR188" s="37"/>
      <c r="AS188" s="37"/>
      <c r="AT188" s="37"/>
      <c r="AU188" s="37"/>
      <c r="AV188" s="37"/>
      <c r="AW188" s="37"/>
      <c r="AX188" s="37"/>
      <c r="AY188" s="37"/>
      <c r="AZ188" s="78"/>
      <c r="BA188" s="37"/>
      <c r="BB188" s="78"/>
      <c r="BF188" s="37"/>
      <c r="BG188" s="37"/>
      <c r="BH188" s="37"/>
      <c r="BI188" s="37"/>
      <c r="BJ188" s="37"/>
      <c r="BK188" s="37"/>
      <c r="BL188" s="37"/>
      <c r="BM188" s="37"/>
      <c r="BN188" s="37"/>
      <c r="BO188" s="37"/>
    </row>
    <row r="189" spans="3:67" ht="20.100000000000001" customHeight="1">
      <c r="C189" s="113"/>
      <c r="D189" s="114"/>
      <c r="P189" s="82"/>
      <c r="Q189" s="82"/>
      <c r="R189" s="38"/>
      <c r="S189" s="38"/>
      <c r="T189" s="38"/>
      <c r="U189" s="38"/>
      <c r="V189" s="38"/>
      <c r="W189" s="38"/>
      <c r="X189" s="38"/>
      <c r="Y189" s="38"/>
      <c r="Z189" s="38"/>
      <c r="AA189" s="38"/>
      <c r="AB189" s="38"/>
      <c r="AC189" s="38"/>
      <c r="AD189" s="38"/>
      <c r="AE189" s="38"/>
      <c r="AF189" s="38"/>
      <c r="AG189" s="38"/>
      <c r="AH189" s="38"/>
      <c r="AN189" s="37"/>
      <c r="AO189" s="37"/>
      <c r="AP189" s="78"/>
      <c r="AQ189" s="37"/>
      <c r="AR189" s="37"/>
      <c r="AS189" s="37"/>
      <c r="AT189" s="37"/>
      <c r="AU189" s="37"/>
      <c r="AV189" s="37"/>
      <c r="AW189" s="37"/>
      <c r="AX189" s="37"/>
      <c r="AY189" s="37"/>
      <c r="AZ189" s="78"/>
      <c r="BA189" s="37"/>
      <c r="BB189" s="78"/>
      <c r="BF189" s="37"/>
      <c r="BG189" s="37"/>
      <c r="BH189" s="37"/>
      <c r="BI189" s="37"/>
      <c r="BJ189" s="37"/>
      <c r="BK189" s="37"/>
      <c r="BL189" s="37"/>
      <c r="BM189" s="37"/>
      <c r="BN189" s="37"/>
      <c r="BO189" s="37"/>
    </row>
    <row r="190" spans="3:67" ht="20.100000000000001" customHeight="1">
      <c r="C190" s="113"/>
      <c r="D190" s="114"/>
      <c r="P190" s="82"/>
      <c r="Q190" s="82"/>
      <c r="R190" s="38"/>
      <c r="S190" s="38"/>
      <c r="T190" s="38"/>
      <c r="U190" s="38"/>
      <c r="V190" s="38"/>
      <c r="W190" s="38"/>
      <c r="X190" s="38"/>
      <c r="Y190" s="38"/>
      <c r="Z190" s="38"/>
      <c r="AA190" s="38"/>
      <c r="AB190" s="38"/>
      <c r="AC190" s="38"/>
      <c r="AD190" s="38"/>
      <c r="AE190" s="38"/>
      <c r="AF190" s="38"/>
      <c r="AG190" s="38"/>
      <c r="AH190" s="38"/>
      <c r="AN190" s="37"/>
      <c r="AO190" s="37"/>
      <c r="AP190" s="78"/>
      <c r="AQ190" s="37"/>
      <c r="AR190" s="37"/>
      <c r="AS190" s="37"/>
      <c r="AT190" s="37"/>
      <c r="AU190" s="37"/>
      <c r="AV190" s="37"/>
      <c r="AW190" s="37"/>
      <c r="AX190" s="37"/>
      <c r="AY190" s="37"/>
      <c r="AZ190" s="78"/>
      <c r="BA190" s="37"/>
      <c r="BB190" s="78"/>
      <c r="BF190" s="37"/>
      <c r="BG190" s="37"/>
      <c r="BH190" s="37"/>
      <c r="BI190" s="37"/>
      <c r="BJ190" s="37"/>
      <c r="BK190" s="37"/>
      <c r="BL190" s="37"/>
      <c r="BM190" s="37"/>
      <c r="BN190" s="37"/>
      <c r="BO190" s="37"/>
    </row>
    <row r="191" spans="3:67" ht="20.100000000000001" customHeight="1">
      <c r="C191" s="113"/>
      <c r="D191" s="114"/>
      <c r="P191" s="82"/>
      <c r="Q191" s="82"/>
      <c r="R191" s="38"/>
      <c r="S191" s="38"/>
      <c r="T191" s="38"/>
      <c r="U191" s="38"/>
      <c r="V191" s="38"/>
      <c r="W191" s="38"/>
      <c r="X191" s="38"/>
      <c r="Y191" s="38"/>
      <c r="Z191" s="38"/>
      <c r="AA191" s="38"/>
      <c r="AB191" s="38"/>
      <c r="AC191" s="38"/>
      <c r="AD191" s="38"/>
      <c r="AE191" s="38"/>
      <c r="AF191" s="38"/>
      <c r="AG191" s="38"/>
      <c r="AH191" s="38"/>
      <c r="AN191" s="37"/>
      <c r="AO191" s="37"/>
      <c r="AP191" s="78"/>
      <c r="AQ191" s="37"/>
      <c r="AR191" s="37"/>
      <c r="AS191" s="37"/>
      <c r="AT191" s="37"/>
      <c r="AU191" s="37"/>
      <c r="AV191" s="37"/>
      <c r="AW191" s="37"/>
      <c r="AX191" s="37"/>
      <c r="AY191" s="37"/>
      <c r="AZ191" s="78"/>
      <c r="BA191" s="37"/>
      <c r="BB191" s="78"/>
      <c r="BF191" s="37"/>
      <c r="BG191" s="37"/>
      <c r="BH191" s="37"/>
      <c r="BI191" s="37"/>
      <c r="BJ191" s="37"/>
      <c r="BK191" s="37"/>
      <c r="BL191" s="37"/>
      <c r="BM191" s="37"/>
      <c r="BN191" s="37"/>
      <c r="BO191" s="37"/>
    </row>
    <row r="192" spans="3:67" ht="20.100000000000001" customHeight="1">
      <c r="C192" s="113"/>
      <c r="D192" s="114"/>
      <c r="P192" s="82"/>
      <c r="Q192" s="82"/>
      <c r="R192" s="38"/>
      <c r="S192" s="38"/>
      <c r="T192" s="38"/>
      <c r="U192" s="38"/>
      <c r="V192" s="38"/>
      <c r="W192" s="38"/>
      <c r="X192" s="38"/>
      <c r="Y192" s="38"/>
      <c r="Z192" s="38"/>
      <c r="AA192" s="38"/>
      <c r="AB192" s="38"/>
      <c r="AC192" s="38"/>
      <c r="AD192" s="38"/>
      <c r="AE192" s="38"/>
      <c r="AF192" s="38"/>
      <c r="AG192" s="38"/>
      <c r="AH192" s="38"/>
      <c r="AN192" s="37"/>
      <c r="AO192" s="37"/>
      <c r="AP192" s="78"/>
      <c r="AQ192" s="37"/>
      <c r="AR192" s="37"/>
      <c r="AS192" s="37"/>
      <c r="AT192" s="37"/>
      <c r="AU192" s="37"/>
      <c r="AV192" s="37"/>
      <c r="AW192" s="37"/>
      <c r="AX192" s="37"/>
      <c r="AY192" s="37"/>
      <c r="AZ192" s="78"/>
      <c r="BA192" s="37"/>
      <c r="BB192" s="78"/>
      <c r="BF192" s="37"/>
      <c r="BG192" s="37"/>
      <c r="BH192" s="37"/>
      <c r="BI192" s="37"/>
      <c r="BJ192" s="37"/>
      <c r="BK192" s="37"/>
      <c r="BL192" s="37"/>
      <c r="BM192" s="37"/>
      <c r="BN192" s="37"/>
      <c r="BO192" s="37"/>
    </row>
    <row r="193" spans="3:67" ht="20.100000000000001" customHeight="1">
      <c r="C193" s="113"/>
      <c r="D193" s="114"/>
      <c r="P193" s="82"/>
      <c r="Q193" s="82"/>
      <c r="R193" s="38"/>
      <c r="S193" s="38"/>
      <c r="T193" s="38"/>
      <c r="U193" s="38"/>
      <c r="V193" s="38"/>
      <c r="W193" s="38"/>
      <c r="X193" s="38"/>
      <c r="Y193" s="38"/>
      <c r="Z193" s="38"/>
      <c r="AA193" s="38"/>
      <c r="AB193" s="38"/>
      <c r="AC193" s="38"/>
      <c r="AD193" s="38"/>
      <c r="AE193" s="38"/>
      <c r="AF193" s="38"/>
      <c r="AG193" s="38"/>
      <c r="AH193" s="38"/>
      <c r="AN193" s="37"/>
      <c r="AO193" s="37"/>
      <c r="AP193" s="78"/>
      <c r="AQ193" s="37"/>
      <c r="AR193" s="37"/>
      <c r="AS193" s="37"/>
      <c r="AT193" s="37"/>
      <c r="AU193" s="37"/>
      <c r="AV193" s="37"/>
      <c r="AW193" s="37"/>
      <c r="AX193" s="37"/>
      <c r="AY193" s="37"/>
      <c r="AZ193" s="78"/>
      <c r="BA193" s="37"/>
      <c r="BB193" s="78"/>
      <c r="BF193" s="37"/>
      <c r="BG193" s="37"/>
      <c r="BH193" s="37"/>
      <c r="BI193" s="37"/>
      <c r="BJ193" s="37"/>
      <c r="BK193" s="37"/>
      <c r="BL193" s="37"/>
      <c r="BM193" s="37"/>
      <c r="BN193" s="37"/>
      <c r="BO193" s="37"/>
    </row>
    <row r="194" spans="3:67" ht="20.100000000000001" customHeight="1">
      <c r="C194" s="113"/>
      <c r="D194" s="114"/>
      <c r="P194" s="82"/>
      <c r="Q194" s="82"/>
      <c r="R194" s="38"/>
      <c r="S194" s="38"/>
      <c r="T194" s="38"/>
      <c r="U194" s="38"/>
      <c r="V194" s="38"/>
      <c r="W194" s="38"/>
      <c r="X194" s="38"/>
      <c r="Y194" s="38"/>
      <c r="Z194" s="38"/>
      <c r="AA194" s="38"/>
      <c r="AB194" s="38"/>
      <c r="AC194" s="38"/>
      <c r="AD194" s="38"/>
      <c r="AE194" s="38"/>
      <c r="AF194" s="38"/>
      <c r="AG194" s="38"/>
      <c r="AH194" s="38"/>
      <c r="AN194" s="37"/>
      <c r="AO194" s="37"/>
      <c r="AP194" s="78"/>
      <c r="AQ194" s="37"/>
      <c r="AR194" s="37"/>
      <c r="AS194" s="37"/>
      <c r="AT194" s="37"/>
      <c r="AU194" s="37"/>
      <c r="AV194" s="37"/>
      <c r="AW194" s="37"/>
      <c r="AX194" s="37"/>
      <c r="AY194" s="37"/>
      <c r="AZ194" s="78"/>
      <c r="BA194" s="37"/>
      <c r="BB194" s="78"/>
      <c r="BF194" s="37"/>
      <c r="BG194" s="37"/>
      <c r="BH194" s="37"/>
      <c r="BI194" s="37"/>
      <c r="BJ194" s="37"/>
      <c r="BK194" s="37"/>
      <c r="BL194" s="37"/>
      <c r="BM194" s="37"/>
      <c r="BN194" s="37"/>
      <c r="BO194" s="37"/>
    </row>
    <row r="195" spans="3:67" ht="20.100000000000001" customHeight="1">
      <c r="C195" s="113"/>
      <c r="D195" s="114"/>
      <c r="P195" s="82"/>
      <c r="Q195" s="82"/>
      <c r="R195" s="38"/>
      <c r="S195" s="38"/>
      <c r="T195" s="38"/>
      <c r="U195" s="38"/>
      <c r="V195" s="38"/>
      <c r="W195" s="38"/>
      <c r="X195" s="38"/>
      <c r="Y195" s="38"/>
      <c r="Z195" s="38"/>
      <c r="AA195" s="38"/>
      <c r="AB195" s="38"/>
      <c r="AC195" s="38"/>
      <c r="AD195" s="38"/>
      <c r="AE195" s="38"/>
      <c r="AF195" s="38"/>
      <c r="AG195" s="38"/>
      <c r="AH195" s="38"/>
      <c r="AN195" s="37"/>
      <c r="AO195" s="37"/>
      <c r="AP195" s="78"/>
      <c r="AQ195" s="37"/>
      <c r="AR195" s="37"/>
      <c r="AS195" s="37"/>
      <c r="AT195" s="37"/>
      <c r="AU195" s="37"/>
      <c r="AV195" s="37"/>
      <c r="AW195" s="37"/>
      <c r="AX195" s="37"/>
      <c r="AY195" s="37"/>
      <c r="AZ195" s="78"/>
      <c r="BA195" s="37"/>
      <c r="BB195" s="78"/>
      <c r="BF195" s="37"/>
      <c r="BG195" s="37"/>
      <c r="BH195" s="37"/>
      <c r="BI195" s="37"/>
      <c r="BJ195" s="37"/>
      <c r="BK195" s="37"/>
      <c r="BL195" s="37"/>
      <c r="BM195" s="37"/>
      <c r="BN195" s="37"/>
      <c r="BO195" s="37"/>
    </row>
    <row r="196" spans="3:67" ht="20.100000000000001" customHeight="1">
      <c r="C196" s="113"/>
      <c r="D196" s="114"/>
      <c r="P196" s="82"/>
      <c r="Q196" s="82"/>
      <c r="R196" s="38"/>
      <c r="S196" s="38"/>
      <c r="T196" s="38"/>
      <c r="U196" s="38"/>
      <c r="V196" s="38"/>
      <c r="W196" s="38"/>
      <c r="X196" s="38"/>
      <c r="Y196" s="38"/>
      <c r="Z196" s="38"/>
      <c r="AA196" s="38"/>
      <c r="AB196" s="38"/>
      <c r="AC196" s="38"/>
      <c r="AD196" s="38"/>
      <c r="AE196" s="38"/>
      <c r="AF196" s="38"/>
      <c r="AG196" s="38"/>
      <c r="AH196" s="38"/>
      <c r="AN196" s="37"/>
      <c r="AO196" s="37"/>
      <c r="AP196" s="78"/>
      <c r="AQ196" s="37"/>
      <c r="AR196" s="37"/>
      <c r="AS196" s="37"/>
      <c r="AT196" s="37"/>
      <c r="AU196" s="37"/>
      <c r="AV196" s="37"/>
      <c r="AW196" s="37"/>
      <c r="AX196" s="37"/>
      <c r="AY196" s="37"/>
      <c r="AZ196" s="78"/>
      <c r="BA196" s="37"/>
      <c r="BB196" s="78"/>
      <c r="BF196" s="37"/>
      <c r="BG196" s="37"/>
      <c r="BH196" s="37"/>
      <c r="BI196" s="37"/>
      <c r="BJ196" s="37"/>
      <c r="BK196" s="37"/>
      <c r="BL196" s="37"/>
      <c r="BM196" s="37"/>
      <c r="BN196" s="37"/>
      <c r="BO196" s="37"/>
    </row>
    <row r="197" spans="3:67" ht="20.100000000000001" customHeight="1">
      <c r="C197" s="113"/>
      <c r="D197" s="114"/>
      <c r="P197" s="82"/>
      <c r="Q197" s="82"/>
      <c r="R197" s="38"/>
      <c r="S197" s="38"/>
      <c r="T197" s="38"/>
      <c r="U197" s="38"/>
      <c r="V197" s="38"/>
      <c r="W197" s="38"/>
      <c r="X197" s="38"/>
      <c r="Y197" s="38"/>
      <c r="Z197" s="38"/>
      <c r="AA197" s="38"/>
      <c r="AB197" s="38"/>
      <c r="AC197" s="38"/>
      <c r="AD197" s="38"/>
      <c r="AE197" s="38"/>
      <c r="AF197" s="38"/>
      <c r="AG197" s="38"/>
      <c r="AH197" s="38"/>
      <c r="AN197" s="37"/>
      <c r="AO197" s="37"/>
      <c r="AP197" s="78"/>
      <c r="AQ197" s="37"/>
      <c r="AR197" s="37"/>
      <c r="AS197" s="37"/>
      <c r="AT197" s="37"/>
      <c r="AU197" s="37"/>
      <c r="AV197" s="37"/>
      <c r="AW197" s="37"/>
      <c r="AX197" s="37"/>
      <c r="AY197" s="37"/>
      <c r="AZ197" s="78"/>
      <c r="BA197" s="37"/>
      <c r="BB197" s="78"/>
      <c r="BF197" s="37"/>
      <c r="BG197" s="37"/>
      <c r="BH197" s="37"/>
      <c r="BI197" s="37"/>
      <c r="BJ197" s="37"/>
      <c r="BK197" s="37"/>
      <c r="BL197" s="37"/>
      <c r="BM197" s="37"/>
      <c r="BN197" s="37"/>
      <c r="BO197" s="37"/>
    </row>
    <row r="198" spans="3:67" ht="20.100000000000001" customHeight="1">
      <c r="C198" s="113"/>
      <c r="D198" s="114"/>
      <c r="P198" s="82"/>
      <c r="Q198" s="82"/>
      <c r="R198" s="38"/>
      <c r="S198" s="38"/>
      <c r="T198" s="38"/>
      <c r="U198" s="38"/>
      <c r="V198" s="38"/>
      <c r="W198" s="38"/>
      <c r="X198" s="38"/>
      <c r="Y198" s="38"/>
      <c r="Z198" s="38"/>
      <c r="AA198" s="38"/>
      <c r="AB198" s="38"/>
      <c r="AC198" s="38"/>
      <c r="AD198" s="38"/>
      <c r="AE198" s="38"/>
      <c r="AF198" s="38"/>
      <c r="AG198" s="38"/>
      <c r="AH198" s="38"/>
      <c r="AN198" s="37"/>
      <c r="AO198" s="37"/>
      <c r="AP198" s="78"/>
      <c r="AQ198" s="37"/>
      <c r="AR198" s="37"/>
      <c r="AS198" s="37"/>
      <c r="AT198" s="37"/>
      <c r="AU198" s="37"/>
      <c r="AV198" s="37"/>
      <c r="AW198" s="37"/>
      <c r="AX198" s="37"/>
      <c r="AY198" s="37"/>
      <c r="AZ198" s="78"/>
      <c r="BA198" s="37"/>
      <c r="BB198" s="78"/>
      <c r="BF198" s="37"/>
      <c r="BG198" s="37"/>
      <c r="BH198" s="37"/>
      <c r="BI198" s="37"/>
      <c r="BJ198" s="37"/>
      <c r="BK198" s="37"/>
      <c r="BL198" s="37"/>
      <c r="BM198" s="37"/>
      <c r="BN198" s="37"/>
      <c r="BO198" s="37"/>
    </row>
    <row r="199" spans="3:67" ht="20.100000000000001" customHeight="1">
      <c r="C199" s="113"/>
      <c r="D199" s="114"/>
      <c r="P199" s="82"/>
      <c r="Q199" s="82"/>
      <c r="R199" s="38"/>
      <c r="S199" s="38"/>
      <c r="T199" s="38"/>
      <c r="U199" s="38"/>
      <c r="V199" s="38"/>
      <c r="W199" s="38"/>
      <c r="X199" s="38"/>
      <c r="Y199" s="38"/>
      <c r="Z199" s="38"/>
      <c r="AA199" s="38"/>
      <c r="AB199" s="38"/>
      <c r="AC199" s="38"/>
      <c r="AD199" s="38"/>
      <c r="AE199" s="38"/>
      <c r="AF199" s="38"/>
      <c r="AG199" s="38"/>
      <c r="AH199" s="38"/>
      <c r="AN199" s="37"/>
      <c r="AO199" s="37"/>
      <c r="AP199" s="78"/>
      <c r="AQ199" s="37"/>
      <c r="AR199" s="37"/>
      <c r="AS199" s="37"/>
      <c r="AT199" s="37"/>
      <c r="AU199" s="37"/>
      <c r="AV199" s="37"/>
      <c r="AW199" s="37"/>
      <c r="AX199" s="37"/>
      <c r="AY199" s="37"/>
      <c r="AZ199" s="78"/>
      <c r="BA199" s="37"/>
      <c r="BB199" s="78"/>
      <c r="BF199" s="37"/>
      <c r="BG199" s="37"/>
      <c r="BH199" s="37"/>
      <c r="BI199" s="37"/>
      <c r="BJ199" s="37"/>
      <c r="BK199" s="37"/>
      <c r="BL199" s="37"/>
      <c r="BM199" s="37"/>
      <c r="BN199" s="37"/>
      <c r="BO199" s="37"/>
    </row>
    <row r="200" spans="3:67" ht="20.100000000000001" customHeight="1">
      <c r="C200" s="113"/>
      <c r="D200" s="114"/>
      <c r="P200" s="82"/>
      <c r="Q200" s="82"/>
      <c r="R200" s="38"/>
      <c r="S200" s="38"/>
      <c r="T200" s="38"/>
      <c r="U200" s="38"/>
      <c r="V200" s="38"/>
      <c r="W200" s="38"/>
      <c r="X200" s="38"/>
      <c r="Y200" s="38"/>
      <c r="Z200" s="38"/>
      <c r="AA200" s="38"/>
      <c r="AB200" s="38"/>
      <c r="AC200" s="38"/>
      <c r="AD200" s="38"/>
      <c r="AE200" s="38"/>
      <c r="AF200" s="38"/>
      <c r="AG200" s="38"/>
      <c r="AH200" s="38"/>
      <c r="AN200" s="37"/>
      <c r="AO200" s="37"/>
      <c r="AP200" s="78"/>
      <c r="AQ200" s="37"/>
      <c r="AR200" s="37"/>
      <c r="AS200" s="37"/>
      <c r="AT200" s="37"/>
      <c r="AU200" s="37"/>
      <c r="AV200" s="37"/>
      <c r="AW200" s="37"/>
      <c r="AX200" s="37"/>
      <c r="AY200" s="37"/>
      <c r="AZ200" s="78"/>
      <c r="BA200" s="37"/>
      <c r="BB200" s="78"/>
      <c r="BF200" s="37"/>
      <c r="BG200" s="37"/>
      <c r="BH200" s="37"/>
      <c r="BI200" s="37"/>
      <c r="BJ200" s="37"/>
      <c r="BK200" s="37"/>
      <c r="BL200" s="37"/>
      <c r="BM200" s="37"/>
      <c r="BN200" s="37"/>
      <c r="BO200" s="37"/>
    </row>
    <row r="201" spans="3:67" ht="20.100000000000001" customHeight="1">
      <c r="C201" s="113"/>
      <c r="D201" s="114"/>
      <c r="P201" s="82"/>
      <c r="Q201" s="82"/>
      <c r="R201" s="38"/>
      <c r="S201" s="38"/>
      <c r="T201" s="38"/>
      <c r="U201" s="38"/>
      <c r="V201" s="38"/>
      <c r="W201" s="38"/>
      <c r="X201" s="38"/>
      <c r="Y201" s="38"/>
      <c r="Z201" s="38"/>
      <c r="AA201" s="38"/>
      <c r="AB201" s="38"/>
      <c r="AC201" s="38"/>
      <c r="AD201" s="38"/>
      <c r="AE201" s="38"/>
      <c r="AF201" s="38"/>
      <c r="AG201" s="38"/>
      <c r="AH201" s="38"/>
      <c r="AN201" s="37"/>
      <c r="AO201" s="37"/>
      <c r="AP201" s="78"/>
      <c r="AQ201" s="37"/>
      <c r="AR201" s="37"/>
      <c r="AS201" s="37"/>
      <c r="AT201" s="37"/>
      <c r="AU201" s="37"/>
      <c r="AV201" s="37"/>
      <c r="AW201" s="37"/>
      <c r="AX201" s="37"/>
      <c r="AY201" s="37"/>
      <c r="AZ201" s="78"/>
      <c r="BA201" s="37"/>
      <c r="BB201" s="78"/>
      <c r="BF201" s="37"/>
      <c r="BG201" s="37"/>
      <c r="BH201" s="37"/>
      <c r="BI201" s="37"/>
      <c r="BJ201" s="37"/>
      <c r="BK201" s="37"/>
      <c r="BL201" s="37"/>
      <c r="BM201" s="37"/>
      <c r="BN201" s="37"/>
      <c r="BO201" s="37"/>
    </row>
    <row r="202" spans="3:67" ht="20.100000000000001" customHeight="1">
      <c r="C202" s="113"/>
      <c r="D202" s="114"/>
      <c r="P202" s="82"/>
      <c r="Q202" s="82"/>
      <c r="R202" s="38"/>
      <c r="S202" s="38"/>
      <c r="T202" s="38"/>
      <c r="U202" s="38"/>
      <c r="V202" s="38"/>
      <c r="W202" s="38"/>
      <c r="X202" s="38"/>
      <c r="Y202" s="38"/>
      <c r="Z202" s="38"/>
      <c r="AA202" s="38"/>
      <c r="AB202" s="38"/>
      <c r="AC202" s="38"/>
      <c r="AD202" s="38"/>
      <c r="AE202" s="38"/>
      <c r="AF202" s="38"/>
      <c r="AG202" s="38"/>
      <c r="AH202" s="38"/>
      <c r="AN202" s="37"/>
      <c r="AO202" s="37"/>
      <c r="AP202" s="78"/>
      <c r="AQ202" s="37"/>
      <c r="AR202" s="37"/>
      <c r="AS202" s="37"/>
      <c r="AT202" s="37"/>
      <c r="AU202" s="37"/>
      <c r="AV202" s="37"/>
      <c r="AW202" s="37"/>
      <c r="AX202" s="37"/>
      <c r="AY202" s="37"/>
      <c r="AZ202" s="78"/>
      <c r="BA202" s="37"/>
      <c r="BB202" s="78"/>
      <c r="BF202" s="37"/>
      <c r="BG202" s="37"/>
      <c r="BH202" s="37"/>
      <c r="BI202" s="37"/>
      <c r="BJ202" s="37"/>
      <c r="BK202" s="37"/>
      <c r="BL202" s="37"/>
      <c r="BM202" s="37"/>
      <c r="BN202" s="37"/>
      <c r="BO202" s="37"/>
    </row>
    <row r="203" spans="3:67" ht="20.100000000000001" customHeight="1">
      <c r="C203" s="113"/>
      <c r="D203" s="114"/>
      <c r="P203" s="82"/>
      <c r="Q203" s="82"/>
      <c r="R203" s="38"/>
      <c r="S203" s="38"/>
      <c r="T203" s="38"/>
      <c r="U203" s="38"/>
      <c r="V203" s="38"/>
      <c r="W203" s="38"/>
      <c r="X203" s="38"/>
      <c r="Y203" s="38"/>
      <c r="Z203" s="38"/>
      <c r="AA203" s="38"/>
      <c r="AB203" s="38"/>
      <c r="AC203" s="38"/>
      <c r="AD203" s="38"/>
      <c r="AE203" s="38"/>
      <c r="AF203" s="38"/>
      <c r="AG203" s="38"/>
      <c r="AH203" s="38"/>
      <c r="AN203" s="37"/>
      <c r="AO203" s="37"/>
      <c r="AP203" s="78"/>
      <c r="AQ203" s="37"/>
      <c r="AR203" s="37"/>
      <c r="AS203" s="37"/>
      <c r="AT203" s="37"/>
      <c r="AU203" s="37"/>
      <c r="AV203" s="37"/>
      <c r="AW203" s="37"/>
      <c r="AX203" s="37"/>
      <c r="AY203" s="37"/>
      <c r="AZ203" s="78"/>
      <c r="BA203" s="37"/>
      <c r="BB203" s="78"/>
      <c r="BF203" s="37"/>
      <c r="BG203" s="37"/>
      <c r="BH203" s="37"/>
      <c r="BI203" s="37"/>
      <c r="BJ203" s="37"/>
      <c r="BK203" s="37"/>
      <c r="BL203" s="37"/>
      <c r="BM203" s="37"/>
      <c r="BN203" s="37"/>
      <c r="BO203" s="37"/>
    </row>
    <row r="204" spans="3:67" ht="20.100000000000001" customHeight="1">
      <c r="C204" s="113"/>
      <c r="D204" s="114"/>
      <c r="P204" s="82"/>
      <c r="Q204" s="82"/>
      <c r="R204" s="38"/>
      <c r="S204" s="38"/>
      <c r="T204" s="38"/>
      <c r="U204" s="38"/>
      <c r="V204" s="38"/>
      <c r="W204" s="38"/>
      <c r="X204" s="38"/>
      <c r="Y204" s="38"/>
      <c r="Z204" s="38"/>
      <c r="AA204" s="38"/>
      <c r="AB204" s="38"/>
      <c r="AC204" s="38"/>
      <c r="AD204" s="38"/>
      <c r="AE204" s="38"/>
      <c r="AF204" s="38"/>
      <c r="AG204" s="38"/>
      <c r="AH204" s="38"/>
      <c r="AN204" s="37"/>
      <c r="AO204" s="37"/>
      <c r="AP204" s="78"/>
      <c r="AQ204" s="37"/>
      <c r="AR204" s="37"/>
      <c r="AS204" s="37"/>
      <c r="AT204" s="37"/>
      <c r="AU204" s="37"/>
      <c r="AV204" s="37"/>
      <c r="AW204" s="37"/>
      <c r="AX204" s="37"/>
      <c r="AY204" s="37"/>
      <c r="AZ204" s="78"/>
      <c r="BA204" s="37"/>
      <c r="BB204" s="78"/>
      <c r="BF204" s="37"/>
      <c r="BG204" s="37"/>
      <c r="BH204" s="37"/>
      <c r="BI204" s="37"/>
      <c r="BJ204" s="37"/>
      <c r="BK204" s="37"/>
      <c r="BL204" s="37"/>
      <c r="BM204" s="37"/>
      <c r="BN204" s="37"/>
      <c r="BO204" s="37"/>
    </row>
    <row r="205" spans="3:67" ht="20.100000000000001" customHeight="1">
      <c r="C205" s="113"/>
      <c r="D205" s="114"/>
      <c r="P205" s="82"/>
      <c r="Q205" s="82"/>
      <c r="R205" s="38"/>
      <c r="S205" s="38"/>
      <c r="T205" s="38"/>
      <c r="U205" s="38"/>
      <c r="V205" s="38"/>
      <c r="W205" s="38"/>
      <c r="X205" s="38"/>
      <c r="Y205" s="38"/>
      <c r="Z205" s="38"/>
      <c r="AA205" s="38"/>
      <c r="AB205" s="38"/>
      <c r="AC205" s="38"/>
      <c r="AD205" s="38"/>
      <c r="AE205" s="38"/>
      <c r="AF205" s="38"/>
      <c r="AG205" s="38"/>
      <c r="AH205" s="38"/>
      <c r="AN205" s="37"/>
      <c r="AO205" s="37"/>
      <c r="AP205" s="78"/>
      <c r="AQ205" s="37"/>
      <c r="AR205" s="37"/>
      <c r="AS205" s="37"/>
      <c r="AT205" s="37"/>
      <c r="AU205" s="37"/>
      <c r="AV205" s="37"/>
      <c r="AW205" s="37"/>
      <c r="AX205" s="37"/>
      <c r="AY205" s="37"/>
      <c r="AZ205" s="78"/>
      <c r="BA205" s="37"/>
      <c r="BB205" s="78"/>
      <c r="BF205" s="37"/>
      <c r="BG205" s="37"/>
      <c r="BH205" s="37"/>
      <c r="BI205" s="37"/>
      <c r="BJ205" s="37"/>
      <c r="BK205" s="37"/>
      <c r="BL205" s="37"/>
      <c r="BM205" s="37"/>
      <c r="BN205" s="37"/>
      <c r="BO205" s="37"/>
    </row>
    <row r="206" spans="3:67" ht="20.100000000000001" customHeight="1">
      <c r="C206" s="113"/>
      <c r="D206" s="114"/>
      <c r="P206" s="82"/>
      <c r="Q206" s="82"/>
      <c r="R206" s="38"/>
      <c r="S206" s="38"/>
      <c r="T206" s="38"/>
      <c r="U206" s="38"/>
      <c r="V206" s="38"/>
      <c r="W206" s="38"/>
      <c r="X206" s="38"/>
      <c r="Y206" s="38"/>
      <c r="Z206" s="38"/>
      <c r="AA206" s="38"/>
      <c r="AB206" s="38"/>
      <c r="AC206" s="38"/>
      <c r="AD206" s="38"/>
      <c r="AE206" s="38"/>
      <c r="AF206" s="38"/>
      <c r="AG206" s="38"/>
      <c r="AH206" s="38"/>
      <c r="AN206" s="37"/>
      <c r="AO206" s="37"/>
      <c r="AP206" s="78"/>
      <c r="AQ206" s="37"/>
      <c r="AR206" s="37"/>
      <c r="AS206" s="37"/>
      <c r="AT206" s="37"/>
      <c r="AU206" s="37"/>
      <c r="AV206" s="37"/>
      <c r="AW206" s="37"/>
      <c r="AX206" s="37"/>
      <c r="AY206" s="37"/>
      <c r="AZ206" s="78"/>
      <c r="BA206" s="37"/>
      <c r="BB206" s="78"/>
      <c r="BF206" s="37"/>
      <c r="BG206" s="37"/>
      <c r="BH206" s="37"/>
      <c r="BI206" s="37"/>
      <c r="BJ206" s="37"/>
      <c r="BK206" s="37"/>
      <c r="BL206" s="37"/>
      <c r="BM206" s="37"/>
      <c r="BN206" s="37"/>
      <c r="BO206" s="37"/>
    </row>
    <row r="207" spans="3:67" ht="20.100000000000001" customHeight="1">
      <c r="C207" s="113"/>
      <c r="D207" s="114"/>
      <c r="P207" s="82"/>
      <c r="Q207" s="82"/>
      <c r="R207" s="38"/>
      <c r="S207" s="38"/>
      <c r="T207" s="38"/>
      <c r="U207" s="38"/>
      <c r="V207" s="38"/>
      <c r="W207" s="38"/>
      <c r="X207" s="38"/>
      <c r="Y207" s="38"/>
      <c r="Z207" s="38"/>
      <c r="AA207" s="38"/>
      <c r="AB207" s="38"/>
      <c r="AC207" s="38"/>
      <c r="AD207" s="38"/>
      <c r="AE207" s="38"/>
      <c r="AF207" s="38"/>
      <c r="AG207" s="38"/>
      <c r="AH207" s="38"/>
      <c r="AN207" s="37"/>
      <c r="AO207" s="37"/>
      <c r="AP207" s="78"/>
      <c r="AQ207" s="37"/>
      <c r="AR207" s="37"/>
      <c r="AS207" s="37"/>
      <c r="AT207" s="37"/>
      <c r="AU207" s="37"/>
      <c r="AV207" s="37"/>
      <c r="AW207" s="37"/>
      <c r="AX207" s="37"/>
      <c r="AY207" s="37"/>
      <c r="AZ207" s="78"/>
      <c r="BA207" s="37"/>
      <c r="BB207" s="78"/>
      <c r="BF207" s="37"/>
      <c r="BG207" s="37"/>
      <c r="BH207" s="37"/>
      <c r="BI207" s="37"/>
      <c r="BJ207" s="37"/>
      <c r="BK207" s="37"/>
      <c r="BL207" s="37"/>
      <c r="BM207" s="37"/>
      <c r="BN207" s="37"/>
      <c r="BO207" s="37"/>
    </row>
    <row r="208" spans="3:67" ht="20.100000000000001" customHeight="1">
      <c r="C208" s="113"/>
      <c r="D208" s="114"/>
      <c r="P208" s="82"/>
      <c r="Q208" s="82"/>
      <c r="R208" s="38"/>
      <c r="S208" s="38"/>
      <c r="T208" s="38"/>
      <c r="U208" s="38"/>
      <c r="V208" s="38"/>
      <c r="W208" s="38"/>
      <c r="X208" s="38"/>
      <c r="Y208" s="38"/>
      <c r="Z208" s="38"/>
      <c r="AA208" s="38"/>
      <c r="AB208" s="38"/>
      <c r="AC208" s="38"/>
      <c r="AD208" s="38"/>
      <c r="AE208" s="38"/>
      <c r="AF208" s="38"/>
      <c r="AG208" s="38"/>
      <c r="AH208" s="38"/>
      <c r="AN208" s="37"/>
      <c r="AO208" s="37"/>
      <c r="AP208" s="78"/>
      <c r="AQ208" s="37"/>
      <c r="AR208" s="37"/>
      <c r="AS208" s="37"/>
      <c r="AT208" s="37"/>
      <c r="AU208" s="37"/>
      <c r="AV208" s="37"/>
      <c r="AW208" s="37"/>
      <c r="AX208" s="37"/>
      <c r="AY208" s="37"/>
      <c r="AZ208" s="78"/>
      <c r="BA208" s="37"/>
      <c r="BB208" s="78"/>
      <c r="BF208" s="37"/>
      <c r="BG208" s="37"/>
      <c r="BH208" s="37"/>
      <c r="BI208" s="37"/>
      <c r="BJ208" s="37"/>
      <c r="BK208" s="37"/>
      <c r="BL208" s="37"/>
      <c r="BM208" s="37"/>
      <c r="BN208" s="37"/>
      <c r="BO208" s="37"/>
    </row>
    <row r="209" spans="3:67" ht="20.100000000000001" customHeight="1">
      <c r="C209" s="113"/>
      <c r="D209" s="114"/>
      <c r="P209" s="82"/>
      <c r="Q209" s="82"/>
      <c r="R209" s="38"/>
      <c r="S209" s="38"/>
      <c r="T209" s="38"/>
      <c r="U209" s="38"/>
      <c r="V209" s="38"/>
      <c r="W209" s="38"/>
      <c r="X209" s="38"/>
      <c r="Y209" s="38"/>
      <c r="Z209" s="38"/>
      <c r="AA209" s="38"/>
      <c r="AB209" s="38"/>
      <c r="AC209" s="38"/>
      <c r="AD209" s="38"/>
      <c r="AE209" s="38"/>
      <c r="AF209" s="38"/>
      <c r="AG209" s="38"/>
      <c r="AH209" s="38"/>
      <c r="AN209" s="37"/>
      <c r="AO209" s="37"/>
      <c r="AP209" s="78"/>
      <c r="AQ209" s="37"/>
      <c r="AR209" s="37"/>
      <c r="AS209" s="37"/>
      <c r="AT209" s="37"/>
      <c r="AU209" s="37"/>
      <c r="AV209" s="37"/>
      <c r="AW209" s="37"/>
      <c r="AX209" s="37"/>
      <c r="AY209" s="37"/>
      <c r="AZ209" s="78"/>
      <c r="BA209" s="37"/>
      <c r="BB209" s="78"/>
      <c r="BF209" s="37"/>
      <c r="BG209" s="37"/>
      <c r="BH209" s="37"/>
      <c r="BI209" s="37"/>
      <c r="BJ209" s="37"/>
      <c r="BK209" s="37"/>
      <c r="BL209" s="37"/>
      <c r="BM209" s="37"/>
      <c r="BN209" s="37"/>
      <c r="BO209" s="37"/>
    </row>
    <row r="210" spans="3:67" ht="20.100000000000001" customHeight="1">
      <c r="C210" s="113"/>
      <c r="D210" s="114"/>
      <c r="P210" s="82"/>
      <c r="Q210" s="82"/>
      <c r="R210" s="38"/>
      <c r="S210" s="38"/>
      <c r="T210" s="38"/>
      <c r="U210" s="38"/>
      <c r="V210" s="38"/>
      <c r="W210" s="38"/>
      <c r="X210" s="38"/>
      <c r="Y210" s="38"/>
      <c r="Z210" s="38"/>
      <c r="AA210" s="38"/>
      <c r="AB210" s="38"/>
      <c r="AC210" s="38"/>
      <c r="AD210" s="38"/>
      <c r="AE210" s="38"/>
      <c r="AF210" s="38"/>
      <c r="AG210" s="38"/>
      <c r="AH210" s="38"/>
      <c r="AN210" s="37"/>
      <c r="AO210" s="37"/>
      <c r="AP210" s="78"/>
      <c r="AQ210" s="37"/>
      <c r="AR210" s="37"/>
      <c r="AS210" s="37"/>
      <c r="AT210" s="37"/>
      <c r="AU210" s="37"/>
      <c r="AV210" s="37"/>
      <c r="AW210" s="37"/>
      <c r="AX210" s="37"/>
      <c r="AY210" s="37"/>
      <c r="AZ210" s="78"/>
      <c r="BA210" s="37"/>
      <c r="BB210" s="78"/>
      <c r="BF210" s="37"/>
      <c r="BG210" s="37"/>
      <c r="BH210" s="37"/>
      <c r="BI210" s="37"/>
      <c r="BJ210" s="37"/>
      <c r="BK210" s="37"/>
      <c r="BL210" s="37"/>
      <c r="BM210" s="37"/>
      <c r="BN210" s="37"/>
      <c r="BO210" s="37"/>
    </row>
    <row r="211" spans="3:67" ht="20.100000000000001" customHeight="1">
      <c r="C211" s="113"/>
      <c r="D211" s="114"/>
      <c r="P211" s="82"/>
      <c r="Q211" s="82"/>
      <c r="R211" s="38"/>
      <c r="S211" s="38"/>
      <c r="T211" s="38"/>
      <c r="U211" s="38"/>
      <c r="V211" s="38"/>
      <c r="W211" s="38"/>
      <c r="X211" s="38"/>
      <c r="Y211" s="38"/>
      <c r="Z211" s="38"/>
      <c r="AA211" s="38"/>
      <c r="AB211" s="38"/>
      <c r="AC211" s="38"/>
      <c r="AD211" s="38"/>
      <c r="AE211" s="38"/>
      <c r="AF211" s="38"/>
      <c r="AG211" s="38"/>
      <c r="AH211" s="38"/>
      <c r="AN211" s="37"/>
      <c r="AO211" s="37"/>
      <c r="AP211" s="78"/>
      <c r="AQ211" s="37"/>
      <c r="AR211" s="37"/>
      <c r="AS211" s="37"/>
      <c r="AT211" s="37"/>
      <c r="AU211" s="37"/>
      <c r="AV211" s="37"/>
      <c r="AW211" s="37"/>
      <c r="AX211" s="37"/>
      <c r="AY211" s="37"/>
      <c r="AZ211" s="78"/>
      <c r="BA211" s="37"/>
      <c r="BB211" s="78"/>
      <c r="BF211" s="37"/>
      <c r="BG211" s="37"/>
      <c r="BH211" s="37"/>
      <c r="BI211" s="37"/>
      <c r="BJ211" s="37"/>
      <c r="BK211" s="37"/>
      <c r="BL211" s="37"/>
      <c r="BM211" s="37"/>
      <c r="BN211" s="37"/>
      <c r="BO211" s="37"/>
    </row>
    <row r="212" spans="3:67" ht="20.100000000000001" customHeight="1">
      <c r="C212" s="113"/>
      <c r="D212" s="114"/>
      <c r="P212" s="82"/>
      <c r="Q212" s="82"/>
      <c r="R212" s="38"/>
      <c r="S212" s="38"/>
      <c r="T212" s="38"/>
      <c r="U212" s="38"/>
      <c r="V212" s="38"/>
      <c r="W212" s="38"/>
      <c r="X212" s="38"/>
      <c r="Y212" s="38"/>
      <c r="Z212" s="38"/>
      <c r="AA212" s="38"/>
      <c r="AB212" s="38"/>
      <c r="AC212" s="38"/>
      <c r="AD212" s="38"/>
      <c r="AE212" s="38"/>
      <c r="AF212" s="38"/>
      <c r="AG212" s="38"/>
      <c r="AH212" s="38"/>
      <c r="AN212" s="37"/>
      <c r="AO212" s="37"/>
      <c r="AP212" s="78"/>
      <c r="AQ212" s="37"/>
      <c r="AR212" s="37"/>
      <c r="AS212" s="37"/>
      <c r="AT212" s="37"/>
      <c r="AU212" s="37"/>
      <c r="AV212" s="37"/>
      <c r="AW212" s="37"/>
      <c r="AX212" s="37"/>
      <c r="AY212" s="37"/>
      <c r="AZ212" s="78"/>
      <c r="BA212" s="37"/>
      <c r="BB212" s="78"/>
    </row>
    <row r="213" spans="3:67" ht="20.100000000000001" customHeight="1">
      <c r="C213" s="113"/>
      <c r="D213" s="114"/>
      <c r="P213" s="82"/>
      <c r="Q213" s="82"/>
      <c r="R213" s="38"/>
      <c r="S213" s="38"/>
      <c r="T213" s="38"/>
      <c r="U213" s="38"/>
      <c r="V213" s="38"/>
      <c r="W213" s="38"/>
      <c r="X213" s="38"/>
      <c r="Y213" s="38"/>
      <c r="Z213" s="38"/>
      <c r="AA213" s="38"/>
      <c r="AB213" s="38"/>
      <c r="AC213" s="38"/>
      <c r="AD213" s="38"/>
      <c r="AE213" s="38"/>
      <c r="AF213" s="38"/>
      <c r="AG213" s="38"/>
      <c r="AH213" s="38"/>
      <c r="AN213" s="37"/>
      <c r="AO213" s="37"/>
      <c r="AP213" s="78"/>
      <c r="AQ213" s="37"/>
      <c r="AR213" s="37"/>
      <c r="AS213" s="37"/>
      <c r="AT213" s="37"/>
      <c r="AU213" s="37"/>
      <c r="AV213" s="37"/>
      <c r="AW213" s="37"/>
      <c r="AX213" s="37"/>
      <c r="AY213" s="37"/>
      <c r="AZ213" s="78"/>
      <c r="BA213" s="37"/>
      <c r="BB213" s="78"/>
    </row>
    <row r="214" spans="3:67" ht="20.100000000000001" customHeight="1">
      <c r="C214" s="113"/>
      <c r="D214" s="114"/>
      <c r="P214" s="82"/>
      <c r="Q214" s="82"/>
      <c r="R214" s="38"/>
      <c r="S214" s="38"/>
      <c r="T214" s="38"/>
      <c r="U214" s="38"/>
      <c r="V214" s="38"/>
      <c r="W214" s="38"/>
      <c r="X214" s="38"/>
      <c r="Y214" s="38"/>
      <c r="Z214" s="38"/>
      <c r="AA214" s="38"/>
      <c r="AB214" s="38"/>
      <c r="AC214" s="38"/>
      <c r="AD214" s="38"/>
      <c r="AE214" s="38"/>
      <c r="AF214" s="38"/>
      <c r="AG214" s="38"/>
      <c r="AH214" s="38"/>
      <c r="AN214" s="37"/>
      <c r="AO214" s="37"/>
      <c r="AP214" s="78"/>
      <c r="AQ214" s="37"/>
      <c r="AR214" s="37"/>
      <c r="AS214" s="37"/>
      <c r="AT214" s="37"/>
      <c r="AU214" s="37"/>
      <c r="AV214" s="37"/>
      <c r="AW214" s="37"/>
      <c r="AX214" s="37"/>
      <c r="AY214" s="37"/>
      <c r="AZ214" s="78"/>
      <c r="BA214" s="37"/>
      <c r="BB214" s="78"/>
    </row>
    <row r="215" spans="3:67" ht="20.100000000000001" customHeight="1">
      <c r="C215" s="113"/>
      <c r="D215" s="114"/>
      <c r="P215" s="82"/>
      <c r="Q215" s="82"/>
      <c r="R215" s="38"/>
      <c r="S215" s="38"/>
      <c r="T215" s="38"/>
      <c r="U215" s="38"/>
      <c r="V215" s="38"/>
      <c r="W215" s="38"/>
      <c r="X215" s="38"/>
      <c r="Y215" s="38"/>
      <c r="Z215" s="38"/>
      <c r="AA215" s="38"/>
      <c r="AB215" s="38"/>
      <c r="AC215" s="38"/>
      <c r="AD215" s="38"/>
      <c r="AE215" s="38"/>
      <c r="AF215" s="38"/>
      <c r="AG215" s="38"/>
      <c r="AH215" s="38"/>
      <c r="AN215" s="37"/>
      <c r="AO215" s="37"/>
      <c r="AP215" s="78"/>
      <c r="AQ215" s="37"/>
      <c r="AR215" s="37"/>
      <c r="AS215" s="37"/>
      <c r="AT215" s="37"/>
      <c r="AU215" s="37"/>
      <c r="AV215" s="37"/>
      <c r="AW215" s="37"/>
      <c r="AX215" s="37"/>
      <c r="AY215" s="37"/>
      <c r="AZ215" s="78"/>
      <c r="BA215" s="37"/>
      <c r="BB215" s="78"/>
    </row>
    <row r="216" spans="3:67" ht="20.100000000000001" customHeight="1">
      <c r="C216" s="113"/>
      <c r="D216" s="114"/>
      <c r="P216" s="82"/>
      <c r="Q216" s="82"/>
      <c r="R216" s="38"/>
      <c r="S216" s="38"/>
      <c r="T216" s="38"/>
      <c r="U216" s="38"/>
      <c r="V216" s="38"/>
      <c r="W216" s="38"/>
      <c r="X216" s="38"/>
      <c r="Y216" s="38"/>
      <c r="Z216" s="38"/>
      <c r="AA216" s="38"/>
      <c r="AB216" s="38"/>
      <c r="AC216" s="38"/>
      <c r="AD216" s="38"/>
      <c r="AE216" s="38"/>
      <c r="AF216" s="38"/>
      <c r="AG216" s="38"/>
      <c r="AH216" s="38"/>
      <c r="AN216" s="37"/>
      <c r="AO216" s="37"/>
      <c r="AP216" s="78"/>
      <c r="AQ216" s="37"/>
      <c r="AR216" s="37"/>
      <c r="AS216" s="37"/>
      <c r="AT216" s="37"/>
      <c r="AU216" s="37"/>
      <c r="AV216" s="37"/>
      <c r="AW216" s="37"/>
      <c r="AX216" s="37"/>
      <c r="AY216" s="37"/>
      <c r="AZ216" s="78"/>
      <c r="BA216" s="37"/>
      <c r="BB216" s="78"/>
    </row>
    <row r="217" spans="3:67" ht="20.100000000000001" customHeight="1">
      <c r="C217" s="113"/>
      <c r="D217" s="114"/>
      <c r="P217" s="82"/>
      <c r="Q217" s="82"/>
      <c r="R217" s="38"/>
      <c r="S217" s="38"/>
      <c r="T217" s="38"/>
      <c r="U217" s="38"/>
      <c r="V217" s="38"/>
      <c r="W217" s="38"/>
      <c r="X217" s="38"/>
      <c r="Y217" s="38"/>
      <c r="Z217" s="38"/>
      <c r="AA217" s="38"/>
      <c r="AB217" s="38"/>
      <c r="AC217" s="38"/>
      <c r="AD217" s="38"/>
      <c r="AE217" s="38"/>
      <c r="AF217" s="38"/>
      <c r="AG217" s="38"/>
      <c r="AH217" s="38"/>
      <c r="AN217" s="37"/>
      <c r="AO217" s="37"/>
      <c r="AP217" s="78"/>
      <c r="AQ217" s="37"/>
      <c r="AR217" s="37"/>
      <c r="AS217" s="37"/>
      <c r="AT217" s="37"/>
      <c r="AU217" s="37"/>
      <c r="AV217" s="37"/>
      <c r="AW217" s="37"/>
      <c r="AX217" s="37"/>
      <c r="AY217" s="37"/>
      <c r="AZ217" s="78"/>
      <c r="BA217" s="37"/>
      <c r="BB217" s="78"/>
    </row>
    <row r="218" spans="3:67" ht="20.100000000000001" customHeight="1">
      <c r="C218" s="113"/>
      <c r="D218" s="114"/>
      <c r="P218" s="82"/>
      <c r="Q218" s="82"/>
      <c r="R218" s="38"/>
      <c r="S218" s="38"/>
      <c r="T218" s="38"/>
      <c r="U218" s="38"/>
      <c r="V218" s="38"/>
      <c r="W218" s="38"/>
      <c r="X218" s="38"/>
      <c r="Y218" s="38"/>
      <c r="Z218" s="38"/>
      <c r="AA218" s="38"/>
      <c r="AB218" s="38"/>
      <c r="AC218" s="38"/>
      <c r="AD218" s="38"/>
      <c r="AE218" s="38"/>
      <c r="AF218" s="38"/>
      <c r="AG218" s="38"/>
      <c r="AH218" s="38"/>
      <c r="AN218" s="37"/>
      <c r="AO218" s="37"/>
      <c r="AP218" s="78"/>
      <c r="AQ218" s="37"/>
      <c r="AR218" s="37"/>
      <c r="AS218" s="37"/>
      <c r="AT218" s="37"/>
      <c r="AU218" s="37"/>
      <c r="AV218" s="37"/>
      <c r="AW218" s="37"/>
      <c r="AX218" s="37"/>
      <c r="AY218" s="37"/>
      <c r="AZ218" s="78"/>
      <c r="BA218" s="37"/>
      <c r="BB218" s="78"/>
    </row>
    <row r="219" spans="3:67" ht="20.100000000000001" customHeight="1">
      <c r="C219" s="113"/>
      <c r="D219" s="114"/>
      <c r="P219" s="82"/>
      <c r="Q219" s="82"/>
      <c r="R219" s="38"/>
      <c r="S219" s="38"/>
      <c r="T219" s="38"/>
      <c r="U219" s="38"/>
      <c r="V219" s="38"/>
      <c r="W219" s="38"/>
      <c r="X219" s="38"/>
      <c r="Y219" s="38"/>
      <c r="Z219" s="38"/>
      <c r="AA219" s="38"/>
      <c r="AB219" s="38"/>
      <c r="AC219" s="38"/>
      <c r="AD219" s="38"/>
      <c r="AE219" s="38"/>
      <c r="AF219" s="38"/>
      <c r="AG219" s="38"/>
      <c r="AH219" s="38"/>
      <c r="AN219" s="37"/>
      <c r="AO219" s="37"/>
      <c r="AP219" s="78"/>
      <c r="AQ219" s="37"/>
      <c r="AR219" s="37"/>
      <c r="AS219" s="37"/>
      <c r="AT219" s="37"/>
      <c r="AU219" s="37"/>
      <c r="AV219" s="37"/>
      <c r="AW219" s="37"/>
      <c r="AX219" s="37"/>
      <c r="AY219" s="37"/>
      <c r="AZ219" s="78"/>
      <c r="BA219" s="37"/>
      <c r="BB219" s="78"/>
    </row>
    <row r="220" spans="3:67" ht="20.100000000000001" customHeight="1">
      <c r="C220" s="113"/>
      <c r="D220" s="114"/>
      <c r="P220" s="82"/>
      <c r="Q220" s="82"/>
      <c r="R220" s="38"/>
      <c r="S220" s="38"/>
      <c r="T220" s="38"/>
      <c r="U220" s="38"/>
      <c r="V220" s="38"/>
      <c r="W220" s="38"/>
      <c r="X220" s="38"/>
      <c r="Y220" s="38"/>
      <c r="Z220" s="38"/>
      <c r="AA220" s="38"/>
      <c r="AB220" s="38"/>
      <c r="AC220" s="38"/>
      <c r="AD220" s="38"/>
      <c r="AE220" s="38"/>
      <c r="AF220" s="38"/>
      <c r="AG220" s="38"/>
      <c r="AH220" s="38"/>
      <c r="AN220" s="37"/>
      <c r="AO220" s="37"/>
      <c r="AP220" s="78"/>
      <c r="AQ220" s="37"/>
      <c r="AR220" s="37"/>
      <c r="AS220" s="37"/>
      <c r="AT220" s="37"/>
      <c r="AU220" s="37"/>
      <c r="AV220" s="37"/>
      <c r="AW220" s="37"/>
      <c r="AX220" s="37"/>
      <c r="AY220" s="37"/>
      <c r="AZ220" s="78"/>
      <c r="BA220" s="37"/>
      <c r="BB220" s="78"/>
    </row>
    <row r="221" spans="3:67" ht="20.100000000000001" customHeight="1">
      <c r="C221" s="113"/>
      <c r="D221" s="114"/>
      <c r="P221" s="82"/>
      <c r="Q221" s="82"/>
      <c r="R221" s="38"/>
      <c r="S221" s="38"/>
      <c r="T221" s="38"/>
      <c r="U221" s="38"/>
      <c r="V221" s="38"/>
      <c r="W221" s="38"/>
      <c r="X221" s="38"/>
      <c r="Y221" s="38"/>
      <c r="Z221" s="38"/>
      <c r="AA221" s="38"/>
      <c r="AB221" s="38"/>
      <c r="AC221" s="38"/>
      <c r="AD221" s="38"/>
      <c r="AE221" s="38"/>
      <c r="AF221" s="38"/>
      <c r="AG221" s="38"/>
      <c r="AH221" s="38"/>
      <c r="AN221" s="37"/>
      <c r="AO221" s="37"/>
      <c r="AP221" s="78"/>
      <c r="AQ221" s="37"/>
      <c r="AR221" s="37"/>
      <c r="AS221" s="37"/>
      <c r="AT221" s="37"/>
      <c r="AU221" s="37"/>
      <c r="AV221" s="37"/>
      <c r="AW221" s="37"/>
      <c r="AX221" s="37"/>
      <c r="AY221" s="37"/>
      <c r="AZ221" s="78"/>
      <c r="BA221" s="37"/>
      <c r="BB221" s="78"/>
    </row>
    <row r="222" spans="3:67" ht="20.100000000000001" customHeight="1">
      <c r="C222" s="113"/>
      <c r="D222" s="114"/>
      <c r="P222" s="82"/>
      <c r="Q222" s="82"/>
      <c r="R222" s="38"/>
      <c r="S222" s="38"/>
      <c r="T222" s="38"/>
      <c r="U222" s="38"/>
      <c r="V222" s="38"/>
      <c r="W222" s="38"/>
      <c r="X222" s="38"/>
      <c r="Y222" s="38"/>
      <c r="Z222" s="38"/>
      <c r="AA222" s="38"/>
      <c r="AB222" s="38"/>
      <c r="AC222" s="38"/>
      <c r="AD222" s="38"/>
      <c r="AE222" s="38"/>
      <c r="AF222" s="38"/>
      <c r="AG222" s="38"/>
      <c r="AH222" s="38"/>
      <c r="AN222" s="37"/>
      <c r="AO222" s="37"/>
      <c r="AP222" s="78"/>
      <c r="AQ222" s="37"/>
      <c r="AR222" s="37"/>
      <c r="AS222" s="37"/>
      <c r="AT222" s="37"/>
      <c r="AU222" s="37"/>
      <c r="AV222" s="37"/>
      <c r="AW222" s="37"/>
      <c r="AX222" s="37"/>
      <c r="AY222" s="37"/>
      <c r="AZ222" s="78"/>
      <c r="BA222" s="37"/>
      <c r="BB222" s="78"/>
    </row>
    <row r="223" spans="3:67" ht="20.100000000000001" customHeight="1">
      <c r="C223" s="113"/>
      <c r="D223" s="114"/>
      <c r="P223" s="82"/>
      <c r="Q223" s="82"/>
      <c r="R223" s="38"/>
      <c r="S223" s="38"/>
      <c r="T223" s="38"/>
      <c r="U223" s="38"/>
      <c r="V223" s="38"/>
      <c r="W223" s="38"/>
      <c r="X223" s="38"/>
      <c r="Y223" s="38"/>
      <c r="Z223" s="38"/>
      <c r="AA223" s="38"/>
      <c r="AB223" s="38"/>
      <c r="AC223" s="38"/>
      <c r="AD223" s="38"/>
      <c r="AE223" s="38"/>
      <c r="AF223" s="38"/>
      <c r="AG223" s="38"/>
      <c r="AH223" s="38"/>
      <c r="AN223" s="37"/>
      <c r="AO223" s="37"/>
      <c r="AP223" s="78"/>
      <c r="AQ223" s="37"/>
      <c r="AR223" s="37"/>
      <c r="AS223" s="37"/>
      <c r="AT223" s="37"/>
      <c r="AU223" s="37"/>
      <c r="AV223" s="37"/>
      <c r="AW223" s="37"/>
      <c r="AX223" s="37"/>
      <c r="AY223" s="37"/>
      <c r="AZ223" s="78"/>
      <c r="BA223" s="37"/>
      <c r="BB223" s="78"/>
    </row>
    <row r="224" spans="3:67" ht="20.100000000000001" customHeight="1">
      <c r="C224" s="113"/>
      <c r="D224" s="114"/>
      <c r="P224" s="82"/>
      <c r="Q224" s="82"/>
      <c r="R224" s="38"/>
      <c r="S224" s="38"/>
      <c r="T224" s="38"/>
      <c r="U224" s="38"/>
      <c r="V224" s="38"/>
      <c r="W224" s="38"/>
      <c r="X224" s="38"/>
      <c r="Y224" s="38"/>
      <c r="Z224" s="38"/>
      <c r="AA224" s="38"/>
      <c r="AB224" s="38"/>
      <c r="AC224" s="38"/>
      <c r="AD224" s="38"/>
      <c r="AE224" s="38"/>
      <c r="AF224" s="38"/>
      <c r="AG224" s="38"/>
      <c r="AH224" s="38"/>
      <c r="AN224" s="37"/>
      <c r="AO224" s="37"/>
      <c r="AP224" s="78"/>
      <c r="AQ224" s="37"/>
      <c r="AR224" s="37"/>
      <c r="AS224" s="37"/>
      <c r="AT224" s="37"/>
      <c r="AU224" s="37"/>
      <c r="AV224" s="37"/>
      <c r="AW224" s="37"/>
      <c r="AX224" s="37"/>
      <c r="AY224" s="37"/>
      <c r="AZ224" s="78"/>
      <c r="BA224" s="37"/>
      <c r="BB224" s="78"/>
    </row>
    <row r="225" spans="3:54" ht="20.100000000000001" customHeight="1">
      <c r="C225" s="113"/>
      <c r="D225" s="114"/>
      <c r="P225" s="82"/>
      <c r="Q225" s="82"/>
      <c r="R225" s="38"/>
      <c r="S225" s="38"/>
      <c r="T225" s="38"/>
      <c r="U225" s="38"/>
      <c r="V225" s="38"/>
      <c r="W225" s="38"/>
      <c r="X225" s="38"/>
      <c r="Y225" s="38"/>
      <c r="Z225" s="38"/>
      <c r="AA225" s="38"/>
      <c r="AB225" s="38"/>
      <c r="AC225" s="38"/>
      <c r="AD225" s="38"/>
      <c r="AE225" s="38"/>
      <c r="AF225" s="38"/>
      <c r="AG225" s="38"/>
      <c r="AH225" s="38"/>
      <c r="AN225" s="37"/>
      <c r="AO225" s="37"/>
      <c r="AP225" s="78"/>
      <c r="AQ225" s="37"/>
      <c r="AR225" s="37"/>
      <c r="AS225" s="37"/>
      <c r="AT225" s="37"/>
      <c r="AU225" s="37"/>
      <c r="AV225" s="37"/>
      <c r="AW225" s="37"/>
      <c r="AX225" s="37"/>
      <c r="AY225" s="37"/>
      <c r="AZ225" s="78"/>
      <c r="BA225" s="37"/>
      <c r="BB225" s="78"/>
    </row>
    <row r="226" spans="3:54" ht="20.100000000000001" customHeight="1">
      <c r="C226" s="113"/>
      <c r="D226" s="114"/>
      <c r="P226" s="82"/>
      <c r="Q226" s="82"/>
      <c r="R226" s="38"/>
      <c r="S226" s="38"/>
      <c r="T226" s="38"/>
      <c r="U226" s="38"/>
      <c r="V226" s="38"/>
      <c r="W226" s="38"/>
      <c r="X226" s="38"/>
      <c r="Y226" s="38"/>
      <c r="Z226" s="38"/>
      <c r="AA226" s="38"/>
      <c r="AB226" s="38"/>
      <c r="AC226" s="38"/>
      <c r="AD226" s="38"/>
      <c r="AE226" s="38"/>
      <c r="AF226" s="38"/>
      <c r="AG226" s="38"/>
      <c r="AH226" s="38"/>
      <c r="AN226" s="37"/>
      <c r="AO226" s="37"/>
      <c r="AP226" s="78"/>
      <c r="AQ226" s="37"/>
      <c r="AR226" s="37"/>
      <c r="AS226" s="37"/>
      <c r="AT226" s="37"/>
      <c r="AU226" s="37"/>
      <c r="AV226" s="37"/>
      <c r="AW226" s="37"/>
      <c r="AX226" s="37"/>
      <c r="AY226" s="37"/>
      <c r="AZ226" s="78"/>
      <c r="BA226" s="37"/>
      <c r="BB226" s="78"/>
    </row>
    <row r="227" spans="3:54" ht="20.100000000000001" customHeight="1">
      <c r="C227" s="113"/>
      <c r="D227" s="114"/>
      <c r="P227" s="82"/>
      <c r="Q227" s="82"/>
      <c r="R227" s="38"/>
      <c r="S227" s="38"/>
      <c r="T227" s="38"/>
      <c r="U227" s="38"/>
      <c r="V227" s="38"/>
      <c r="W227" s="38"/>
      <c r="X227" s="38"/>
      <c r="Y227" s="38"/>
      <c r="Z227" s="38"/>
      <c r="AA227" s="38"/>
      <c r="AB227" s="38"/>
      <c r="AC227" s="38"/>
      <c r="AD227" s="38"/>
      <c r="AE227" s="38"/>
      <c r="AF227" s="38"/>
      <c r="AG227" s="38"/>
      <c r="AH227" s="38"/>
      <c r="AN227" s="37"/>
      <c r="AO227" s="37"/>
      <c r="AP227" s="78"/>
      <c r="AQ227" s="37"/>
      <c r="AR227" s="37"/>
      <c r="AS227" s="37"/>
      <c r="AT227" s="37"/>
      <c r="AU227" s="37"/>
      <c r="AV227" s="37"/>
      <c r="AW227" s="37"/>
      <c r="AX227" s="37"/>
      <c r="AY227" s="37"/>
      <c r="AZ227" s="78"/>
      <c r="BA227" s="37"/>
      <c r="BB227" s="78"/>
    </row>
    <row r="228" spans="3:54" ht="20.100000000000001" customHeight="1">
      <c r="C228" s="113"/>
      <c r="D228" s="114"/>
      <c r="P228" s="82"/>
      <c r="Q228" s="82"/>
      <c r="R228" s="38"/>
      <c r="S228" s="38"/>
      <c r="T228" s="38"/>
      <c r="U228" s="38"/>
      <c r="V228" s="38"/>
      <c r="W228" s="38"/>
      <c r="X228" s="38"/>
      <c r="Y228" s="38"/>
      <c r="Z228" s="38"/>
      <c r="AA228" s="38"/>
      <c r="AB228" s="38"/>
      <c r="AC228" s="38"/>
      <c r="AD228" s="38"/>
      <c r="AE228" s="38"/>
      <c r="AF228" s="38"/>
      <c r="AG228" s="38"/>
      <c r="AH228" s="38"/>
      <c r="AN228" s="37"/>
      <c r="AO228" s="37"/>
      <c r="AP228" s="78"/>
      <c r="AQ228" s="37"/>
      <c r="AR228" s="37"/>
      <c r="AS228" s="37"/>
      <c r="AT228" s="37"/>
      <c r="AU228" s="37"/>
      <c r="AV228" s="37"/>
      <c r="AW228" s="37"/>
      <c r="AX228" s="37"/>
      <c r="AY228" s="37"/>
      <c r="AZ228" s="78"/>
      <c r="BA228" s="37"/>
      <c r="BB228" s="78"/>
    </row>
    <row r="229" spans="3:54" ht="20.100000000000001" customHeight="1">
      <c r="C229" s="113"/>
      <c r="D229" s="114"/>
      <c r="P229" s="82"/>
      <c r="Q229" s="82"/>
      <c r="R229" s="38"/>
      <c r="S229" s="38"/>
      <c r="T229" s="38"/>
      <c r="U229" s="38"/>
      <c r="V229" s="38"/>
      <c r="W229" s="38"/>
      <c r="X229" s="38"/>
      <c r="Y229" s="38"/>
      <c r="Z229" s="38"/>
      <c r="AA229" s="38"/>
      <c r="AB229" s="38"/>
      <c r="AC229" s="38"/>
      <c r="AD229" s="38"/>
      <c r="AE229" s="38"/>
      <c r="AF229" s="38"/>
      <c r="AG229" s="38"/>
      <c r="AH229" s="38"/>
      <c r="AN229" s="37"/>
      <c r="AO229" s="37"/>
      <c r="AP229" s="78"/>
      <c r="AQ229" s="37"/>
      <c r="AR229" s="37"/>
      <c r="AS229" s="37"/>
      <c r="AT229" s="37"/>
      <c r="AU229" s="37"/>
      <c r="AV229" s="37"/>
      <c r="AW229" s="37"/>
      <c r="AX229" s="37"/>
      <c r="AY229" s="37"/>
      <c r="AZ229" s="78"/>
      <c r="BA229" s="37"/>
      <c r="BB229" s="78"/>
    </row>
    <row r="230" spans="3:54" ht="20.100000000000001" customHeight="1">
      <c r="C230" s="113"/>
      <c r="D230" s="114"/>
      <c r="P230" s="82"/>
      <c r="Q230" s="82"/>
      <c r="R230" s="38"/>
      <c r="S230" s="38"/>
      <c r="T230" s="38"/>
      <c r="U230" s="38"/>
      <c r="V230" s="38"/>
      <c r="W230" s="38"/>
      <c r="X230" s="38"/>
      <c r="Y230" s="38"/>
      <c r="Z230" s="38"/>
      <c r="AA230" s="38"/>
      <c r="AB230" s="38"/>
      <c r="AC230" s="38"/>
      <c r="AD230" s="38"/>
      <c r="AE230" s="38"/>
      <c r="AF230" s="38"/>
      <c r="AG230" s="38"/>
      <c r="AH230" s="38"/>
      <c r="AN230" s="37"/>
      <c r="AO230" s="37"/>
      <c r="AP230" s="78"/>
      <c r="AQ230" s="37"/>
      <c r="AR230" s="37"/>
      <c r="AS230" s="37"/>
      <c r="AT230" s="37"/>
      <c r="AU230" s="37"/>
      <c r="AV230" s="37"/>
      <c r="AW230" s="37"/>
      <c r="AX230" s="37"/>
      <c r="AY230" s="37"/>
      <c r="AZ230" s="78"/>
      <c r="BA230" s="37"/>
      <c r="BB230" s="78"/>
    </row>
    <row r="231" spans="3:54" ht="20.100000000000001" customHeight="1">
      <c r="C231" s="113"/>
      <c r="D231" s="114"/>
      <c r="P231" s="82"/>
      <c r="Q231" s="82"/>
      <c r="R231" s="38"/>
      <c r="S231" s="38"/>
      <c r="T231" s="38"/>
      <c r="U231" s="38"/>
      <c r="V231" s="38"/>
      <c r="W231" s="38"/>
      <c r="X231" s="38"/>
      <c r="Y231" s="38"/>
      <c r="Z231" s="38"/>
      <c r="AA231" s="38"/>
      <c r="AB231" s="38"/>
      <c r="AC231" s="38"/>
      <c r="AD231" s="38"/>
      <c r="AE231" s="38"/>
      <c r="AF231" s="38"/>
      <c r="AG231" s="38"/>
      <c r="AH231" s="38"/>
      <c r="AN231" s="37"/>
      <c r="AO231" s="37"/>
      <c r="AP231" s="78"/>
      <c r="AQ231" s="37"/>
      <c r="AR231" s="37"/>
      <c r="AS231" s="37"/>
      <c r="AT231" s="37"/>
      <c r="AU231" s="37"/>
      <c r="AV231" s="37"/>
      <c r="AW231" s="37"/>
      <c r="AX231" s="37"/>
      <c r="AY231" s="37"/>
      <c r="AZ231" s="78"/>
      <c r="BA231" s="37"/>
      <c r="BB231" s="78"/>
    </row>
    <row r="232" spans="3:54" ht="20.100000000000001" customHeight="1">
      <c r="C232" s="113"/>
      <c r="D232" s="114"/>
      <c r="P232" s="82"/>
      <c r="Q232" s="82"/>
      <c r="R232" s="38"/>
      <c r="S232" s="38"/>
      <c r="T232" s="38"/>
      <c r="U232" s="38"/>
      <c r="V232" s="38"/>
      <c r="W232" s="38"/>
      <c r="X232" s="38"/>
      <c r="Y232" s="38"/>
      <c r="Z232" s="38"/>
      <c r="AA232" s="38"/>
      <c r="AB232" s="38"/>
      <c r="AC232" s="38"/>
      <c r="AD232" s="38"/>
      <c r="AE232" s="38"/>
      <c r="AF232" s="38"/>
      <c r="AG232" s="38"/>
      <c r="AH232" s="38"/>
      <c r="AN232" s="37"/>
      <c r="AO232" s="37"/>
      <c r="AP232" s="78"/>
      <c r="AQ232" s="37"/>
      <c r="AR232" s="37"/>
      <c r="AS232" s="37"/>
      <c r="AT232" s="37"/>
      <c r="AU232" s="37"/>
      <c r="AV232" s="37"/>
      <c r="AW232" s="37"/>
      <c r="AX232" s="37"/>
      <c r="AY232" s="37"/>
      <c r="AZ232" s="78"/>
      <c r="BA232" s="37"/>
      <c r="BB232" s="78"/>
    </row>
    <row r="233" spans="3:54" ht="20.100000000000001" customHeight="1">
      <c r="C233" s="113"/>
      <c r="D233" s="114"/>
      <c r="P233" s="82"/>
      <c r="Q233" s="82"/>
      <c r="R233" s="38"/>
      <c r="S233" s="38"/>
      <c r="T233" s="38"/>
      <c r="U233" s="38"/>
      <c r="V233" s="38"/>
      <c r="W233" s="38"/>
      <c r="X233" s="38"/>
      <c r="Y233" s="38"/>
      <c r="Z233" s="38"/>
      <c r="AA233" s="38"/>
      <c r="AB233" s="38"/>
      <c r="AC233" s="38"/>
      <c r="AD233" s="38"/>
      <c r="AE233" s="38"/>
      <c r="AF233" s="38"/>
      <c r="AG233" s="38"/>
      <c r="AH233" s="38"/>
      <c r="AN233" s="37"/>
      <c r="AO233" s="37"/>
      <c r="AP233" s="78"/>
      <c r="AQ233" s="37"/>
      <c r="AR233" s="37"/>
      <c r="AS233" s="37"/>
      <c r="AT233" s="37"/>
      <c r="AU233" s="37"/>
      <c r="AV233" s="37"/>
      <c r="AW233" s="37"/>
      <c r="AX233" s="37"/>
      <c r="AY233" s="37"/>
      <c r="AZ233" s="78"/>
      <c r="BA233" s="37"/>
      <c r="BB233" s="78"/>
    </row>
    <row r="234" spans="3:54" ht="20.100000000000001" customHeight="1">
      <c r="C234" s="113"/>
      <c r="D234" s="114"/>
      <c r="P234" s="82"/>
      <c r="Q234" s="82"/>
      <c r="R234" s="38"/>
      <c r="S234" s="38"/>
      <c r="T234" s="38"/>
      <c r="U234" s="38"/>
      <c r="V234" s="38"/>
      <c r="W234" s="38"/>
      <c r="X234" s="38"/>
      <c r="Y234" s="38"/>
      <c r="Z234" s="38"/>
      <c r="AA234" s="38"/>
      <c r="AB234" s="38"/>
      <c r="AC234" s="38"/>
      <c r="AD234" s="38"/>
      <c r="AE234" s="38"/>
      <c r="AF234" s="38"/>
      <c r="AG234" s="38"/>
      <c r="AH234" s="38"/>
      <c r="AN234" s="37"/>
      <c r="AO234" s="37"/>
      <c r="AP234" s="78"/>
      <c r="AQ234" s="37"/>
      <c r="AR234" s="37"/>
      <c r="AS234" s="37"/>
      <c r="AT234" s="37"/>
      <c r="AU234" s="37"/>
      <c r="AV234" s="37"/>
      <c r="AW234" s="37"/>
      <c r="AX234" s="37"/>
      <c r="AY234" s="37"/>
      <c r="AZ234" s="78"/>
      <c r="BA234" s="37"/>
      <c r="BB234" s="78"/>
    </row>
    <row r="235" spans="3:54" ht="20.100000000000001" customHeight="1">
      <c r="C235" s="113"/>
      <c r="D235" s="114"/>
      <c r="P235" s="82"/>
      <c r="Q235" s="82"/>
      <c r="R235" s="38"/>
      <c r="S235" s="38"/>
      <c r="T235" s="38"/>
      <c r="U235" s="38"/>
      <c r="V235" s="38"/>
      <c r="W235" s="38"/>
      <c r="X235" s="38"/>
      <c r="Y235" s="38"/>
      <c r="Z235" s="38"/>
      <c r="AA235" s="38"/>
      <c r="AB235" s="38"/>
      <c r="AC235" s="38"/>
      <c r="AD235" s="38"/>
      <c r="AE235" s="38"/>
      <c r="AF235" s="38"/>
      <c r="AG235" s="38"/>
      <c r="AH235" s="38"/>
      <c r="AN235" s="37"/>
      <c r="AO235" s="37"/>
      <c r="AP235" s="78"/>
      <c r="AQ235" s="37"/>
      <c r="AR235" s="37"/>
      <c r="AS235" s="37"/>
      <c r="AT235" s="37"/>
      <c r="AU235" s="37"/>
      <c r="AV235" s="37"/>
      <c r="AW235" s="37"/>
      <c r="AX235" s="37"/>
      <c r="AY235" s="37"/>
      <c r="AZ235" s="78"/>
      <c r="BA235" s="37"/>
      <c r="BB235" s="78"/>
    </row>
    <row r="236" spans="3:54" ht="20.100000000000001" customHeight="1">
      <c r="C236" s="113"/>
      <c r="D236" s="114"/>
      <c r="P236" s="82"/>
      <c r="Q236" s="82"/>
      <c r="R236" s="38"/>
      <c r="S236" s="38"/>
      <c r="T236" s="38"/>
      <c r="U236" s="38"/>
      <c r="V236" s="38"/>
      <c r="W236" s="38"/>
      <c r="X236" s="38"/>
      <c r="Y236" s="38"/>
      <c r="Z236" s="38"/>
      <c r="AA236" s="38"/>
      <c r="AB236" s="38"/>
      <c r="AC236" s="38"/>
      <c r="AD236" s="38"/>
      <c r="AE236" s="38"/>
      <c r="AF236" s="38"/>
      <c r="AG236" s="38"/>
      <c r="AH236" s="38"/>
      <c r="AN236" s="37"/>
      <c r="AO236" s="37"/>
      <c r="AP236" s="78"/>
      <c r="AQ236" s="37"/>
      <c r="AR236" s="37"/>
      <c r="AS236" s="37"/>
      <c r="AT236" s="37"/>
      <c r="AU236" s="37"/>
      <c r="AV236" s="37"/>
      <c r="AW236" s="37"/>
      <c r="AX236" s="37"/>
      <c r="AY236" s="37"/>
      <c r="AZ236" s="78"/>
      <c r="BA236" s="37"/>
      <c r="BB236" s="78"/>
    </row>
    <row r="237" spans="3:54" ht="20.100000000000001" customHeight="1">
      <c r="C237" s="113"/>
      <c r="D237" s="114"/>
      <c r="P237" s="82"/>
      <c r="Q237" s="82"/>
      <c r="R237" s="38"/>
      <c r="S237" s="38"/>
      <c r="T237" s="38"/>
      <c r="U237" s="38"/>
      <c r="V237" s="38"/>
      <c r="W237" s="38"/>
      <c r="X237" s="38"/>
      <c r="Y237" s="38"/>
      <c r="Z237" s="38"/>
      <c r="AA237" s="38"/>
      <c r="AB237" s="38"/>
      <c r="AC237" s="38"/>
      <c r="AD237" s="38"/>
      <c r="AE237" s="38"/>
      <c r="AF237" s="38"/>
      <c r="AG237" s="38"/>
      <c r="AH237" s="38"/>
      <c r="AN237" s="37"/>
      <c r="AO237" s="37"/>
      <c r="AP237" s="78"/>
      <c r="AQ237" s="37"/>
      <c r="AR237" s="37"/>
      <c r="AS237" s="37"/>
      <c r="AT237" s="37"/>
      <c r="AU237" s="37"/>
      <c r="AV237" s="37"/>
      <c r="AW237" s="37"/>
      <c r="AX237" s="37"/>
      <c r="AY237" s="37"/>
      <c r="AZ237" s="78"/>
      <c r="BA237" s="37"/>
      <c r="BB237" s="78"/>
    </row>
    <row r="238" spans="3:54" ht="20.100000000000001" customHeight="1">
      <c r="C238" s="113"/>
      <c r="D238" s="114"/>
      <c r="P238" s="82"/>
      <c r="Q238" s="82"/>
      <c r="R238" s="38"/>
      <c r="S238" s="38"/>
      <c r="T238" s="38"/>
      <c r="U238" s="38"/>
      <c r="V238" s="38"/>
      <c r="W238" s="38"/>
      <c r="X238" s="38"/>
      <c r="Y238" s="38"/>
      <c r="Z238" s="38"/>
      <c r="AA238" s="38"/>
      <c r="AB238" s="38"/>
      <c r="AC238" s="38"/>
      <c r="AD238" s="38"/>
      <c r="AE238" s="38"/>
      <c r="AF238" s="38"/>
      <c r="AG238" s="38"/>
      <c r="AH238" s="38"/>
      <c r="AN238" s="37"/>
      <c r="AO238" s="37"/>
      <c r="AP238" s="78"/>
      <c r="AQ238" s="37"/>
      <c r="AR238" s="37"/>
      <c r="AS238" s="37"/>
      <c r="AT238" s="37"/>
      <c r="AU238" s="37"/>
      <c r="AV238" s="37"/>
      <c r="AW238" s="37"/>
      <c r="AX238" s="37"/>
      <c r="AY238" s="37"/>
      <c r="AZ238" s="78"/>
      <c r="BA238" s="37"/>
      <c r="BB238" s="78"/>
    </row>
    <row r="239" spans="3:54" ht="20.100000000000001" customHeight="1">
      <c r="C239" s="113"/>
      <c r="D239" s="114"/>
      <c r="P239" s="82"/>
      <c r="Q239" s="82"/>
      <c r="R239" s="38"/>
      <c r="S239" s="38"/>
      <c r="T239" s="38"/>
      <c r="U239" s="38"/>
      <c r="V239" s="38"/>
      <c r="W239" s="38"/>
      <c r="X239" s="38"/>
      <c r="Y239" s="38"/>
      <c r="Z239" s="38"/>
      <c r="AA239" s="38"/>
      <c r="AB239" s="38"/>
      <c r="AC239" s="38"/>
      <c r="AD239" s="38"/>
      <c r="AE239" s="38"/>
      <c r="AF239" s="38"/>
      <c r="AG239" s="38"/>
      <c r="AH239" s="38"/>
      <c r="AN239" s="37"/>
      <c r="AO239" s="37"/>
      <c r="AP239" s="78"/>
      <c r="AQ239" s="37"/>
      <c r="AR239" s="37"/>
      <c r="AS239" s="37"/>
      <c r="AT239" s="37"/>
      <c r="AU239" s="37"/>
      <c r="AV239" s="37"/>
      <c r="AW239" s="37"/>
      <c r="AX239" s="37"/>
      <c r="AY239" s="37"/>
      <c r="AZ239" s="78"/>
      <c r="BA239" s="37"/>
      <c r="BB239" s="78"/>
    </row>
    <row r="240" spans="3:54" ht="20.100000000000001" customHeight="1">
      <c r="C240" s="113"/>
      <c r="D240" s="114"/>
      <c r="P240" s="82"/>
      <c r="Q240" s="82"/>
      <c r="R240" s="38"/>
      <c r="S240" s="38"/>
      <c r="T240" s="38"/>
      <c r="U240" s="38"/>
      <c r="V240" s="38"/>
      <c r="W240" s="38"/>
      <c r="X240" s="38"/>
      <c r="Y240" s="38"/>
      <c r="Z240" s="38"/>
      <c r="AA240" s="38"/>
      <c r="AB240" s="38"/>
      <c r="AC240" s="38"/>
      <c r="AD240" s="38"/>
      <c r="AE240" s="38"/>
      <c r="AF240" s="38"/>
      <c r="AG240" s="38"/>
      <c r="AH240" s="38"/>
      <c r="AN240" s="37"/>
      <c r="AO240" s="37"/>
      <c r="AP240" s="78"/>
      <c r="AQ240" s="37"/>
      <c r="AR240" s="37"/>
      <c r="AS240" s="37"/>
      <c r="AT240" s="37"/>
      <c r="AU240" s="37"/>
      <c r="AV240" s="37"/>
      <c r="AW240" s="37"/>
      <c r="AX240" s="37"/>
      <c r="AY240" s="37"/>
      <c r="AZ240" s="78"/>
      <c r="BA240" s="37"/>
      <c r="BB240" s="78"/>
    </row>
    <row r="241" spans="3:54" ht="20.100000000000001" customHeight="1">
      <c r="C241" s="113"/>
      <c r="D241" s="114"/>
      <c r="P241" s="82"/>
      <c r="Q241" s="82"/>
      <c r="R241" s="38"/>
      <c r="S241" s="38"/>
      <c r="T241" s="38"/>
      <c r="U241" s="38"/>
      <c r="V241" s="38"/>
      <c r="W241" s="38"/>
      <c r="X241" s="38"/>
      <c r="Y241" s="38"/>
      <c r="Z241" s="38"/>
      <c r="AA241" s="38"/>
      <c r="AB241" s="38"/>
      <c r="AC241" s="38"/>
      <c r="AD241" s="38"/>
      <c r="AE241" s="38"/>
      <c r="AF241" s="38"/>
      <c r="AG241" s="38"/>
      <c r="AH241" s="38"/>
      <c r="AN241" s="37"/>
      <c r="AO241" s="37"/>
      <c r="AP241" s="78"/>
      <c r="AQ241" s="37"/>
      <c r="AR241" s="37"/>
      <c r="AS241" s="37"/>
      <c r="AT241" s="37"/>
      <c r="AU241" s="37"/>
      <c r="AV241" s="37"/>
      <c r="AW241" s="37"/>
      <c r="AX241" s="37"/>
      <c r="AY241" s="37"/>
      <c r="AZ241" s="78"/>
      <c r="BA241" s="37"/>
      <c r="BB241" s="78"/>
    </row>
    <row r="242" spans="3:54" ht="20.100000000000001" customHeight="1">
      <c r="C242" s="113"/>
      <c r="D242" s="114"/>
      <c r="P242" s="82"/>
      <c r="Q242" s="82"/>
      <c r="R242" s="38"/>
      <c r="S242" s="38"/>
      <c r="T242" s="38"/>
      <c r="U242" s="38"/>
      <c r="V242" s="38"/>
      <c r="W242" s="38"/>
      <c r="X242" s="38"/>
      <c r="Y242" s="38"/>
      <c r="Z242" s="38"/>
      <c r="AA242" s="38"/>
      <c r="AB242" s="38"/>
      <c r="AC242" s="38"/>
      <c r="AD242" s="38"/>
      <c r="AE242" s="38"/>
      <c r="AF242" s="38"/>
      <c r="AG242" s="38"/>
      <c r="AH242" s="38"/>
      <c r="AN242" s="37"/>
      <c r="AO242" s="37"/>
      <c r="AP242" s="78"/>
      <c r="AQ242" s="37"/>
      <c r="AR242" s="37"/>
      <c r="AS242" s="37"/>
      <c r="AT242" s="37"/>
      <c r="AU242" s="37"/>
      <c r="AV242" s="37"/>
      <c r="AW242" s="37"/>
      <c r="AX242" s="37"/>
      <c r="AY242" s="37"/>
      <c r="AZ242" s="78"/>
      <c r="BA242" s="37"/>
      <c r="BB242" s="78"/>
    </row>
    <row r="243" spans="3:54" ht="20.100000000000001" customHeight="1">
      <c r="C243" s="113"/>
      <c r="D243" s="114"/>
      <c r="P243" s="82"/>
      <c r="Q243" s="82"/>
      <c r="R243" s="38"/>
      <c r="S243" s="38"/>
      <c r="T243" s="38"/>
      <c r="U243" s="38"/>
      <c r="V243" s="38"/>
      <c r="W243" s="38"/>
      <c r="X243" s="38"/>
      <c r="Y243" s="38"/>
      <c r="Z243" s="38"/>
      <c r="AA243" s="38"/>
      <c r="AB243" s="38"/>
      <c r="AC243" s="38"/>
      <c r="AD243" s="38"/>
      <c r="AE243" s="38"/>
      <c r="AF243" s="38"/>
      <c r="AG243" s="38"/>
      <c r="AH243" s="38"/>
      <c r="AN243" s="37"/>
      <c r="AO243" s="37"/>
      <c r="AP243" s="78"/>
      <c r="AQ243" s="37"/>
      <c r="AR243" s="37"/>
      <c r="AS243" s="37"/>
      <c r="AT243" s="37"/>
      <c r="AU243" s="37"/>
      <c r="AV243" s="37"/>
      <c r="AW243" s="37"/>
      <c r="AX243" s="37"/>
      <c r="AY243" s="37"/>
      <c r="AZ243" s="78"/>
      <c r="BA243" s="37"/>
      <c r="BB243" s="78"/>
    </row>
    <row r="244" spans="3:54" ht="20.100000000000001" customHeight="1">
      <c r="C244" s="113"/>
      <c r="D244" s="114"/>
      <c r="P244" s="82"/>
      <c r="Q244" s="82"/>
      <c r="R244" s="38"/>
      <c r="S244" s="38"/>
      <c r="T244" s="38"/>
      <c r="U244" s="38"/>
      <c r="V244" s="38"/>
      <c r="W244" s="38"/>
      <c r="X244" s="38"/>
      <c r="Y244" s="38"/>
      <c r="Z244" s="38"/>
      <c r="AA244" s="38"/>
      <c r="AB244" s="38"/>
      <c r="AC244" s="38"/>
      <c r="AD244" s="38"/>
      <c r="AE244" s="38"/>
      <c r="AF244" s="38"/>
      <c r="AG244" s="38"/>
      <c r="AH244" s="38"/>
      <c r="AN244" s="37"/>
      <c r="AO244" s="37"/>
      <c r="AP244" s="78"/>
      <c r="AQ244" s="37"/>
      <c r="AR244" s="37"/>
      <c r="AS244" s="37"/>
      <c r="AT244" s="37"/>
      <c r="AU244" s="37"/>
      <c r="AV244" s="37"/>
      <c r="AW244" s="37"/>
      <c r="AX244" s="37"/>
      <c r="AY244" s="37"/>
      <c r="AZ244" s="78"/>
      <c r="BA244" s="37"/>
      <c r="BB244" s="78"/>
    </row>
    <row r="245" spans="3:54" ht="20.100000000000001" customHeight="1">
      <c r="C245" s="113"/>
      <c r="D245" s="114"/>
      <c r="P245" s="82"/>
      <c r="Q245" s="82"/>
      <c r="R245" s="38"/>
      <c r="S245" s="38"/>
      <c r="T245" s="38"/>
      <c r="U245" s="38"/>
      <c r="V245" s="38"/>
      <c r="W245" s="38"/>
      <c r="X245" s="38"/>
      <c r="Y245" s="38"/>
      <c r="Z245" s="38"/>
      <c r="AA245" s="38"/>
      <c r="AB245" s="38"/>
      <c r="AC245" s="38"/>
      <c r="AD245" s="38"/>
      <c r="AE245" s="38"/>
      <c r="AF245" s="38"/>
      <c r="AG245" s="38"/>
      <c r="AH245" s="38"/>
      <c r="AN245" s="37"/>
      <c r="AO245" s="37"/>
      <c r="AP245" s="78"/>
      <c r="AQ245" s="37"/>
      <c r="AR245" s="37"/>
      <c r="AS245" s="37"/>
      <c r="AT245" s="37"/>
      <c r="AU245" s="37"/>
      <c r="AV245" s="37"/>
      <c r="AW245" s="37"/>
      <c r="AX245" s="37"/>
      <c r="AY245" s="37"/>
      <c r="AZ245" s="78"/>
      <c r="BA245" s="37"/>
      <c r="BB245" s="78"/>
    </row>
    <row r="246" spans="3:54" ht="20.100000000000001" customHeight="1">
      <c r="C246" s="113"/>
      <c r="D246" s="114"/>
      <c r="P246" s="82"/>
      <c r="Q246" s="82"/>
      <c r="R246" s="38"/>
      <c r="S246" s="38"/>
      <c r="T246" s="38"/>
      <c r="U246" s="38"/>
      <c r="V246" s="38"/>
      <c r="W246" s="38"/>
      <c r="X246" s="38"/>
      <c r="Y246" s="38"/>
      <c r="Z246" s="38"/>
      <c r="AA246" s="38"/>
      <c r="AB246" s="38"/>
      <c r="AC246" s="38"/>
      <c r="AD246" s="38"/>
      <c r="AE246" s="38"/>
      <c r="AF246" s="38"/>
      <c r="AG246" s="38"/>
      <c r="AH246" s="38"/>
      <c r="AN246" s="37"/>
      <c r="AO246" s="37"/>
      <c r="AP246" s="78"/>
      <c r="AQ246" s="37"/>
      <c r="AR246" s="37"/>
      <c r="AS246" s="37"/>
      <c r="AT246" s="37"/>
      <c r="AU246" s="37"/>
      <c r="AV246" s="37"/>
      <c r="AW246" s="37"/>
      <c r="AX246" s="37"/>
      <c r="AY246" s="37"/>
      <c r="AZ246" s="78"/>
      <c r="BA246" s="37"/>
      <c r="BB246" s="78"/>
    </row>
    <row r="247" spans="3:54" ht="20.100000000000001" customHeight="1">
      <c r="C247" s="113"/>
      <c r="D247" s="114"/>
      <c r="P247" s="82"/>
      <c r="Q247" s="82"/>
      <c r="R247" s="38"/>
      <c r="S247" s="38"/>
      <c r="T247" s="38"/>
      <c r="U247" s="38"/>
      <c r="V247" s="38"/>
      <c r="W247" s="38"/>
      <c r="X247" s="38"/>
      <c r="Y247" s="38"/>
      <c r="Z247" s="38"/>
      <c r="AA247" s="38"/>
      <c r="AB247" s="38"/>
      <c r="AC247" s="38"/>
      <c r="AD247" s="38"/>
      <c r="AE247" s="38"/>
      <c r="AF247" s="38"/>
      <c r="AG247" s="38"/>
      <c r="AH247" s="38"/>
      <c r="AN247" s="37"/>
      <c r="AO247" s="37"/>
      <c r="AP247" s="78"/>
      <c r="AQ247" s="37"/>
      <c r="AR247" s="37"/>
      <c r="AS247" s="37"/>
      <c r="AT247" s="37"/>
      <c r="AU247" s="37"/>
      <c r="AV247" s="37"/>
      <c r="AW247" s="37"/>
      <c r="AX247" s="37"/>
      <c r="AY247" s="37"/>
      <c r="AZ247" s="78"/>
      <c r="BA247" s="37"/>
      <c r="BB247" s="78"/>
    </row>
    <row r="248" spans="3:54" ht="20.100000000000001" customHeight="1">
      <c r="C248" s="113"/>
      <c r="D248" s="114"/>
      <c r="P248" s="82"/>
      <c r="Q248" s="82"/>
      <c r="R248" s="38"/>
      <c r="S248" s="38"/>
      <c r="T248" s="38"/>
      <c r="U248" s="38"/>
      <c r="V248" s="38"/>
      <c r="W248" s="38"/>
      <c r="X248" s="38"/>
      <c r="Y248" s="38"/>
      <c r="Z248" s="38"/>
      <c r="AA248" s="38"/>
      <c r="AB248" s="38"/>
      <c r="AC248" s="38"/>
      <c r="AD248" s="38"/>
      <c r="AE248" s="38"/>
      <c r="AF248" s="38"/>
      <c r="AG248" s="38"/>
      <c r="AH248" s="38"/>
      <c r="AN248" s="37"/>
      <c r="AO248" s="37"/>
      <c r="AP248" s="78"/>
      <c r="AQ248" s="37"/>
      <c r="AR248" s="37"/>
      <c r="AS248" s="37"/>
      <c r="AT248" s="37"/>
      <c r="AU248" s="37"/>
      <c r="AV248" s="37"/>
      <c r="AW248" s="37"/>
      <c r="AX248" s="37"/>
      <c r="AY248" s="37"/>
      <c r="AZ248" s="78"/>
      <c r="BA248" s="37"/>
      <c r="BB248" s="78"/>
    </row>
    <row r="249" spans="3:54" ht="20.100000000000001" customHeight="1">
      <c r="C249" s="113"/>
      <c r="D249" s="114"/>
      <c r="P249" s="82"/>
      <c r="Q249" s="82"/>
      <c r="R249" s="38"/>
      <c r="S249" s="38"/>
      <c r="T249" s="38"/>
      <c r="U249" s="38"/>
      <c r="V249" s="38"/>
      <c r="W249" s="38"/>
      <c r="X249" s="38"/>
      <c r="Y249" s="38"/>
      <c r="Z249" s="38"/>
      <c r="AA249" s="38"/>
      <c r="AB249" s="38"/>
      <c r="AC249" s="38"/>
      <c r="AD249" s="38"/>
      <c r="AE249" s="38"/>
      <c r="AF249" s="38"/>
      <c r="AG249" s="38"/>
      <c r="AH249" s="38"/>
      <c r="AN249" s="37"/>
      <c r="AO249" s="37"/>
      <c r="AP249" s="78"/>
      <c r="AQ249" s="37"/>
      <c r="AR249" s="37"/>
      <c r="AS249" s="37"/>
      <c r="AT249" s="37"/>
      <c r="AU249" s="37"/>
      <c r="AV249" s="37"/>
      <c r="AW249" s="37"/>
      <c r="AX249" s="37"/>
      <c r="AY249" s="37"/>
      <c r="AZ249" s="78"/>
      <c r="BA249" s="37"/>
      <c r="BB249" s="78"/>
    </row>
    <row r="250" spans="3:54" ht="20.100000000000001" customHeight="1">
      <c r="C250" s="113"/>
      <c r="D250" s="114"/>
      <c r="P250" s="82"/>
      <c r="Q250" s="82"/>
      <c r="R250" s="38"/>
      <c r="S250" s="38"/>
      <c r="T250" s="38"/>
      <c r="U250" s="38"/>
      <c r="V250" s="38"/>
      <c r="W250" s="38"/>
      <c r="X250" s="38"/>
      <c r="Y250" s="38"/>
      <c r="Z250" s="38"/>
      <c r="AA250" s="38"/>
      <c r="AB250" s="38"/>
      <c r="AC250" s="38"/>
      <c r="AD250" s="38"/>
      <c r="AE250" s="38"/>
      <c r="AF250" s="38"/>
      <c r="AG250" s="38"/>
      <c r="AH250" s="38"/>
      <c r="AN250" s="37"/>
      <c r="AO250" s="37"/>
      <c r="AP250" s="78"/>
      <c r="AQ250" s="37"/>
      <c r="AR250" s="37"/>
      <c r="AS250" s="37"/>
      <c r="AT250" s="37"/>
      <c r="AU250" s="37"/>
      <c r="AV250" s="37"/>
      <c r="AW250" s="37"/>
      <c r="AX250" s="37"/>
      <c r="AY250" s="37"/>
      <c r="AZ250" s="78"/>
      <c r="BA250" s="37"/>
      <c r="BB250" s="78"/>
    </row>
    <row r="251" spans="3:54" ht="20.100000000000001" customHeight="1">
      <c r="C251" s="113"/>
      <c r="D251" s="114"/>
      <c r="P251" s="82"/>
      <c r="Q251" s="82"/>
      <c r="R251" s="38"/>
      <c r="S251" s="38"/>
      <c r="T251" s="38"/>
      <c r="U251" s="38"/>
      <c r="V251" s="38"/>
      <c r="W251" s="38"/>
      <c r="X251" s="38"/>
      <c r="Y251" s="38"/>
      <c r="Z251" s="38"/>
      <c r="AA251" s="38"/>
      <c r="AB251" s="38"/>
      <c r="AC251" s="38"/>
      <c r="AD251" s="38"/>
      <c r="AE251" s="38"/>
      <c r="AF251" s="38"/>
      <c r="AG251" s="38"/>
      <c r="AH251" s="38"/>
      <c r="AN251" s="37"/>
      <c r="AO251" s="37"/>
      <c r="AP251" s="78"/>
      <c r="AQ251" s="37"/>
      <c r="AR251" s="37"/>
      <c r="AS251" s="37"/>
      <c r="AT251" s="37"/>
      <c r="AU251" s="37"/>
      <c r="AV251" s="37"/>
      <c r="AW251" s="37"/>
      <c r="AX251" s="37"/>
      <c r="AY251" s="37"/>
      <c r="AZ251" s="78"/>
      <c r="BA251" s="37"/>
      <c r="BB251" s="78"/>
    </row>
    <row r="252" spans="3:54" ht="20.100000000000001" customHeight="1">
      <c r="C252" s="113"/>
      <c r="D252" s="114"/>
      <c r="P252" s="82"/>
      <c r="Q252" s="82"/>
      <c r="R252" s="38"/>
      <c r="S252" s="38"/>
      <c r="T252" s="38"/>
      <c r="U252" s="38"/>
      <c r="V252" s="38"/>
      <c r="W252" s="38"/>
      <c r="X252" s="38"/>
      <c r="Y252" s="38"/>
      <c r="Z252" s="38"/>
      <c r="AA252" s="38"/>
      <c r="AB252" s="38"/>
      <c r="AC252" s="38"/>
      <c r="AD252" s="38"/>
      <c r="AE252" s="38"/>
      <c r="AF252" s="38"/>
      <c r="AG252" s="38"/>
      <c r="AH252" s="38"/>
      <c r="AN252" s="37"/>
      <c r="AO252" s="37"/>
      <c r="AP252" s="78"/>
      <c r="AQ252" s="37"/>
      <c r="AR252" s="37"/>
      <c r="AS252" s="37"/>
      <c r="AT252" s="37"/>
      <c r="AU252" s="37"/>
      <c r="AV252" s="37"/>
      <c r="AW252" s="37"/>
      <c r="AX252" s="37"/>
      <c r="AY252" s="37"/>
      <c r="AZ252" s="78"/>
      <c r="BA252" s="37"/>
      <c r="BB252" s="78"/>
    </row>
    <row r="253" spans="3:54" ht="20.100000000000001" customHeight="1">
      <c r="C253" s="113"/>
      <c r="D253" s="114"/>
      <c r="P253" s="82"/>
      <c r="Q253" s="82"/>
      <c r="R253" s="38"/>
      <c r="S253" s="38"/>
      <c r="T253" s="38"/>
      <c r="U253" s="38"/>
      <c r="V253" s="38"/>
      <c r="W253" s="38"/>
      <c r="X253" s="38"/>
      <c r="Y253" s="38"/>
      <c r="Z253" s="38"/>
      <c r="AA253" s="38"/>
      <c r="AB253" s="38"/>
      <c r="AC253" s="38"/>
      <c r="AD253" s="38"/>
      <c r="AE253" s="38"/>
      <c r="AF253" s="38"/>
      <c r="AG253" s="38"/>
      <c r="AH253" s="38"/>
      <c r="AN253" s="37"/>
      <c r="AO253" s="37"/>
      <c r="AP253" s="78"/>
      <c r="AQ253" s="37"/>
      <c r="AR253" s="37"/>
      <c r="AS253" s="37"/>
      <c r="AT253" s="37"/>
      <c r="AU253" s="37"/>
      <c r="AV253" s="37"/>
      <c r="AW253" s="37"/>
      <c r="AX253" s="37"/>
      <c r="AY253" s="37"/>
      <c r="AZ253" s="78"/>
      <c r="BA253" s="37"/>
      <c r="BB253" s="78"/>
    </row>
    <row r="254" spans="3:54" ht="20.100000000000001" customHeight="1">
      <c r="C254" s="113"/>
      <c r="D254" s="114"/>
      <c r="P254" s="82"/>
      <c r="Q254" s="82"/>
      <c r="R254" s="38"/>
      <c r="S254" s="38"/>
      <c r="T254" s="38"/>
      <c r="U254" s="38"/>
      <c r="V254" s="38"/>
      <c r="W254" s="38"/>
      <c r="X254" s="38"/>
      <c r="Y254" s="38"/>
      <c r="Z254" s="38"/>
      <c r="AA254" s="38"/>
      <c r="AB254" s="38"/>
      <c r="AC254" s="38"/>
      <c r="AD254" s="38"/>
      <c r="AE254" s="38"/>
      <c r="AF254" s="38"/>
      <c r="AG254" s="38"/>
      <c r="AH254" s="38"/>
      <c r="AN254" s="37"/>
      <c r="AO254" s="37"/>
      <c r="AP254" s="78"/>
      <c r="AQ254" s="37"/>
      <c r="AR254" s="37"/>
      <c r="AS254" s="37"/>
      <c r="AT254" s="37"/>
      <c r="AU254" s="37"/>
      <c r="AV254" s="37"/>
      <c r="AW254" s="37"/>
      <c r="AX254" s="37"/>
      <c r="AY254" s="37"/>
      <c r="AZ254" s="78"/>
      <c r="BA254" s="37"/>
      <c r="BB254" s="78"/>
    </row>
    <row r="255" spans="3:54" ht="20.100000000000001" customHeight="1">
      <c r="C255" s="113"/>
      <c r="D255" s="114"/>
      <c r="P255" s="82"/>
      <c r="Q255" s="82"/>
      <c r="R255" s="38"/>
      <c r="S255" s="38"/>
      <c r="T255" s="38"/>
      <c r="U255" s="38"/>
      <c r="V255" s="38"/>
      <c r="W255" s="38"/>
      <c r="X255" s="38"/>
      <c r="Y255" s="38"/>
      <c r="Z255" s="38"/>
      <c r="AA255" s="38"/>
      <c r="AB255" s="38"/>
      <c r="AC255" s="38"/>
      <c r="AD255" s="38"/>
      <c r="AE255" s="38"/>
      <c r="AF255" s="38"/>
      <c r="AG255" s="38"/>
      <c r="AH255" s="38"/>
      <c r="AN255" s="37"/>
      <c r="AO255" s="37"/>
      <c r="AP255" s="78"/>
      <c r="AQ255" s="37"/>
      <c r="AR255" s="37"/>
      <c r="AS255" s="37"/>
      <c r="AT255" s="37"/>
      <c r="AU255" s="37"/>
      <c r="AV255" s="37"/>
      <c r="AW255" s="37"/>
      <c r="AX255" s="37"/>
      <c r="AY255" s="37"/>
      <c r="AZ255" s="78"/>
      <c r="BA255" s="37"/>
      <c r="BB255" s="78"/>
    </row>
    <row r="256" spans="3:54" ht="20.100000000000001" customHeight="1">
      <c r="C256" s="113"/>
      <c r="D256" s="114"/>
      <c r="P256" s="82"/>
      <c r="Q256" s="82"/>
      <c r="R256" s="38"/>
      <c r="S256" s="38"/>
      <c r="T256" s="38"/>
      <c r="U256" s="38"/>
      <c r="V256" s="38"/>
      <c r="W256" s="38"/>
      <c r="X256" s="38"/>
      <c r="Y256" s="38"/>
      <c r="Z256" s="38"/>
      <c r="AA256" s="38"/>
      <c r="AB256" s="38"/>
      <c r="AC256" s="38"/>
      <c r="AD256" s="38"/>
      <c r="AE256" s="38"/>
      <c r="AF256" s="38"/>
      <c r="AG256" s="38"/>
      <c r="AH256" s="38"/>
      <c r="AN256" s="37"/>
      <c r="AO256" s="37"/>
      <c r="AP256" s="78"/>
      <c r="AQ256" s="37"/>
      <c r="AR256" s="37"/>
      <c r="AS256" s="37"/>
      <c r="AT256" s="37"/>
      <c r="AU256" s="37"/>
      <c r="AV256" s="37"/>
      <c r="AW256" s="37"/>
      <c r="AX256" s="37"/>
      <c r="AY256" s="37"/>
      <c r="AZ256" s="78"/>
      <c r="BA256" s="37"/>
      <c r="BB256" s="78"/>
    </row>
    <row r="257" spans="3:54" ht="20.100000000000001" customHeight="1">
      <c r="C257" s="113"/>
      <c r="D257" s="114"/>
      <c r="P257" s="82"/>
      <c r="Q257" s="82"/>
      <c r="R257" s="38"/>
      <c r="S257" s="38"/>
      <c r="T257" s="38"/>
      <c r="U257" s="38"/>
      <c r="V257" s="38"/>
      <c r="W257" s="38"/>
      <c r="X257" s="38"/>
      <c r="Y257" s="38"/>
      <c r="Z257" s="38"/>
      <c r="AA257" s="38"/>
      <c r="AB257" s="38"/>
      <c r="AC257" s="38"/>
      <c r="AD257" s="38"/>
      <c r="AE257" s="38"/>
      <c r="AF257" s="38"/>
      <c r="AG257" s="38"/>
      <c r="AH257" s="38"/>
      <c r="AN257" s="37"/>
      <c r="AO257" s="37"/>
      <c r="AP257" s="78"/>
      <c r="AQ257" s="37"/>
      <c r="AR257" s="37"/>
      <c r="AS257" s="37"/>
      <c r="AT257" s="37"/>
      <c r="AU257" s="37"/>
      <c r="AV257" s="37"/>
      <c r="AW257" s="37"/>
      <c r="AX257" s="37"/>
      <c r="AY257" s="37"/>
      <c r="AZ257" s="78"/>
      <c r="BA257" s="37"/>
      <c r="BB257" s="78"/>
    </row>
    <row r="258" spans="3:54" ht="20.100000000000001" customHeight="1">
      <c r="C258" s="113"/>
      <c r="D258" s="114"/>
      <c r="P258" s="82"/>
      <c r="Q258" s="82"/>
      <c r="R258" s="38"/>
      <c r="S258" s="38"/>
      <c r="T258" s="38"/>
      <c r="U258" s="38"/>
      <c r="V258" s="38"/>
      <c r="W258" s="38"/>
      <c r="X258" s="38"/>
      <c r="Y258" s="38"/>
      <c r="Z258" s="38"/>
      <c r="AA258" s="38"/>
      <c r="AB258" s="38"/>
      <c r="AC258" s="38"/>
      <c r="AD258" s="38"/>
      <c r="AE258" s="38"/>
      <c r="AF258" s="38"/>
      <c r="AG258" s="38"/>
      <c r="AH258" s="38"/>
      <c r="AN258" s="37"/>
      <c r="AO258" s="37"/>
      <c r="AP258" s="78"/>
      <c r="AQ258" s="37"/>
      <c r="AR258" s="37"/>
      <c r="AS258" s="37"/>
      <c r="AT258" s="37"/>
      <c r="AU258" s="37"/>
      <c r="AV258" s="37"/>
      <c r="AW258" s="37"/>
      <c r="AX258" s="37"/>
      <c r="AY258" s="37"/>
      <c r="AZ258" s="78"/>
      <c r="BA258" s="37"/>
      <c r="BB258" s="78"/>
    </row>
    <row r="259" spans="3:54" ht="20.100000000000001" customHeight="1">
      <c r="C259" s="113"/>
      <c r="D259" s="114"/>
      <c r="P259" s="82"/>
      <c r="Q259" s="82"/>
      <c r="R259" s="38"/>
      <c r="S259" s="38"/>
      <c r="T259" s="38"/>
      <c r="U259" s="38"/>
      <c r="V259" s="38"/>
      <c r="W259" s="38"/>
      <c r="X259" s="38"/>
      <c r="Y259" s="38"/>
      <c r="Z259" s="38"/>
      <c r="AA259" s="38"/>
      <c r="AB259" s="38"/>
      <c r="AC259" s="38"/>
      <c r="AD259" s="38"/>
      <c r="AE259" s="38"/>
      <c r="AF259" s="38"/>
      <c r="AG259" s="38"/>
      <c r="AH259" s="38"/>
      <c r="AN259" s="37"/>
      <c r="AO259" s="37"/>
      <c r="AP259" s="78"/>
      <c r="AQ259" s="37"/>
      <c r="AR259" s="37"/>
      <c r="AS259" s="37"/>
      <c r="AT259" s="37"/>
      <c r="AU259" s="37"/>
      <c r="AV259" s="37"/>
      <c r="AW259" s="37"/>
      <c r="AX259" s="37"/>
      <c r="AY259" s="37"/>
      <c r="AZ259" s="78"/>
      <c r="BA259" s="37"/>
      <c r="BB259" s="78"/>
    </row>
    <row r="260" spans="3:54" ht="20.100000000000001" customHeight="1">
      <c r="C260" s="113"/>
      <c r="D260" s="114"/>
      <c r="P260" s="82"/>
      <c r="Q260" s="82"/>
      <c r="R260" s="38"/>
      <c r="S260" s="38"/>
      <c r="T260" s="38"/>
      <c r="U260" s="38"/>
      <c r="V260" s="38"/>
      <c r="W260" s="38"/>
      <c r="X260" s="38"/>
      <c r="Y260" s="38"/>
      <c r="Z260" s="38"/>
      <c r="AA260" s="38"/>
      <c r="AB260" s="38"/>
      <c r="AC260" s="38"/>
      <c r="AD260" s="38"/>
      <c r="AE260" s="38"/>
      <c r="AF260" s="38"/>
      <c r="AG260" s="38"/>
      <c r="AH260" s="38"/>
      <c r="AN260" s="37"/>
      <c r="AO260" s="37"/>
      <c r="AP260" s="78"/>
      <c r="AQ260" s="37"/>
      <c r="AR260" s="37"/>
      <c r="AS260" s="37"/>
      <c r="AT260" s="37"/>
      <c r="AU260" s="37"/>
      <c r="AV260" s="37"/>
      <c r="AW260" s="37"/>
      <c r="AX260" s="37"/>
      <c r="AY260" s="37"/>
      <c r="AZ260" s="78"/>
      <c r="BA260" s="37"/>
      <c r="BB260" s="78"/>
    </row>
    <row r="261" spans="3:54" ht="20.100000000000001" customHeight="1">
      <c r="C261" s="113"/>
      <c r="D261" s="114"/>
      <c r="P261" s="82"/>
      <c r="Q261" s="82"/>
      <c r="R261" s="38"/>
      <c r="S261" s="38"/>
      <c r="T261" s="38"/>
      <c r="U261" s="38"/>
      <c r="V261" s="38"/>
      <c r="W261" s="38"/>
      <c r="X261" s="38"/>
      <c r="Y261" s="38"/>
      <c r="Z261" s="38"/>
      <c r="AA261" s="38"/>
      <c r="AB261" s="38"/>
      <c r="AC261" s="38"/>
      <c r="AD261" s="38"/>
      <c r="AE261" s="38"/>
      <c r="AF261" s="38"/>
      <c r="AG261" s="38"/>
      <c r="AH261" s="38"/>
      <c r="AN261" s="37"/>
      <c r="AO261" s="37"/>
      <c r="AP261" s="78"/>
      <c r="AQ261" s="37"/>
      <c r="AR261" s="37"/>
      <c r="AS261" s="37"/>
      <c r="AT261" s="37"/>
      <c r="AU261" s="37"/>
      <c r="AV261" s="37"/>
      <c r="AW261" s="37"/>
      <c r="AX261" s="37"/>
      <c r="AY261" s="37"/>
      <c r="AZ261" s="78"/>
      <c r="BA261" s="37"/>
      <c r="BB261" s="78"/>
    </row>
    <row r="262" spans="3:54" ht="20.100000000000001" customHeight="1">
      <c r="C262" s="113"/>
      <c r="D262" s="114"/>
      <c r="P262" s="82"/>
      <c r="Q262" s="82"/>
      <c r="R262" s="38"/>
      <c r="S262" s="38"/>
      <c r="T262" s="38"/>
      <c r="U262" s="38"/>
      <c r="V262" s="38"/>
      <c r="W262" s="38"/>
      <c r="X262" s="38"/>
      <c r="Y262" s="38"/>
      <c r="Z262" s="38"/>
      <c r="AA262" s="38"/>
      <c r="AB262" s="38"/>
      <c r="AC262" s="38"/>
      <c r="AD262" s="38"/>
      <c r="AE262" s="38"/>
      <c r="AF262" s="38"/>
      <c r="AG262" s="38"/>
      <c r="AH262" s="38"/>
      <c r="AN262" s="37"/>
      <c r="AO262" s="37"/>
      <c r="AP262" s="78"/>
      <c r="AQ262" s="37"/>
      <c r="AR262" s="37"/>
      <c r="AS262" s="37"/>
      <c r="AT262" s="37"/>
      <c r="AU262" s="37"/>
      <c r="AV262" s="37"/>
      <c r="AW262" s="37"/>
      <c r="AX262" s="37"/>
      <c r="AY262" s="37"/>
      <c r="AZ262" s="78"/>
      <c r="BA262" s="37"/>
      <c r="BB262" s="78"/>
    </row>
    <row r="263" spans="3:54" ht="20.100000000000001" customHeight="1">
      <c r="C263" s="113"/>
      <c r="D263" s="114"/>
      <c r="P263" s="82"/>
      <c r="Q263" s="82"/>
      <c r="R263" s="38"/>
      <c r="S263" s="38"/>
      <c r="T263" s="38"/>
      <c r="U263" s="38"/>
      <c r="V263" s="38"/>
      <c r="W263" s="38"/>
      <c r="X263" s="38"/>
      <c r="Y263" s="38"/>
      <c r="Z263" s="38"/>
      <c r="AA263" s="38"/>
      <c r="AB263" s="38"/>
      <c r="AC263" s="38"/>
      <c r="AD263" s="38"/>
      <c r="AE263" s="38"/>
      <c r="AF263" s="38"/>
      <c r="AG263" s="38"/>
      <c r="AH263" s="38"/>
      <c r="AN263" s="37"/>
      <c r="AO263" s="37"/>
      <c r="AP263" s="78"/>
      <c r="AQ263" s="37"/>
      <c r="AR263" s="37"/>
      <c r="AS263" s="37"/>
      <c r="AT263" s="37"/>
      <c r="AU263" s="37"/>
      <c r="AV263" s="37"/>
      <c r="AW263" s="37"/>
      <c r="AX263" s="37"/>
      <c r="AY263" s="37"/>
      <c r="AZ263" s="78"/>
      <c r="BA263" s="37"/>
      <c r="BB263" s="78"/>
    </row>
    <row r="264" spans="3:54" ht="20.100000000000001" customHeight="1">
      <c r="C264" s="113"/>
      <c r="D264" s="114"/>
      <c r="P264" s="82"/>
      <c r="Q264" s="82"/>
      <c r="R264" s="38"/>
      <c r="S264" s="38"/>
      <c r="T264" s="38"/>
      <c r="U264" s="38"/>
      <c r="V264" s="38"/>
      <c r="W264" s="38"/>
      <c r="X264" s="38"/>
      <c r="Y264" s="38"/>
      <c r="Z264" s="38"/>
      <c r="AA264" s="38"/>
      <c r="AB264" s="38"/>
      <c r="AC264" s="38"/>
      <c r="AD264" s="38"/>
      <c r="AE264" s="38"/>
      <c r="AF264" s="38"/>
      <c r="AG264" s="38"/>
      <c r="AH264" s="38"/>
      <c r="AN264" s="37"/>
      <c r="AO264" s="37"/>
      <c r="AP264" s="78"/>
      <c r="AQ264" s="37"/>
      <c r="AR264" s="37"/>
      <c r="AS264" s="37"/>
      <c r="AT264" s="37"/>
      <c r="AU264" s="37"/>
      <c r="AV264" s="37"/>
      <c r="AW264" s="37"/>
      <c r="AX264" s="37"/>
      <c r="AY264" s="37"/>
      <c r="AZ264" s="78"/>
      <c r="BA264" s="37"/>
      <c r="BB264" s="78"/>
    </row>
    <row r="265" spans="3:54" ht="20.100000000000001" customHeight="1">
      <c r="C265" s="113"/>
      <c r="D265" s="114"/>
      <c r="P265" s="82"/>
      <c r="Q265" s="82"/>
      <c r="R265" s="38"/>
      <c r="S265" s="38"/>
      <c r="T265" s="38"/>
      <c r="U265" s="38"/>
      <c r="V265" s="38"/>
      <c r="W265" s="38"/>
      <c r="X265" s="38"/>
      <c r="Y265" s="38"/>
      <c r="Z265" s="38"/>
      <c r="AA265" s="38"/>
      <c r="AB265" s="38"/>
      <c r="AC265" s="38"/>
      <c r="AD265" s="38"/>
      <c r="AE265" s="38"/>
      <c r="AF265" s="38"/>
      <c r="AG265" s="38"/>
      <c r="AH265" s="38"/>
      <c r="AN265" s="37"/>
      <c r="AO265" s="37"/>
      <c r="AP265" s="78"/>
      <c r="AQ265" s="37"/>
      <c r="AR265" s="37"/>
      <c r="AS265" s="37"/>
      <c r="AT265" s="37"/>
      <c r="AU265" s="37"/>
      <c r="AV265" s="37"/>
      <c r="AW265" s="37"/>
      <c r="AX265" s="37"/>
      <c r="AY265" s="37"/>
      <c r="AZ265" s="78"/>
      <c r="BA265" s="37"/>
      <c r="BB265" s="78"/>
    </row>
    <row r="266" spans="3:54" ht="20.100000000000001" customHeight="1">
      <c r="C266" s="113"/>
      <c r="D266" s="114"/>
      <c r="P266" s="82"/>
      <c r="Q266" s="82"/>
      <c r="R266" s="38"/>
      <c r="S266" s="38"/>
      <c r="T266" s="38"/>
      <c r="U266" s="38"/>
      <c r="V266" s="38"/>
      <c r="W266" s="38"/>
      <c r="X266" s="38"/>
      <c r="Y266" s="38"/>
      <c r="Z266" s="38"/>
      <c r="AA266" s="38"/>
      <c r="AB266" s="38"/>
      <c r="AC266" s="38"/>
      <c r="AD266" s="38"/>
      <c r="AE266" s="38"/>
      <c r="AF266" s="38"/>
      <c r="AG266" s="38"/>
      <c r="AH266" s="38"/>
      <c r="AN266" s="37"/>
      <c r="AO266" s="37"/>
      <c r="AP266" s="78"/>
      <c r="AQ266" s="37"/>
      <c r="AR266" s="37"/>
      <c r="AS266" s="37"/>
      <c r="AT266" s="37"/>
      <c r="AU266" s="37"/>
      <c r="AV266" s="37"/>
      <c r="AW266" s="37"/>
      <c r="AX266" s="37"/>
      <c r="AY266" s="37"/>
      <c r="AZ266" s="78"/>
      <c r="BA266" s="37"/>
      <c r="BB266" s="78"/>
    </row>
    <row r="267" spans="3:54" ht="20.100000000000001" customHeight="1">
      <c r="C267" s="113"/>
      <c r="D267" s="114"/>
      <c r="P267" s="82"/>
      <c r="Q267" s="82"/>
      <c r="R267" s="38"/>
      <c r="S267" s="38"/>
      <c r="T267" s="38"/>
      <c r="U267" s="38"/>
      <c r="V267" s="38"/>
      <c r="W267" s="38"/>
      <c r="X267" s="38"/>
      <c r="Y267" s="38"/>
      <c r="Z267" s="38"/>
      <c r="AA267" s="38"/>
      <c r="AB267" s="38"/>
      <c r="AC267" s="38"/>
      <c r="AD267" s="38"/>
      <c r="AE267" s="38"/>
      <c r="AF267" s="38"/>
      <c r="AG267" s="38"/>
      <c r="AH267" s="38"/>
      <c r="AN267" s="37"/>
      <c r="AO267" s="37"/>
      <c r="AP267" s="78"/>
      <c r="AQ267" s="37"/>
      <c r="AR267" s="37"/>
      <c r="AS267" s="37"/>
      <c r="AT267" s="37"/>
      <c r="AU267" s="37"/>
      <c r="AV267" s="37"/>
      <c r="AW267" s="37"/>
      <c r="AX267" s="37"/>
      <c r="AY267" s="37"/>
      <c r="AZ267" s="78"/>
      <c r="BA267" s="37"/>
      <c r="BB267" s="78"/>
    </row>
    <row r="268" spans="3:54" ht="20.100000000000001" customHeight="1">
      <c r="C268" s="113"/>
      <c r="D268" s="114"/>
      <c r="P268" s="82"/>
      <c r="Q268" s="82"/>
      <c r="R268" s="38"/>
      <c r="S268" s="38"/>
      <c r="T268" s="38"/>
      <c r="U268" s="38"/>
      <c r="V268" s="38"/>
      <c r="W268" s="38"/>
      <c r="X268" s="38"/>
      <c r="Y268" s="38"/>
      <c r="Z268" s="38"/>
      <c r="AA268" s="38"/>
      <c r="AB268" s="38"/>
      <c r="AC268" s="38"/>
      <c r="AD268" s="38"/>
      <c r="AE268" s="38"/>
      <c r="AF268" s="38"/>
      <c r="AG268" s="38"/>
      <c r="AH268" s="38"/>
      <c r="AN268" s="37"/>
      <c r="AO268" s="37"/>
      <c r="AP268" s="78"/>
      <c r="AQ268" s="37"/>
      <c r="AR268" s="37"/>
      <c r="AS268" s="37"/>
      <c r="AT268" s="37"/>
      <c r="AU268" s="37"/>
      <c r="AV268" s="37"/>
      <c r="AW268" s="37"/>
      <c r="AX268" s="37"/>
      <c r="AY268" s="37"/>
      <c r="AZ268" s="78"/>
      <c r="BA268" s="37"/>
      <c r="BB268" s="78"/>
    </row>
    <row r="269" spans="3:54" ht="20.100000000000001" customHeight="1">
      <c r="C269" s="113"/>
      <c r="D269" s="114"/>
      <c r="P269" s="82"/>
      <c r="Q269" s="82"/>
      <c r="R269" s="38"/>
      <c r="S269" s="38"/>
      <c r="T269" s="38"/>
      <c r="U269" s="38"/>
      <c r="V269" s="38"/>
      <c r="W269" s="38"/>
      <c r="X269" s="38"/>
      <c r="Y269" s="38"/>
      <c r="Z269" s="38"/>
      <c r="AA269" s="38"/>
      <c r="AB269" s="38"/>
      <c r="AC269" s="38"/>
      <c r="AD269" s="38"/>
      <c r="AE269" s="38"/>
      <c r="AF269" s="38"/>
      <c r="AG269" s="38"/>
      <c r="AH269" s="38"/>
      <c r="AN269" s="37"/>
      <c r="AO269" s="37"/>
      <c r="AP269" s="78"/>
      <c r="AQ269" s="37"/>
      <c r="AR269" s="37"/>
      <c r="AS269" s="37"/>
      <c r="AT269" s="37"/>
      <c r="AU269" s="37"/>
      <c r="AV269" s="37"/>
      <c r="AW269" s="37"/>
      <c r="AX269" s="37"/>
      <c r="AY269" s="37"/>
      <c r="AZ269" s="78"/>
      <c r="BA269" s="37"/>
      <c r="BB269" s="78"/>
    </row>
    <row r="270" spans="3:54" ht="20.100000000000001" customHeight="1">
      <c r="C270" s="113"/>
      <c r="D270" s="114"/>
      <c r="P270" s="82"/>
      <c r="Q270" s="82"/>
      <c r="R270" s="38"/>
      <c r="S270" s="38"/>
      <c r="T270" s="38"/>
      <c r="U270" s="38"/>
      <c r="V270" s="38"/>
      <c r="W270" s="38"/>
      <c r="X270" s="38"/>
      <c r="Y270" s="38"/>
      <c r="Z270" s="38"/>
      <c r="AA270" s="38"/>
      <c r="AB270" s="38"/>
      <c r="AC270" s="38"/>
      <c r="AD270" s="38"/>
      <c r="AE270" s="38"/>
      <c r="AF270" s="38"/>
      <c r="AG270" s="38"/>
      <c r="AH270" s="38"/>
      <c r="AN270" s="37"/>
      <c r="AO270" s="37"/>
      <c r="AP270" s="78"/>
      <c r="AQ270" s="37"/>
      <c r="AR270" s="37"/>
      <c r="AS270" s="37"/>
      <c r="AT270" s="37"/>
      <c r="AU270" s="37"/>
      <c r="AV270" s="37"/>
      <c r="AW270" s="37"/>
      <c r="AX270" s="37"/>
      <c r="AY270" s="37"/>
      <c r="AZ270" s="78"/>
      <c r="BA270" s="37"/>
      <c r="BB270" s="78"/>
    </row>
    <row r="271" spans="3:54" ht="20.100000000000001" customHeight="1">
      <c r="C271" s="113"/>
      <c r="D271" s="114"/>
      <c r="P271" s="82"/>
      <c r="Q271" s="82"/>
      <c r="R271" s="38"/>
      <c r="S271" s="38"/>
      <c r="T271" s="38"/>
      <c r="U271" s="38"/>
      <c r="V271" s="38"/>
      <c r="W271" s="38"/>
      <c r="X271" s="38"/>
      <c r="Y271" s="38"/>
      <c r="Z271" s="38"/>
      <c r="AA271" s="38"/>
      <c r="AB271" s="38"/>
      <c r="AC271" s="38"/>
      <c r="AD271" s="38"/>
      <c r="AE271" s="38"/>
      <c r="AF271" s="38"/>
      <c r="AG271" s="38"/>
      <c r="AH271" s="38"/>
      <c r="AN271" s="37"/>
      <c r="AO271" s="37"/>
      <c r="AP271" s="78"/>
      <c r="AQ271" s="37"/>
      <c r="AR271" s="37"/>
      <c r="AS271" s="37"/>
      <c r="AT271" s="37"/>
      <c r="AU271" s="37"/>
      <c r="AV271" s="37"/>
      <c r="AW271" s="37"/>
      <c r="AX271" s="37"/>
      <c r="AY271" s="37"/>
      <c r="AZ271" s="78"/>
      <c r="BA271" s="37"/>
      <c r="BB271" s="78"/>
    </row>
    <row r="272" spans="3:54" ht="20.100000000000001" customHeight="1">
      <c r="C272" s="113"/>
      <c r="D272" s="114"/>
      <c r="P272" s="82"/>
      <c r="Q272" s="82"/>
      <c r="R272" s="38"/>
      <c r="S272" s="38"/>
      <c r="T272" s="38"/>
      <c r="U272" s="38"/>
      <c r="V272" s="38"/>
      <c r="W272" s="38"/>
      <c r="X272" s="38"/>
      <c r="Y272" s="38"/>
      <c r="Z272" s="38"/>
      <c r="AA272" s="38"/>
      <c r="AB272" s="38"/>
      <c r="AC272" s="38"/>
      <c r="AD272" s="38"/>
      <c r="AE272" s="38"/>
      <c r="AF272" s="38"/>
      <c r="AG272" s="38"/>
      <c r="AH272" s="38"/>
      <c r="AN272" s="37"/>
      <c r="AO272" s="37"/>
      <c r="AP272" s="78"/>
      <c r="AQ272" s="37"/>
      <c r="AR272" s="37"/>
      <c r="AS272" s="37"/>
      <c r="AT272" s="37"/>
      <c r="AU272" s="37"/>
      <c r="AV272" s="37"/>
      <c r="AW272" s="37"/>
      <c r="AX272" s="37"/>
      <c r="AY272" s="37"/>
      <c r="AZ272" s="78"/>
      <c r="BA272" s="37"/>
      <c r="BB272" s="78"/>
    </row>
    <row r="273" spans="3:54" ht="20.100000000000001" customHeight="1">
      <c r="C273" s="113"/>
      <c r="D273" s="114"/>
      <c r="P273" s="82"/>
      <c r="Q273" s="82"/>
      <c r="R273" s="38"/>
      <c r="S273" s="38"/>
      <c r="T273" s="38"/>
      <c r="U273" s="38"/>
      <c r="V273" s="38"/>
      <c r="W273" s="38"/>
      <c r="X273" s="38"/>
      <c r="Y273" s="38"/>
      <c r="Z273" s="38"/>
      <c r="AA273" s="38"/>
      <c r="AB273" s="38"/>
      <c r="AC273" s="38"/>
      <c r="AD273" s="38"/>
      <c r="AE273" s="38"/>
      <c r="AF273" s="38"/>
      <c r="AG273" s="38"/>
      <c r="AH273" s="38"/>
      <c r="AN273" s="37"/>
      <c r="AO273" s="37"/>
      <c r="AP273" s="78"/>
      <c r="AQ273" s="37"/>
      <c r="AR273" s="37"/>
      <c r="AS273" s="37"/>
      <c r="AT273" s="37"/>
      <c r="AU273" s="37"/>
      <c r="AV273" s="37"/>
      <c r="AW273" s="37"/>
      <c r="AX273" s="37"/>
      <c r="AY273" s="37"/>
      <c r="AZ273" s="78"/>
      <c r="BA273" s="37"/>
      <c r="BB273" s="78"/>
    </row>
    <row r="274" spans="3:54" ht="20.100000000000001" customHeight="1">
      <c r="C274" s="113"/>
      <c r="D274" s="114"/>
      <c r="P274" s="82"/>
      <c r="Q274" s="82"/>
      <c r="R274" s="38"/>
      <c r="S274" s="38"/>
      <c r="T274" s="38"/>
      <c r="U274" s="38"/>
      <c r="V274" s="38"/>
      <c r="W274" s="38"/>
      <c r="X274" s="38"/>
      <c r="Y274" s="38"/>
      <c r="Z274" s="38"/>
      <c r="AA274" s="38"/>
      <c r="AB274" s="38"/>
      <c r="AC274" s="38"/>
      <c r="AD274" s="38"/>
      <c r="AE274" s="38"/>
      <c r="AF274" s="38"/>
      <c r="AG274" s="38"/>
      <c r="AH274" s="38"/>
      <c r="AN274" s="37"/>
      <c r="AO274" s="37"/>
      <c r="AP274" s="78"/>
      <c r="AQ274" s="37"/>
      <c r="AR274" s="37"/>
      <c r="AS274" s="37"/>
      <c r="AT274" s="37"/>
      <c r="AU274" s="37"/>
      <c r="AV274" s="37"/>
      <c r="AW274" s="37"/>
      <c r="AX274" s="37"/>
      <c r="AY274" s="37"/>
      <c r="AZ274" s="78"/>
      <c r="BA274" s="37"/>
      <c r="BB274" s="78"/>
    </row>
    <row r="275" spans="3:54" ht="20.100000000000001" customHeight="1">
      <c r="C275" s="113"/>
      <c r="D275" s="114"/>
      <c r="P275" s="82"/>
      <c r="Q275" s="82"/>
      <c r="R275" s="38"/>
      <c r="S275" s="38"/>
      <c r="T275" s="38"/>
      <c r="U275" s="38"/>
      <c r="V275" s="38"/>
      <c r="W275" s="38"/>
      <c r="X275" s="38"/>
      <c r="Y275" s="38"/>
      <c r="Z275" s="38"/>
      <c r="AA275" s="38"/>
      <c r="AB275" s="38"/>
      <c r="AC275" s="38"/>
      <c r="AD275" s="38"/>
      <c r="AE275" s="38"/>
      <c r="AF275" s="38"/>
      <c r="AG275" s="38"/>
      <c r="AH275" s="38"/>
      <c r="AN275" s="37"/>
      <c r="AO275" s="37"/>
      <c r="AP275" s="78"/>
      <c r="AQ275" s="37"/>
      <c r="AR275" s="37"/>
      <c r="AS275" s="37"/>
      <c r="AT275" s="37"/>
      <c r="AU275" s="37"/>
      <c r="AV275" s="37"/>
      <c r="AW275" s="37"/>
      <c r="AX275" s="37"/>
      <c r="AY275" s="37"/>
      <c r="AZ275" s="78"/>
      <c r="BA275" s="37"/>
      <c r="BB275" s="78"/>
    </row>
    <row r="276" spans="3:54" ht="20.100000000000001" customHeight="1">
      <c r="C276" s="113"/>
      <c r="D276" s="114"/>
      <c r="P276" s="82"/>
      <c r="Q276" s="82"/>
      <c r="R276" s="38"/>
      <c r="S276" s="38"/>
      <c r="T276" s="38"/>
      <c r="U276" s="38"/>
      <c r="V276" s="38"/>
      <c r="W276" s="38"/>
      <c r="X276" s="38"/>
      <c r="Y276" s="38"/>
      <c r="Z276" s="38"/>
      <c r="AA276" s="38"/>
      <c r="AB276" s="38"/>
      <c r="AC276" s="38"/>
      <c r="AD276" s="38"/>
      <c r="AE276" s="38"/>
      <c r="AF276" s="38"/>
      <c r="AG276" s="38"/>
      <c r="AH276" s="38"/>
      <c r="AN276" s="37"/>
      <c r="AO276" s="37"/>
      <c r="AP276" s="78"/>
      <c r="AQ276" s="37"/>
      <c r="AR276" s="37"/>
      <c r="AS276" s="37"/>
      <c r="AT276" s="37"/>
      <c r="AU276" s="37"/>
      <c r="AV276" s="37"/>
      <c r="AW276" s="37"/>
      <c r="AX276" s="37"/>
      <c r="AY276" s="37"/>
      <c r="AZ276" s="78"/>
      <c r="BA276" s="37"/>
      <c r="BB276" s="78"/>
    </row>
    <row r="277" spans="3:54" ht="20.100000000000001" customHeight="1">
      <c r="C277" s="113"/>
      <c r="D277" s="114"/>
      <c r="P277" s="82"/>
      <c r="Q277" s="82"/>
      <c r="R277" s="38"/>
      <c r="S277" s="38"/>
      <c r="T277" s="38"/>
      <c r="U277" s="38"/>
      <c r="V277" s="38"/>
      <c r="W277" s="38"/>
      <c r="X277" s="38"/>
      <c r="Y277" s="38"/>
      <c r="Z277" s="38"/>
      <c r="AA277" s="38"/>
      <c r="AB277" s="38"/>
      <c r="AC277" s="38"/>
      <c r="AD277" s="38"/>
      <c r="AE277" s="38"/>
      <c r="AF277" s="38"/>
      <c r="AG277" s="38"/>
      <c r="AH277" s="38"/>
      <c r="AN277" s="37"/>
      <c r="AO277" s="37"/>
      <c r="AP277" s="78"/>
      <c r="AQ277" s="37"/>
      <c r="AR277" s="37"/>
      <c r="AS277" s="37"/>
      <c r="AT277" s="37"/>
      <c r="AU277" s="37"/>
      <c r="AV277" s="37"/>
      <c r="AW277" s="37"/>
      <c r="AX277" s="37"/>
      <c r="AY277" s="37"/>
      <c r="AZ277" s="78"/>
      <c r="BA277" s="37"/>
      <c r="BB277" s="78"/>
    </row>
    <row r="278" spans="3:54" ht="20.100000000000001" customHeight="1">
      <c r="C278" s="113"/>
      <c r="D278" s="114"/>
      <c r="P278" s="82"/>
      <c r="Q278" s="82"/>
      <c r="R278" s="38"/>
      <c r="S278" s="38"/>
      <c r="T278" s="38"/>
      <c r="U278" s="38"/>
      <c r="V278" s="38"/>
      <c r="W278" s="38"/>
      <c r="X278" s="38"/>
      <c r="Y278" s="38"/>
      <c r="Z278" s="38"/>
      <c r="AA278" s="38"/>
      <c r="AB278" s="38"/>
      <c r="AC278" s="38"/>
      <c r="AD278" s="38"/>
      <c r="AE278" s="38"/>
      <c r="AF278" s="38"/>
      <c r="AG278" s="38"/>
      <c r="AH278" s="38"/>
      <c r="AN278" s="37"/>
      <c r="AO278" s="37"/>
      <c r="AP278" s="78"/>
      <c r="AQ278" s="37"/>
      <c r="AR278" s="37"/>
      <c r="AS278" s="37"/>
      <c r="AT278" s="37"/>
      <c r="AU278" s="37"/>
      <c r="AV278" s="37"/>
      <c r="AW278" s="37"/>
      <c r="AX278" s="37"/>
      <c r="AY278" s="37"/>
      <c r="AZ278" s="78"/>
      <c r="BA278" s="37"/>
      <c r="BB278" s="78"/>
    </row>
    <row r="279" spans="3:54" ht="20.100000000000001" customHeight="1">
      <c r="C279" s="113"/>
      <c r="D279" s="114"/>
      <c r="P279" s="82"/>
      <c r="Q279" s="82"/>
      <c r="R279" s="38"/>
      <c r="S279" s="38"/>
      <c r="T279" s="38"/>
      <c r="U279" s="38"/>
      <c r="V279" s="38"/>
      <c r="W279" s="38"/>
      <c r="X279" s="38"/>
      <c r="Y279" s="38"/>
      <c r="Z279" s="38"/>
      <c r="AA279" s="38"/>
      <c r="AB279" s="38"/>
      <c r="AC279" s="38"/>
      <c r="AD279" s="38"/>
      <c r="AE279" s="38"/>
      <c r="AF279" s="38"/>
      <c r="AG279" s="38"/>
      <c r="AH279" s="38"/>
      <c r="AN279" s="37"/>
      <c r="AO279" s="37"/>
      <c r="AP279" s="78"/>
      <c r="AQ279" s="37"/>
      <c r="AR279" s="37"/>
      <c r="AS279" s="37"/>
      <c r="AT279" s="37"/>
      <c r="AU279" s="37"/>
      <c r="AV279" s="37"/>
      <c r="AW279" s="37"/>
      <c r="AX279" s="37"/>
      <c r="AY279" s="37"/>
      <c r="AZ279" s="78"/>
      <c r="BA279" s="37"/>
      <c r="BB279" s="78"/>
    </row>
    <row r="280" spans="3:54" ht="20.100000000000001" customHeight="1">
      <c r="C280" s="113"/>
      <c r="D280" s="114"/>
      <c r="P280" s="82"/>
      <c r="Q280" s="82"/>
      <c r="R280" s="38"/>
      <c r="S280" s="38"/>
      <c r="T280" s="38"/>
      <c r="U280" s="38"/>
      <c r="V280" s="38"/>
      <c r="W280" s="38"/>
      <c r="X280" s="38"/>
      <c r="Y280" s="38"/>
      <c r="Z280" s="38"/>
      <c r="AA280" s="38"/>
      <c r="AB280" s="38"/>
      <c r="AC280" s="38"/>
      <c r="AD280" s="38"/>
      <c r="AE280" s="38"/>
      <c r="AF280" s="38"/>
      <c r="AG280" s="38"/>
      <c r="AH280" s="38"/>
      <c r="AN280" s="37"/>
      <c r="AO280" s="37"/>
      <c r="AP280" s="78"/>
      <c r="AQ280" s="37"/>
      <c r="AR280" s="37"/>
      <c r="AS280" s="37"/>
      <c r="AT280" s="37"/>
      <c r="AU280" s="37"/>
      <c r="AV280" s="37"/>
      <c r="AW280" s="37"/>
      <c r="AX280" s="37"/>
      <c r="AY280" s="37"/>
      <c r="AZ280" s="78"/>
      <c r="BA280" s="37"/>
      <c r="BB280" s="78"/>
    </row>
    <row r="281" spans="3:54" ht="20.100000000000001" customHeight="1">
      <c r="C281" s="113"/>
      <c r="D281" s="114"/>
      <c r="P281" s="82"/>
      <c r="Q281" s="82"/>
      <c r="R281" s="38"/>
      <c r="S281" s="38"/>
      <c r="T281" s="38"/>
      <c r="U281" s="38"/>
      <c r="V281" s="38"/>
      <c r="W281" s="38"/>
      <c r="X281" s="38"/>
      <c r="Y281" s="38"/>
      <c r="Z281" s="38"/>
      <c r="AA281" s="38"/>
      <c r="AB281" s="38"/>
      <c r="AC281" s="38"/>
      <c r="AD281" s="38"/>
      <c r="AE281" s="38"/>
      <c r="AF281" s="38"/>
      <c r="AG281" s="38"/>
      <c r="AH281" s="38"/>
      <c r="AN281" s="37"/>
      <c r="AO281" s="37"/>
      <c r="AP281" s="78"/>
      <c r="AQ281" s="37"/>
      <c r="AR281" s="37"/>
      <c r="AS281" s="37"/>
      <c r="AT281" s="37"/>
      <c r="AU281" s="37"/>
      <c r="AV281" s="37"/>
      <c r="AW281" s="37"/>
      <c r="AX281" s="37"/>
      <c r="AY281" s="37"/>
      <c r="AZ281" s="78"/>
      <c r="BA281" s="37"/>
      <c r="BB281" s="78"/>
    </row>
    <row r="282" spans="3:54" ht="20.100000000000001" customHeight="1">
      <c r="C282" s="113"/>
      <c r="D282" s="114"/>
      <c r="P282" s="82"/>
      <c r="Q282" s="82"/>
      <c r="R282" s="38"/>
      <c r="S282" s="38"/>
      <c r="T282" s="38"/>
      <c r="U282" s="38"/>
      <c r="V282" s="38"/>
      <c r="W282" s="38"/>
      <c r="X282" s="38"/>
      <c r="Y282" s="38"/>
      <c r="Z282" s="38"/>
      <c r="AA282" s="38"/>
      <c r="AB282" s="38"/>
      <c r="AC282" s="38"/>
      <c r="AD282" s="38"/>
      <c r="AE282" s="38"/>
      <c r="AF282" s="38"/>
      <c r="AG282" s="38"/>
      <c r="AH282" s="38"/>
      <c r="AN282" s="37"/>
      <c r="AO282" s="37"/>
      <c r="AP282" s="78"/>
      <c r="AQ282" s="37"/>
      <c r="AR282" s="37"/>
      <c r="AS282" s="37"/>
      <c r="AT282" s="37"/>
      <c r="AU282" s="37"/>
      <c r="AV282" s="37"/>
      <c r="AW282" s="37"/>
      <c r="AX282" s="37"/>
      <c r="AY282" s="37"/>
      <c r="AZ282" s="78"/>
      <c r="BA282" s="37"/>
      <c r="BB282" s="78"/>
    </row>
    <row r="283" spans="3:54" ht="20.100000000000001" customHeight="1">
      <c r="C283" s="113"/>
      <c r="D283" s="114"/>
      <c r="P283" s="82"/>
      <c r="Q283" s="82"/>
      <c r="R283" s="38"/>
      <c r="S283" s="38"/>
      <c r="T283" s="38"/>
      <c r="U283" s="38"/>
      <c r="V283" s="38"/>
      <c r="W283" s="38"/>
      <c r="X283" s="38"/>
      <c r="Y283" s="38"/>
      <c r="Z283" s="38"/>
      <c r="AA283" s="38"/>
      <c r="AB283" s="38"/>
      <c r="AC283" s="38"/>
      <c r="AD283" s="38"/>
      <c r="AE283" s="38"/>
      <c r="AF283" s="38"/>
      <c r="AG283" s="38"/>
      <c r="AH283" s="38"/>
      <c r="AN283" s="37"/>
      <c r="AO283" s="37"/>
      <c r="AP283" s="78"/>
      <c r="AQ283" s="37"/>
      <c r="AR283" s="37"/>
      <c r="AS283" s="37"/>
      <c r="AT283" s="37"/>
      <c r="AU283" s="37"/>
      <c r="AV283" s="37"/>
      <c r="AW283" s="37"/>
      <c r="AX283" s="37"/>
      <c r="AY283" s="37"/>
      <c r="AZ283" s="78"/>
      <c r="BA283" s="37"/>
      <c r="BB283" s="78"/>
    </row>
    <row r="284" spans="3:54" ht="20.100000000000001" customHeight="1">
      <c r="C284" s="113"/>
      <c r="D284" s="114"/>
      <c r="P284" s="82"/>
      <c r="Q284" s="82"/>
      <c r="R284" s="38"/>
      <c r="S284" s="38"/>
      <c r="T284" s="38"/>
      <c r="U284" s="38"/>
      <c r="V284" s="38"/>
      <c r="W284" s="38"/>
      <c r="X284" s="38"/>
      <c r="Y284" s="38"/>
      <c r="Z284" s="38"/>
      <c r="AA284" s="38"/>
      <c r="AB284" s="38"/>
      <c r="AC284" s="38"/>
      <c r="AD284" s="38"/>
      <c r="AE284" s="38"/>
      <c r="AF284" s="38"/>
      <c r="AG284" s="38"/>
      <c r="AH284" s="38"/>
      <c r="AN284" s="37"/>
      <c r="AO284" s="37"/>
      <c r="AP284" s="78"/>
      <c r="AQ284" s="37"/>
      <c r="AR284" s="37"/>
      <c r="AS284" s="37"/>
      <c r="AT284" s="37"/>
      <c r="AU284" s="37"/>
      <c r="AV284" s="37"/>
      <c r="AW284" s="37"/>
      <c r="AX284" s="37"/>
      <c r="AY284" s="37"/>
      <c r="AZ284" s="78"/>
      <c r="BA284" s="37"/>
      <c r="BB284" s="78"/>
    </row>
    <row r="285" spans="3:54" ht="20.100000000000001" customHeight="1">
      <c r="C285" s="113"/>
      <c r="D285" s="114"/>
      <c r="P285" s="82"/>
      <c r="Q285" s="82"/>
      <c r="R285" s="38"/>
      <c r="S285" s="38"/>
      <c r="T285" s="38"/>
      <c r="U285" s="38"/>
      <c r="V285" s="38"/>
      <c r="W285" s="38"/>
      <c r="X285" s="38"/>
      <c r="Y285" s="38"/>
      <c r="Z285" s="38"/>
      <c r="AA285" s="38"/>
      <c r="AB285" s="38"/>
      <c r="AC285" s="38"/>
      <c r="AD285" s="38"/>
      <c r="AE285" s="38"/>
      <c r="AF285" s="38"/>
      <c r="AG285" s="38"/>
      <c r="AH285" s="38"/>
      <c r="AN285" s="37"/>
      <c r="AO285" s="37"/>
      <c r="AP285" s="78"/>
      <c r="AQ285" s="37"/>
      <c r="AR285" s="37"/>
      <c r="AS285" s="37"/>
      <c r="AT285" s="37"/>
      <c r="AU285" s="37"/>
      <c r="AV285" s="37"/>
      <c r="AW285" s="37"/>
      <c r="AX285" s="37"/>
      <c r="AY285" s="37"/>
      <c r="AZ285" s="78"/>
      <c r="BA285" s="37"/>
      <c r="BB285" s="78"/>
    </row>
    <row r="286" spans="3:54" ht="20.100000000000001" customHeight="1">
      <c r="C286" s="113"/>
      <c r="D286" s="114"/>
      <c r="P286" s="82"/>
      <c r="Q286" s="82"/>
      <c r="R286" s="38"/>
      <c r="S286" s="38"/>
      <c r="T286" s="38"/>
      <c r="U286" s="38"/>
      <c r="V286" s="38"/>
      <c r="W286" s="38"/>
      <c r="X286" s="38"/>
      <c r="Y286" s="38"/>
      <c r="Z286" s="38"/>
      <c r="AA286" s="38"/>
      <c r="AB286" s="38"/>
      <c r="AC286" s="38"/>
      <c r="AD286" s="38"/>
      <c r="AE286" s="38"/>
      <c r="AF286" s="38"/>
      <c r="AG286" s="38"/>
      <c r="AH286" s="38"/>
      <c r="AN286" s="37"/>
      <c r="AO286" s="37"/>
      <c r="AP286" s="78"/>
      <c r="AQ286" s="37"/>
      <c r="AR286" s="37"/>
      <c r="AS286" s="37"/>
      <c r="AT286" s="37"/>
      <c r="AU286" s="37"/>
      <c r="AV286" s="37"/>
      <c r="AW286" s="37"/>
      <c r="AX286" s="37"/>
      <c r="AY286" s="37"/>
      <c r="AZ286" s="78"/>
      <c r="BA286" s="37"/>
      <c r="BB286" s="78"/>
    </row>
    <row r="287" spans="3:54" ht="20.100000000000001" customHeight="1">
      <c r="C287" s="113"/>
      <c r="D287" s="114"/>
      <c r="P287" s="82"/>
      <c r="Q287" s="82"/>
      <c r="R287" s="38"/>
      <c r="S287" s="38"/>
      <c r="T287" s="38"/>
      <c r="U287" s="38"/>
      <c r="V287" s="38"/>
      <c r="W287" s="38"/>
      <c r="X287" s="38"/>
      <c r="Y287" s="38"/>
      <c r="Z287" s="38"/>
      <c r="AA287" s="38"/>
      <c r="AB287" s="38"/>
      <c r="AC287" s="38"/>
      <c r="AD287" s="38"/>
      <c r="AE287" s="38"/>
      <c r="AF287" s="38"/>
      <c r="AG287" s="38"/>
      <c r="AH287" s="38"/>
      <c r="AN287" s="37"/>
      <c r="AO287" s="37"/>
      <c r="AP287" s="78"/>
      <c r="AQ287" s="37"/>
      <c r="AR287" s="37"/>
      <c r="AS287" s="37"/>
      <c r="AT287" s="37"/>
      <c r="AU287" s="37"/>
      <c r="AV287" s="37"/>
      <c r="AW287" s="37"/>
      <c r="AX287" s="37"/>
      <c r="AY287" s="37"/>
      <c r="AZ287" s="78"/>
      <c r="BA287" s="37"/>
      <c r="BB287" s="78"/>
    </row>
    <row r="288" spans="3:54" ht="20.100000000000001" customHeight="1">
      <c r="C288" s="113"/>
      <c r="D288" s="114"/>
      <c r="P288" s="82"/>
      <c r="Q288" s="82"/>
      <c r="R288" s="38"/>
      <c r="S288" s="38"/>
      <c r="T288" s="38"/>
      <c r="U288" s="38"/>
      <c r="V288" s="38"/>
      <c r="W288" s="38"/>
      <c r="X288" s="38"/>
      <c r="Y288" s="38"/>
      <c r="Z288" s="38"/>
      <c r="AA288" s="38"/>
      <c r="AB288" s="38"/>
      <c r="AC288" s="38"/>
      <c r="AD288" s="38"/>
      <c r="AE288" s="38"/>
      <c r="AF288" s="38"/>
      <c r="AG288" s="38"/>
      <c r="AH288" s="38"/>
      <c r="AN288" s="37"/>
      <c r="AO288" s="37"/>
      <c r="AP288" s="78"/>
      <c r="AQ288" s="37"/>
      <c r="AR288" s="37"/>
      <c r="AS288" s="37"/>
      <c r="AT288" s="37"/>
      <c r="AU288" s="37"/>
      <c r="AV288" s="37"/>
      <c r="AW288" s="37"/>
      <c r="AX288" s="37"/>
      <c r="AY288" s="37"/>
      <c r="AZ288" s="78"/>
      <c r="BA288" s="37"/>
      <c r="BB288" s="78"/>
    </row>
    <row r="289" spans="3:54" ht="20.100000000000001" customHeight="1">
      <c r="C289" s="113"/>
      <c r="D289" s="114"/>
      <c r="P289" s="82"/>
      <c r="Q289" s="82"/>
      <c r="R289" s="38"/>
      <c r="S289" s="38"/>
      <c r="T289" s="38"/>
      <c r="U289" s="38"/>
      <c r="V289" s="38"/>
      <c r="W289" s="38"/>
      <c r="X289" s="38"/>
      <c r="Y289" s="38"/>
      <c r="Z289" s="38"/>
      <c r="AA289" s="38"/>
      <c r="AB289" s="38"/>
      <c r="AC289" s="38"/>
      <c r="AD289" s="38"/>
      <c r="AE289" s="38"/>
      <c r="AF289" s="38"/>
      <c r="AG289" s="38"/>
      <c r="AH289" s="38"/>
      <c r="AN289" s="37"/>
      <c r="AO289" s="37"/>
      <c r="AP289" s="78"/>
      <c r="AQ289" s="37"/>
      <c r="AR289" s="37"/>
      <c r="AS289" s="37"/>
      <c r="AT289" s="37"/>
      <c r="AU289" s="37"/>
      <c r="AV289" s="37"/>
      <c r="AW289" s="37"/>
      <c r="AX289" s="37"/>
      <c r="AY289" s="37"/>
      <c r="AZ289" s="78"/>
      <c r="BA289" s="37"/>
      <c r="BB289" s="78"/>
    </row>
    <row r="290" spans="3:54" ht="20.100000000000001" customHeight="1">
      <c r="C290" s="113"/>
      <c r="D290" s="114"/>
      <c r="P290" s="82"/>
      <c r="Q290" s="82"/>
      <c r="R290" s="38"/>
      <c r="S290" s="38"/>
      <c r="T290" s="38"/>
      <c r="U290" s="38"/>
      <c r="V290" s="38"/>
      <c r="W290" s="38"/>
      <c r="X290" s="38"/>
      <c r="Y290" s="38"/>
      <c r="Z290" s="38"/>
      <c r="AA290" s="38"/>
      <c r="AB290" s="38"/>
      <c r="AC290" s="38"/>
      <c r="AD290" s="38"/>
      <c r="AE290" s="38"/>
      <c r="AF290" s="38"/>
      <c r="AG290" s="38"/>
      <c r="AH290" s="38"/>
      <c r="AN290" s="37"/>
      <c r="AO290" s="37"/>
      <c r="AP290" s="78"/>
      <c r="AQ290" s="37"/>
      <c r="AR290" s="37"/>
      <c r="AS290" s="37"/>
      <c r="AT290" s="37"/>
      <c r="AU290" s="37"/>
      <c r="AV290" s="37"/>
      <c r="AW290" s="37"/>
      <c r="AX290" s="37"/>
      <c r="AY290" s="37"/>
      <c r="AZ290" s="78"/>
      <c r="BA290" s="37"/>
      <c r="BB290" s="78"/>
    </row>
    <row r="291" spans="3:54" ht="20.100000000000001" customHeight="1">
      <c r="C291" s="113"/>
      <c r="D291" s="114"/>
      <c r="P291" s="82"/>
      <c r="Q291" s="82"/>
      <c r="R291" s="38"/>
      <c r="S291" s="38"/>
      <c r="T291" s="38"/>
      <c r="U291" s="38"/>
      <c r="V291" s="38"/>
      <c r="W291" s="38"/>
      <c r="X291" s="38"/>
      <c r="Y291" s="38"/>
      <c r="Z291" s="38"/>
      <c r="AA291" s="38"/>
      <c r="AB291" s="38"/>
      <c r="AC291" s="38"/>
      <c r="AD291" s="38"/>
      <c r="AE291" s="38"/>
      <c r="AF291" s="38"/>
      <c r="AG291" s="38"/>
      <c r="AH291" s="38"/>
      <c r="AN291" s="37"/>
      <c r="AO291" s="37"/>
      <c r="AP291" s="78"/>
      <c r="AQ291" s="37"/>
      <c r="AR291" s="37"/>
      <c r="AS291" s="37"/>
      <c r="AT291" s="37"/>
      <c r="AU291" s="37"/>
      <c r="AV291" s="37"/>
      <c r="AW291" s="37"/>
      <c r="AX291" s="37"/>
      <c r="AY291" s="37"/>
      <c r="AZ291" s="78"/>
      <c r="BA291" s="37"/>
      <c r="BB291" s="78"/>
    </row>
    <row r="292" spans="3:54" ht="20.100000000000001" customHeight="1">
      <c r="C292" s="113"/>
      <c r="D292" s="114"/>
      <c r="P292" s="82"/>
      <c r="Q292" s="82"/>
      <c r="R292" s="38"/>
      <c r="S292" s="38"/>
      <c r="T292" s="38"/>
      <c r="U292" s="38"/>
      <c r="V292" s="38"/>
      <c r="W292" s="38"/>
      <c r="X292" s="38"/>
      <c r="Y292" s="38"/>
      <c r="Z292" s="38"/>
      <c r="AA292" s="38"/>
      <c r="AB292" s="38"/>
      <c r="AC292" s="38"/>
      <c r="AD292" s="38"/>
      <c r="AE292" s="38"/>
      <c r="AF292" s="38"/>
      <c r="AG292" s="38"/>
      <c r="AH292" s="38"/>
      <c r="AN292" s="37"/>
      <c r="AO292" s="37"/>
      <c r="AP292" s="78"/>
      <c r="AQ292" s="37"/>
      <c r="AR292" s="37"/>
      <c r="AS292" s="37"/>
      <c r="AT292" s="37"/>
      <c r="AU292" s="37"/>
      <c r="AV292" s="37"/>
      <c r="AW292" s="37"/>
      <c r="AX292" s="37"/>
      <c r="AY292" s="37"/>
      <c r="AZ292" s="78"/>
      <c r="BA292" s="37"/>
      <c r="BB292" s="78"/>
    </row>
    <row r="293" spans="3:54" ht="20.100000000000001" customHeight="1">
      <c r="C293" s="113"/>
      <c r="D293" s="114"/>
      <c r="P293" s="82"/>
      <c r="Q293" s="82"/>
      <c r="R293" s="38"/>
      <c r="S293" s="38"/>
      <c r="T293" s="38"/>
      <c r="U293" s="38"/>
      <c r="V293" s="38"/>
      <c r="W293" s="38"/>
      <c r="X293" s="38"/>
      <c r="Y293" s="38"/>
      <c r="Z293" s="38"/>
      <c r="AA293" s="38"/>
      <c r="AB293" s="38"/>
      <c r="AC293" s="38"/>
      <c r="AD293" s="38"/>
      <c r="AE293" s="38"/>
      <c r="AF293" s="38"/>
      <c r="AG293" s="38"/>
      <c r="AH293" s="38"/>
      <c r="AN293" s="37"/>
      <c r="AO293" s="37"/>
      <c r="AP293" s="78"/>
      <c r="AQ293" s="37"/>
      <c r="AR293" s="37"/>
      <c r="AS293" s="37"/>
      <c r="AT293" s="37"/>
      <c r="AU293" s="37"/>
      <c r="AV293" s="37"/>
      <c r="AW293" s="37"/>
      <c r="AX293" s="37"/>
      <c r="AY293" s="37"/>
      <c r="AZ293" s="78"/>
      <c r="BA293" s="37"/>
      <c r="BB293" s="78"/>
    </row>
    <row r="294" spans="3:54" ht="20.100000000000001" customHeight="1">
      <c r="C294" s="113"/>
      <c r="D294" s="114"/>
      <c r="P294" s="82"/>
      <c r="Q294" s="82"/>
      <c r="R294" s="38"/>
      <c r="S294" s="38"/>
      <c r="T294" s="38"/>
      <c r="U294" s="38"/>
      <c r="V294" s="38"/>
      <c r="W294" s="38"/>
      <c r="X294" s="38"/>
      <c r="Y294" s="38"/>
      <c r="Z294" s="38"/>
      <c r="AA294" s="38"/>
      <c r="AB294" s="38"/>
      <c r="AC294" s="38"/>
      <c r="AD294" s="38"/>
      <c r="AE294" s="38"/>
      <c r="AF294" s="38"/>
      <c r="AG294" s="38"/>
      <c r="AH294" s="38"/>
      <c r="AN294" s="37"/>
      <c r="AO294" s="37"/>
      <c r="AP294" s="78"/>
      <c r="AQ294" s="37"/>
      <c r="AR294" s="37"/>
      <c r="AS294" s="37"/>
      <c r="AT294" s="37"/>
      <c r="AU294" s="37"/>
      <c r="AV294" s="37"/>
      <c r="AW294" s="37"/>
      <c r="AX294" s="37"/>
      <c r="AY294" s="37"/>
      <c r="AZ294" s="78"/>
      <c r="BA294" s="37"/>
      <c r="BB294" s="78"/>
    </row>
    <row r="295" spans="3:54" ht="20.100000000000001" customHeight="1">
      <c r="C295" s="113"/>
      <c r="D295" s="114"/>
      <c r="P295" s="82"/>
      <c r="Q295" s="82"/>
      <c r="R295" s="38"/>
      <c r="S295" s="38"/>
      <c r="T295" s="38"/>
      <c r="U295" s="38"/>
      <c r="V295" s="38"/>
      <c r="W295" s="38"/>
      <c r="X295" s="38"/>
      <c r="Y295" s="38"/>
      <c r="Z295" s="38"/>
      <c r="AA295" s="38"/>
      <c r="AB295" s="38"/>
      <c r="AC295" s="38"/>
      <c r="AD295" s="38"/>
      <c r="AE295" s="38"/>
      <c r="AF295" s="38"/>
      <c r="AG295" s="38"/>
      <c r="AH295" s="38"/>
      <c r="AN295" s="37"/>
      <c r="AO295" s="37"/>
      <c r="AP295" s="78"/>
      <c r="AQ295" s="37"/>
      <c r="AR295" s="37"/>
      <c r="AS295" s="37"/>
      <c r="AT295" s="37"/>
      <c r="AU295" s="37"/>
      <c r="AV295" s="37"/>
      <c r="AW295" s="37"/>
      <c r="AX295" s="37"/>
      <c r="AY295" s="37"/>
      <c r="AZ295" s="78"/>
      <c r="BA295" s="37"/>
      <c r="BB295" s="78"/>
    </row>
    <row r="296" spans="3:54" ht="20.100000000000001" customHeight="1">
      <c r="C296" s="113"/>
      <c r="D296" s="114"/>
      <c r="P296" s="82"/>
      <c r="Q296" s="82"/>
      <c r="R296" s="38"/>
      <c r="S296" s="38"/>
      <c r="T296" s="38"/>
      <c r="U296" s="38"/>
      <c r="V296" s="38"/>
      <c r="W296" s="38"/>
      <c r="X296" s="38"/>
      <c r="Y296" s="38"/>
      <c r="Z296" s="38"/>
      <c r="AA296" s="38"/>
      <c r="AB296" s="38"/>
      <c r="AC296" s="38"/>
      <c r="AD296" s="38"/>
      <c r="AE296" s="38"/>
      <c r="AF296" s="38"/>
      <c r="AG296" s="38"/>
      <c r="AH296" s="38"/>
      <c r="AN296" s="37"/>
      <c r="AO296" s="37"/>
      <c r="AP296" s="78"/>
      <c r="AQ296" s="37"/>
      <c r="AR296" s="37"/>
      <c r="AS296" s="37"/>
      <c r="AT296" s="37"/>
      <c r="AU296" s="37"/>
      <c r="AV296" s="37"/>
      <c r="AW296" s="37"/>
      <c r="AX296" s="37"/>
      <c r="AY296" s="37"/>
      <c r="AZ296" s="78"/>
      <c r="BA296" s="37"/>
      <c r="BB296" s="78"/>
    </row>
    <row r="297" spans="3:54" ht="20.100000000000001" customHeight="1">
      <c r="C297" s="113"/>
      <c r="D297" s="114"/>
      <c r="P297" s="82"/>
      <c r="Q297" s="82"/>
      <c r="R297" s="38"/>
      <c r="S297" s="38"/>
      <c r="T297" s="38"/>
      <c r="U297" s="38"/>
      <c r="V297" s="38"/>
      <c r="W297" s="38"/>
      <c r="X297" s="38"/>
      <c r="Y297" s="38"/>
      <c r="Z297" s="38"/>
      <c r="AA297" s="38"/>
      <c r="AB297" s="38"/>
      <c r="AC297" s="38"/>
      <c r="AD297" s="38"/>
      <c r="AE297" s="38"/>
      <c r="AF297" s="38"/>
      <c r="AG297" s="38"/>
      <c r="AH297" s="38"/>
      <c r="AN297" s="37"/>
      <c r="AO297" s="37"/>
      <c r="AP297" s="78"/>
      <c r="AQ297" s="37"/>
      <c r="AR297" s="37"/>
      <c r="AS297" s="37"/>
      <c r="AT297" s="37"/>
      <c r="AU297" s="37"/>
      <c r="AV297" s="37"/>
      <c r="AW297" s="37"/>
      <c r="AX297" s="37"/>
      <c r="AY297" s="37"/>
      <c r="AZ297" s="78"/>
      <c r="BA297" s="37"/>
      <c r="BB297" s="78"/>
    </row>
    <row r="298" spans="3:54" ht="20.100000000000001" customHeight="1">
      <c r="C298" s="113"/>
      <c r="D298" s="114"/>
      <c r="P298" s="82"/>
      <c r="Q298" s="82"/>
      <c r="R298" s="38"/>
      <c r="S298" s="38"/>
      <c r="T298" s="38"/>
      <c r="U298" s="38"/>
      <c r="V298" s="38"/>
      <c r="W298" s="38"/>
      <c r="X298" s="38"/>
      <c r="Y298" s="38"/>
      <c r="Z298" s="38"/>
      <c r="AA298" s="38"/>
      <c r="AB298" s="38"/>
      <c r="AC298" s="38"/>
      <c r="AD298" s="38"/>
      <c r="AE298" s="38"/>
      <c r="AF298" s="38"/>
      <c r="AG298" s="38"/>
      <c r="AH298" s="38"/>
      <c r="AN298" s="37"/>
      <c r="AO298" s="37"/>
      <c r="AP298" s="78"/>
      <c r="AQ298" s="37"/>
      <c r="AR298" s="37"/>
      <c r="AS298" s="37"/>
      <c r="AT298" s="37"/>
      <c r="AU298" s="37"/>
      <c r="AV298" s="37"/>
      <c r="AW298" s="37"/>
      <c r="AX298" s="37"/>
      <c r="AY298" s="37"/>
      <c r="AZ298" s="78"/>
      <c r="BA298" s="37"/>
      <c r="BB298" s="78"/>
    </row>
    <row r="299" spans="3:54" ht="20.100000000000001" customHeight="1">
      <c r="C299" s="113"/>
      <c r="D299" s="114"/>
      <c r="P299" s="82"/>
      <c r="Q299" s="82"/>
      <c r="R299" s="38"/>
      <c r="S299" s="38"/>
      <c r="T299" s="38"/>
      <c r="U299" s="38"/>
      <c r="V299" s="38"/>
      <c r="W299" s="38"/>
      <c r="X299" s="38"/>
      <c r="Y299" s="38"/>
      <c r="Z299" s="38"/>
      <c r="AA299" s="38"/>
      <c r="AB299" s="38"/>
      <c r="AC299" s="38"/>
      <c r="AD299" s="38"/>
      <c r="AE299" s="38"/>
      <c r="AF299" s="38"/>
      <c r="AG299" s="38"/>
      <c r="AH299" s="38"/>
      <c r="AN299" s="37"/>
      <c r="AO299" s="37"/>
      <c r="AP299" s="78"/>
      <c r="AQ299" s="37"/>
      <c r="AR299" s="37"/>
      <c r="AS299" s="37"/>
      <c r="AT299" s="37"/>
      <c r="AU299" s="37"/>
      <c r="AV299" s="37"/>
      <c r="AW299" s="37"/>
      <c r="AX299" s="37"/>
      <c r="AY299" s="37"/>
      <c r="AZ299" s="78"/>
      <c r="BA299" s="37"/>
      <c r="BB299" s="78"/>
    </row>
    <row r="300" spans="3:54" ht="20.100000000000001" customHeight="1">
      <c r="C300" s="113"/>
      <c r="D300" s="114"/>
      <c r="P300" s="82"/>
      <c r="Q300" s="82"/>
      <c r="R300" s="38"/>
      <c r="S300" s="38"/>
      <c r="T300" s="38"/>
      <c r="U300" s="38"/>
      <c r="V300" s="38"/>
      <c r="W300" s="38"/>
      <c r="X300" s="38"/>
      <c r="Y300" s="38"/>
      <c r="Z300" s="38"/>
      <c r="AA300" s="38"/>
      <c r="AB300" s="38"/>
      <c r="AC300" s="38"/>
      <c r="AD300" s="38"/>
      <c r="AE300" s="38"/>
      <c r="AF300" s="38"/>
      <c r="AG300" s="38"/>
      <c r="AH300" s="38"/>
      <c r="AN300" s="37"/>
      <c r="AO300" s="37"/>
      <c r="AP300" s="78"/>
      <c r="AQ300" s="37"/>
      <c r="AR300" s="37"/>
      <c r="AS300" s="37"/>
      <c r="AT300" s="37"/>
      <c r="AU300" s="37"/>
      <c r="AV300" s="37"/>
      <c r="AW300" s="37"/>
      <c r="AX300" s="37"/>
      <c r="AY300" s="37"/>
      <c r="AZ300" s="78"/>
      <c r="BA300" s="37"/>
      <c r="BB300" s="78"/>
    </row>
    <row r="301" spans="3:54" ht="20.100000000000001" customHeight="1">
      <c r="C301" s="113"/>
      <c r="D301" s="114"/>
      <c r="P301" s="82"/>
      <c r="Q301" s="82"/>
      <c r="R301" s="38"/>
      <c r="S301" s="38"/>
      <c r="T301" s="38"/>
      <c r="U301" s="38"/>
      <c r="V301" s="38"/>
      <c r="W301" s="38"/>
      <c r="X301" s="38"/>
      <c r="Y301" s="38"/>
      <c r="Z301" s="38"/>
      <c r="AA301" s="38"/>
      <c r="AB301" s="38"/>
      <c r="AC301" s="38"/>
      <c r="AD301" s="38"/>
      <c r="AE301" s="38"/>
      <c r="AF301" s="38"/>
      <c r="AG301" s="38"/>
      <c r="AH301" s="38"/>
      <c r="AN301" s="37"/>
      <c r="AO301" s="37"/>
      <c r="AP301" s="78"/>
      <c r="AQ301" s="37"/>
      <c r="AR301" s="37"/>
      <c r="AS301" s="37"/>
      <c r="AT301" s="37"/>
      <c r="AU301" s="37"/>
      <c r="AV301" s="37"/>
      <c r="AW301" s="37"/>
      <c r="AX301" s="37"/>
      <c r="AY301" s="37"/>
      <c r="AZ301" s="78"/>
      <c r="BA301" s="37"/>
      <c r="BB301" s="78"/>
    </row>
    <row r="302" spans="3:54" ht="20.100000000000001" customHeight="1">
      <c r="C302" s="113"/>
      <c r="D302" s="114"/>
      <c r="P302" s="82"/>
      <c r="Q302" s="82"/>
      <c r="R302" s="38"/>
      <c r="S302" s="38"/>
      <c r="T302" s="38"/>
      <c r="U302" s="38"/>
      <c r="V302" s="38"/>
      <c r="W302" s="38"/>
      <c r="X302" s="38"/>
      <c r="Y302" s="38"/>
      <c r="Z302" s="38"/>
      <c r="AA302" s="38"/>
      <c r="AB302" s="38"/>
      <c r="AC302" s="38"/>
      <c r="AD302" s="38"/>
      <c r="AE302" s="38"/>
      <c r="AF302" s="38"/>
      <c r="AG302" s="38"/>
      <c r="AH302" s="38"/>
      <c r="AN302" s="37"/>
      <c r="AO302" s="37"/>
      <c r="AP302" s="78"/>
      <c r="AQ302" s="37"/>
      <c r="AR302" s="37"/>
      <c r="AS302" s="37"/>
      <c r="AT302" s="37"/>
      <c r="AU302" s="37"/>
      <c r="AV302" s="37"/>
      <c r="AW302" s="37"/>
      <c r="AX302" s="37"/>
      <c r="AY302" s="37"/>
      <c r="AZ302" s="78"/>
      <c r="BA302" s="37"/>
      <c r="BB302" s="78"/>
    </row>
    <row r="303" spans="3:54" ht="20.100000000000001" customHeight="1">
      <c r="C303" s="113"/>
      <c r="D303" s="114"/>
      <c r="P303" s="82"/>
      <c r="Q303" s="82"/>
      <c r="R303" s="38"/>
      <c r="S303" s="38"/>
      <c r="T303" s="38"/>
      <c r="U303" s="38"/>
      <c r="V303" s="38"/>
      <c r="W303" s="38"/>
      <c r="X303" s="38"/>
      <c r="Y303" s="38"/>
      <c r="Z303" s="38"/>
      <c r="AA303" s="38"/>
      <c r="AB303" s="38"/>
      <c r="AC303" s="38"/>
      <c r="AD303" s="38"/>
      <c r="AE303" s="38"/>
      <c r="AF303" s="38"/>
      <c r="AG303" s="38"/>
      <c r="AH303" s="38"/>
      <c r="AN303" s="37"/>
      <c r="AO303" s="37"/>
      <c r="AP303" s="78"/>
      <c r="AQ303" s="37"/>
      <c r="AR303" s="37"/>
      <c r="AS303" s="37"/>
      <c r="AT303" s="37"/>
      <c r="AU303" s="37"/>
      <c r="AV303" s="37"/>
      <c r="AW303" s="37"/>
      <c r="AX303" s="37"/>
      <c r="AY303" s="37"/>
      <c r="AZ303" s="78"/>
      <c r="BA303" s="37"/>
      <c r="BB303" s="78"/>
    </row>
    <row r="304" spans="3:54" ht="20.100000000000001" customHeight="1">
      <c r="C304" s="113"/>
      <c r="D304" s="114"/>
      <c r="P304" s="82"/>
      <c r="Q304" s="82"/>
      <c r="R304" s="38"/>
      <c r="S304" s="38"/>
      <c r="T304" s="38"/>
      <c r="U304" s="38"/>
      <c r="V304" s="38"/>
      <c r="W304" s="38"/>
      <c r="X304" s="38"/>
      <c r="Y304" s="38"/>
      <c r="Z304" s="38"/>
      <c r="AA304" s="38"/>
      <c r="AB304" s="38"/>
      <c r="AC304" s="38"/>
      <c r="AD304" s="38"/>
      <c r="AE304" s="38"/>
      <c r="AF304" s="38"/>
      <c r="AG304" s="38"/>
      <c r="AH304" s="38"/>
      <c r="AN304" s="37"/>
      <c r="AO304" s="37"/>
      <c r="AP304" s="78"/>
      <c r="AQ304" s="37"/>
      <c r="AR304" s="37"/>
      <c r="AS304" s="37"/>
      <c r="AT304" s="37"/>
      <c r="AU304" s="37"/>
      <c r="AV304" s="37"/>
      <c r="AW304" s="37"/>
      <c r="AX304" s="37"/>
      <c r="AY304" s="37"/>
      <c r="AZ304" s="78"/>
      <c r="BA304" s="37"/>
      <c r="BB304" s="78"/>
    </row>
    <row r="305" spans="3:54" ht="20.100000000000001" customHeight="1">
      <c r="C305" s="113"/>
      <c r="D305" s="114"/>
      <c r="P305" s="82"/>
      <c r="Q305" s="82"/>
      <c r="R305" s="38"/>
      <c r="S305" s="38"/>
      <c r="T305" s="38"/>
      <c r="U305" s="38"/>
      <c r="V305" s="38"/>
      <c r="W305" s="38"/>
      <c r="X305" s="38"/>
      <c r="Y305" s="38"/>
      <c r="Z305" s="38"/>
      <c r="AA305" s="38"/>
      <c r="AB305" s="38"/>
      <c r="AC305" s="38"/>
      <c r="AD305" s="38"/>
      <c r="AE305" s="38"/>
      <c r="AF305" s="38"/>
      <c r="AG305" s="38"/>
      <c r="AH305" s="38"/>
      <c r="AN305" s="37"/>
      <c r="AO305" s="37"/>
      <c r="AP305" s="78"/>
      <c r="AQ305" s="37"/>
      <c r="AR305" s="37"/>
      <c r="AS305" s="37"/>
      <c r="AT305" s="37"/>
      <c r="AU305" s="37"/>
      <c r="AV305" s="37"/>
      <c r="AW305" s="37"/>
      <c r="AX305" s="37"/>
      <c r="AY305" s="37"/>
      <c r="AZ305" s="78"/>
      <c r="BA305" s="37"/>
      <c r="BB305" s="78"/>
    </row>
    <row r="306" spans="3:54" ht="20.100000000000001" customHeight="1">
      <c r="C306" s="113"/>
      <c r="D306" s="114"/>
      <c r="P306" s="82"/>
      <c r="Q306" s="82"/>
      <c r="R306" s="38"/>
      <c r="S306" s="38"/>
      <c r="T306" s="38"/>
      <c r="U306" s="38"/>
      <c r="V306" s="38"/>
      <c r="W306" s="38"/>
      <c r="X306" s="38"/>
      <c r="Y306" s="38"/>
      <c r="Z306" s="38"/>
      <c r="AA306" s="38"/>
      <c r="AB306" s="38"/>
      <c r="AC306" s="38"/>
      <c r="AD306" s="38"/>
      <c r="AE306" s="38"/>
      <c r="AF306" s="38"/>
      <c r="AG306" s="38"/>
      <c r="AH306" s="38"/>
      <c r="AN306" s="37"/>
      <c r="AO306" s="37"/>
      <c r="AP306" s="78"/>
      <c r="AQ306" s="37"/>
      <c r="AR306" s="37"/>
      <c r="AS306" s="37"/>
      <c r="AT306" s="37"/>
      <c r="AU306" s="37"/>
      <c r="AV306" s="37"/>
      <c r="AW306" s="37"/>
      <c r="AX306" s="37"/>
      <c r="AY306" s="37"/>
      <c r="AZ306" s="78"/>
      <c r="BA306" s="37"/>
      <c r="BB306" s="78"/>
    </row>
    <row r="307" spans="3:54" ht="20.100000000000001" customHeight="1">
      <c r="C307" s="113"/>
      <c r="D307" s="114"/>
      <c r="P307" s="82"/>
      <c r="Q307" s="82"/>
      <c r="R307" s="38"/>
      <c r="S307" s="38"/>
      <c r="T307" s="38"/>
      <c r="U307" s="38"/>
      <c r="V307" s="38"/>
      <c r="W307" s="38"/>
      <c r="X307" s="38"/>
      <c r="Y307" s="38"/>
      <c r="Z307" s="38"/>
      <c r="AA307" s="38"/>
      <c r="AB307" s="38"/>
      <c r="AC307" s="38"/>
      <c r="AD307" s="38"/>
      <c r="AE307" s="38"/>
      <c r="AF307" s="38"/>
      <c r="AG307" s="38"/>
      <c r="AH307" s="38"/>
      <c r="AN307" s="37"/>
      <c r="AO307" s="37"/>
      <c r="AP307" s="78"/>
      <c r="AQ307" s="37"/>
      <c r="AR307" s="37"/>
      <c r="AS307" s="37"/>
      <c r="AT307" s="37"/>
      <c r="AU307" s="37"/>
      <c r="AV307" s="37"/>
      <c r="AW307" s="37"/>
      <c r="AX307" s="37"/>
      <c r="AY307" s="37"/>
      <c r="AZ307" s="78"/>
      <c r="BA307" s="37"/>
      <c r="BB307" s="78"/>
    </row>
    <row r="308" spans="3:54" ht="20.100000000000001" customHeight="1">
      <c r="C308" s="113"/>
      <c r="D308" s="114"/>
      <c r="P308" s="82"/>
      <c r="Q308" s="82"/>
      <c r="R308" s="38"/>
      <c r="S308" s="38"/>
      <c r="T308" s="38"/>
      <c r="U308" s="38"/>
      <c r="V308" s="38"/>
      <c r="W308" s="38"/>
      <c r="X308" s="38"/>
      <c r="Y308" s="38"/>
      <c r="Z308" s="38"/>
      <c r="AA308" s="38"/>
      <c r="AB308" s="38"/>
      <c r="AC308" s="38"/>
      <c r="AD308" s="38"/>
      <c r="AE308" s="38"/>
      <c r="AF308" s="38"/>
      <c r="AG308" s="38"/>
      <c r="AH308" s="38"/>
      <c r="AN308" s="37"/>
      <c r="AO308" s="37"/>
      <c r="AP308" s="78"/>
      <c r="AQ308" s="37"/>
      <c r="AR308" s="37"/>
      <c r="AS308" s="37"/>
      <c r="AT308" s="37"/>
      <c r="AU308" s="37"/>
      <c r="AV308" s="37"/>
      <c r="AW308" s="37"/>
      <c r="AX308" s="37"/>
      <c r="AY308" s="37"/>
      <c r="AZ308" s="78"/>
      <c r="BA308" s="37"/>
      <c r="BB308" s="78"/>
    </row>
    <row r="309" spans="3:54" ht="20.100000000000001" customHeight="1">
      <c r="C309" s="113"/>
      <c r="D309" s="114"/>
      <c r="P309" s="82"/>
      <c r="Q309" s="82"/>
      <c r="R309" s="38"/>
      <c r="S309" s="38"/>
      <c r="T309" s="38"/>
      <c r="U309" s="38"/>
      <c r="V309" s="38"/>
      <c r="W309" s="38"/>
      <c r="X309" s="38"/>
      <c r="Y309" s="38"/>
      <c r="Z309" s="38"/>
      <c r="AA309" s="38"/>
      <c r="AB309" s="38"/>
      <c r="AC309" s="38"/>
      <c r="AD309" s="38"/>
      <c r="AE309" s="38"/>
      <c r="AF309" s="38"/>
      <c r="AG309" s="38"/>
      <c r="AH309" s="38"/>
      <c r="AN309" s="37"/>
      <c r="AO309" s="37"/>
      <c r="AP309" s="78"/>
      <c r="AQ309" s="37"/>
      <c r="AR309" s="37"/>
      <c r="AS309" s="37"/>
      <c r="AT309" s="37"/>
      <c r="AU309" s="37"/>
      <c r="AV309" s="37"/>
      <c r="AW309" s="37"/>
      <c r="AX309" s="37"/>
      <c r="AY309" s="37"/>
      <c r="AZ309" s="78"/>
      <c r="BA309" s="37"/>
      <c r="BB309" s="78"/>
    </row>
    <row r="310" spans="3:54" ht="20.100000000000001" customHeight="1">
      <c r="C310" s="113"/>
      <c r="D310" s="114"/>
      <c r="P310" s="82"/>
      <c r="Q310" s="82"/>
      <c r="R310" s="38"/>
      <c r="S310" s="38"/>
      <c r="T310" s="38"/>
      <c r="U310" s="38"/>
      <c r="V310" s="38"/>
      <c r="W310" s="38"/>
      <c r="X310" s="38"/>
      <c r="Y310" s="38"/>
      <c r="Z310" s="38"/>
      <c r="AA310" s="38"/>
      <c r="AB310" s="38"/>
      <c r="AC310" s="38"/>
      <c r="AD310" s="38"/>
      <c r="AE310" s="38"/>
      <c r="AF310" s="38"/>
      <c r="AG310" s="38"/>
      <c r="AH310" s="38"/>
      <c r="AN310" s="37"/>
      <c r="AO310" s="37"/>
      <c r="AP310" s="78"/>
      <c r="AQ310" s="37"/>
      <c r="AR310" s="37"/>
      <c r="AS310" s="37"/>
      <c r="AT310" s="37"/>
      <c r="AU310" s="37"/>
      <c r="AV310" s="37"/>
      <c r="AW310" s="37"/>
      <c r="AX310" s="37"/>
      <c r="AY310" s="37"/>
      <c r="AZ310" s="78"/>
      <c r="BA310" s="37"/>
      <c r="BB310" s="78"/>
    </row>
    <row r="311" spans="3:54" ht="20.100000000000001" customHeight="1">
      <c r="C311" s="113"/>
      <c r="D311" s="114"/>
      <c r="P311" s="82"/>
      <c r="Q311" s="82"/>
      <c r="R311" s="38"/>
      <c r="S311" s="38"/>
      <c r="T311" s="38"/>
      <c r="U311" s="38"/>
      <c r="V311" s="38"/>
      <c r="W311" s="38"/>
      <c r="X311" s="38"/>
      <c r="Y311" s="38"/>
      <c r="Z311" s="38"/>
      <c r="AA311" s="38"/>
      <c r="AB311" s="38"/>
      <c r="AC311" s="38"/>
      <c r="AD311" s="38"/>
      <c r="AE311" s="38"/>
      <c r="AF311" s="38"/>
      <c r="AG311" s="38"/>
      <c r="AH311" s="38"/>
      <c r="AN311" s="37"/>
      <c r="AO311" s="37"/>
      <c r="AP311" s="78"/>
      <c r="AQ311" s="37"/>
      <c r="AR311" s="37"/>
      <c r="AS311" s="37"/>
      <c r="AT311" s="37"/>
      <c r="AU311" s="37"/>
      <c r="AV311" s="37"/>
      <c r="AW311" s="37"/>
      <c r="AX311" s="37"/>
      <c r="AY311" s="37"/>
      <c r="AZ311" s="78"/>
      <c r="BA311" s="37"/>
      <c r="BB311" s="78"/>
    </row>
    <row r="312" spans="3:54" ht="20.100000000000001" customHeight="1">
      <c r="C312" s="113"/>
      <c r="D312" s="114"/>
      <c r="P312" s="82"/>
      <c r="Q312" s="82"/>
      <c r="R312" s="38"/>
      <c r="S312" s="38"/>
      <c r="T312" s="38"/>
      <c r="U312" s="38"/>
      <c r="V312" s="38"/>
      <c r="W312" s="38"/>
      <c r="X312" s="38"/>
      <c r="Y312" s="38"/>
      <c r="Z312" s="38"/>
      <c r="AA312" s="38"/>
      <c r="AB312" s="38"/>
      <c r="AC312" s="38"/>
      <c r="AD312" s="38"/>
      <c r="AE312" s="38"/>
      <c r="AF312" s="38"/>
      <c r="AG312" s="38"/>
      <c r="AH312" s="38"/>
      <c r="AN312" s="37"/>
      <c r="AO312" s="37"/>
      <c r="AP312" s="78"/>
      <c r="AQ312" s="37"/>
      <c r="AR312" s="37"/>
      <c r="AS312" s="37"/>
      <c r="AT312" s="37"/>
      <c r="AU312" s="37"/>
      <c r="AV312" s="37"/>
      <c r="AW312" s="37"/>
      <c r="AX312" s="37"/>
      <c r="AY312" s="37"/>
      <c r="AZ312" s="78"/>
      <c r="BA312" s="37"/>
      <c r="BB312" s="78"/>
    </row>
    <row r="313" spans="3:54" ht="20.100000000000001" customHeight="1">
      <c r="C313" s="113"/>
      <c r="D313" s="114"/>
      <c r="P313" s="82"/>
      <c r="Q313" s="82"/>
      <c r="R313" s="38"/>
      <c r="S313" s="38"/>
      <c r="T313" s="38"/>
      <c r="U313" s="38"/>
      <c r="V313" s="38"/>
      <c r="W313" s="38"/>
      <c r="X313" s="38"/>
      <c r="Y313" s="38"/>
      <c r="Z313" s="38"/>
      <c r="AA313" s="38"/>
      <c r="AB313" s="38"/>
      <c r="AC313" s="38"/>
      <c r="AD313" s="38"/>
      <c r="AE313" s="38"/>
      <c r="AF313" s="38"/>
      <c r="AG313" s="38"/>
      <c r="AH313" s="38"/>
      <c r="AN313" s="37"/>
      <c r="AO313" s="37"/>
      <c r="AP313" s="78"/>
      <c r="AQ313" s="37"/>
      <c r="AR313" s="37"/>
      <c r="AS313" s="37"/>
      <c r="AT313" s="37"/>
      <c r="AU313" s="37"/>
      <c r="AV313" s="37"/>
      <c r="AW313" s="37"/>
      <c r="AX313" s="37"/>
      <c r="AY313" s="37"/>
      <c r="AZ313" s="78"/>
      <c r="BA313" s="37"/>
      <c r="BB313" s="78"/>
    </row>
    <row r="314" spans="3:54" ht="20.100000000000001" customHeight="1">
      <c r="C314" s="113"/>
      <c r="D314" s="114"/>
      <c r="P314" s="82"/>
      <c r="Q314" s="82"/>
      <c r="R314" s="38"/>
      <c r="S314" s="38"/>
      <c r="T314" s="38"/>
      <c r="U314" s="38"/>
      <c r="V314" s="38"/>
      <c r="W314" s="38"/>
      <c r="X314" s="38"/>
      <c r="Y314" s="38"/>
      <c r="Z314" s="38"/>
      <c r="AA314" s="38"/>
      <c r="AB314" s="38"/>
      <c r="AC314" s="38"/>
      <c r="AD314" s="38"/>
      <c r="AE314" s="38"/>
      <c r="AF314" s="38"/>
      <c r="AG314" s="38"/>
      <c r="AH314" s="38"/>
      <c r="AN314" s="37"/>
      <c r="AO314" s="37"/>
      <c r="AP314" s="78"/>
      <c r="AQ314" s="37"/>
      <c r="AR314" s="37"/>
      <c r="AS314" s="37"/>
      <c r="AT314" s="37"/>
      <c r="AU314" s="37"/>
      <c r="AV314" s="37"/>
      <c r="AW314" s="37"/>
      <c r="AX314" s="37"/>
      <c r="AY314" s="37"/>
      <c r="AZ314" s="78"/>
      <c r="BA314" s="37"/>
      <c r="BB314" s="78"/>
    </row>
    <row r="315" spans="3:54" ht="20.100000000000001" customHeight="1">
      <c r="C315" s="113"/>
      <c r="D315" s="114"/>
      <c r="P315" s="82"/>
      <c r="Q315" s="82"/>
      <c r="R315" s="38"/>
      <c r="S315" s="38"/>
      <c r="T315" s="38"/>
      <c r="U315" s="38"/>
      <c r="V315" s="38"/>
      <c r="W315" s="38"/>
      <c r="X315" s="38"/>
      <c r="Y315" s="38"/>
      <c r="Z315" s="38"/>
      <c r="AA315" s="38"/>
      <c r="AB315" s="38"/>
      <c r="AC315" s="38"/>
      <c r="AD315" s="38"/>
      <c r="AE315" s="38"/>
      <c r="AF315" s="38"/>
      <c r="AG315" s="38"/>
      <c r="AH315" s="38"/>
      <c r="AN315" s="37"/>
      <c r="AO315" s="37"/>
      <c r="AP315" s="78"/>
      <c r="AQ315" s="37"/>
      <c r="AR315" s="37"/>
      <c r="AS315" s="37"/>
      <c r="AT315" s="37"/>
      <c r="AU315" s="37"/>
      <c r="AV315" s="37"/>
      <c r="AW315" s="37"/>
      <c r="AX315" s="37"/>
      <c r="AY315" s="37"/>
      <c r="AZ315" s="78"/>
      <c r="BA315" s="37"/>
      <c r="BB315" s="78"/>
    </row>
    <row r="316" spans="3:54" ht="20.100000000000001" customHeight="1">
      <c r="C316" s="113"/>
      <c r="D316" s="114"/>
      <c r="P316" s="82"/>
      <c r="Q316" s="82"/>
      <c r="R316" s="38"/>
      <c r="S316" s="38"/>
      <c r="T316" s="38"/>
      <c r="U316" s="38"/>
      <c r="V316" s="38"/>
      <c r="W316" s="38"/>
      <c r="X316" s="38"/>
      <c r="Y316" s="38"/>
      <c r="Z316" s="38"/>
      <c r="AA316" s="38"/>
      <c r="AB316" s="38"/>
      <c r="AC316" s="38"/>
      <c r="AD316" s="38"/>
      <c r="AE316" s="38"/>
      <c r="AF316" s="38"/>
      <c r="AG316" s="38"/>
      <c r="AH316" s="38"/>
      <c r="AN316" s="37"/>
      <c r="AO316" s="37"/>
      <c r="AP316" s="78"/>
      <c r="AQ316" s="37"/>
      <c r="AR316" s="37"/>
      <c r="AS316" s="37"/>
      <c r="AT316" s="37"/>
      <c r="AU316" s="37"/>
      <c r="AV316" s="37"/>
      <c r="AW316" s="37"/>
      <c r="AX316" s="37"/>
      <c r="AY316" s="37"/>
      <c r="AZ316" s="78"/>
      <c r="BA316" s="37"/>
      <c r="BB316" s="78"/>
    </row>
    <row r="317" spans="3:54" ht="20.100000000000001" customHeight="1">
      <c r="C317" s="113"/>
      <c r="D317" s="114"/>
      <c r="P317" s="82"/>
      <c r="Q317" s="82"/>
      <c r="R317" s="38"/>
      <c r="S317" s="38"/>
      <c r="T317" s="38"/>
      <c r="U317" s="38"/>
      <c r="V317" s="38"/>
      <c r="W317" s="38"/>
      <c r="X317" s="38"/>
      <c r="Y317" s="38"/>
      <c r="Z317" s="38"/>
      <c r="AA317" s="38"/>
      <c r="AB317" s="38"/>
      <c r="AC317" s="38"/>
      <c r="AD317" s="38"/>
      <c r="AE317" s="38"/>
      <c r="AF317" s="38"/>
      <c r="AG317" s="38"/>
      <c r="AH317" s="38"/>
      <c r="AN317" s="37"/>
      <c r="AO317" s="37"/>
      <c r="AP317" s="78"/>
      <c r="AQ317" s="37"/>
      <c r="AR317" s="37"/>
      <c r="AS317" s="37"/>
      <c r="AT317" s="37"/>
      <c r="AU317" s="37"/>
      <c r="AV317" s="37"/>
      <c r="AW317" s="37"/>
      <c r="AX317" s="37"/>
      <c r="AY317" s="37"/>
      <c r="AZ317" s="78"/>
      <c r="BA317" s="37"/>
      <c r="BB317" s="78"/>
    </row>
    <row r="318" spans="3:54" ht="20.100000000000001" customHeight="1">
      <c r="C318" s="113"/>
      <c r="D318" s="114"/>
      <c r="P318" s="82"/>
      <c r="Q318" s="82"/>
      <c r="R318" s="38"/>
      <c r="S318" s="38"/>
      <c r="T318" s="38"/>
      <c r="U318" s="38"/>
      <c r="V318" s="38"/>
      <c r="W318" s="38"/>
      <c r="X318" s="38"/>
      <c r="Y318" s="38"/>
      <c r="Z318" s="38"/>
      <c r="AA318" s="38"/>
      <c r="AB318" s="38"/>
      <c r="AC318" s="38"/>
      <c r="AD318" s="38"/>
      <c r="AE318" s="38"/>
      <c r="AF318" s="38"/>
      <c r="AG318" s="38"/>
      <c r="AH318" s="38"/>
      <c r="AN318" s="37"/>
      <c r="AO318" s="37"/>
      <c r="AP318" s="78"/>
      <c r="AQ318" s="37"/>
      <c r="AR318" s="37"/>
      <c r="AS318" s="37"/>
      <c r="AT318" s="37"/>
      <c r="AU318" s="37"/>
      <c r="AV318" s="37"/>
      <c r="AW318" s="37"/>
      <c r="AX318" s="37"/>
      <c r="AY318" s="37"/>
      <c r="AZ318" s="78"/>
      <c r="BA318" s="37"/>
      <c r="BB318" s="78"/>
    </row>
    <row r="319" spans="3:54" ht="20.100000000000001" customHeight="1">
      <c r="C319" s="113"/>
      <c r="D319" s="114"/>
      <c r="P319" s="82"/>
      <c r="Q319" s="82"/>
      <c r="R319" s="38"/>
      <c r="S319" s="38"/>
      <c r="T319" s="38"/>
      <c r="U319" s="38"/>
      <c r="V319" s="38"/>
      <c r="W319" s="38"/>
      <c r="X319" s="38"/>
      <c r="Y319" s="38"/>
      <c r="Z319" s="38"/>
      <c r="AA319" s="38"/>
      <c r="AB319" s="38"/>
      <c r="AC319" s="38"/>
      <c r="AD319" s="38"/>
      <c r="AE319" s="38"/>
      <c r="AF319" s="38"/>
      <c r="AG319" s="38"/>
      <c r="AH319" s="38"/>
      <c r="AN319" s="37"/>
      <c r="AO319" s="37"/>
      <c r="AP319" s="78"/>
      <c r="AQ319" s="37"/>
      <c r="AR319" s="37"/>
      <c r="AS319" s="37"/>
      <c r="AT319" s="37"/>
      <c r="AU319" s="37"/>
      <c r="AV319" s="37"/>
      <c r="AW319" s="37"/>
      <c r="AX319" s="37"/>
      <c r="AY319" s="37"/>
      <c r="AZ319" s="78"/>
      <c r="BA319" s="37"/>
      <c r="BB319" s="78"/>
    </row>
    <row r="320" spans="3:54" ht="20.100000000000001" customHeight="1">
      <c r="C320" s="113"/>
      <c r="D320" s="114"/>
      <c r="P320" s="82"/>
      <c r="Q320" s="82"/>
      <c r="R320" s="38"/>
      <c r="S320" s="38"/>
      <c r="T320" s="38"/>
      <c r="U320" s="38"/>
      <c r="V320" s="38"/>
      <c r="W320" s="38"/>
      <c r="X320" s="38"/>
      <c r="Y320" s="38"/>
      <c r="Z320" s="38"/>
      <c r="AA320" s="38"/>
      <c r="AB320" s="38"/>
      <c r="AC320" s="38"/>
      <c r="AD320" s="38"/>
      <c r="AE320" s="38"/>
      <c r="AF320" s="38"/>
      <c r="AG320" s="38"/>
      <c r="AH320" s="38"/>
      <c r="AN320" s="37"/>
      <c r="AO320" s="37"/>
      <c r="AP320" s="78"/>
      <c r="AQ320" s="37"/>
      <c r="AR320" s="37"/>
      <c r="AS320" s="37"/>
      <c r="AT320" s="37"/>
      <c r="AU320" s="37"/>
      <c r="AV320" s="37"/>
      <c r="AW320" s="37"/>
      <c r="AX320" s="37"/>
      <c r="AY320" s="37"/>
      <c r="AZ320" s="78"/>
      <c r="BA320" s="37"/>
      <c r="BB320" s="78"/>
    </row>
    <row r="321" spans="3:54" ht="20.100000000000001" customHeight="1">
      <c r="C321" s="113"/>
      <c r="D321" s="114"/>
      <c r="P321" s="82"/>
      <c r="Q321" s="82"/>
      <c r="R321" s="38"/>
      <c r="S321" s="38"/>
      <c r="T321" s="38"/>
      <c r="U321" s="38"/>
      <c r="V321" s="38"/>
      <c r="W321" s="38"/>
      <c r="X321" s="38"/>
      <c r="Y321" s="38"/>
      <c r="Z321" s="38"/>
      <c r="AA321" s="38"/>
      <c r="AB321" s="38"/>
      <c r="AC321" s="38"/>
      <c r="AD321" s="38"/>
      <c r="AE321" s="38"/>
      <c r="AF321" s="38"/>
      <c r="AG321" s="38"/>
      <c r="AH321" s="38"/>
      <c r="AN321" s="37"/>
      <c r="AO321" s="37"/>
      <c r="AP321" s="78"/>
      <c r="AQ321" s="37"/>
      <c r="AR321" s="37"/>
      <c r="AS321" s="37"/>
      <c r="AT321" s="37"/>
      <c r="AU321" s="37"/>
      <c r="AV321" s="37"/>
      <c r="AW321" s="37"/>
      <c r="AX321" s="37"/>
      <c r="AY321" s="37"/>
      <c r="AZ321" s="78"/>
      <c r="BA321" s="37"/>
      <c r="BB321" s="78"/>
    </row>
    <row r="322" spans="3:54" ht="20.100000000000001" customHeight="1">
      <c r="C322" s="113"/>
      <c r="D322" s="114"/>
      <c r="P322" s="82"/>
      <c r="Q322" s="82"/>
      <c r="R322" s="38"/>
      <c r="S322" s="38"/>
      <c r="T322" s="38"/>
      <c r="U322" s="38"/>
      <c r="V322" s="38"/>
      <c r="W322" s="38"/>
      <c r="X322" s="38"/>
      <c r="Y322" s="38"/>
      <c r="Z322" s="38"/>
      <c r="AA322" s="38"/>
      <c r="AB322" s="38"/>
      <c r="AC322" s="38"/>
      <c r="AD322" s="38"/>
      <c r="AE322" s="38"/>
      <c r="AF322" s="38"/>
      <c r="AG322" s="38"/>
      <c r="AH322" s="38"/>
      <c r="AN322" s="37"/>
      <c r="AO322" s="37"/>
      <c r="AP322" s="78"/>
      <c r="AQ322" s="37"/>
      <c r="AR322" s="37"/>
      <c r="AS322" s="37"/>
      <c r="AT322" s="37"/>
      <c r="AU322" s="37"/>
      <c r="AV322" s="37"/>
      <c r="AW322" s="37"/>
      <c r="AX322" s="37"/>
      <c r="AY322" s="37"/>
      <c r="AZ322" s="78"/>
      <c r="BA322" s="37"/>
      <c r="BB322" s="78"/>
    </row>
    <row r="323" spans="3:54" ht="20.100000000000001" customHeight="1">
      <c r="C323" s="113"/>
      <c r="D323" s="114"/>
      <c r="P323" s="82"/>
      <c r="Q323" s="82"/>
      <c r="R323" s="38"/>
      <c r="S323" s="38"/>
      <c r="T323" s="38"/>
      <c r="U323" s="38"/>
      <c r="V323" s="38"/>
      <c r="W323" s="38"/>
      <c r="X323" s="38"/>
      <c r="Y323" s="38"/>
      <c r="Z323" s="38"/>
      <c r="AA323" s="38"/>
      <c r="AB323" s="38"/>
      <c r="AC323" s="38"/>
      <c r="AD323" s="38"/>
      <c r="AE323" s="38"/>
      <c r="AF323" s="38"/>
      <c r="AG323" s="38"/>
      <c r="AH323" s="38"/>
      <c r="AN323" s="37"/>
      <c r="AO323" s="37"/>
      <c r="AP323" s="78"/>
      <c r="AQ323" s="37"/>
      <c r="AR323" s="37"/>
      <c r="AS323" s="37"/>
      <c r="AT323" s="37"/>
      <c r="AU323" s="37"/>
      <c r="AV323" s="37"/>
      <c r="AW323" s="37"/>
      <c r="AX323" s="37"/>
      <c r="AY323" s="37"/>
      <c r="AZ323" s="78"/>
      <c r="BA323" s="37"/>
      <c r="BB323" s="78"/>
    </row>
    <row r="324" spans="3:54" ht="20.100000000000001" customHeight="1">
      <c r="C324" s="113"/>
      <c r="D324" s="114"/>
      <c r="P324" s="82"/>
      <c r="Q324" s="82"/>
      <c r="R324" s="38"/>
      <c r="S324" s="38"/>
      <c r="T324" s="38"/>
      <c r="U324" s="38"/>
      <c r="V324" s="38"/>
      <c r="W324" s="38"/>
      <c r="X324" s="38"/>
      <c r="Y324" s="38"/>
      <c r="Z324" s="38"/>
      <c r="AA324" s="38"/>
      <c r="AB324" s="38"/>
      <c r="AC324" s="38"/>
      <c r="AD324" s="38"/>
      <c r="AE324" s="38"/>
      <c r="AF324" s="38"/>
      <c r="AG324" s="38"/>
      <c r="AH324" s="38"/>
      <c r="AN324" s="37"/>
      <c r="AO324" s="37"/>
      <c r="AP324" s="78"/>
      <c r="AQ324" s="37"/>
      <c r="AR324" s="37"/>
      <c r="AS324" s="37"/>
      <c r="AT324" s="37"/>
      <c r="AU324" s="37"/>
      <c r="AV324" s="37"/>
      <c r="AW324" s="37"/>
      <c r="AX324" s="37"/>
      <c r="AY324" s="37"/>
      <c r="AZ324" s="78"/>
      <c r="BA324" s="37"/>
      <c r="BB324" s="78"/>
    </row>
    <row r="325" spans="3:54" ht="20.100000000000001" customHeight="1">
      <c r="C325" s="113"/>
      <c r="D325" s="114"/>
      <c r="P325" s="82"/>
      <c r="Q325" s="82"/>
      <c r="R325" s="38"/>
      <c r="S325" s="38"/>
      <c r="T325" s="38"/>
      <c r="U325" s="38"/>
      <c r="V325" s="38"/>
      <c r="W325" s="38"/>
      <c r="X325" s="38"/>
      <c r="Y325" s="38"/>
      <c r="Z325" s="38"/>
      <c r="AA325" s="38"/>
      <c r="AB325" s="38"/>
      <c r="AC325" s="38"/>
      <c r="AD325" s="38"/>
      <c r="AE325" s="38"/>
      <c r="AF325" s="38"/>
      <c r="AG325" s="38"/>
      <c r="AH325" s="38"/>
      <c r="AN325" s="37"/>
      <c r="AO325" s="37"/>
      <c r="AP325" s="78"/>
      <c r="AQ325" s="37"/>
      <c r="AR325" s="37"/>
      <c r="AS325" s="37"/>
      <c r="AT325" s="37"/>
      <c r="AU325" s="37"/>
      <c r="AV325" s="37"/>
      <c r="AW325" s="37"/>
      <c r="AX325" s="37"/>
      <c r="AY325" s="37"/>
      <c r="AZ325" s="78"/>
      <c r="BA325" s="37"/>
      <c r="BB325" s="78"/>
    </row>
    <row r="326" spans="3:54" ht="20.100000000000001" customHeight="1">
      <c r="C326" s="113"/>
      <c r="D326" s="114"/>
      <c r="P326" s="82"/>
      <c r="Q326" s="82"/>
      <c r="R326" s="38"/>
      <c r="S326" s="38"/>
      <c r="T326" s="38"/>
      <c r="U326" s="38"/>
      <c r="V326" s="38"/>
      <c r="W326" s="38"/>
      <c r="X326" s="38"/>
      <c r="Y326" s="38"/>
      <c r="Z326" s="38"/>
      <c r="AA326" s="38"/>
      <c r="AB326" s="38"/>
      <c r="AC326" s="38"/>
      <c r="AD326" s="38"/>
      <c r="AE326" s="38"/>
      <c r="AF326" s="38"/>
      <c r="AG326" s="38"/>
      <c r="AH326" s="38"/>
      <c r="AN326" s="37"/>
      <c r="AO326" s="37"/>
      <c r="AP326" s="78"/>
      <c r="AQ326" s="37"/>
      <c r="AR326" s="37"/>
      <c r="AS326" s="37"/>
      <c r="AT326" s="37"/>
      <c r="AU326" s="37"/>
      <c r="AV326" s="37"/>
      <c r="AW326" s="37"/>
      <c r="AX326" s="37"/>
      <c r="AY326" s="37"/>
      <c r="AZ326" s="78"/>
      <c r="BA326" s="37"/>
      <c r="BB326" s="78"/>
    </row>
    <row r="327" spans="3:54" ht="20.100000000000001" customHeight="1">
      <c r="C327" s="113"/>
      <c r="D327" s="114"/>
      <c r="P327" s="82"/>
      <c r="Q327" s="82"/>
      <c r="R327" s="38"/>
      <c r="S327" s="38"/>
      <c r="T327" s="38"/>
      <c r="U327" s="38"/>
      <c r="V327" s="38"/>
      <c r="W327" s="38"/>
      <c r="X327" s="38"/>
      <c r="Y327" s="38"/>
      <c r="Z327" s="38"/>
      <c r="AA327" s="38"/>
      <c r="AB327" s="38"/>
      <c r="AC327" s="38"/>
      <c r="AD327" s="38"/>
      <c r="AE327" s="38"/>
      <c r="AF327" s="38"/>
      <c r="AG327" s="38"/>
      <c r="AH327" s="38"/>
      <c r="AN327" s="37"/>
      <c r="AO327" s="37"/>
      <c r="AP327" s="78"/>
      <c r="AQ327" s="37"/>
      <c r="AR327" s="37"/>
      <c r="AS327" s="37"/>
      <c r="AT327" s="37"/>
      <c r="AU327" s="37"/>
      <c r="AV327" s="37"/>
      <c r="AW327" s="37"/>
      <c r="AX327" s="37"/>
      <c r="AY327" s="37"/>
      <c r="AZ327" s="78"/>
      <c r="BA327" s="37"/>
      <c r="BB327" s="78"/>
    </row>
    <row r="328" spans="3:54" ht="20.100000000000001" customHeight="1">
      <c r="C328" s="113"/>
      <c r="D328" s="114"/>
      <c r="P328" s="82"/>
      <c r="Q328" s="82"/>
      <c r="R328" s="38"/>
      <c r="S328" s="38"/>
      <c r="T328" s="38"/>
      <c r="U328" s="38"/>
      <c r="V328" s="38"/>
      <c r="W328" s="38"/>
      <c r="X328" s="38"/>
      <c r="Y328" s="38"/>
      <c r="Z328" s="38"/>
      <c r="AA328" s="38"/>
      <c r="AB328" s="38"/>
      <c r="AC328" s="38"/>
      <c r="AD328" s="38"/>
      <c r="AE328" s="38"/>
      <c r="AF328" s="38"/>
      <c r="AG328" s="38"/>
      <c r="AH328" s="38"/>
      <c r="AN328" s="37"/>
      <c r="AO328" s="37"/>
      <c r="AP328" s="78"/>
      <c r="AQ328" s="37"/>
      <c r="AR328" s="37"/>
      <c r="AS328" s="37"/>
      <c r="AT328" s="37"/>
      <c r="AU328" s="37"/>
      <c r="AV328" s="37"/>
      <c r="AW328" s="37"/>
      <c r="AX328" s="37"/>
      <c r="AY328" s="37"/>
      <c r="AZ328" s="78"/>
      <c r="BA328" s="37"/>
      <c r="BB328" s="78"/>
    </row>
    <row r="329" spans="3:54" ht="20.100000000000001" customHeight="1">
      <c r="C329" s="113"/>
      <c r="D329" s="114"/>
      <c r="P329" s="82"/>
      <c r="Q329" s="82"/>
      <c r="R329" s="38"/>
      <c r="S329" s="38"/>
      <c r="T329" s="38"/>
      <c r="U329" s="38"/>
      <c r="V329" s="38"/>
      <c r="W329" s="38"/>
      <c r="X329" s="38"/>
      <c r="Y329" s="38"/>
      <c r="Z329" s="38"/>
      <c r="AA329" s="38"/>
      <c r="AB329" s="38"/>
      <c r="AC329" s="38"/>
      <c r="AD329" s="38"/>
      <c r="AE329" s="38"/>
      <c r="AF329" s="38"/>
      <c r="AG329" s="38"/>
      <c r="AH329" s="38"/>
      <c r="AN329" s="37"/>
      <c r="AO329" s="37"/>
      <c r="AP329" s="78"/>
      <c r="AQ329" s="37"/>
      <c r="AR329" s="37"/>
      <c r="AS329" s="37"/>
      <c r="AT329" s="37"/>
      <c r="AU329" s="37"/>
      <c r="AV329" s="37"/>
      <c r="AW329" s="37"/>
      <c r="AX329" s="37"/>
      <c r="AY329" s="37"/>
      <c r="AZ329" s="78"/>
      <c r="BA329" s="37"/>
      <c r="BB329" s="78"/>
    </row>
    <row r="330" spans="3:54" ht="20.100000000000001" customHeight="1">
      <c r="C330" s="113"/>
      <c r="D330" s="114"/>
      <c r="P330" s="82"/>
      <c r="Q330" s="82"/>
      <c r="R330" s="38"/>
      <c r="S330" s="38"/>
      <c r="T330" s="38"/>
      <c r="U330" s="38"/>
      <c r="V330" s="38"/>
      <c r="W330" s="38"/>
      <c r="X330" s="38"/>
      <c r="Y330" s="38"/>
      <c r="Z330" s="38"/>
      <c r="AA330" s="38"/>
      <c r="AB330" s="38"/>
      <c r="AC330" s="38"/>
      <c r="AD330" s="38"/>
      <c r="AE330" s="38"/>
      <c r="AF330" s="38"/>
      <c r="AG330" s="38"/>
      <c r="AH330" s="38"/>
      <c r="AN330" s="37"/>
      <c r="AO330" s="37"/>
      <c r="AP330" s="78"/>
      <c r="AQ330" s="37"/>
      <c r="AR330" s="37"/>
      <c r="AS330" s="37"/>
      <c r="AT330" s="37"/>
      <c r="AU330" s="37"/>
      <c r="AV330" s="37"/>
      <c r="AW330" s="37"/>
      <c r="AX330" s="37"/>
      <c r="AY330" s="37"/>
      <c r="AZ330" s="78"/>
      <c r="BA330" s="37"/>
      <c r="BB330" s="78"/>
    </row>
    <row r="331" spans="3:54" ht="20.100000000000001" customHeight="1">
      <c r="C331" s="113"/>
      <c r="D331" s="114"/>
      <c r="P331" s="82"/>
      <c r="Q331" s="82"/>
      <c r="R331" s="38"/>
      <c r="S331" s="38"/>
      <c r="T331" s="38"/>
      <c r="U331" s="38"/>
      <c r="V331" s="38"/>
      <c r="W331" s="38"/>
      <c r="X331" s="38"/>
      <c r="Y331" s="38"/>
      <c r="Z331" s="38"/>
      <c r="AA331" s="38"/>
      <c r="AB331" s="38"/>
      <c r="AC331" s="38"/>
      <c r="AD331" s="38"/>
      <c r="AE331" s="38"/>
      <c r="AF331" s="38"/>
      <c r="AG331" s="38"/>
      <c r="AH331" s="38"/>
      <c r="AN331" s="37"/>
      <c r="AO331" s="37"/>
      <c r="AP331" s="78"/>
      <c r="AQ331" s="37"/>
      <c r="AR331" s="37"/>
      <c r="AS331" s="37"/>
      <c r="AT331" s="37"/>
      <c r="AU331" s="37"/>
      <c r="AV331" s="37"/>
      <c r="AW331" s="37"/>
      <c r="AX331" s="37"/>
      <c r="AY331" s="37"/>
      <c r="AZ331" s="78"/>
      <c r="BA331" s="37"/>
      <c r="BB331" s="78"/>
    </row>
    <row r="332" spans="3:54" ht="20.100000000000001" customHeight="1">
      <c r="C332" s="113"/>
      <c r="D332" s="114"/>
      <c r="P332" s="82"/>
      <c r="Q332" s="82"/>
      <c r="R332" s="38"/>
      <c r="S332" s="38"/>
      <c r="T332" s="38"/>
      <c r="U332" s="38"/>
      <c r="V332" s="38"/>
      <c r="W332" s="38"/>
      <c r="X332" s="38"/>
      <c r="Y332" s="38"/>
      <c r="Z332" s="38"/>
      <c r="AA332" s="38"/>
      <c r="AB332" s="38"/>
      <c r="AC332" s="38"/>
      <c r="AD332" s="38"/>
      <c r="AE332" s="38"/>
      <c r="AF332" s="38"/>
      <c r="AG332" s="38"/>
      <c r="AH332" s="38"/>
      <c r="AN332" s="37"/>
      <c r="AO332" s="37"/>
      <c r="AP332" s="78"/>
      <c r="AQ332" s="37"/>
      <c r="AR332" s="37"/>
      <c r="AS332" s="37"/>
      <c r="AT332" s="37"/>
      <c r="AU332" s="37"/>
      <c r="AV332" s="37"/>
      <c r="AW332" s="37"/>
      <c r="AX332" s="37"/>
      <c r="AY332" s="37"/>
      <c r="AZ332" s="78"/>
      <c r="BA332" s="37"/>
      <c r="BB332" s="78"/>
    </row>
    <row r="333" spans="3:54" ht="20.100000000000001" customHeight="1">
      <c r="C333" s="113"/>
      <c r="D333" s="114"/>
      <c r="P333" s="82"/>
      <c r="Q333" s="82"/>
      <c r="R333" s="38"/>
      <c r="S333" s="38"/>
      <c r="T333" s="38"/>
      <c r="U333" s="38"/>
      <c r="V333" s="38"/>
      <c r="W333" s="38"/>
      <c r="X333" s="38"/>
      <c r="Y333" s="38"/>
      <c r="Z333" s="38"/>
      <c r="AA333" s="38"/>
      <c r="AB333" s="38"/>
      <c r="AC333" s="38"/>
      <c r="AD333" s="38"/>
      <c r="AE333" s="38"/>
      <c r="AF333" s="38"/>
      <c r="AG333" s="38"/>
      <c r="AH333" s="38"/>
      <c r="AN333" s="37"/>
      <c r="AO333" s="37"/>
      <c r="AP333" s="78"/>
      <c r="AQ333" s="37"/>
      <c r="AR333" s="37"/>
      <c r="AS333" s="37"/>
      <c r="AT333" s="37"/>
      <c r="AU333" s="37"/>
      <c r="AV333" s="37"/>
      <c r="AW333" s="37"/>
      <c r="AX333" s="37"/>
      <c r="AY333" s="37"/>
      <c r="AZ333" s="78"/>
      <c r="BA333" s="37"/>
      <c r="BB333" s="78"/>
    </row>
    <row r="334" spans="3:54" ht="20.100000000000001" customHeight="1">
      <c r="C334" s="113"/>
      <c r="D334" s="114"/>
      <c r="P334" s="82"/>
      <c r="Q334" s="82"/>
      <c r="R334" s="38"/>
      <c r="S334" s="38"/>
      <c r="T334" s="38"/>
      <c r="U334" s="38"/>
      <c r="V334" s="38"/>
      <c r="W334" s="38"/>
      <c r="X334" s="38"/>
      <c r="Y334" s="38"/>
      <c r="Z334" s="38"/>
      <c r="AA334" s="38"/>
      <c r="AB334" s="38"/>
      <c r="AC334" s="38"/>
      <c r="AD334" s="38"/>
      <c r="AE334" s="38"/>
      <c r="AF334" s="38"/>
      <c r="AG334" s="38"/>
      <c r="AH334" s="38"/>
      <c r="AN334" s="37"/>
      <c r="AO334" s="37"/>
      <c r="AP334" s="78"/>
      <c r="AQ334" s="37"/>
      <c r="AR334" s="37"/>
      <c r="AS334" s="37"/>
      <c r="AT334" s="37"/>
      <c r="AU334" s="37"/>
      <c r="AV334" s="37"/>
      <c r="AW334" s="37"/>
      <c r="AX334" s="37"/>
      <c r="AY334" s="37"/>
      <c r="AZ334" s="78"/>
      <c r="BA334" s="37"/>
      <c r="BB334" s="78"/>
    </row>
    <row r="335" spans="3:54" ht="20.100000000000001" customHeight="1">
      <c r="C335" s="113"/>
      <c r="D335" s="114"/>
      <c r="P335" s="82"/>
      <c r="Q335" s="82"/>
      <c r="R335" s="38"/>
      <c r="S335" s="38"/>
      <c r="T335" s="38"/>
      <c r="U335" s="38"/>
      <c r="V335" s="38"/>
      <c r="W335" s="38"/>
      <c r="X335" s="38"/>
      <c r="Y335" s="38"/>
      <c r="Z335" s="38"/>
      <c r="AA335" s="38"/>
      <c r="AB335" s="38"/>
      <c r="AC335" s="38"/>
      <c r="AD335" s="38"/>
      <c r="AE335" s="38"/>
      <c r="AF335" s="38"/>
      <c r="AG335" s="38"/>
      <c r="AH335" s="38"/>
      <c r="AN335" s="37"/>
      <c r="AO335" s="37"/>
      <c r="AP335" s="78"/>
      <c r="AQ335" s="37"/>
      <c r="AR335" s="37"/>
      <c r="AS335" s="37"/>
      <c r="AT335" s="37"/>
      <c r="AU335" s="37"/>
      <c r="AV335" s="37"/>
      <c r="AW335" s="37"/>
      <c r="AX335" s="37"/>
      <c r="AY335" s="37"/>
      <c r="AZ335" s="78"/>
      <c r="BA335" s="37"/>
      <c r="BB335" s="78"/>
    </row>
    <row r="336" spans="3:54" ht="20.100000000000001" customHeight="1">
      <c r="C336" s="113"/>
      <c r="D336" s="114"/>
      <c r="P336" s="82"/>
      <c r="Q336" s="82"/>
      <c r="R336" s="38"/>
      <c r="S336" s="38"/>
      <c r="T336" s="38"/>
      <c r="U336" s="38"/>
      <c r="V336" s="38"/>
      <c r="W336" s="38"/>
      <c r="X336" s="38"/>
      <c r="Y336" s="38"/>
      <c r="Z336" s="38"/>
      <c r="AA336" s="38"/>
      <c r="AB336" s="38"/>
      <c r="AC336" s="38"/>
      <c r="AD336" s="38"/>
      <c r="AE336" s="38"/>
      <c r="AF336" s="38"/>
      <c r="AG336" s="38"/>
      <c r="AH336" s="38"/>
      <c r="AN336" s="37"/>
      <c r="AO336" s="37"/>
      <c r="AP336" s="78"/>
      <c r="AQ336" s="37"/>
      <c r="AR336" s="37"/>
      <c r="AS336" s="37"/>
      <c r="AT336" s="37"/>
      <c r="AU336" s="37"/>
      <c r="AV336" s="37"/>
      <c r="AW336" s="37"/>
      <c r="AX336" s="37"/>
      <c r="AY336" s="37"/>
      <c r="AZ336" s="78"/>
      <c r="BA336" s="37"/>
      <c r="BB336" s="78"/>
    </row>
    <row r="337" spans="3:54" ht="20.100000000000001" customHeight="1">
      <c r="C337" s="113"/>
      <c r="D337" s="114"/>
      <c r="P337" s="82"/>
      <c r="Q337" s="82"/>
      <c r="R337" s="38"/>
      <c r="S337" s="38"/>
      <c r="T337" s="38"/>
      <c r="U337" s="38"/>
      <c r="V337" s="38"/>
      <c r="W337" s="38"/>
      <c r="X337" s="38"/>
      <c r="Y337" s="38"/>
      <c r="Z337" s="38"/>
      <c r="AA337" s="38"/>
      <c r="AB337" s="38"/>
      <c r="AC337" s="38"/>
      <c r="AD337" s="38"/>
      <c r="AE337" s="38"/>
      <c r="AF337" s="38"/>
      <c r="AG337" s="38"/>
      <c r="AH337" s="38"/>
      <c r="AN337" s="37"/>
      <c r="AO337" s="37"/>
      <c r="AP337" s="78"/>
      <c r="AQ337" s="37"/>
      <c r="AR337" s="37"/>
      <c r="AS337" s="37"/>
      <c r="AT337" s="37"/>
      <c r="AU337" s="37"/>
      <c r="AV337" s="37"/>
      <c r="AW337" s="37"/>
      <c r="AX337" s="37"/>
      <c r="AY337" s="37"/>
      <c r="AZ337" s="78"/>
      <c r="BA337" s="37"/>
      <c r="BB337" s="78"/>
    </row>
    <row r="338" spans="3:54" ht="20.100000000000001" customHeight="1">
      <c r="C338" s="113"/>
      <c r="D338" s="114"/>
      <c r="P338" s="82"/>
      <c r="Q338" s="82"/>
      <c r="R338" s="38"/>
      <c r="S338" s="38"/>
      <c r="T338" s="38"/>
      <c r="U338" s="38"/>
      <c r="V338" s="38"/>
      <c r="W338" s="38"/>
      <c r="X338" s="38"/>
      <c r="Y338" s="38"/>
      <c r="Z338" s="38"/>
      <c r="AA338" s="38"/>
      <c r="AB338" s="38"/>
      <c r="AC338" s="38"/>
      <c r="AD338" s="38"/>
      <c r="AE338" s="38"/>
      <c r="AF338" s="38"/>
      <c r="AG338" s="38"/>
      <c r="AH338" s="38"/>
      <c r="AN338" s="37"/>
      <c r="AO338" s="37"/>
      <c r="AP338" s="78"/>
      <c r="AQ338" s="37"/>
      <c r="AR338" s="37"/>
      <c r="AS338" s="37"/>
      <c r="AT338" s="37"/>
      <c r="AU338" s="37"/>
      <c r="AV338" s="37"/>
      <c r="AW338" s="37"/>
      <c r="AX338" s="37"/>
      <c r="AY338" s="37"/>
      <c r="AZ338" s="78"/>
      <c r="BA338" s="37"/>
      <c r="BB338" s="78"/>
    </row>
    <row r="339" spans="3:54" ht="20.100000000000001" customHeight="1">
      <c r="C339" s="113"/>
      <c r="D339" s="114"/>
      <c r="P339" s="82"/>
      <c r="Q339" s="82"/>
      <c r="R339" s="38"/>
      <c r="S339" s="38"/>
      <c r="T339" s="38"/>
      <c r="U339" s="38"/>
      <c r="V339" s="38"/>
      <c r="W339" s="38"/>
      <c r="X339" s="38"/>
      <c r="Y339" s="38"/>
      <c r="Z339" s="38"/>
      <c r="AA339" s="38"/>
      <c r="AB339" s="38"/>
      <c r="AC339" s="38"/>
      <c r="AD339" s="38"/>
      <c r="AE339" s="38"/>
      <c r="AF339" s="38"/>
      <c r="AG339" s="38"/>
      <c r="AH339" s="38"/>
      <c r="AN339" s="37"/>
      <c r="AO339" s="37"/>
      <c r="AP339" s="78"/>
      <c r="AQ339" s="37"/>
      <c r="AR339" s="37"/>
      <c r="AS339" s="37"/>
      <c r="AT339" s="37"/>
      <c r="AU339" s="37"/>
      <c r="AV339" s="37"/>
      <c r="AW339" s="37"/>
      <c r="AX339" s="37"/>
      <c r="AY339" s="37"/>
      <c r="AZ339" s="78"/>
      <c r="BA339" s="37"/>
      <c r="BB339" s="78"/>
    </row>
    <row r="340" spans="3:54" ht="20.100000000000001" customHeight="1">
      <c r="C340" s="113"/>
      <c r="D340" s="114"/>
      <c r="P340" s="82"/>
      <c r="Q340" s="82"/>
      <c r="R340" s="38"/>
      <c r="S340" s="38"/>
      <c r="T340" s="38"/>
      <c r="U340" s="38"/>
      <c r="V340" s="38"/>
      <c r="W340" s="38"/>
      <c r="X340" s="38"/>
      <c r="Y340" s="38"/>
      <c r="Z340" s="38"/>
      <c r="AA340" s="38"/>
      <c r="AB340" s="38"/>
      <c r="AC340" s="38"/>
      <c r="AD340" s="38"/>
      <c r="AE340" s="38"/>
      <c r="AF340" s="38"/>
      <c r="AG340" s="38"/>
      <c r="AH340" s="38"/>
      <c r="AN340" s="37"/>
      <c r="AO340" s="37"/>
      <c r="AP340" s="78"/>
      <c r="AQ340" s="37"/>
      <c r="AR340" s="37"/>
      <c r="AS340" s="37"/>
      <c r="AT340" s="37"/>
      <c r="AU340" s="37"/>
      <c r="AV340" s="37"/>
      <c r="AW340" s="37"/>
      <c r="AX340" s="37"/>
      <c r="AY340" s="37"/>
      <c r="AZ340" s="78"/>
      <c r="BA340" s="37"/>
      <c r="BB340" s="78"/>
    </row>
    <row r="341" spans="3:54" ht="20.100000000000001" customHeight="1">
      <c r="C341" s="113"/>
      <c r="D341" s="114"/>
      <c r="P341" s="82"/>
      <c r="Q341" s="82"/>
      <c r="R341" s="38"/>
      <c r="S341" s="38"/>
      <c r="T341" s="38"/>
      <c r="U341" s="38"/>
      <c r="V341" s="38"/>
      <c r="W341" s="38"/>
      <c r="X341" s="38"/>
      <c r="Y341" s="38"/>
      <c r="Z341" s="38"/>
      <c r="AA341" s="38"/>
      <c r="AB341" s="38"/>
      <c r="AC341" s="38"/>
      <c r="AD341" s="38"/>
      <c r="AE341" s="38"/>
      <c r="AF341" s="38"/>
      <c r="AG341" s="38"/>
      <c r="AH341" s="38"/>
      <c r="AN341" s="37"/>
      <c r="AO341" s="37"/>
      <c r="AP341" s="78"/>
      <c r="AQ341" s="37"/>
      <c r="AR341" s="37"/>
      <c r="AS341" s="37"/>
      <c r="AT341" s="37"/>
      <c r="AU341" s="37"/>
      <c r="AV341" s="37"/>
      <c r="AW341" s="37"/>
      <c r="AX341" s="37"/>
      <c r="AY341" s="37"/>
      <c r="AZ341" s="78"/>
      <c r="BA341" s="37"/>
      <c r="BB341" s="78"/>
    </row>
    <row r="342" spans="3:54" ht="20.100000000000001" customHeight="1">
      <c r="C342" s="113"/>
      <c r="D342" s="114"/>
      <c r="P342" s="82"/>
      <c r="Q342" s="82"/>
      <c r="R342" s="38"/>
      <c r="S342" s="38"/>
      <c r="T342" s="38"/>
      <c r="U342" s="38"/>
      <c r="V342" s="38"/>
      <c r="W342" s="38"/>
      <c r="X342" s="38"/>
      <c r="Y342" s="38"/>
      <c r="Z342" s="38"/>
      <c r="AA342" s="38"/>
      <c r="AB342" s="38"/>
      <c r="AC342" s="38"/>
      <c r="AD342" s="38"/>
      <c r="AE342" s="38"/>
      <c r="AF342" s="38"/>
      <c r="AG342" s="38"/>
      <c r="AH342" s="38"/>
      <c r="AN342" s="37"/>
      <c r="AO342" s="37"/>
      <c r="AP342" s="78"/>
      <c r="AQ342" s="37"/>
      <c r="AR342" s="37"/>
      <c r="AS342" s="37"/>
      <c r="AT342" s="37"/>
      <c r="AU342" s="37"/>
      <c r="AV342" s="37"/>
      <c r="AW342" s="37"/>
      <c r="AX342" s="37"/>
      <c r="AY342" s="37"/>
      <c r="AZ342" s="78"/>
      <c r="BA342" s="37"/>
      <c r="BB342" s="78"/>
    </row>
    <row r="343" spans="3:54" ht="20.100000000000001" customHeight="1">
      <c r="C343" s="113"/>
      <c r="D343" s="114"/>
      <c r="P343" s="82"/>
      <c r="Q343" s="82"/>
      <c r="R343" s="38"/>
      <c r="S343" s="38"/>
      <c r="T343" s="38"/>
      <c r="U343" s="38"/>
      <c r="V343" s="38"/>
      <c r="W343" s="38"/>
      <c r="X343" s="38"/>
      <c r="Y343" s="38"/>
      <c r="Z343" s="38"/>
      <c r="AA343" s="38"/>
      <c r="AB343" s="38"/>
      <c r="AC343" s="38"/>
      <c r="AD343" s="38"/>
      <c r="AE343" s="38"/>
      <c r="AF343" s="38"/>
      <c r="AG343" s="38"/>
      <c r="AH343" s="38"/>
      <c r="AN343" s="37"/>
      <c r="AO343" s="37"/>
      <c r="AP343" s="78"/>
      <c r="AQ343" s="37"/>
      <c r="AR343" s="37"/>
      <c r="AS343" s="37"/>
      <c r="AT343" s="37"/>
      <c r="AU343" s="37"/>
      <c r="AV343" s="37"/>
      <c r="AW343" s="37"/>
      <c r="AX343" s="37"/>
      <c r="AY343" s="37"/>
      <c r="AZ343" s="78"/>
      <c r="BA343" s="37"/>
      <c r="BB343" s="78"/>
    </row>
    <row r="344" spans="3:54" ht="20.100000000000001" customHeight="1">
      <c r="C344" s="113"/>
      <c r="D344" s="114"/>
      <c r="P344" s="82"/>
      <c r="Q344" s="82"/>
      <c r="R344" s="38"/>
      <c r="S344" s="38"/>
      <c r="T344" s="38"/>
      <c r="U344" s="38"/>
      <c r="V344" s="38"/>
      <c r="W344" s="38"/>
      <c r="X344" s="38"/>
      <c r="Y344" s="38"/>
      <c r="Z344" s="38"/>
      <c r="AA344" s="38"/>
      <c r="AB344" s="38"/>
      <c r="AC344" s="38"/>
      <c r="AD344" s="38"/>
      <c r="AE344" s="38"/>
      <c r="AF344" s="38"/>
      <c r="AG344" s="38"/>
      <c r="AH344" s="38"/>
      <c r="AN344" s="37"/>
      <c r="AO344" s="37"/>
      <c r="AP344" s="78"/>
      <c r="AQ344" s="37"/>
      <c r="AR344" s="37"/>
      <c r="AS344" s="37"/>
      <c r="AT344" s="37"/>
      <c r="AU344" s="37"/>
      <c r="AV344" s="37"/>
      <c r="AW344" s="37"/>
      <c r="AX344" s="37"/>
      <c r="AY344" s="37"/>
      <c r="AZ344" s="78"/>
      <c r="BA344" s="37"/>
      <c r="BB344" s="78"/>
    </row>
    <row r="345" spans="3:54" ht="20.100000000000001" customHeight="1">
      <c r="C345" s="113"/>
      <c r="D345" s="114"/>
      <c r="P345" s="82"/>
      <c r="Q345" s="82"/>
      <c r="R345" s="38"/>
      <c r="S345" s="38"/>
      <c r="T345" s="38"/>
      <c r="U345" s="38"/>
      <c r="V345" s="38"/>
      <c r="W345" s="38"/>
      <c r="X345" s="38"/>
      <c r="Y345" s="38"/>
      <c r="Z345" s="38"/>
      <c r="AA345" s="38"/>
      <c r="AB345" s="38"/>
      <c r="AC345" s="38"/>
      <c r="AD345" s="38"/>
      <c r="AE345" s="38"/>
      <c r="AF345" s="38"/>
      <c r="AG345" s="38"/>
      <c r="AH345" s="38"/>
      <c r="AN345" s="37"/>
      <c r="AO345" s="37"/>
      <c r="AP345" s="78"/>
      <c r="AQ345" s="37"/>
      <c r="AR345" s="37"/>
      <c r="AS345" s="37"/>
      <c r="AT345" s="37"/>
      <c r="AU345" s="37"/>
      <c r="AV345" s="37"/>
      <c r="AW345" s="37"/>
      <c r="AX345" s="37"/>
      <c r="AY345" s="37"/>
      <c r="AZ345" s="78"/>
      <c r="BA345" s="37"/>
      <c r="BB345" s="78"/>
    </row>
    <row r="346" spans="3:54" ht="20.100000000000001" customHeight="1">
      <c r="C346" s="113"/>
      <c r="D346" s="114"/>
      <c r="P346" s="82"/>
      <c r="Q346" s="82"/>
      <c r="R346" s="38"/>
      <c r="S346" s="38"/>
      <c r="T346" s="38"/>
      <c r="U346" s="38"/>
      <c r="V346" s="38"/>
      <c r="W346" s="38"/>
      <c r="X346" s="38"/>
      <c r="Y346" s="38"/>
      <c r="Z346" s="38"/>
      <c r="AA346" s="38"/>
      <c r="AB346" s="38"/>
      <c r="AC346" s="38"/>
      <c r="AD346" s="38"/>
      <c r="AE346" s="38"/>
      <c r="AF346" s="38"/>
      <c r="AG346" s="38"/>
      <c r="AH346" s="38"/>
      <c r="AN346" s="37"/>
      <c r="AO346" s="37"/>
      <c r="AP346" s="78"/>
      <c r="AQ346" s="37"/>
      <c r="AR346" s="37"/>
      <c r="AS346" s="37"/>
      <c r="AT346" s="37"/>
      <c r="AU346" s="37"/>
      <c r="AV346" s="37"/>
      <c r="AW346" s="37"/>
      <c r="AX346" s="37"/>
      <c r="AY346" s="37"/>
      <c r="AZ346" s="78"/>
      <c r="BA346" s="37"/>
      <c r="BB346" s="78"/>
    </row>
    <row r="347" spans="3:54" ht="20.100000000000001" customHeight="1">
      <c r="C347" s="113"/>
      <c r="D347" s="114"/>
      <c r="P347" s="82"/>
      <c r="Q347" s="82"/>
      <c r="R347" s="38"/>
      <c r="S347" s="38"/>
      <c r="T347" s="38"/>
      <c r="U347" s="38"/>
      <c r="V347" s="38"/>
      <c r="W347" s="38"/>
      <c r="X347" s="38"/>
      <c r="Y347" s="38"/>
      <c r="Z347" s="38"/>
      <c r="AA347" s="38"/>
      <c r="AB347" s="38"/>
      <c r="AC347" s="38"/>
      <c r="AD347" s="38"/>
      <c r="AE347" s="38"/>
      <c r="AF347" s="38"/>
      <c r="AG347" s="38"/>
      <c r="AH347" s="38"/>
      <c r="AN347" s="37"/>
      <c r="AO347" s="37"/>
      <c r="AP347" s="78"/>
      <c r="AQ347" s="37"/>
      <c r="AR347" s="37"/>
      <c r="AS347" s="37"/>
      <c r="AT347" s="37"/>
      <c r="AU347" s="37"/>
      <c r="AV347" s="37"/>
      <c r="AW347" s="37"/>
      <c r="AX347" s="37"/>
      <c r="AY347" s="37"/>
      <c r="AZ347" s="78"/>
      <c r="BA347" s="37"/>
      <c r="BB347" s="78"/>
    </row>
    <row r="348" spans="3:54" ht="20.100000000000001" customHeight="1">
      <c r="C348" s="113"/>
      <c r="D348" s="114"/>
      <c r="P348" s="82"/>
      <c r="Q348" s="82"/>
      <c r="R348" s="38"/>
      <c r="S348" s="38"/>
      <c r="T348" s="38"/>
      <c r="U348" s="38"/>
      <c r="V348" s="38"/>
      <c r="W348" s="38"/>
      <c r="X348" s="38"/>
      <c r="Y348" s="38"/>
      <c r="Z348" s="38"/>
      <c r="AA348" s="38"/>
      <c r="AB348" s="38"/>
      <c r="AC348" s="38"/>
      <c r="AD348" s="38"/>
      <c r="AE348" s="38"/>
      <c r="AF348" s="38"/>
      <c r="AG348" s="38"/>
      <c r="AH348" s="38"/>
      <c r="AN348" s="37"/>
      <c r="AO348" s="37"/>
      <c r="AP348" s="78"/>
      <c r="AQ348" s="37"/>
      <c r="AR348" s="37"/>
      <c r="AS348" s="37"/>
      <c r="AT348" s="37"/>
      <c r="AU348" s="37"/>
      <c r="AV348" s="37"/>
      <c r="AW348" s="37"/>
      <c r="AX348" s="37"/>
      <c r="AY348" s="37"/>
      <c r="AZ348" s="78"/>
      <c r="BA348" s="37"/>
      <c r="BB348" s="78"/>
    </row>
    <row r="349" spans="3:54" ht="20.100000000000001" customHeight="1">
      <c r="C349" s="113"/>
      <c r="D349" s="114"/>
      <c r="P349" s="82"/>
      <c r="Q349" s="82"/>
      <c r="R349" s="38"/>
      <c r="S349" s="38"/>
      <c r="T349" s="38"/>
      <c r="U349" s="38"/>
      <c r="V349" s="38"/>
      <c r="W349" s="38"/>
      <c r="X349" s="38"/>
      <c r="Y349" s="38"/>
      <c r="Z349" s="38"/>
      <c r="AA349" s="38"/>
      <c r="AB349" s="38"/>
      <c r="AC349" s="38"/>
      <c r="AD349" s="38"/>
      <c r="AE349" s="38"/>
      <c r="AF349" s="38"/>
      <c r="AG349" s="38"/>
      <c r="AH349" s="38"/>
      <c r="AN349" s="37"/>
      <c r="AO349" s="37"/>
      <c r="AP349" s="78"/>
      <c r="AQ349" s="37"/>
      <c r="AR349" s="37"/>
      <c r="AS349" s="37"/>
      <c r="AT349" s="37"/>
      <c r="AU349" s="37"/>
      <c r="AV349" s="37"/>
      <c r="AW349" s="37"/>
      <c r="AX349" s="37"/>
      <c r="AY349" s="37"/>
      <c r="AZ349" s="78"/>
      <c r="BA349" s="37"/>
      <c r="BB349" s="78"/>
    </row>
    <row r="350" spans="3:54" ht="20.100000000000001" customHeight="1">
      <c r="C350" s="113"/>
      <c r="D350" s="114"/>
      <c r="P350" s="82"/>
      <c r="Q350" s="82"/>
      <c r="R350" s="38"/>
      <c r="S350" s="38"/>
      <c r="T350" s="38"/>
      <c r="U350" s="38"/>
      <c r="V350" s="38"/>
      <c r="W350" s="38"/>
      <c r="X350" s="38"/>
      <c r="Y350" s="38"/>
      <c r="Z350" s="38"/>
      <c r="AA350" s="38"/>
      <c r="AB350" s="38"/>
      <c r="AC350" s="38"/>
      <c r="AD350" s="38"/>
      <c r="AE350" s="38"/>
      <c r="AF350" s="38"/>
      <c r="AG350" s="38"/>
      <c r="AH350" s="38"/>
      <c r="AN350" s="37"/>
      <c r="AO350" s="37"/>
      <c r="AP350" s="78"/>
      <c r="AQ350" s="37"/>
      <c r="AR350" s="37"/>
      <c r="AS350" s="37"/>
      <c r="AT350" s="37"/>
      <c r="AU350" s="37"/>
      <c r="AV350" s="37"/>
      <c r="AW350" s="37"/>
      <c r="AX350" s="37"/>
      <c r="AY350" s="37"/>
      <c r="AZ350" s="78"/>
      <c r="BA350" s="37"/>
      <c r="BB350" s="78"/>
    </row>
    <row r="351" spans="3:54" ht="20.100000000000001" customHeight="1">
      <c r="C351" s="113"/>
      <c r="D351" s="114"/>
      <c r="P351" s="82"/>
      <c r="Q351" s="82"/>
      <c r="R351" s="38"/>
      <c r="S351" s="38"/>
      <c r="T351" s="38"/>
      <c r="U351" s="38"/>
      <c r="V351" s="38"/>
      <c r="W351" s="38"/>
      <c r="X351" s="38"/>
      <c r="Y351" s="38"/>
      <c r="Z351" s="38"/>
      <c r="AA351" s="38"/>
      <c r="AB351" s="38"/>
      <c r="AC351" s="38"/>
      <c r="AD351" s="38"/>
      <c r="AE351" s="38"/>
      <c r="AF351" s="38"/>
      <c r="AG351" s="38"/>
      <c r="AH351" s="38"/>
      <c r="AN351" s="37"/>
      <c r="AO351" s="37"/>
      <c r="AP351" s="78"/>
      <c r="AQ351" s="37"/>
      <c r="AR351" s="37"/>
      <c r="AS351" s="37"/>
      <c r="AT351" s="37"/>
      <c r="AU351" s="37"/>
      <c r="AV351" s="37"/>
      <c r="AW351" s="37"/>
      <c r="AX351" s="37"/>
      <c r="AY351" s="37"/>
      <c r="AZ351" s="78"/>
      <c r="BA351" s="37"/>
      <c r="BB351" s="78"/>
    </row>
    <row r="352" spans="3:54" ht="20.100000000000001" customHeight="1">
      <c r="C352" s="113"/>
      <c r="D352" s="114"/>
      <c r="P352" s="82"/>
      <c r="Q352" s="82"/>
      <c r="R352" s="38"/>
      <c r="S352" s="38"/>
      <c r="T352" s="38"/>
      <c r="U352" s="38"/>
      <c r="V352" s="38"/>
      <c r="W352" s="38"/>
      <c r="X352" s="38"/>
      <c r="Y352" s="38"/>
      <c r="Z352" s="38"/>
      <c r="AA352" s="38"/>
      <c r="AB352" s="38"/>
      <c r="AC352" s="38"/>
      <c r="AD352" s="38"/>
      <c r="AE352" s="38"/>
      <c r="AF352" s="38"/>
      <c r="AG352" s="38"/>
      <c r="AH352" s="38"/>
      <c r="AN352" s="37"/>
      <c r="AO352" s="37"/>
      <c r="AP352" s="78"/>
      <c r="AQ352" s="37"/>
      <c r="AR352" s="37"/>
      <c r="AS352" s="37"/>
      <c r="AT352" s="37"/>
      <c r="AU352" s="37"/>
      <c r="AV352" s="37"/>
      <c r="AW352" s="37"/>
      <c r="AX352" s="37"/>
      <c r="AY352" s="37"/>
      <c r="AZ352" s="78"/>
      <c r="BA352" s="37"/>
      <c r="BB352" s="78"/>
    </row>
    <row r="353" spans="3:54" ht="20.100000000000001" customHeight="1">
      <c r="C353" s="113"/>
      <c r="D353" s="114"/>
      <c r="P353" s="82"/>
      <c r="Q353" s="82"/>
      <c r="R353" s="38"/>
      <c r="S353" s="38"/>
      <c r="T353" s="38"/>
      <c r="U353" s="38"/>
      <c r="V353" s="38"/>
      <c r="W353" s="38"/>
      <c r="X353" s="38"/>
      <c r="Y353" s="38"/>
      <c r="Z353" s="38"/>
      <c r="AA353" s="38"/>
      <c r="AB353" s="38"/>
      <c r="AC353" s="38"/>
      <c r="AD353" s="38"/>
      <c r="AE353" s="38"/>
      <c r="AF353" s="38"/>
      <c r="AG353" s="38"/>
      <c r="AH353" s="38"/>
      <c r="AN353" s="37"/>
      <c r="AO353" s="37"/>
      <c r="AP353" s="78"/>
      <c r="AQ353" s="37"/>
      <c r="AR353" s="37"/>
      <c r="AS353" s="37"/>
      <c r="AT353" s="37"/>
      <c r="AU353" s="37"/>
      <c r="AV353" s="37"/>
      <c r="AW353" s="37"/>
      <c r="AX353" s="37"/>
      <c r="AY353" s="37"/>
      <c r="AZ353" s="78"/>
      <c r="BA353" s="37"/>
      <c r="BB353" s="78"/>
    </row>
    <row r="354" spans="3:54" ht="20.100000000000001" customHeight="1">
      <c r="C354" s="113"/>
      <c r="D354" s="114"/>
      <c r="P354" s="82"/>
      <c r="Q354" s="82"/>
      <c r="R354" s="38"/>
      <c r="S354" s="38"/>
      <c r="T354" s="38"/>
      <c r="U354" s="38"/>
      <c r="V354" s="38"/>
      <c r="W354" s="38"/>
      <c r="X354" s="38"/>
      <c r="Y354" s="38"/>
      <c r="Z354" s="38"/>
      <c r="AA354" s="38"/>
      <c r="AB354" s="38"/>
      <c r="AC354" s="38"/>
      <c r="AD354" s="38"/>
      <c r="AE354" s="38"/>
      <c r="AF354" s="38"/>
      <c r="AG354" s="38"/>
      <c r="AH354" s="38"/>
      <c r="AN354" s="37"/>
      <c r="AO354" s="37"/>
      <c r="AP354" s="78"/>
      <c r="AQ354" s="37"/>
      <c r="AR354" s="37"/>
      <c r="AS354" s="37"/>
      <c r="AT354" s="37"/>
      <c r="AU354" s="37"/>
      <c r="AV354" s="37"/>
      <c r="AW354" s="37"/>
      <c r="AX354" s="37"/>
      <c r="AY354" s="37"/>
      <c r="AZ354" s="78"/>
      <c r="BA354" s="37"/>
      <c r="BB354" s="78"/>
    </row>
    <row r="355" spans="3:54" ht="20.100000000000001" customHeight="1">
      <c r="C355" s="113"/>
      <c r="D355" s="114"/>
      <c r="P355" s="82"/>
      <c r="Q355" s="82"/>
      <c r="R355" s="38"/>
      <c r="S355" s="38"/>
      <c r="T355" s="38"/>
      <c r="U355" s="38"/>
      <c r="V355" s="38"/>
      <c r="W355" s="38"/>
      <c r="X355" s="38"/>
      <c r="Y355" s="38"/>
      <c r="Z355" s="38"/>
      <c r="AA355" s="38"/>
      <c r="AB355" s="38"/>
      <c r="AC355" s="38"/>
      <c r="AD355" s="38"/>
      <c r="AE355" s="38"/>
      <c r="AF355" s="38"/>
      <c r="AG355" s="38"/>
      <c r="AH355" s="38"/>
      <c r="AN355" s="37"/>
      <c r="AO355" s="37"/>
      <c r="AP355" s="78"/>
      <c r="AQ355" s="37"/>
      <c r="AR355" s="37"/>
      <c r="AS355" s="37"/>
      <c r="AT355" s="37"/>
      <c r="AU355" s="37"/>
      <c r="AV355" s="37"/>
      <c r="AW355" s="37"/>
      <c r="AX355" s="37"/>
      <c r="AY355" s="37"/>
      <c r="AZ355" s="78"/>
      <c r="BA355" s="37"/>
      <c r="BB355" s="78"/>
    </row>
    <row r="356" spans="3:54" ht="20.100000000000001" customHeight="1">
      <c r="C356" s="113"/>
      <c r="D356" s="114"/>
      <c r="P356" s="82"/>
      <c r="Q356" s="82"/>
      <c r="R356" s="38"/>
      <c r="S356" s="38"/>
      <c r="T356" s="38"/>
      <c r="U356" s="38"/>
      <c r="V356" s="38"/>
      <c r="W356" s="38"/>
      <c r="X356" s="38"/>
      <c r="Y356" s="38"/>
      <c r="Z356" s="38"/>
      <c r="AA356" s="38"/>
      <c r="AB356" s="38"/>
      <c r="AC356" s="38"/>
      <c r="AD356" s="38"/>
      <c r="AE356" s="38"/>
      <c r="AF356" s="38"/>
      <c r="AG356" s="38"/>
      <c r="AH356" s="38"/>
      <c r="AN356" s="37"/>
      <c r="AO356" s="37"/>
      <c r="AP356" s="78"/>
      <c r="AQ356" s="37"/>
      <c r="AR356" s="37"/>
      <c r="AS356" s="37"/>
      <c r="AT356" s="37"/>
      <c r="AU356" s="37"/>
      <c r="AV356" s="37"/>
      <c r="AW356" s="37"/>
      <c r="AX356" s="37"/>
      <c r="AY356" s="37"/>
      <c r="AZ356" s="78"/>
      <c r="BA356" s="37"/>
      <c r="BB356" s="78"/>
    </row>
    <row r="357" spans="3:54" ht="20.100000000000001" customHeight="1">
      <c r="C357" s="113"/>
      <c r="D357" s="114"/>
      <c r="P357" s="82"/>
      <c r="Q357" s="82"/>
      <c r="R357" s="38"/>
      <c r="S357" s="38"/>
      <c r="T357" s="38"/>
      <c r="U357" s="38"/>
      <c r="V357" s="38"/>
      <c r="W357" s="38"/>
      <c r="X357" s="38"/>
      <c r="Y357" s="38"/>
      <c r="Z357" s="38"/>
      <c r="AA357" s="38"/>
      <c r="AB357" s="38"/>
      <c r="AC357" s="38"/>
      <c r="AD357" s="38"/>
      <c r="AE357" s="38"/>
      <c r="AF357" s="38"/>
      <c r="AG357" s="38"/>
      <c r="AH357" s="38"/>
      <c r="AN357" s="37"/>
      <c r="AO357" s="37"/>
      <c r="AP357" s="78"/>
      <c r="AQ357" s="37"/>
      <c r="AR357" s="37"/>
      <c r="AS357" s="37"/>
      <c r="AT357" s="37"/>
      <c r="AU357" s="37"/>
      <c r="AV357" s="37"/>
      <c r="AW357" s="37"/>
      <c r="AX357" s="37"/>
      <c r="AY357" s="37"/>
      <c r="AZ357" s="78"/>
      <c r="BA357" s="37"/>
      <c r="BB357" s="78"/>
    </row>
    <row r="358" spans="3:54" ht="20.100000000000001" customHeight="1">
      <c r="C358" s="113"/>
      <c r="D358" s="114"/>
      <c r="P358" s="82"/>
      <c r="Q358" s="82"/>
      <c r="R358" s="38"/>
      <c r="S358" s="38"/>
      <c r="T358" s="38"/>
      <c r="U358" s="38"/>
      <c r="V358" s="38"/>
      <c r="W358" s="38"/>
      <c r="X358" s="38"/>
      <c r="Y358" s="38"/>
      <c r="Z358" s="38"/>
      <c r="AA358" s="38"/>
      <c r="AB358" s="38"/>
      <c r="AC358" s="38"/>
      <c r="AD358" s="38"/>
      <c r="AE358" s="38"/>
      <c r="AF358" s="38"/>
      <c r="AG358" s="38"/>
      <c r="AH358" s="38"/>
      <c r="AN358" s="37"/>
      <c r="AO358" s="37"/>
      <c r="AP358" s="78"/>
      <c r="AQ358" s="37"/>
      <c r="AR358" s="37"/>
      <c r="AS358" s="37"/>
      <c r="AT358" s="37"/>
      <c r="AU358" s="37"/>
      <c r="AV358" s="37"/>
      <c r="AW358" s="37"/>
      <c r="AX358" s="37"/>
      <c r="AY358" s="37"/>
      <c r="AZ358" s="78"/>
      <c r="BA358" s="37"/>
      <c r="BB358" s="78"/>
    </row>
    <row r="359" spans="3:54" ht="20.100000000000001" customHeight="1">
      <c r="C359" s="113"/>
      <c r="D359" s="114"/>
      <c r="P359" s="82"/>
      <c r="Q359" s="82"/>
      <c r="R359" s="38"/>
      <c r="S359" s="38"/>
      <c r="T359" s="38"/>
      <c r="U359" s="38"/>
      <c r="V359" s="38"/>
      <c r="W359" s="38"/>
      <c r="X359" s="38"/>
      <c r="Y359" s="38"/>
      <c r="Z359" s="38"/>
      <c r="AA359" s="38"/>
      <c r="AB359" s="38"/>
      <c r="AC359" s="38"/>
      <c r="AD359" s="38"/>
      <c r="AE359" s="38"/>
      <c r="AF359" s="38"/>
      <c r="AG359" s="38"/>
      <c r="AH359" s="38"/>
      <c r="AN359" s="37"/>
      <c r="AO359" s="37"/>
      <c r="AP359" s="78"/>
      <c r="AQ359" s="37"/>
      <c r="AR359" s="37"/>
      <c r="AS359" s="37"/>
      <c r="AT359" s="37"/>
      <c r="AU359" s="37"/>
      <c r="AV359" s="37"/>
      <c r="AW359" s="37"/>
      <c r="AX359" s="37"/>
      <c r="AY359" s="37"/>
      <c r="AZ359" s="78"/>
      <c r="BA359" s="37"/>
      <c r="BB359" s="78"/>
    </row>
    <row r="360" spans="3:54" ht="20.100000000000001" customHeight="1">
      <c r="C360" s="113"/>
      <c r="D360" s="114"/>
      <c r="P360" s="82"/>
      <c r="Q360" s="82"/>
      <c r="R360" s="38"/>
      <c r="S360" s="38"/>
      <c r="T360" s="38"/>
      <c r="U360" s="38"/>
      <c r="V360" s="38"/>
      <c r="W360" s="38"/>
      <c r="X360" s="38"/>
      <c r="Y360" s="38"/>
      <c r="Z360" s="38"/>
      <c r="AA360" s="38"/>
      <c r="AB360" s="38"/>
      <c r="AC360" s="38"/>
      <c r="AD360" s="38"/>
      <c r="AE360" s="38"/>
      <c r="AF360" s="38"/>
      <c r="AG360" s="38"/>
      <c r="AH360" s="38"/>
      <c r="AN360" s="37"/>
      <c r="AO360" s="37"/>
      <c r="AP360" s="78"/>
      <c r="AQ360" s="37"/>
      <c r="AR360" s="37"/>
      <c r="AS360" s="37"/>
      <c r="AT360" s="37"/>
      <c r="AU360" s="37"/>
      <c r="AV360" s="37"/>
      <c r="AW360" s="37"/>
      <c r="AX360" s="37"/>
      <c r="AY360" s="37"/>
      <c r="AZ360" s="78"/>
      <c r="BA360" s="37"/>
      <c r="BB360" s="78"/>
    </row>
    <row r="361" spans="3:54" ht="20.100000000000001" customHeight="1">
      <c r="C361" s="113"/>
      <c r="D361" s="114"/>
      <c r="P361" s="82"/>
      <c r="Q361" s="82"/>
      <c r="R361" s="38"/>
      <c r="S361" s="38"/>
      <c r="T361" s="38"/>
      <c r="U361" s="38"/>
      <c r="V361" s="38"/>
      <c r="W361" s="38"/>
      <c r="X361" s="38"/>
      <c r="Y361" s="38"/>
      <c r="Z361" s="38"/>
      <c r="AA361" s="38"/>
      <c r="AB361" s="38"/>
      <c r="AC361" s="38"/>
      <c r="AD361" s="38"/>
      <c r="AE361" s="38"/>
      <c r="AF361" s="38"/>
      <c r="AG361" s="38"/>
      <c r="AH361" s="38"/>
      <c r="AN361" s="37"/>
      <c r="AO361" s="37"/>
      <c r="AP361" s="78"/>
      <c r="AQ361" s="37"/>
      <c r="AR361" s="37"/>
      <c r="AS361" s="37"/>
      <c r="AT361" s="37"/>
      <c r="AU361" s="37"/>
      <c r="AV361" s="37"/>
      <c r="AW361" s="37"/>
      <c r="AX361" s="37"/>
      <c r="AY361" s="37"/>
      <c r="AZ361" s="78"/>
      <c r="BA361" s="37"/>
      <c r="BB361" s="78"/>
    </row>
    <row r="362" spans="3:54" ht="20.100000000000001" customHeight="1">
      <c r="C362" s="113"/>
      <c r="D362" s="114"/>
      <c r="P362" s="82"/>
      <c r="Q362" s="82"/>
      <c r="R362" s="38"/>
      <c r="S362" s="38"/>
      <c r="T362" s="38"/>
      <c r="U362" s="38"/>
      <c r="V362" s="38"/>
      <c r="W362" s="38"/>
      <c r="X362" s="38"/>
      <c r="Y362" s="38"/>
      <c r="Z362" s="38"/>
      <c r="AA362" s="38"/>
      <c r="AB362" s="38"/>
      <c r="AC362" s="38"/>
      <c r="AD362" s="38"/>
      <c r="AE362" s="38"/>
      <c r="AF362" s="38"/>
      <c r="AG362" s="38"/>
      <c r="AH362" s="38"/>
      <c r="AN362" s="37"/>
      <c r="AO362" s="37"/>
      <c r="AP362" s="78"/>
      <c r="AQ362" s="37"/>
      <c r="AR362" s="37"/>
      <c r="AS362" s="37"/>
      <c r="AT362" s="37"/>
      <c r="AU362" s="37"/>
      <c r="AV362" s="37"/>
      <c r="AW362" s="37"/>
      <c r="AX362" s="37"/>
      <c r="AY362" s="37"/>
      <c r="AZ362" s="78"/>
      <c r="BA362" s="37"/>
      <c r="BB362" s="78"/>
    </row>
    <row r="363" spans="3:54" ht="20.100000000000001" customHeight="1">
      <c r="C363" s="113"/>
      <c r="D363" s="114"/>
      <c r="P363" s="82"/>
      <c r="Q363" s="82"/>
      <c r="R363" s="38"/>
      <c r="S363" s="38"/>
      <c r="T363" s="38"/>
      <c r="U363" s="38"/>
      <c r="V363" s="38"/>
      <c r="W363" s="38"/>
      <c r="X363" s="38"/>
      <c r="Y363" s="38"/>
      <c r="Z363" s="38"/>
      <c r="AA363" s="38"/>
      <c r="AB363" s="38"/>
      <c r="AC363" s="38"/>
      <c r="AD363" s="38"/>
      <c r="AE363" s="38"/>
      <c r="AF363" s="38"/>
      <c r="AG363" s="38"/>
      <c r="AH363" s="38"/>
      <c r="AN363" s="37"/>
      <c r="AO363" s="37"/>
      <c r="AP363" s="78"/>
      <c r="AQ363" s="37"/>
      <c r="AR363" s="37"/>
      <c r="AS363" s="37"/>
      <c r="AT363" s="37"/>
      <c r="AU363" s="37"/>
      <c r="AV363" s="37"/>
      <c r="AW363" s="37"/>
      <c r="AX363" s="37"/>
      <c r="AY363" s="37"/>
      <c r="AZ363" s="78"/>
      <c r="BA363" s="37"/>
      <c r="BB363" s="78"/>
    </row>
    <row r="364" spans="3:54" ht="20.100000000000001" customHeight="1">
      <c r="C364" s="113"/>
      <c r="D364" s="114"/>
      <c r="P364" s="82"/>
      <c r="Q364" s="82"/>
      <c r="R364" s="38"/>
      <c r="S364" s="38"/>
      <c r="T364" s="38"/>
      <c r="U364" s="38"/>
      <c r="V364" s="38"/>
      <c r="W364" s="38"/>
      <c r="X364" s="38"/>
      <c r="Y364" s="38"/>
      <c r="Z364" s="38"/>
      <c r="AA364" s="38"/>
      <c r="AB364" s="38"/>
      <c r="AC364" s="38"/>
      <c r="AD364" s="38"/>
      <c r="AE364" s="38"/>
      <c r="AF364" s="38"/>
      <c r="AG364" s="38"/>
      <c r="AH364" s="38"/>
      <c r="AN364" s="37"/>
      <c r="AO364" s="37"/>
      <c r="AP364" s="78"/>
      <c r="AQ364" s="37"/>
      <c r="AR364" s="37"/>
      <c r="AS364" s="37"/>
      <c r="AT364" s="37"/>
      <c r="AU364" s="37"/>
      <c r="AV364" s="37"/>
      <c r="AW364" s="37"/>
      <c r="AX364" s="37"/>
      <c r="AY364" s="37"/>
      <c r="AZ364" s="78"/>
      <c r="BA364" s="37"/>
      <c r="BB364" s="78"/>
    </row>
    <row r="365" spans="3:54" ht="20.100000000000001" customHeight="1">
      <c r="C365" s="113"/>
      <c r="D365" s="114"/>
      <c r="P365" s="82"/>
      <c r="Q365" s="82"/>
      <c r="R365" s="38"/>
      <c r="S365" s="38"/>
      <c r="T365" s="38"/>
      <c r="U365" s="38"/>
      <c r="V365" s="38"/>
      <c r="W365" s="38"/>
      <c r="X365" s="38"/>
      <c r="Y365" s="38"/>
      <c r="Z365" s="38"/>
      <c r="AA365" s="38"/>
      <c r="AB365" s="38"/>
      <c r="AC365" s="38"/>
      <c r="AD365" s="38"/>
      <c r="AE365" s="38"/>
      <c r="AF365" s="38"/>
      <c r="AG365" s="38"/>
      <c r="AH365" s="38"/>
      <c r="AN365" s="37"/>
      <c r="AO365" s="37"/>
      <c r="AP365" s="78"/>
      <c r="AQ365" s="37"/>
      <c r="AR365" s="37"/>
      <c r="AS365" s="37"/>
      <c r="AT365" s="37"/>
      <c r="AU365" s="37"/>
      <c r="AV365" s="37"/>
      <c r="AW365" s="37"/>
      <c r="AX365" s="37"/>
      <c r="AY365" s="37"/>
      <c r="AZ365" s="78"/>
      <c r="BA365" s="37"/>
      <c r="BB365" s="78"/>
    </row>
    <row r="366" spans="3:54" ht="20.100000000000001" customHeight="1">
      <c r="C366" s="113"/>
      <c r="D366" s="114"/>
      <c r="P366" s="82"/>
      <c r="Q366" s="82"/>
      <c r="R366" s="38"/>
      <c r="S366" s="38"/>
      <c r="T366" s="38"/>
      <c r="U366" s="38"/>
      <c r="V366" s="38"/>
      <c r="W366" s="38"/>
      <c r="X366" s="38"/>
      <c r="Y366" s="38"/>
      <c r="Z366" s="38"/>
      <c r="AA366" s="38"/>
      <c r="AB366" s="38"/>
      <c r="AC366" s="38"/>
      <c r="AD366" s="38"/>
      <c r="AE366" s="38"/>
      <c r="AF366" s="38"/>
      <c r="AG366" s="38"/>
      <c r="AH366" s="38"/>
      <c r="AN366" s="37"/>
      <c r="AO366" s="37"/>
      <c r="AP366" s="78"/>
      <c r="AQ366" s="37"/>
      <c r="AR366" s="37"/>
      <c r="AS366" s="37"/>
      <c r="AT366" s="37"/>
      <c r="AU366" s="37"/>
      <c r="AV366" s="37"/>
      <c r="AW366" s="37"/>
      <c r="AX366" s="37"/>
      <c r="AY366" s="37"/>
      <c r="AZ366" s="78"/>
      <c r="BA366" s="37"/>
      <c r="BB366" s="78"/>
    </row>
    <row r="367" spans="3:54" ht="20.100000000000001" customHeight="1">
      <c r="C367" s="113"/>
      <c r="D367" s="114"/>
      <c r="P367" s="82"/>
      <c r="Q367" s="82"/>
      <c r="R367" s="38"/>
      <c r="S367" s="38"/>
      <c r="T367" s="38"/>
      <c r="U367" s="38"/>
      <c r="V367" s="38"/>
      <c r="W367" s="38"/>
      <c r="X367" s="38"/>
      <c r="Y367" s="38"/>
      <c r="Z367" s="38"/>
      <c r="AA367" s="38"/>
      <c r="AB367" s="38"/>
      <c r="AC367" s="38"/>
      <c r="AD367" s="38"/>
      <c r="AE367" s="38"/>
      <c r="AF367" s="38"/>
      <c r="AG367" s="38"/>
      <c r="AH367" s="38"/>
      <c r="AN367" s="37"/>
      <c r="AO367" s="37"/>
      <c r="AP367" s="78"/>
      <c r="AQ367" s="37"/>
      <c r="AR367" s="37"/>
      <c r="AS367" s="37"/>
      <c r="AT367" s="37"/>
      <c r="AU367" s="37"/>
      <c r="AV367" s="37"/>
      <c r="AW367" s="37"/>
      <c r="AX367" s="37"/>
      <c r="AY367" s="37"/>
      <c r="AZ367" s="78"/>
      <c r="BA367" s="37"/>
      <c r="BB367" s="78"/>
    </row>
    <row r="368" spans="3:54" ht="20.100000000000001" customHeight="1">
      <c r="C368" s="113"/>
      <c r="D368" s="114"/>
      <c r="P368" s="82"/>
      <c r="Q368" s="82"/>
      <c r="R368" s="38"/>
      <c r="S368" s="38"/>
      <c r="T368" s="38"/>
      <c r="U368" s="38"/>
      <c r="V368" s="38"/>
      <c r="W368" s="38"/>
      <c r="X368" s="38"/>
      <c r="Y368" s="38"/>
      <c r="Z368" s="38"/>
      <c r="AA368" s="38"/>
      <c r="AB368" s="38"/>
      <c r="AC368" s="38"/>
      <c r="AD368" s="38"/>
      <c r="AE368" s="38"/>
      <c r="AF368" s="38"/>
      <c r="AG368" s="38"/>
      <c r="AH368" s="38"/>
      <c r="AN368" s="37"/>
      <c r="AO368" s="37"/>
      <c r="AP368" s="78"/>
      <c r="AQ368" s="37"/>
      <c r="AR368" s="37"/>
      <c r="AS368" s="37"/>
      <c r="AT368" s="37"/>
      <c r="AU368" s="37"/>
      <c r="AV368" s="37"/>
      <c r="AW368" s="37"/>
      <c r="AX368" s="37"/>
      <c r="AY368" s="37"/>
      <c r="AZ368" s="78"/>
      <c r="BA368" s="37"/>
      <c r="BB368" s="78"/>
    </row>
    <row r="369" spans="3:54" ht="20.100000000000001" customHeight="1">
      <c r="C369" s="113"/>
      <c r="D369" s="114"/>
      <c r="P369" s="82"/>
      <c r="Q369" s="82"/>
      <c r="R369" s="38"/>
      <c r="S369" s="38"/>
      <c r="T369" s="38"/>
      <c r="U369" s="38"/>
      <c r="V369" s="38"/>
      <c r="W369" s="38"/>
      <c r="X369" s="38"/>
      <c r="Y369" s="38"/>
      <c r="Z369" s="38"/>
      <c r="AA369" s="38"/>
      <c r="AB369" s="38"/>
      <c r="AC369" s="38"/>
      <c r="AD369" s="38"/>
      <c r="AE369" s="38"/>
      <c r="AF369" s="38"/>
      <c r="AG369" s="38"/>
      <c r="AH369" s="38"/>
      <c r="AN369" s="37"/>
      <c r="AO369" s="37"/>
      <c r="AP369" s="78"/>
      <c r="AQ369" s="37"/>
      <c r="AR369" s="37"/>
      <c r="AS369" s="37"/>
      <c r="AT369" s="37"/>
      <c r="AU369" s="37"/>
      <c r="AV369" s="37"/>
      <c r="AW369" s="37"/>
      <c r="AX369" s="37"/>
      <c r="AY369" s="37"/>
      <c r="AZ369" s="78"/>
      <c r="BA369" s="37"/>
      <c r="BB369" s="78"/>
    </row>
    <row r="370" spans="3:54" ht="20.100000000000001" customHeight="1">
      <c r="C370" s="113"/>
      <c r="D370" s="114"/>
      <c r="P370" s="82"/>
      <c r="Q370" s="82"/>
      <c r="R370" s="38"/>
      <c r="S370" s="38"/>
      <c r="T370" s="38"/>
      <c r="U370" s="38"/>
      <c r="V370" s="38"/>
      <c r="W370" s="38"/>
      <c r="X370" s="38"/>
      <c r="Y370" s="38"/>
      <c r="Z370" s="38"/>
      <c r="AA370" s="38"/>
      <c r="AB370" s="38"/>
      <c r="AC370" s="38"/>
      <c r="AD370" s="38"/>
      <c r="AE370" s="38"/>
      <c r="AF370" s="38"/>
      <c r="AG370" s="38"/>
      <c r="AH370" s="38"/>
      <c r="AN370" s="37"/>
      <c r="AO370" s="37"/>
      <c r="AP370" s="78"/>
      <c r="AQ370" s="37"/>
      <c r="AR370" s="37"/>
      <c r="AS370" s="37"/>
      <c r="AT370" s="37"/>
      <c r="AU370" s="37"/>
      <c r="AV370" s="37"/>
      <c r="AW370" s="37"/>
      <c r="AX370" s="37"/>
      <c r="AY370" s="37"/>
      <c r="AZ370" s="78"/>
      <c r="BA370" s="37"/>
      <c r="BB370" s="78"/>
    </row>
    <row r="371" spans="3:54" ht="20.100000000000001" customHeight="1">
      <c r="C371" s="113"/>
      <c r="D371" s="114"/>
      <c r="P371" s="82"/>
      <c r="Q371" s="82"/>
      <c r="R371" s="38"/>
      <c r="S371" s="38"/>
      <c r="T371" s="38"/>
      <c r="U371" s="38"/>
      <c r="V371" s="38"/>
      <c r="W371" s="38"/>
      <c r="X371" s="38"/>
      <c r="Y371" s="38"/>
      <c r="Z371" s="38"/>
      <c r="AA371" s="38"/>
      <c r="AB371" s="38"/>
      <c r="AC371" s="38"/>
      <c r="AD371" s="38"/>
      <c r="AE371" s="38"/>
      <c r="AF371" s="38"/>
      <c r="AG371" s="38"/>
      <c r="AH371" s="38"/>
      <c r="AN371" s="37"/>
      <c r="AO371" s="37"/>
      <c r="AP371" s="78"/>
      <c r="AQ371" s="37"/>
      <c r="AR371" s="37"/>
      <c r="AS371" s="37"/>
      <c r="AT371" s="37"/>
      <c r="AU371" s="37"/>
      <c r="AV371" s="37"/>
      <c r="AW371" s="37"/>
      <c r="AX371" s="37"/>
      <c r="AY371" s="37"/>
      <c r="AZ371" s="78"/>
      <c r="BA371" s="37"/>
      <c r="BB371" s="78"/>
    </row>
    <row r="372" spans="3:54" ht="20.100000000000001" customHeight="1">
      <c r="C372" s="113"/>
      <c r="D372" s="114"/>
      <c r="P372" s="82"/>
      <c r="Q372" s="82"/>
      <c r="R372" s="38"/>
      <c r="S372" s="38"/>
      <c r="T372" s="38"/>
      <c r="U372" s="38"/>
      <c r="V372" s="38"/>
      <c r="W372" s="38"/>
      <c r="X372" s="38"/>
      <c r="Y372" s="38"/>
      <c r="Z372" s="38"/>
      <c r="AA372" s="38"/>
      <c r="AB372" s="38"/>
      <c r="AC372" s="38"/>
      <c r="AD372" s="38"/>
      <c r="AE372" s="38"/>
      <c r="AF372" s="38"/>
      <c r="AG372" s="38"/>
      <c r="AH372" s="38"/>
      <c r="AN372" s="37"/>
      <c r="AO372" s="37"/>
      <c r="AP372" s="78"/>
      <c r="AQ372" s="37"/>
      <c r="AR372" s="37"/>
      <c r="AS372" s="37"/>
      <c r="AT372" s="37"/>
      <c r="AU372" s="37"/>
      <c r="AV372" s="37"/>
      <c r="AW372" s="37"/>
      <c r="AX372" s="37"/>
      <c r="AY372" s="37"/>
      <c r="AZ372" s="78"/>
      <c r="BA372" s="37"/>
      <c r="BB372" s="78"/>
    </row>
    <row r="373" spans="3:54" ht="20.100000000000001" customHeight="1">
      <c r="C373" s="113"/>
      <c r="D373" s="114"/>
      <c r="P373" s="82"/>
      <c r="Q373" s="82"/>
      <c r="R373" s="38"/>
      <c r="S373" s="38"/>
      <c r="T373" s="38"/>
      <c r="U373" s="38"/>
      <c r="V373" s="38"/>
      <c r="W373" s="38"/>
      <c r="X373" s="38"/>
      <c r="Y373" s="38"/>
      <c r="Z373" s="38"/>
      <c r="AA373" s="38"/>
      <c r="AB373" s="38"/>
      <c r="AC373" s="38"/>
      <c r="AD373" s="38"/>
      <c r="AE373" s="38"/>
      <c r="AF373" s="38"/>
      <c r="AG373" s="38"/>
      <c r="AH373" s="38"/>
      <c r="AN373" s="37"/>
      <c r="AO373" s="37"/>
      <c r="AP373" s="78"/>
      <c r="AQ373" s="37"/>
      <c r="AR373" s="37"/>
      <c r="AS373" s="37"/>
      <c r="AT373" s="37"/>
      <c r="AU373" s="37"/>
      <c r="AV373" s="37"/>
      <c r="AW373" s="37"/>
      <c r="AX373" s="37"/>
      <c r="AY373" s="37"/>
      <c r="AZ373" s="78"/>
      <c r="BA373" s="37"/>
      <c r="BB373" s="78"/>
    </row>
    <row r="374" spans="3:54" ht="20.100000000000001" customHeight="1">
      <c r="C374" s="113"/>
      <c r="D374" s="114"/>
      <c r="P374" s="82"/>
      <c r="Q374" s="82"/>
      <c r="R374" s="38"/>
      <c r="S374" s="38"/>
      <c r="T374" s="38"/>
      <c r="U374" s="38"/>
      <c r="V374" s="38"/>
      <c r="W374" s="38"/>
      <c r="X374" s="38"/>
      <c r="Y374" s="38"/>
      <c r="Z374" s="38"/>
      <c r="AA374" s="38"/>
      <c r="AB374" s="38"/>
      <c r="AC374" s="38"/>
      <c r="AD374" s="38"/>
      <c r="AE374" s="38"/>
      <c r="AF374" s="38"/>
      <c r="AG374" s="38"/>
      <c r="AH374" s="38"/>
      <c r="AN374" s="37"/>
      <c r="AO374" s="37"/>
      <c r="AP374" s="78"/>
      <c r="AQ374" s="37"/>
      <c r="AR374" s="37"/>
      <c r="AS374" s="37"/>
      <c r="AT374" s="37"/>
      <c r="AU374" s="37"/>
      <c r="AV374" s="37"/>
      <c r="AW374" s="37"/>
      <c r="AX374" s="37"/>
      <c r="AY374" s="37"/>
      <c r="AZ374" s="78"/>
      <c r="BA374" s="37"/>
      <c r="BB374" s="78"/>
    </row>
    <row r="375" spans="3:54" ht="20.100000000000001" customHeight="1">
      <c r="C375" s="113"/>
      <c r="D375" s="114"/>
      <c r="P375" s="82"/>
      <c r="Q375" s="82"/>
      <c r="R375" s="38"/>
      <c r="S375" s="38"/>
      <c r="T375" s="38"/>
      <c r="U375" s="38"/>
      <c r="V375" s="38"/>
      <c r="W375" s="38"/>
      <c r="X375" s="38"/>
      <c r="Y375" s="38"/>
      <c r="Z375" s="38"/>
      <c r="AA375" s="38"/>
      <c r="AB375" s="38"/>
      <c r="AC375" s="38"/>
      <c r="AD375" s="38"/>
      <c r="AE375" s="38"/>
      <c r="AF375" s="38"/>
      <c r="AG375" s="38"/>
      <c r="AH375" s="38"/>
      <c r="AN375" s="37"/>
      <c r="AO375" s="37"/>
      <c r="AP375" s="78"/>
      <c r="AQ375" s="37"/>
      <c r="AR375" s="37"/>
      <c r="AS375" s="37"/>
      <c r="AT375" s="37"/>
      <c r="AU375" s="37"/>
      <c r="AV375" s="37"/>
      <c r="AW375" s="37"/>
      <c r="AX375" s="37"/>
      <c r="AY375" s="37"/>
      <c r="AZ375" s="78"/>
      <c r="BA375" s="37"/>
      <c r="BB375" s="78"/>
    </row>
    <row r="376" spans="3:54" ht="20.100000000000001" customHeight="1">
      <c r="C376" s="113"/>
      <c r="D376" s="114"/>
      <c r="P376" s="82"/>
      <c r="Q376" s="82"/>
      <c r="R376" s="38"/>
      <c r="S376" s="38"/>
      <c r="T376" s="38"/>
      <c r="U376" s="38"/>
      <c r="V376" s="38"/>
      <c r="W376" s="38"/>
      <c r="X376" s="38"/>
      <c r="Y376" s="38"/>
      <c r="Z376" s="38"/>
      <c r="AA376" s="38"/>
      <c r="AB376" s="38"/>
      <c r="AC376" s="38"/>
      <c r="AD376" s="38"/>
      <c r="AE376" s="38"/>
      <c r="AF376" s="38"/>
      <c r="AG376" s="38"/>
      <c r="AH376" s="38"/>
      <c r="AN376" s="37"/>
      <c r="AO376" s="37"/>
      <c r="AP376" s="78"/>
      <c r="AQ376" s="37"/>
      <c r="AR376" s="37"/>
      <c r="AS376" s="37"/>
      <c r="AT376" s="37"/>
      <c r="AU376" s="37"/>
      <c r="AV376" s="37"/>
      <c r="AW376" s="37"/>
      <c r="AX376" s="37"/>
      <c r="AY376" s="37"/>
      <c r="AZ376" s="78"/>
      <c r="BA376" s="37"/>
      <c r="BB376" s="78"/>
    </row>
    <row r="377" spans="3:54" ht="20.100000000000001" customHeight="1">
      <c r="C377" s="113"/>
      <c r="D377" s="114"/>
      <c r="P377" s="82"/>
      <c r="Q377" s="82"/>
      <c r="R377" s="38"/>
      <c r="S377" s="38"/>
      <c r="T377" s="38"/>
      <c r="U377" s="38"/>
      <c r="V377" s="38"/>
      <c r="W377" s="38"/>
      <c r="X377" s="38"/>
      <c r="Y377" s="38"/>
      <c r="Z377" s="38"/>
      <c r="AA377" s="38"/>
      <c r="AB377" s="38"/>
      <c r="AC377" s="38"/>
      <c r="AD377" s="38"/>
      <c r="AE377" s="38"/>
      <c r="AF377" s="38"/>
      <c r="AG377" s="38"/>
      <c r="AH377" s="38"/>
      <c r="AN377" s="37"/>
      <c r="AO377" s="37"/>
      <c r="AP377" s="78"/>
      <c r="AQ377" s="37"/>
      <c r="AR377" s="37"/>
      <c r="AS377" s="37"/>
      <c r="AT377" s="37"/>
      <c r="AU377" s="37"/>
      <c r="AV377" s="37"/>
      <c r="AW377" s="37"/>
      <c r="AX377" s="37"/>
      <c r="AY377" s="37"/>
      <c r="AZ377" s="78"/>
      <c r="BA377" s="37"/>
      <c r="BB377" s="78"/>
    </row>
    <row r="378" spans="3:54" ht="20.100000000000001" customHeight="1">
      <c r="C378" s="113"/>
      <c r="D378" s="114"/>
      <c r="P378" s="82"/>
      <c r="Q378" s="82"/>
      <c r="R378" s="38"/>
      <c r="S378" s="38"/>
      <c r="T378" s="38"/>
      <c r="U378" s="38"/>
      <c r="V378" s="38"/>
      <c r="W378" s="38"/>
      <c r="X378" s="38"/>
      <c r="Y378" s="38"/>
      <c r="Z378" s="38"/>
      <c r="AA378" s="38"/>
      <c r="AB378" s="38"/>
      <c r="AC378" s="38"/>
      <c r="AD378" s="38"/>
      <c r="AE378" s="38"/>
      <c r="AF378" s="38"/>
      <c r="AG378" s="38"/>
      <c r="AH378" s="38"/>
      <c r="AN378" s="37"/>
      <c r="AO378" s="37"/>
      <c r="AP378" s="78"/>
      <c r="AQ378" s="37"/>
      <c r="AR378" s="37"/>
      <c r="AS378" s="37"/>
      <c r="AT378" s="37"/>
      <c r="AU378" s="37"/>
      <c r="AV378" s="37"/>
      <c r="AW378" s="37"/>
      <c r="AX378" s="37"/>
      <c r="AY378" s="37"/>
      <c r="AZ378" s="78"/>
      <c r="BA378" s="37"/>
      <c r="BB378" s="78"/>
    </row>
    <row r="379" spans="3:54" ht="20.100000000000001" customHeight="1">
      <c r="C379" s="113"/>
      <c r="D379" s="114"/>
      <c r="P379" s="82"/>
      <c r="Q379" s="82"/>
      <c r="R379" s="38"/>
      <c r="S379" s="38"/>
      <c r="T379" s="38"/>
      <c r="U379" s="38"/>
      <c r="V379" s="38"/>
      <c r="W379" s="38"/>
      <c r="X379" s="38"/>
      <c r="Y379" s="38"/>
      <c r="Z379" s="38"/>
      <c r="AA379" s="38"/>
      <c r="AB379" s="38"/>
      <c r="AC379" s="38"/>
      <c r="AD379" s="38"/>
      <c r="AE379" s="38"/>
      <c r="AF379" s="38"/>
      <c r="AG379" s="38"/>
      <c r="AH379" s="38"/>
      <c r="AN379" s="37"/>
      <c r="AO379" s="37"/>
      <c r="AP379" s="78"/>
      <c r="AQ379" s="37"/>
      <c r="AR379" s="37"/>
      <c r="AS379" s="37"/>
      <c r="AT379" s="37"/>
      <c r="AU379" s="37"/>
      <c r="AV379" s="37"/>
      <c r="AW379" s="37"/>
      <c r="AX379" s="37"/>
      <c r="AY379" s="37"/>
      <c r="AZ379" s="78"/>
      <c r="BA379" s="37"/>
      <c r="BB379" s="78"/>
    </row>
    <row r="380" spans="3:54" ht="20.100000000000001" customHeight="1">
      <c r="C380" s="113"/>
      <c r="D380" s="114"/>
      <c r="P380" s="82"/>
      <c r="Q380" s="82"/>
      <c r="R380" s="38"/>
      <c r="S380" s="38"/>
      <c r="T380" s="38"/>
      <c r="U380" s="38"/>
      <c r="V380" s="38"/>
      <c r="W380" s="38"/>
      <c r="X380" s="38"/>
      <c r="Y380" s="38"/>
      <c r="Z380" s="38"/>
      <c r="AA380" s="38"/>
      <c r="AB380" s="38"/>
      <c r="AC380" s="38"/>
      <c r="AD380" s="38"/>
      <c r="AE380" s="38"/>
      <c r="AF380" s="38"/>
      <c r="AG380" s="38"/>
      <c r="AH380" s="38"/>
      <c r="AN380" s="37"/>
      <c r="AO380" s="37"/>
      <c r="AP380" s="78"/>
      <c r="AQ380" s="37"/>
      <c r="AR380" s="37"/>
      <c r="AS380" s="37"/>
      <c r="AT380" s="37"/>
      <c r="AU380" s="37"/>
      <c r="AV380" s="37"/>
      <c r="AW380" s="37"/>
      <c r="AX380" s="37"/>
      <c r="AY380" s="37"/>
      <c r="AZ380" s="78"/>
      <c r="BA380" s="37"/>
      <c r="BB380" s="78"/>
    </row>
    <row r="381" spans="3:54" ht="20.100000000000001" customHeight="1">
      <c r="C381" s="113"/>
      <c r="D381" s="114"/>
      <c r="P381" s="82"/>
      <c r="Q381" s="82"/>
      <c r="R381" s="38"/>
      <c r="S381" s="38"/>
      <c r="T381" s="38"/>
      <c r="U381" s="38"/>
      <c r="V381" s="38"/>
      <c r="W381" s="38"/>
      <c r="X381" s="38"/>
      <c r="Y381" s="38"/>
      <c r="Z381" s="38"/>
      <c r="AA381" s="38"/>
      <c r="AB381" s="38"/>
      <c r="AC381" s="38"/>
      <c r="AD381" s="38"/>
      <c r="AE381" s="38"/>
      <c r="AF381" s="38"/>
      <c r="AG381" s="38"/>
      <c r="AH381" s="38"/>
      <c r="AN381" s="37"/>
      <c r="AO381" s="37"/>
      <c r="AP381" s="78"/>
      <c r="AQ381" s="37"/>
      <c r="AR381" s="37"/>
      <c r="AS381" s="37"/>
      <c r="AT381" s="37"/>
      <c r="AU381" s="37"/>
      <c r="AV381" s="37"/>
      <c r="AW381" s="37"/>
      <c r="AX381" s="37"/>
      <c r="AY381" s="37"/>
      <c r="AZ381" s="78"/>
      <c r="BA381" s="37"/>
      <c r="BB381" s="78"/>
    </row>
    <row r="382" spans="3:54" ht="20.100000000000001" customHeight="1">
      <c r="C382" s="113"/>
      <c r="D382" s="114"/>
      <c r="P382" s="82"/>
      <c r="Q382" s="82"/>
      <c r="R382" s="38"/>
      <c r="S382" s="38"/>
      <c r="T382" s="38"/>
      <c r="U382" s="38"/>
      <c r="V382" s="38"/>
      <c r="W382" s="38"/>
      <c r="X382" s="38"/>
      <c r="Y382" s="38"/>
      <c r="Z382" s="38"/>
      <c r="AA382" s="38"/>
      <c r="AB382" s="38"/>
      <c r="AC382" s="38"/>
      <c r="AD382" s="38"/>
      <c r="AE382" s="38"/>
      <c r="AF382" s="38"/>
      <c r="AG382" s="38"/>
      <c r="AH382" s="38"/>
      <c r="AN382" s="37"/>
      <c r="AO382" s="37"/>
      <c r="AP382" s="78"/>
      <c r="AQ382" s="37"/>
      <c r="AR382" s="37"/>
      <c r="AS382" s="37"/>
      <c r="AT382" s="37"/>
      <c r="AU382" s="37"/>
      <c r="AV382" s="37"/>
      <c r="AW382" s="37"/>
      <c r="AX382" s="37"/>
      <c r="AY382" s="37"/>
      <c r="AZ382" s="78"/>
      <c r="BA382" s="37"/>
      <c r="BB382" s="78"/>
    </row>
    <row r="383" spans="3:54" ht="20.100000000000001" customHeight="1">
      <c r="C383" s="113"/>
      <c r="D383" s="114"/>
      <c r="P383" s="82"/>
      <c r="Q383" s="82"/>
      <c r="R383" s="38"/>
      <c r="S383" s="38"/>
      <c r="T383" s="38"/>
      <c r="U383" s="38"/>
      <c r="V383" s="38"/>
      <c r="W383" s="38"/>
      <c r="X383" s="38"/>
      <c r="Y383" s="38"/>
      <c r="Z383" s="38"/>
      <c r="AA383" s="38"/>
      <c r="AB383" s="38"/>
      <c r="AC383" s="38"/>
      <c r="AD383" s="38"/>
      <c r="AE383" s="38"/>
      <c r="AF383" s="38"/>
      <c r="AG383" s="38"/>
      <c r="AH383" s="38"/>
      <c r="AN383" s="37"/>
      <c r="AO383" s="37"/>
      <c r="AP383" s="78"/>
      <c r="AQ383" s="37"/>
      <c r="AR383" s="37"/>
      <c r="AS383" s="37"/>
      <c r="AT383" s="37"/>
      <c r="AU383" s="37"/>
      <c r="AV383" s="37"/>
      <c r="AW383" s="37"/>
      <c r="AX383" s="37"/>
      <c r="AY383" s="37"/>
      <c r="AZ383" s="78"/>
      <c r="BA383" s="37"/>
      <c r="BB383" s="78"/>
    </row>
    <row r="384" spans="3:54" ht="20.100000000000001" customHeight="1">
      <c r="C384" s="113"/>
      <c r="D384" s="114"/>
      <c r="P384" s="82"/>
      <c r="Q384" s="82"/>
      <c r="R384" s="38"/>
      <c r="S384" s="38"/>
      <c r="T384" s="38"/>
      <c r="U384" s="38"/>
      <c r="V384" s="38"/>
      <c r="W384" s="38"/>
      <c r="X384" s="38"/>
      <c r="Y384" s="38"/>
      <c r="Z384" s="38"/>
      <c r="AA384" s="38"/>
      <c r="AB384" s="38"/>
      <c r="AC384" s="38"/>
      <c r="AD384" s="38"/>
      <c r="AE384" s="38"/>
      <c r="AF384" s="38"/>
      <c r="AG384" s="38"/>
      <c r="AH384" s="38"/>
      <c r="AN384" s="37"/>
      <c r="AO384" s="37"/>
      <c r="AP384" s="78"/>
      <c r="AQ384" s="37"/>
      <c r="AR384" s="37"/>
      <c r="AS384" s="37"/>
      <c r="AT384" s="37"/>
      <c r="AU384" s="37"/>
      <c r="AV384" s="37"/>
      <c r="AW384" s="37"/>
      <c r="AX384" s="37"/>
      <c r="AY384" s="37"/>
      <c r="AZ384" s="78"/>
      <c r="BA384" s="37"/>
      <c r="BB384" s="78"/>
    </row>
    <row r="385" spans="3:54" ht="20.100000000000001" customHeight="1">
      <c r="C385" s="113"/>
      <c r="D385" s="114"/>
      <c r="P385" s="82"/>
      <c r="Q385" s="82"/>
      <c r="R385" s="38"/>
      <c r="S385" s="38"/>
      <c r="T385" s="38"/>
      <c r="U385" s="38"/>
      <c r="V385" s="38"/>
      <c r="W385" s="38"/>
      <c r="X385" s="38"/>
      <c r="Y385" s="38"/>
      <c r="Z385" s="38"/>
      <c r="AA385" s="38"/>
      <c r="AB385" s="38"/>
      <c r="AC385" s="38"/>
      <c r="AD385" s="38"/>
      <c r="AE385" s="38"/>
      <c r="AF385" s="38"/>
      <c r="AG385" s="38"/>
      <c r="AH385" s="38"/>
      <c r="AN385" s="37"/>
      <c r="AO385" s="37"/>
      <c r="AP385" s="78"/>
      <c r="AQ385" s="37"/>
      <c r="AR385" s="37"/>
      <c r="AS385" s="37"/>
      <c r="AT385" s="37"/>
      <c r="AU385" s="37"/>
      <c r="AV385" s="37"/>
      <c r="AW385" s="37"/>
      <c r="AX385" s="37"/>
      <c r="AY385" s="37"/>
      <c r="AZ385" s="78"/>
      <c r="BA385" s="37"/>
      <c r="BB385" s="78"/>
    </row>
    <row r="386" spans="3:54" ht="20.100000000000001" customHeight="1">
      <c r="C386" s="113"/>
      <c r="D386" s="114"/>
      <c r="P386" s="82"/>
      <c r="Q386" s="82"/>
      <c r="R386" s="38"/>
      <c r="S386" s="38"/>
      <c r="T386" s="38"/>
      <c r="U386" s="38"/>
      <c r="V386" s="38"/>
      <c r="W386" s="38"/>
      <c r="X386" s="38"/>
      <c r="Y386" s="38"/>
      <c r="Z386" s="38"/>
      <c r="AA386" s="38"/>
      <c r="AB386" s="38"/>
      <c r="AC386" s="38"/>
      <c r="AD386" s="38"/>
      <c r="AE386" s="38"/>
      <c r="AF386" s="38"/>
      <c r="AG386" s="38"/>
      <c r="AH386" s="38"/>
      <c r="AN386" s="37"/>
      <c r="AO386" s="37"/>
      <c r="AP386" s="78"/>
      <c r="AQ386" s="37"/>
      <c r="AR386" s="37"/>
      <c r="AS386" s="37"/>
      <c r="AT386" s="37"/>
      <c r="AU386" s="37"/>
      <c r="AV386" s="37"/>
      <c r="AW386" s="37"/>
      <c r="AX386" s="37"/>
      <c r="AY386" s="37"/>
      <c r="AZ386" s="78"/>
      <c r="BA386" s="37"/>
      <c r="BB386" s="78"/>
    </row>
    <row r="387" spans="3:54" ht="20.100000000000001" customHeight="1">
      <c r="C387" s="113"/>
      <c r="D387" s="114"/>
      <c r="P387" s="82"/>
      <c r="Q387" s="82"/>
      <c r="R387" s="38"/>
      <c r="S387" s="38"/>
      <c r="T387" s="38"/>
      <c r="U387" s="38"/>
      <c r="V387" s="38"/>
      <c r="W387" s="38"/>
      <c r="X387" s="38"/>
      <c r="Y387" s="38"/>
      <c r="Z387" s="38"/>
      <c r="AA387" s="38"/>
      <c r="AB387" s="38"/>
      <c r="AC387" s="38"/>
      <c r="AD387" s="38"/>
      <c r="AE387" s="38"/>
      <c r="AF387" s="38"/>
      <c r="AG387" s="38"/>
      <c r="AH387" s="38"/>
      <c r="AN387" s="37"/>
      <c r="AO387" s="37"/>
      <c r="AP387" s="78"/>
      <c r="AQ387" s="37"/>
      <c r="AR387" s="37"/>
      <c r="AS387" s="37"/>
      <c r="AT387" s="37"/>
      <c r="AU387" s="37"/>
      <c r="AV387" s="37"/>
      <c r="AW387" s="37"/>
      <c r="AX387" s="37"/>
      <c r="AY387" s="37"/>
      <c r="AZ387" s="78"/>
      <c r="BA387" s="37"/>
      <c r="BB387" s="78"/>
    </row>
    <row r="388" spans="3:54" ht="20.100000000000001" customHeight="1">
      <c r="C388" s="113"/>
      <c r="D388" s="114"/>
      <c r="P388" s="82"/>
      <c r="Q388" s="82"/>
      <c r="R388" s="38"/>
      <c r="S388" s="38"/>
      <c r="T388" s="38"/>
      <c r="U388" s="38"/>
      <c r="V388" s="38"/>
      <c r="W388" s="38"/>
      <c r="X388" s="38"/>
      <c r="Y388" s="38"/>
      <c r="Z388" s="38"/>
      <c r="AA388" s="38"/>
      <c r="AB388" s="38"/>
      <c r="AC388" s="38"/>
      <c r="AD388" s="38"/>
      <c r="AE388" s="38"/>
      <c r="AF388" s="38"/>
      <c r="AG388" s="38"/>
      <c r="AH388" s="38"/>
      <c r="AN388" s="37"/>
      <c r="AO388" s="37"/>
      <c r="AP388" s="78"/>
      <c r="AQ388" s="37"/>
      <c r="AR388" s="37"/>
      <c r="AS388" s="37"/>
      <c r="AT388" s="37"/>
      <c r="AU388" s="37"/>
      <c r="AV388" s="37"/>
      <c r="AW388" s="37"/>
      <c r="AX388" s="37"/>
      <c r="AY388" s="37"/>
      <c r="AZ388" s="78"/>
      <c r="BA388" s="37"/>
      <c r="BB388" s="78"/>
    </row>
    <row r="389" spans="3:54" ht="20.100000000000001" customHeight="1">
      <c r="C389" s="113"/>
      <c r="D389" s="114"/>
      <c r="P389" s="82"/>
      <c r="Q389" s="82"/>
      <c r="R389" s="38"/>
      <c r="S389" s="38"/>
      <c r="T389" s="38"/>
      <c r="U389" s="38"/>
      <c r="V389" s="38"/>
      <c r="W389" s="38"/>
      <c r="X389" s="38"/>
      <c r="Y389" s="38"/>
      <c r="Z389" s="38"/>
      <c r="AA389" s="38"/>
      <c r="AB389" s="38"/>
      <c r="AC389" s="38"/>
      <c r="AD389" s="38"/>
      <c r="AE389" s="38"/>
      <c r="AF389" s="38"/>
      <c r="AG389" s="38"/>
      <c r="AH389" s="38"/>
      <c r="AN389" s="37"/>
      <c r="AO389" s="37"/>
      <c r="AP389" s="78"/>
      <c r="AQ389" s="37"/>
      <c r="AR389" s="37"/>
      <c r="AS389" s="37"/>
      <c r="AT389" s="37"/>
      <c r="AU389" s="37"/>
      <c r="AV389" s="37"/>
      <c r="AW389" s="37"/>
      <c r="AX389" s="37"/>
      <c r="AY389" s="37"/>
      <c r="AZ389" s="78"/>
      <c r="BA389" s="37"/>
      <c r="BB389" s="78"/>
    </row>
    <row r="390" spans="3:54" ht="20.100000000000001" customHeight="1">
      <c r="C390" s="113"/>
      <c r="D390" s="114"/>
      <c r="P390" s="82"/>
      <c r="Q390" s="82"/>
      <c r="R390" s="38"/>
      <c r="S390" s="38"/>
      <c r="T390" s="38"/>
      <c r="U390" s="38"/>
      <c r="V390" s="38"/>
      <c r="W390" s="38"/>
      <c r="X390" s="38"/>
      <c r="Y390" s="38"/>
      <c r="Z390" s="38"/>
      <c r="AA390" s="38"/>
      <c r="AB390" s="38"/>
      <c r="AC390" s="38"/>
      <c r="AD390" s="38"/>
      <c r="AE390" s="38"/>
      <c r="AF390" s="38"/>
      <c r="AG390" s="38"/>
      <c r="AH390" s="38"/>
      <c r="AN390" s="37"/>
      <c r="AO390" s="37"/>
      <c r="AP390" s="78"/>
      <c r="AQ390" s="37"/>
      <c r="AR390" s="37"/>
      <c r="AS390" s="37"/>
      <c r="AT390" s="37"/>
      <c r="AU390" s="37"/>
      <c r="AV390" s="37"/>
      <c r="AW390" s="37"/>
      <c r="AX390" s="37"/>
      <c r="AY390" s="37"/>
      <c r="AZ390" s="78"/>
      <c r="BA390" s="37"/>
      <c r="BB390" s="78"/>
    </row>
    <row r="391" spans="3:54" ht="20.100000000000001" customHeight="1">
      <c r="C391" s="113"/>
      <c r="D391" s="114"/>
      <c r="P391" s="82"/>
      <c r="Q391" s="82"/>
      <c r="R391" s="38"/>
      <c r="S391" s="38"/>
      <c r="T391" s="38"/>
      <c r="U391" s="38"/>
      <c r="V391" s="38"/>
      <c r="W391" s="38"/>
      <c r="X391" s="38"/>
      <c r="Y391" s="38"/>
      <c r="Z391" s="38"/>
      <c r="AA391" s="38"/>
      <c r="AB391" s="38"/>
      <c r="AC391" s="38"/>
      <c r="AD391" s="38"/>
      <c r="AE391" s="38"/>
      <c r="AF391" s="38"/>
      <c r="AG391" s="38"/>
      <c r="AH391" s="38"/>
      <c r="AN391" s="37"/>
      <c r="AO391" s="37"/>
      <c r="AP391" s="78"/>
      <c r="AQ391" s="37"/>
      <c r="AR391" s="37"/>
      <c r="AS391" s="37"/>
      <c r="AT391" s="37"/>
      <c r="AU391" s="37"/>
      <c r="AV391" s="37"/>
      <c r="AW391" s="37"/>
      <c r="AX391" s="37"/>
      <c r="AY391" s="37"/>
      <c r="AZ391" s="78"/>
      <c r="BA391" s="37"/>
      <c r="BB391" s="78"/>
    </row>
    <row r="392" spans="3:54" ht="20.100000000000001" customHeight="1">
      <c r="C392" s="113"/>
      <c r="D392" s="114"/>
      <c r="P392" s="82"/>
      <c r="Q392" s="82"/>
      <c r="R392" s="38"/>
      <c r="S392" s="38"/>
      <c r="T392" s="38"/>
      <c r="U392" s="38"/>
      <c r="V392" s="38"/>
      <c r="W392" s="38"/>
      <c r="X392" s="38"/>
      <c r="Y392" s="38"/>
      <c r="Z392" s="38"/>
      <c r="AA392" s="38"/>
      <c r="AB392" s="38"/>
      <c r="AC392" s="38"/>
      <c r="AD392" s="38"/>
      <c r="AE392" s="38"/>
      <c r="AF392" s="38"/>
      <c r="AG392" s="38"/>
      <c r="AH392" s="38"/>
      <c r="AN392" s="37"/>
      <c r="AO392" s="37"/>
      <c r="AP392" s="78"/>
      <c r="AQ392" s="37"/>
      <c r="AR392" s="37"/>
      <c r="AS392" s="37"/>
      <c r="AT392" s="37"/>
      <c r="AU392" s="37"/>
      <c r="AV392" s="37"/>
      <c r="AW392" s="37"/>
      <c r="AX392" s="37"/>
      <c r="AY392" s="37"/>
      <c r="AZ392" s="78"/>
      <c r="BA392" s="37"/>
      <c r="BB392" s="78"/>
    </row>
    <row r="393" spans="3:54" ht="20.100000000000001" customHeight="1">
      <c r="C393" s="113"/>
      <c r="D393" s="114"/>
      <c r="P393" s="82"/>
      <c r="Q393" s="82"/>
      <c r="R393" s="38"/>
      <c r="S393" s="38"/>
      <c r="T393" s="38"/>
      <c r="U393" s="38"/>
      <c r="V393" s="38"/>
      <c r="W393" s="38"/>
      <c r="X393" s="38"/>
      <c r="Y393" s="38"/>
      <c r="Z393" s="38"/>
      <c r="AA393" s="38"/>
      <c r="AB393" s="38"/>
      <c r="AC393" s="38"/>
      <c r="AD393" s="38"/>
      <c r="AE393" s="38"/>
      <c r="AF393" s="38"/>
      <c r="AG393" s="38"/>
      <c r="AH393" s="38"/>
      <c r="AN393" s="37"/>
      <c r="AO393" s="37"/>
      <c r="AP393" s="78"/>
      <c r="AQ393" s="37"/>
      <c r="AR393" s="37"/>
      <c r="AS393" s="37"/>
      <c r="AT393" s="37"/>
      <c r="AU393" s="37"/>
      <c r="AV393" s="37"/>
      <c r="AW393" s="37"/>
      <c r="AX393" s="37"/>
      <c r="AY393" s="37"/>
      <c r="AZ393" s="78"/>
      <c r="BA393" s="37"/>
      <c r="BB393" s="78"/>
    </row>
    <row r="394" spans="3:54" ht="20.100000000000001" customHeight="1">
      <c r="C394" s="113"/>
      <c r="D394" s="114"/>
      <c r="P394" s="82"/>
      <c r="Q394" s="82"/>
      <c r="R394" s="38"/>
      <c r="S394" s="38"/>
      <c r="T394" s="38"/>
      <c r="U394" s="38"/>
      <c r="V394" s="38"/>
      <c r="W394" s="38"/>
      <c r="X394" s="38"/>
      <c r="Y394" s="38"/>
      <c r="Z394" s="38"/>
      <c r="AA394" s="38"/>
      <c r="AB394" s="38"/>
      <c r="AC394" s="38"/>
      <c r="AD394" s="38"/>
      <c r="AE394" s="38"/>
      <c r="AF394" s="38"/>
      <c r="AG394" s="38"/>
      <c r="AH394" s="38"/>
      <c r="AN394" s="37"/>
      <c r="AO394" s="37"/>
      <c r="AP394" s="78"/>
      <c r="AQ394" s="37"/>
      <c r="AR394" s="37"/>
      <c r="AS394" s="37"/>
      <c r="AT394" s="37"/>
      <c r="AU394" s="37"/>
      <c r="AV394" s="37"/>
      <c r="AW394" s="37"/>
      <c r="AX394" s="37"/>
      <c r="AY394" s="37"/>
      <c r="AZ394" s="78"/>
      <c r="BA394" s="37"/>
      <c r="BB394" s="78"/>
    </row>
    <row r="395" spans="3:54" ht="20.100000000000001" customHeight="1">
      <c r="C395" s="113"/>
      <c r="D395" s="114"/>
      <c r="P395" s="82"/>
      <c r="Q395" s="82"/>
      <c r="R395" s="38"/>
      <c r="S395" s="38"/>
      <c r="T395" s="38"/>
      <c r="U395" s="38"/>
      <c r="V395" s="38"/>
      <c r="W395" s="38"/>
      <c r="X395" s="38"/>
      <c r="Y395" s="38"/>
      <c r="Z395" s="38"/>
      <c r="AA395" s="38"/>
      <c r="AB395" s="38"/>
      <c r="AC395" s="38"/>
      <c r="AD395" s="38"/>
      <c r="AE395" s="38"/>
      <c r="AF395" s="38"/>
      <c r="AG395" s="38"/>
      <c r="AH395" s="38"/>
      <c r="AN395" s="37"/>
      <c r="AO395" s="37"/>
      <c r="AP395" s="78"/>
      <c r="AQ395" s="37"/>
      <c r="AR395" s="37"/>
      <c r="AS395" s="37"/>
      <c r="AT395" s="37"/>
      <c r="AU395" s="37"/>
      <c r="AV395" s="37"/>
      <c r="AW395" s="37"/>
      <c r="AX395" s="37"/>
      <c r="AY395" s="37"/>
      <c r="AZ395" s="78"/>
      <c r="BA395" s="37"/>
      <c r="BB395" s="78"/>
    </row>
    <row r="396" spans="3:54" ht="20.100000000000001" customHeight="1">
      <c r="C396" s="113"/>
      <c r="D396" s="114"/>
      <c r="P396" s="82"/>
      <c r="Q396" s="82"/>
      <c r="R396" s="38"/>
      <c r="S396" s="38"/>
      <c r="T396" s="38"/>
      <c r="U396" s="38"/>
      <c r="V396" s="38"/>
      <c r="W396" s="38"/>
      <c r="X396" s="38"/>
      <c r="Y396" s="38"/>
      <c r="Z396" s="38"/>
      <c r="AA396" s="38"/>
      <c r="AB396" s="38"/>
      <c r="AC396" s="38"/>
      <c r="AD396" s="38"/>
      <c r="AE396" s="38"/>
      <c r="AF396" s="38"/>
      <c r="AG396" s="38"/>
      <c r="AH396" s="38"/>
      <c r="AN396" s="37"/>
      <c r="AO396" s="37"/>
      <c r="AP396" s="78"/>
      <c r="AQ396" s="37"/>
      <c r="AR396" s="37"/>
      <c r="AS396" s="37"/>
      <c r="AT396" s="37"/>
      <c r="AU396" s="37"/>
      <c r="AV396" s="37"/>
      <c r="AW396" s="37"/>
      <c r="AX396" s="37"/>
      <c r="AY396" s="37"/>
      <c r="AZ396" s="78"/>
      <c r="BA396" s="37"/>
      <c r="BB396" s="78"/>
    </row>
    <row r="397" spans="3:54" ht="20.100000000000001" customHeight="1">
      <c r="C397" s="113"/>
      <c r="D397" s="114"/>
      <c r="P397" s="82"/>
      <c r="Q397" s="82"/>
      <c r="R397" s="38"/>
      <c r="S397" s="38"/>
      <c r="T397" s="38"/>
      <c r="U397" s="38"/>
      <c r="V397" s="38"/>
      <c r="W397" s="38"/>
      <c r="X397" s="38"/>
      <c r="Y397" s="38"/>
      <c r="Z397" s="38"/>
      <c r="AA397" s="38"/>
      <c r="AB397" s="38"/>
      <c r="AC397" s="38"/>
      <c r="AD397" s="38"/>
      <c r="AE397" s="38"/>
      <c r="AF397" s="38"/>
      <c r="AG397" s="38"/>
      <c r="AH397" s="38"/>
      <c r="AN397" s="37"/>
      <c r="AO397" s="37"/>
      <c r="AP397" s="78"/>
      <c r="AQ397" s="37"/>
      <c r="AR397" s="37"/>
      <c r="AS397" s="37"/>
      <c r="AT397" s="37"/>
      <c r="AU397" s="37"/>
      <c r="AV397" s="37"/>
      <c r="AW397" s="37"/>
      <c r="AX397" s="37"/>
      <c r="AY397" s="37"/>
      <c r="AZ397" s="78"/>
      <c r="BA397" s="37"/>
      <c r="BB397" s="78"/>
    </row>
    <row r="398" spans="3:54" ht="20.100000000000001" customHeight="1">
      <c r="C398" s="113"/>
      <c r="D398" s="114"/>
      <c r="P398" s="82"/>
      <c r="Q398" s="82"/>
      <c r="R398" s="38"/>
      <c r="S398" s="38"/>
      <c r="T398" s="38"/>
      <c r="U398" s="38"/>
      <c r="V398" s="38"/>
      <c r="W398" s="38"/>
      <c r="X398" s="38"/>
      <c r="Y398" s="38"/>
      <c r="Z398" s="38"/>
      <c r="AA398" s="38"/>
      <c r="AB398" s="38"/>
      <c r="AC398" s="38"/>
      <c r="AD398" s="38"/>
      <c r="AE398" s="38"/>
      <c r="AF398" s="38"/>
      <c r="AG398" s="38"/>
      <c r="AH398" s="38"/>
      <c r="AN398" s="37"/>
      <c r="AO398" s="37"/>
      <c r="AP398" s="78"/>
      <c r="AQ398" s="37"/>
      <c r="AR398" s="37"/>
      <c r="AS398" s="37"/>
      <c r="AT398" s="37"/>
      <c r="AU398" s="37"/>
      <c r="AV398" s="37"/>
      <c r="AW398" s="37"/>
      <c r="AX398" s="37"/>
      <c r="AY398" s="37"/>
      <c r="AZ398" s="78"/>
      <c r="BA398" s="37"/>
      <c r="BB398" s="78"/>
    </row>
    <row r="399" spans="3:54" ht="20.100000000000001" customHeight="1">
      <c r="C399" s="113"/>
      <c r="D399" s="114"/>
      <c r="P399" s="82"/>
      <c r="Q399" s="82"/>
      <c r="R399" s="38"/>
      <c r="S399" s="38"/>
      <c r="T399" s="38"/>
      <c r="U399" s="38"/>
      <c r="V399" s="38"/>
      <c r="W399" s="38"/>
      <c r="X399" s="38"/>
      <c r="Y399" s="38"/>
      <c r="Z399" s="38"/>
      <c r="AA399" s="38"/>
      <c r="AB399" s="38"/>
      <c r="AC399" s="38"/>
      <c r="AD399" s="38"/>
      <c r="AE399" s="38"/>
      <c r="AF399" s="38"/>
      <c r="AG399" s="38"/>
      <c r="AH399" s="38"/>
      <c r="AN399" s="37"/>
      <c r="AO399" s="37"/>
      <c r="AP399" s="78"/>
      <c r="AQ399" s="37"/>
      <c r="AR399" s="37"/>
      <c r="AS399" s="37"/>
      <c r="AT399" s="37"/>
      <c r="AU399" s="37"/>
      <c r="AV399" s="37"/>
      <c r="AW399" s="37"/>
      <c r="AX399" s="37"/>
      <c r="AY399" s="37"/>
      <c r="AZ399" s="78"/>
      <c r="BA399" s="37"/>
      <c r="BB399" s="78"/>
    </row>
    <row r="400" spans="3:54" ht="20.100000000000001" customHeight="1">
      <c r="C400" s="113"/>
      <c r="D400" s="114"/>
      <c r="P400" s="82"/>
      <c r="Q400" s="82"/>
      <c r="R400" s="38"/>
      <c r="S400" s="38"/>
      <c r="T400" s="38"/>
      <c r="U400" s="38"/>
      <c r="V400" s="38"/>
      <c r="W400" s="38"/>
      <c r="X400" s="38"/>
      <c r="Y400" s="38"/>
      <c r="Z400" s="38"/>
      <c r="AA400" s="38"/>
      <c r="AB400" s="38"/>
      <c r="AC400" s="38"/>
      <c r="AD400" s="38"/>
      <c r="AE400" s="38"/>
      <c r="AF400" s="38"/>
      <c r="AG400" s="38"/>
      <c r="AH400" s="38"/>
      <c r="AN400" s="37"/>
      <c r="AO400" s="37"/>
      <c r="AP400" s="78"/>
      <c r="AQ400" s="37"/>
      <c r="AR400" s="37"/>
      <c r="AS400" s="37"/>
      <c r="AT400" s="37"/>
      <c r="AU400" s="37"/>
      <c r="AV400" s="37"/>
      <c r="AW400" s="37"/>
      <c r="AX400" s="37"/>
      <c r="AY400" s="37"/>
      <c r="AZ400" s="78"/>
      <c r="BA400" s="37"/>
      <c r="BB400" s="78"/>
    </row>
    <row r="401" spans="3:54" ht="20.100000000000001" customHeight="1">
      <c r="C401" s="113"/>
      <c r="D401" s="114"/>
      <c r="P401" s="82"/>
      <c r="Q401" s="82"/>
      <c r="R401" s="38"/>
      <c r="S401" s="38"/>
      <c r="T401" s="38"/>
      <c r="U401" s="38"/>
      <c r="V401" s="38"/>
      <c r="W401" s="38"/>
      <c r="X401" s="38"/>
      <c r="Y401" s="38"/>
      <c r="Z401" s="38"/>
      <c r="AA401" s="38"/>
      <c r="AB401" s="38"/>
      <c r="AC401" s="38"/>
      <c r="AD401" s="38"/>
      <c r="AE401" s="38"/>
      <c r="AF401" s="38"/>
      <c r="AG401" s="38"/>
      <c r="AH401" s="38"/>
      <c r="AN401" s="37"/>
      <c r="AO401" s="37"/>
      <c r="AP401" s="78"/>
      <c r="AQ401" s="37"/>
      <c r="AR401" s="37"/>
      <c r="AS401" s="37"/>
      <c r="AT401" s="37"/>
      <c r="AU401" s="37"/>
      <c r="AV401" s="37"/>
      <c r="AW401" s="37"/>
      <c r="AX401" s="37"/>
      <c r="AY401" s="37"/>
      <c r="AZ401" s="78"/>
      <c r="BA401" s="37"/>
      <c r="BB401" s="78"/>
    </row>
    <row r="402" spans="3:54" ht="20.100000000000001" customHeight="1">
      <c r="C402" s="113"/>
      <c r="D402" s="114"/>
      <c r="P402" s="82"/>
      <c r="Q402" s="82"/>
      <c r="R402" s="38"/>
      <c r="S402" s="38"/>
      <c r="T402" s="38"/>
      <c r="U402" s="38"/>
      <c r="V402" s="38"/>
      <c r="W402" s="38"/>
      <c r="X402" s="38"/>
      <c r="Y402" s="38"/>
      <c r="Z402" s="38"/>
      <c r="AA402" s="38"/>
      <c r="AB402" s="38"/>
      <c r="AC402" s="38"/>
      <c r="AD402" s="38"/>
      <c r="AE402" s="38"/>
      <c r="AF402" s="38"/>
      <c r="AG402" s="38"/>
      <c r="AH402" s="38"/>
      <c r="AN402" s="37"/>
      <c r="AO402" s="37"/>
      <c r="AP402" s="78"/>
      <c r="AQ402" s="37"/>
      <c r="AR402" s="37"/>
      <c r="AS402" s="37"/>
      <c r="AT402" s="37"/>
      <c r="AU402" s="37"/>
      <c r="AV402" s="37"/>
      <c r="AW402" s="37"/>
      <c r="AX402" s="37"/>
      <c r="AY402" s="37"/>
      <c r="AZ402" s="78"/>
      <c r="BA402" s="37"/>
      <c r="BB402" s="78"/>
    </row>
    <row r="403" spans="3:54" ht="20.100000000000001" customHeight="1">
      <c r="C403" s="113"/>
      <c r="D403" s="114"/>
      <c r="P403" s="82"/>
      <c r="Q403" s="82"/>
      <c r="R403" s="38"/>
      <c r="S403" s="38"/>
      <c r="T403" s="38"/>
      <c r="U403" s="38"/>
      <c r="V403" s="38"/>
      <c r="W403" s="38"/>
      <c r="X403" s="38"/>
      <c r="Y403" s="38"/>
      <c r="Z403" s="38"/>
      <c r="AA403" s="38"/>
      <c r="AB403" s="38"/>
      <c r="AC403" s="38"/>
      <c r="AD403" s="38"/>
      <c r="AE403" s="38"/>
      <c r="AF403" s="38"/>
      <c r="AG403" s="38"/>
      <c r="AH403" s="38"/>
      <c r="AN403" s="37"/>
      <c r="AO403" s="37"/>
      <c r="AP403" s="78"/>
      <c r="AQ403" s="37"/>
      <c r="AR403" s="37"/>
      <c r="AS403" s="37"/>
      <c r="AT403" s="37"/>
      <c r="AU403" s="37"/>
      <c r="AV403" s="37"/>
      <c r="AW403" s="37"/>
      <c r="AX403" s="37"/>
      <c r="AY403" s="37"/>
      <c r="AZ403" s="78"/>
      <c r="BA403" s="37"/>
      <c r="BB403" s="78"/>
    </row>
    <row r="404" spans="3:54" ht="20.100000000000001" customHeight="1">
      <c r="C404" s="113"/>
      <c r="D404" s="114"/>
      <c r="P404" s="82"/>
      <c r="Q404" s="82"/>
      <c r="R404" s="38"/>
      <c r="S404" s="38"/>
      <c r="T404" s="38"/>
      <c r="U404" s="38"/>
      <c r="V404" s="38"/>
      <c r="W404" s="38"/>
      <c r="X404" s="38"/>
      <c r="Y404" s="38"/>
      <c r="Z404" s="38"/>
      <c r="AA404" s="38"/>
      <c r="AB404" s="38"/>
      <c r="AC404" s="38"/>
      <c r="AD404" s="38"/>
      <c r="AE404" s="38"/>
      <c r="AF404" s="38"/>
      <c r="AG404" s="38"/>
      <c r="AH404" s="38"/>
      <c r="AN404" s="37"/>
      <c r="AO404" s="37"/>
      <c r="AP404" s="78"/>
      <c r="AQ404" s="37"/>
      <c r="AR404" s="37"/>
      <c r="AS404" s="37"/>
      <c r="AT404" s="37"/>
      <c r="AU404" s="37"/>
      <c r="AV404" s="37"/>
      <c r="AW404" s="37"/>
      <c r="AX404" s="37"/>
      <c r="AY404" s="37"/>
      <c r="AZ404" s="78"/>
      <c r="BA404" s="37"/>
      <c r="BB404" s="78"/>
    </row>
    <row r="405" spans="3:54" ht="20.100000000000001" customHeight="1">
      <c r="C405" s="113"/>
      <c r="D405" s="114"/>
      <c r="P405" s="82"/>
      <c r="Q405" s="82"/>
      <c r="R405" s="38"/>
      <c r="S405" s="38"/>
      <c r="T405" s="38"/>
      <c r="U405" s="38"/>
      <c r="V405" s="38"/>
      <c r="W405" s="38"/>
      <c r="X405" s="38"/>
      <c r="Y405" s="38"/>
      <c r="Z405" s="38"/>
      <c r="AA405" s="38"/>
      <c r="AB405" s="38"/>
      <c r="AC405" s="38"/>
      <c r="AD405" s="38"/>
      <c r="AE405" s="38"/>
      <c r="AF405" s="38"/>
      <c r="AG405" s="38"/>
      <c r="AH405" s="38"/>
      <c r="AN405" s="37"/>
      <c r="AO405" s="37"/>
      <c r="AP405" s="78"/>
      <c r="AQ405" s="37"/>
      <c r="AR405" s="37"/>
      <c r="AS405" s="37"/>
      <c r="AT405" s="37"/>
      <c r="AU405" s="37"/>
      <c r="AV405" s="37"/>
      <c r="AW405" s="37"/>
      <c r="AX405" s="37"/>
      <c r="AY405" s="37"/>
      <c r="AZ405" s="78"/>
      <c r="BA405" s="37"/>
      <c r="BB405" s="78"/>
    </row>
    <row r="406" spans="3:54" ht="20.100000000000001" customHeight="1">
      <c r="C406" s="113"/>
      <c r="D406" s="114"/>
      <c r="P406" s="82"/>
      <c r="Q406" s="82"/>
      <c r="R406" s="38"/>
      <c r="S406" s="38"/>
      <c r="T406" s="38"/>
      <c r="U406" s="38"/>
      <c r="V406" s="38"/>
      <c r="W406" s="38"/>
      <c r="X406" s="38"/>
      <c r="Y406" s="38"/>
      <c r="Z406" s="38"/>
      <c r="AA406" s="38"/>
      <c r="AB406" s="38"/>
      <c r="AC406" s="38"/>
      <c r="AD406" s="38"/>
      <c r="AE406" s="38"/>
      <c r="AF406" s="38"/>
      <c r="AG406" s="38"/>
      <c r="AH406" s="38"/>
      <c r="AN406" s="37"/>
      <c r="AO406" s="37"/>
      <c r="AP406" s="78"/>
      <c r="AQ406" s="37"/>
      <c r="AR406" s="37"/>
      <c r="AS406" s="37"/>
      <c r="AT406" s="37"/>
      <c r="AU406" s="37"/>
      <c r="AV406" s="37"/>
      <c r="AW406" s="37"/>
      <c r="AX406" s="37"/>
      <c r="AY406" s="37"/>
      <c r="AZ406" s="78"/>
      <c r="BA406" s="37"/>
      <c r="BB406" s="78"/>
    </row>
    <row r="407" spans="3:54" ht="20.100000000000001" customHeight="1">
      <c r="C407" s="113"/>
      <c r="D407" s="114"/>
      <c r="P407" s="82"/>
      <c r="Q407" s="82"/>
      <c r="R407" s="38"/>
      <c r="S407" s="38"/>
      <c r="T407" s="38"/>
      <c r="U407" s="38"/>
      <c r="V407" s="38"/>
      <c r="W407" s="38"/>
      <c r="X407" s="38"/>
      <c r="Y407" s="38"/>
      <c r="Z407" s="38"/>
      <c r="AA407" s="38"/>
      <c r="AB407" s="38"/>
      <c r="AC407" s="38"/>
      <c r="AD407" s="38"/>
      <c r="AE407" s="38"/>
      <c r="AF407" s="38"/>
      <c r="AG407" s="38"/>
      <c r="AH407" s="38"/>
      <c r="AN407" s="37"/>
      <c r="AO407" s="37"/>
      <c r="AP407" s="78"/>
      <c r="AQ407" s="37"/>
      <c r="AR407" s="37"/>
      <c r="AS407" s="37"/>
      <c r="AT407" s="37"/>
      <c r="AU407" s="37"/>
      <c r="AV407" s="37"/>
      <c r="AW407" s="37"/>
      <c r="AX407" s="37"/>
      <c r="AY407" s="37"/>
      <c r="AZ407" s="78"/>
      <c r="BA407" s="37"/>
      <c r="BB407" s="78"/>
    </row>
    <row r="408" spans="3:54" ht="20.100000000000001" customHeight="1">
      <c r="C408" s="113"/>
      <c r="D408" s="114"/>
      <c r="P408" s="82"/>
      <c r="Q408" s="82"/>
      <c r="R408" s="38"/>
      <c r="S408" s="38"/>
      <c r="T408" s="38"/>
      <c r="U408" s="38"/>
      <c r="V408" s="38"/>
      <c r="W408" s="38"/>
      <c r="X408" s="38"/>
      <c r="Y408" s="38"/>
      <c r="Z408" s="38"/>
      <c r="AA408" s="38"/>
      <c r="AB408" s="38"/>
      <c r="AC408" s="38"/>
      <c r="AD408" s="38"/>
      <c r="AE408" s="38"/>
      <c r="AF408" s="38"/>
      <c r="AG408" s="38"/>
      <c r="AH408" s="38"/>
      <c r="AN408" s="37"/>
      <c r="AO408" s="37"/>
      <c r="AP408" s="78"/>
      <c r="AQ408" s="37"/>
      <c r="AR408" s="37"/>
      <c r="AS408" s="37"/>
      <c r="AT408" s="37"/>
      <c r="AU408" s="37"/>
      <c r="AV408" s="37"/>
      <c r="AW408" s="37"/>
      <c r="AX408" s="37"/>
      <c r="AY408" s="37"/>
      <c r="AZ408" s="78"/>
      <c r="BA408" s="37"/>
      <c r="BB408" s="78"/>
    </row>
    <row r="409" spans="3:54" ht="20.100000000000001" customHeight="1">
      <c r="C409" s="113"/>
      <c r="D409" s="114"/>
      <c r="P409" s="82"/>
      <c r="Q409" s="82"/>
      <c r="R409" s="38"/>
      <c r="S409" s="38"/>
      <c r="T409" s="38"/>
      <c r="U409" s="38"/>
      <c r="V409" s="38"/>
      <c r="W409" s="38"/>
      <c r="X409" s="38"/>
      <c r="Y409" s="38"/>
      <c r="Z409" s="38"/>
      <c r="AA409" s="38"/>
      <c r="AB409" s="38"/>
      <c r="AC409" s="38"/>
      <c r="AD409" s="38"/>
      <c r="AE409" s="38"/>
      <c r="AF409" s="38"/>
      <c r="AG409" s="38"/>
      <c r="AH409" s="38"/>
      <c r="AN409" s="37"/>
      <c r="AO409" s="37"/>
      <c r="AP409" s="78"/>
      <c r="AQ409" s="37"/>
      <c r="AR409" s="37"/>
      <c r="AS409" s="37"/>
      <c r="AT409" s="37"/>
      <c r="AU409" s="37"/>
      <c r="AV409" s="37"/>
      <c r="AW409" s="37"/>
      <c r="AX409" s="37"/>
      <c r="AY409" s="37"/>
      <c r="AZ409" s="78"/>
      <c r="BA409" s="37"/>
      <c r="BB409" s="78"/>
    </row>
    <row r="410" spans="3:54" ht="20.100000000000001" customHeight="1">
      <c r="C410" s="113"/>
      <c r="D410" s="114"/>
      <c r="P410" s="82"/>
      <c r="Q410" s="82"/>
      <c r="R410" s="38"/>
      <c r="S410" s="38"/>
      <c r="T410" s="38"/>
      <c r="U410" s="38"/>
      <c r="V410" s="38"/>
      <c r="W410" s="38"/>
      <c r="X410" s="38"/>
      <c r="Y410" s="38"/>
      <c r="Z410" s="38"/>
      <c r="AA410" s="38"/>
      <c r="AB410" s="38"/>
      <c r="AC410" s="38"/>
      <c r="AD410" s="38"/>
      <c r="AE410" s="38"/>
      <c r="AF410" s="38"/>
      <c r="AG410" s="38"/>
      <c r="AH410" s="38"/>
      <c r="AN410" s="37"/>
      <c r="AO410" s="37"/>
      <c r="AP410" s="78"/>
      <c r="AQ410" s="37"/>
      <c r="AR410" s="37"/>
      <c r="AS410" s="37"/>
      <c r="AT410" s="37"/>
      <c r="AU410" s="37"/>
      <c r="AV410" s="37"/>
      <c r="AW410" s="37"/>
      <c r="AX410" s="37"/>
      <c r="AY410" s="37"/>
      <c r="AZ410" s="78"/>
      <c r="BA410" s="37"/>
      <c r="BB410" s="78"/>
    </row>
    <row r="411" spans="3:54" ht="20.100000000000001" customHeight="1">
      <c r="C411" s="113"/>
      <c r="D411" s="114"/>
      <c r="P411" s="82"/>
      <c r="Q411" s="82"/>
      <c r="R411" s="38"/>
      <c r="S411" s="38"/>
      <c r="T411" s="38"/>
      <c r="U411" s="38"/>
      <c r="V411" s="38"/>
      <c r="W411" s="38"/>
      <c r="X411" s="38"/>
      <c r="Y411" s="38"/>
      <c r="Z411" s="38"/>
      <c r="AA411" s="38"/>
      <c r="AB411" s="38"/>
      <c r="AC411" s="38"/>
      <c r="AD411" s="38"/>
      <c r="AE411" s="38"/>
      <c r="AF411" s="38"/>
      <c r="AG411" s="38"/>
      <c r="AH411" s="38"/>
      <c r="AN411" s="37"/>
      <c r="AO411" s="37"/>
      <c r="AP411" s="78"/>
      <c r="AQ411" s="37"/>
      <c r="AR411" s="37"/>
      <c r="AS411" s="37"/>
      <c r="AT411" s="37"/>
      <c r="AU411" s="37"/>
      <c r="AV411" s="37"/>
      <c r="AW411" s="37"/>
      <c r="AX411" s="37"/>
      <c r="AY411" s="37"/>
      <c r="AZ411" s="78"/>
      <c r="BA411" s="37"/>
      <c r="BB411" s="78"/>
    </row>
    <row r="412" spans="3:54" ht="20.100000000000001" customHeight="1">
      <c r="C412" s="113"/>
      <c r="D412" s="114"/>
      <c r="P412" s="82"/>
      <c r="Q412" s="82"/>
      <c r="R412" s="38"/>
      <c r="S412" s="38"/>
      <c r="T412" s="38"/>
      <c r="U412" s="38"/>
      <c r="V412" s="38"/>
      <c r="W412" s="38"/>
      <c r="X412" s="38"/>
      <c r="Y412" s="38"/>
      <c r="Z412" s="38"/>
      <c r="AA412" s="38"/>
      <c r="AB412" s="38"/>
      <c r="AC412" s="38"/>
      <c r="AD412" s="38"/>
      <c r="AE412" s="38"/>
      <c r="AF412" s="38"/>
      <c r="AG412" s="38"/>
      <c r="AH412" s="38"/>
      <c r="AN412" s="37"/>
      <c r="AO412" s="37"/>
      <c r="AP412" s="78"/>
      <c r="AQ412" s="37"/>
      <c r="AR412" s="37"/>
      <c r="AS412" s="37"/>
      <c r="AT412" s="37"/>
      <c r="AU412" s="37"/>
      <c r="AV412" s="37"/>
      <c r="AW412" s="37"/>
      <c r="AX412" s="37"/>
      <c r="AY412" s="37"/>
      <c r="AZ412" s="78"/>
      <c r="BA412" s="37"/>
      <c r="BB412" s="78"/>
    </row>
    <row r="413" spans="3:54" ht="20.100000000000001" customHeight="1">
      <c r="C413" s="113"/>
      <c r="D413" s="114"/>
      <c r="P413" s="82"/>
      <c r="Q413" s="82"/>
      <c r="R413" s="38"/>
      <c r="S413" s="38"/>
      <c r="T413" s="38"/>
      <c r="U413" s="38"/>
      <c r="V413" s="38"/>
      <c r="W413" s="38"/>
      <c r="X413" s="38"/>
      <c r="Y413" s="38"/>
      <c r="Z413" s="38"/>
      <c r="AA413" s="38"/>
      <c r="AB413" s="38"/>
      <c r="AC413" s="38"/>
      <c r="AD413" s="38"/>
      <c r="AE413" s="38"/>
      <c r="AF413" s="38"/>
      <c r="AG413" s="38"/>
      <c r="AH413" s="38"/>
      <c r="AN413" s="37"/>
      <c r="AO413" s="37"/>
      <c r="AP413" s="78"/>
      <c r="AQ413" s="37"/>
      <c r="AR413" s="37"/>
      <c r="AS413" s="37"/>
      <c r="AT413" s="37"/>
      <c r="AU413" s="37"/>
      <c r="AV413" s="37"/>
      <c r="AW413" s="37"/>
      <c r="AX413" s="37"/>
      <c r="AY413" s="37"/>
      <c r="AZ413" s="78"/>
      <c r="BA413" s="37"/>
      <c r="BB413" s="78"/>
    </row>
    <row r="414" spans="3:54" ht="20.100000000000001" customHeight="1">
      <c r="C414" s="113"/>
      <c r="D414" s="114"/>
      <c r="P414" s="82"/>
      <c r="Q414" s="82"/>
      <c r="R414" s="38"/>
      <c r="S414" s="38"/>
      <c r="T414" s="38"/>
      <c r="U414" s="38"/>
      <c r="V414" s="38"/>
      <c r="W414" s="38"/>
      <c r="X414" s="38"/>
      <c r="Y414" s="38"/>
      <c r="Z414" s="38"/>
      <c r="AA414" s="38"/>
      <c r="AB414" s="38"/>
      <c r="AC414" s="38"/>
      <c r="AD414" s="38"/>
      <c r="AE414" s="38"/>
      <c r="AF414" s="38"/>
      <c r="AG414" s="38"/>
      <c r="AH414" s="38"/>
      <c r="AN414" s="37"/>
      <c r="AO414" s="37"/>
      <c r="AP414" s="78"/>
      <c r="AQ414" s="37"/>
      <c r="AR414" s="37"/>
      <c r="AS414" s="37"/>
      <c r="AT414" s="37"/>
      <c r="AU414" s="37"/>
      <c r="AV414" s="37"/>
      <c r="AW414" s="37"/>
      <c r="AX414" s="37"/>
      <c r="AY414" s="37"/>
      <c r="AZ414" s="78"/>
      <c r="BA414" s="37"/>
      <c r="BB414" s="78"/>
    </row>
    <row r="415" spans="3:54" ht="20.100000000000001" customHeight="1">
      <c r="C415" s="113"/>
      <c r="D415" s="114"/>
      <c r="P415" s="82"/>
      <c r="Q415" s="82"/>
      <c r="R415" s="38"/>
      <c r="S415" s="38"/>
      <c r="T415" s="38"/>
      <c r="U415" s="38"/>
      <c r="V415" s="38"/>
      <c r="W415" s="38"/>
      <c r="X415" s="38"/>
      <c r="Y415" s="38"/>
      <c r="Z415" s="38"/>
      <c r="AA415" s="38"/>
      <c r="AB415" s="38"/>
      <c r="AC415" s="38"/>
      <c r="AD415" s="38"/>
      <c r="AE415" s="38"/>
      <c r="AF415" s="38"/>
      <c r="AG415" s="38"/>
      <c r="AH415" s="38"/>
      <c r="AN415" s="37"/>
      <c r="AO415" s="37"/>
      <c r="AP415" s="78"/>
      <c r="AQ415" s="37"/>
      <c r="AR415" s="37"/>
      <c r="AS415" s="37"/>
      <c r="AT415" s="37"/>
      <c r="AU415" s="37"/>
      <c r="AV415" s="37"/>
      <c r="AW415" s="37"/>
      <c r="AX415" s="37"/>
      <c r="AY415" s="37"/>
      <c r="AZ415" s="78"/>
      <c r="BA415" s="37"/>
      <c r="BB415" s="78"/>
    </row>
    <row r="416" spans="3:54" ht="20.100000000000001" customHeight="1">
      <c r="C416" s="113"/>
      <c r="D416" s="114"/>
      <c r="P416" s="82"/>
      <c r="Q416" s="82"/>
      <c r="R416" s="38"/>
      <c r="S416" s="38"/>
      <c r="T416" s="38"/>
      <c r="U416" s="38"/>
      <c r="V416" s="38"/>
      <c r="W416" s="38"/>
      <c r="X416" s="38"/>
      <c r="Y416" s="38"/>
      <c r="Z416" s="38"/>
      <c r="AA416" s="38"/>
      <c r="AB416" s="38"/>
      <c r="AC416" s="38"/>
      <c r="AD416" s="38"/>
      <c r="AE416" s="38"/>
      <c r="AF416" s="38"/>
      <c r="AG416" s="38"/>
      <c r="AH416" s="38"/>
      <c r="AN416" s="37"/>
      <c r="AO416" s="37"/>
      <c r="AP416" s="78"/>
      <c r="AQ416" s="37"/>
      <c r="AR416" s="37"/>
      <c r="AS416" s="37"/>
      <c r="AT416" s="37"/>
      <c r="AU416" s="37"/>
      <c r="AV416" s="37"/>
      <c r="AW416" s="37"/>
      <c r="AX416" s="37"/>
      <c r="AY416" s="37"/>
      <c r="AZ416" s="78"/>
      <c r="BA416" s="37"/>
      <c r="BB416" s="78"/>
    </row>
    <row r="417" spans="3:54" ht="20.100000000000001" customHeight="1">
      <c r="C417" s="113"/>
      <c r="D417" s="114"/>
      <c r="P417" s="82"/>
      <c r="Q417" s="82"/>
      <c r="R417" s="38"/>
      <c r="S417" s="38"/>
      <c r="T417" s="38"/>
      <c r="U417" s="38"/>
      <c r="V417" s="38"/>
      <c r="W417" s="38"/>
      <c r="X417" s="38"/>
      <c r="Y417" s="38"/>
      <c r="Z417" s="38"/>
      <c r="AA417" s="38"/>
      <c r="AB417" s="38"/>
      <c r="AC417" s="38"/>
      <c r="AD417" s="38"/>
      <c r="AE417" s="38"/>
      <c r="AF417" s="38"/>
      <c r="AG417" s="38"/>
      <c r="AH417" s="38"/>
      <c r="AN417" s="37"/>
      <c r="AO417" s="37"/>
      <c r="AP417" s="78"/>
      <c r="AQ417" s="37"/>
      <c r="AR417" s="37"/>
      <c r="AS417" s="37"/>
      <c r="AT417" s="37"/>
      <c r="AU417" s="37"/>
      <c r="AV417" s="37"/>
      <c r="AW417" s="37"/>
      <c r="AX417" s="37"/>
      <c r="AY417" s="37"/>
      <c r="AZ417" s="78"/>
      <c r="BA417" s="37"/>
      <c r="BB417" s="78"/>
    </row>
    <row r="418" spans="3:54" ht="20.100000000000001" customHeight="1">
      <c r="C418" s="113"/>
      <c r="D418" s="114"/>
      <c r="P418" s="82"/>
      <c r="Q418" s="82"/>
      <c r="R418" s="38"/>
      <c r="S418" s="38"/>
      <c r="T418" s="38"/>
      <c r="U418" s="38"/>
      <c r="V418" s="38"/>
      <c r="W418" s="38"/>
      <c r="X418" s="38"/>
      <c r="Y418" s="38"/>
      <c r="Z418" s="38"/>
      <c r="AA418" s="38"/>
      <c r="AB418" s="38"/>
      <c r="AC418" s="38"/>
      <c r="AD418" s="38"/>
      <c r="AE418" s="38"/>
      <c r="AF418" s="38"/>
      <c r="AG418" s="38"/>
      <c r="AH418" s="38"/>
      <c r="AN418" s="37"/>
      <c r="AO418" s="37"/>
      <c r="AP418" s="78"/>
      <c r="AQ418" s="37"/>
      <c r="AR418" s="37"/>
      <c r="AS418" s="37"/>
      <c r="AT418" s="37"/>
      <c r="AU418" s="37"/>
      <c r="AV418" s="37"/>
      <c r="AW418" s="37"/>
      <c r="AX418" s="37"/>
      <c r="AY418" s="37"/>
      <c r="AZ418" s="78"/>
      <c r="BA418" s="37"/>
      <c r="BB418" s="78"/>
    </row>
    <row r="419" spans="3:54" ht="20.100000000000001" customHeight="1">
      <c r="C419" s="113"/>
      <c r="D419" s="114"/>
      <c r="P419" s="82"/>
      <c r="Q419" s="82"/>
      <c r="R419" s="38"/>
      <c r="S419" s="38"/>
      <c r="T419" s="38"/>
      <c r="U419" s="38"/>
      <c r="V419" s="38"/>
      <c r="W419" s="38"/>
      <c r="X419" s="38"/>
      <c r="Y419" s="38"/>
      <c r="Z419" s="38"/>
      <c r="AA419" s="38"/>
      <c r="AB419" s="38"/>
      <c r="AC419" s="38"/>
      <c r="AD419" s="38"/>
      <c r="AE419" s="38"/>
      <c r="AF419" s="38"/>
      <c r="AG419" s="38"/>
      <c r="AH419" s="38"/>
      <c r="AN419" s="37"/>
      <c r="AO419" s="37"/>
      <c r="AP419" s="78"/>
      <c r="AQ419" s="37"/>
      <c r="AR419" s="37"/>
      <c r="AS419" s="37"/>
      <c r="AT419" s="37"/>
      <c r="AU419" s="37"/>
      <c r="AV419" s="37"/>
      <c r="AW419" s="37"/>
      <c r="AX419" s="37"/>
      <c r="AY419" s="37"/>
      <c r="AZ419" s="78"/>
      <c r="BA419" s="37"/>
      <c r="BB419" s="78"/>
    </row>
    <row r="420" spans="3:54" ht="20.100000000000001" customHeight="1">
      <c r="C420" s="113"/>
      <c r="D420" s="114"/>
      <c r="P420" s="82"/>
      <c r="Q420" s="82"/>
      <c r="R420" s="38"/>
      <c r="S420" s="38"/>
      <c r="T420" s="38"/>
      <c r="U420" s="38"/>
      <c r="V420" s="38"/>
      <c r="W420" s="38"/>
      <c r="X420" s="38"/>
      <c r="Y420" s="38"/>
      <c r="Z420" s="38"/>
      <c r="AA420" s="38"/>
      <c r="AB420" s="38"/>
      <c r="AC420" s="38"/>
      <c r="AD420" s="38"/>
      <c r="AE420" s="38"/>
      <c r="AF420" s="38"/>
      <c r="AG420" s="38"/>
      <c r="AH420" s="38"/>
      <c r="AN420" s="37"/>
      <c r="AO420" s="37"/>
      <c r="AP420" s="78"/>
      <c r="AQ420" s="37"/>
      <c r="AR420" s="37"/>
      <c r="AS420" s="37"/>
      <c r="AT420" s="37"/>
      <c r="AU420" s="37"/>
      <c r="AV420" s="37"/>
      <c r="AW420" s="37"/>
      <c r="AX420" s="37"/>
      <c r="AY420" s="37"/>
      <c r="AZ420" s="78"/>
      <c r="BA420" s="37"/>
      <c r="BB420" s="78"/>
    </row>
    <row r="421" spans="3:54" ht="20.100000000000001" customHeight="1">
      <c r="C421" s="113"/>
      <c r="D421" s="114"/>
      <c r="P421" s="82"/>
      <c r="Q421" s="82"/>
      <c r="R421" s="38"/>
      <c r="S421" s="38"/>
      <c r="T421" s="38"/>
      <c r="U421" s="38"/>
      <c r="V421" s="38"/>
      <c r="W421" s="38"/>
      <c r="X421" s="38"/>
      <c r="Y421" s="38"/>
      <c r="Z421" s="38"/>
      <c r="AA421" s="38"/>
      <c r="AB421" s="38"/>
      <c r="AC421" s="38"/>
      <c r="AD421" s="38"/>
      <c r="AE421" s="38"/>
      <c r="AF421" s="38"/>
      <c r="AG421" s="38"/>
      <c r="AH421" s="38"/>
      <c r="AN421" s="37"/>
      <c r="AO421" s="37"/>
      <c r="AP421" s="78"/>
      <c r="AQ421" s="37"/>
      <c r="AR421" s="37"/>
      <c r="AS421" s="37"/>
      <c r="AT421" s="37"/>
      <c r="AU421" s="37"/>
      <c r="AV421" s="37"/>
      <c r="AW421" s="37"/>
      <c r="AX421" s="37"/>
      <c r="AY421" s="37"/>
      <c r="AZ421" s="78"/>
      <c r="BA421" s="37"/>
      <c r="BB421" s="78"/>
    </row>
    <row r="422" spans="3:54" ht="20.100000000000001" customHeight="1">
      <c r="C422" s="113"/>
      <c r="D422" s="114"/>
      <c r="P422" s="82"/>
      <c r="Q422" s="82"/>
      <c r="R422" s="38"/>
      <c r="S422" s="38"/>
      <c r="T422" s="38"/>
      <c r="U422" s="38"/>
      <c r="V422" s="38"/>
      <c r="W422" s="38"/>
      <c r="X422" s="38"/>
      <c r="Y422" s="38"/>
      <c r="Z422" s="38"/>
      <c r="AA422" s="38"/>
      <c r="AB422" s="38"/>
      <c r="AC422" s="38"/>
      <c r="AD422" s="38"/>
      <c r="AE422" s="38"/>
      <c r="AF422" s="38"/>
      <c r="AG422" s="38"/>
      <c r="AH422" s="38"/>
      <c r="AN422" s="37"/>
      <c r="AO422" s="37"/>
      <c r="AP422" s="78"/>
      <c r="AQ422" s="37"/>
      <c r="AR422" s="37"/>
      <c r="AS422" s="37"/>
      <c r="AT422" s="37"/>
      <c r="AU422" s="37"/>
      <c r="AV422" s="37"/>
      <c r="AW422" s="37"/>
      <c r="AX422" s="37"/>
      <c r="AY422" s="37"/>
      <c r="AZ422" s="78"/>
      <c r="BA422" s="37"/>
      <c r="BB422" s="78"/>
    </row>
    <row r="423" spans="3:54" ht="20.100000000000001" customHeight="1">
      <c r="C423" s="113"/>
      <c r="D423" s="114"/>
      <c r="P423" s="82"/>
      <c r="Q423" s="82"/>
      <c r="R423" s="38"/>
      <c r="S423" s="38"/>
      <c r="T423" s="38"/>
      <c r="U423" s="38"/>
      <c r="V423" s="38"/>
      <c r="W423" s="38"/>
      <c r="X423" s="38"/>
      <c r="Y423" s="38"/>
      <c r="Z423" s="38"/>
      <c r="AA423" s="38"/>
      <c r="AB423" s="38"/>
      <c r="AC423" s="38"/>
      <c r="AD423" s="38"/>
      <c r="AE423" s="38"/>
      <c r="AF423" s="38"/>
      <c r="AG423" s="38"/>
      <c r="AH423" s="38"/>
      <c r="AN423" s="37"/>
      <c r="AO423" s="37"/>
      <c r="AP423" s="78"/>
      <c r="AQ423" s="37"/>
      <c r="AR423" s="37"/>
      <c r="AS423" s="37"/>
      <c r="AT423" s="37"/>
      <c r="AU423" s="37"/>
      <c r="AV423" s="37"/>
      <c r="AW423" s="37"/>
      <c r="AX423" s="37"/>
      <c r="AY423" s="37"/>
      <c r="AZ423" s="78"/>
      <c r="BA423" s="37"/>
      <c r="BB423" s="78"/>
    </row>
    <row r="424" spans="3:54" ht="20.100000000000001" customHeight="1">
      <c r="C424" s="113"/>
      <c r="D424" s="114"/>
      <c r="P424" s="82"/>
      <c r="Q424" s="82"/>
      <c r="R424" s="38"/>
      <c r="S424" s="38"/>
      <c r="T424" s="38"/>
      <c r="U424" s="38"/>
      <c r="V424" s="38"/>
      <c r="W424" s="38"/>
      <c r="X424" s="38"/>
      <c r="Y424" s="38"/>
      <c r="Z424" s="38"/>
      <c r="AA424" s="38"/>
      <c r="AB424" s="38"/>
      <c r="AC424" s="38"/>
      <c r="AD424" s="38"/>
      <c r="AE424" s="38"/>
      <c r="AF424" s="38"/>
      <c r="AG424" s="38"/>
      <c r="AH424" s="38"/>
      <c r="AN424" s="37"/>
      <c r="AO424" s="37"/>
      <c r="AP424" s="78"/>
      <c r="AQ424" s="37"/>
      <c r="AR424" s="37"/>
      <c r="AS424" s="37"/>
      <c r="AT424" s="37"/>
      <c r="AU424" s="37"/>
      <c r="AV424" s="37"/>
      <c r="AW424" s="37"/>
      <c r="AX424" s="37"/>
      <c r="AY424" s="37"/>
      <c r="AZ424" s="78"/>
      <c r="BA424" s="37"/>
      <c r="BB424" s="78"/>
    </row>
    <row r="425" spans="3:54" ht="20.100000000000001" customHeight="1">
      <c r="C425" s="113"/>
      <c r="D425" s="114"/>
      <c r="P425" s="82"/>
      <c r="Q425" s="82"/>
      <c r="R425" s="38"/>
      <c r="S425" s="38"/>
      <c r="T425" s="38"/>
      <c r="U425" s="38"/>
      <c r="V425" s="38"/>
      <c r="W425" s="38"/>
      <c r="X425" s="38"/>
      <c r="Y425" s="38"/>
      <c r="Z425" s="38"/>
      <c r="AA425" s="38"/>
      <c r="AB425" s="38"/>
      <c r="AC425" s="38"/>
      <c r="AD425" s="38"/>
      <c r="AE425" s="38"/>
      <c r="AF425" s="38"/>
      <c r="AG425" s="38"/>
      <c r="AH425" s="38"/>
      <c r="AN425" s="37"/>
      <c r="AO425" s="37"/>
      <c r="AP425" s="78"/>
      <c r="AQ425" s="37"/>
      <c r="AR425" s="37"/>
      <c r="AS425" s="37"/>
      <c r="AT425" s="37"/>
      <c r="AU425" s="37"/>
      <c r="AV425" s="37"/>
      <c r="AW425" s="37"/>
      <c r="AX425" s="37"/>
      <c r="AY425" s="37"/>
      <c r="AZ425" s="78"/>
      <c r="BA425" s="37"/>
      <c r="BB425" s="78"/>
    </row>
    <row r="426" spans="3:54" ht="20.100000000000001" customHeight="1">
      <c r="C426" s="113"/>
      <c r="D426" s="114"/>
      <c r="P426" s="82"/>
      <c r="Q426" s="82"/>
      <c r="R426" s="38"/>
      <c r="S426" s="38"/>
      <c r="T426" s="38"/>
      <c r="U426" s="38"/>
      <c r="V426" s="38"/>
      <c r="W426" s="38"/>
      <c r="X426" s="38"/>
      <c r="Y426" s="38"/>
      <c r="Z426" s="38"/>
      <c r="AA426" s="38"/>
      <c r="AB426" s="38"/>
      <c r="AC426" s="38"/>
      <c r="AD426" s="38"/>
      <c r="AE426" s="38"/>
      <c r="AF426" s="38"/>
      <c r="AG426" s="38"/>
      <c r="AH426" s="38"/>
      <c r="AN426" s="37"/>
      <c r="AO426" s="37"/>
      <c r="AP426" s="78"/>
      <c r="AQ426" s="37"/>
      <c r="AR426" s="37"/>
      <c r="AS426" s="37"/>
      <c r="AT426" s="37"/>
      <c r="AU426" s="37"/>
      <c r="AV426" s="37"/>
      <c r="AW426" s="37"/>
      <c r="AX426" s="37"/>
      <c r="AY426" s="37"/>
      <c r="AZ426" s="78"/>
      <c r="BA426" s="37"/>
      <c r="BB426" s="78"/>
    </row>
    <row r="427" spans="3:54" ht="20.100000000000001" customHeight="1">
      <c r="C427" s="113"/>
      <c r="D427" s="114"/>
      <c r="P427" s="82"/>
      <c r="Q427" s="82"/>
      <c r="R427" s="38"/>
      <c r="S427" s="38"/>
      <c r="T427" s="38"/>
      <c r="U427" s="38"/>
      <c r="V427" s="38"/>
      <c r="W427" s="38"/>
      <c r="X427" s="38"/>
      <c r="Y427" s="38"/>
      <c r="Z427" s="38"/>
      <c r="AA427" s="38"/>
      <c r="AB427" s="38"/>
      <c r="AC427" s="38"/>
      <c r="AD427" s="38"/>
      <c r="AE427" s="38"/>
      <c r="AF427" s="38"/>
      <c r="AG427" s="38"/>
      <c r="AH427" s="38"/>
      <c r="AN427" s="37"/>
      <c r="AO427" s="37"/>
      <c r="AP427" s="78"/>
      <c r="AQ427" s="37"/>
      <c r="AR427" s="37"/>
      <c r="AS427" s="37"/>
      <c r="AT427" s="37"/>
      <c r="AU427" s="37"/>
      <c r="AV427" s="37"/>
      <c r="AW427" s="37"/>
      <c r="AX427" s="37"/>
      <c r="AY427" s="37"/>
      <c r="AZ427" s="78"/>
      <c r="BA427" s="37"/>
      <c r="BB427" s="78"/>
    </row>
    <row r="428" spans="3:54" ht="20.100000000000001" customHeight="1">
      <c r="C428" s="113"/>
      <c r="D428" s="114"/>
      <c r="P428" s="82"/>
      <c r="Q428" s="82"/>
      <c r="R428" s="38"/>
      <c r="S428" s="38"/>
      <c r="T428" s="38"/>
      <c r="U428" s="38"/>
      <c r="V428" s="38"/>
      <c r="W428" s="38"/>
      <c r="X428" s="38"/>
      <c r="Y428" s="38"/>
      <c r="Z428" s="38"/>
      <c r="AA428" s="38"/>
      <c r="AB428" s="38"/>
      <c r="AC428" s="38"/>
      <c r="AD428" s="38"/>
      <c r="AE428" s="38"/>
      <c r="AF428" s="38"/>
      <c r="AG428" s="38"/>
      <c r="AH428" s="38"/>
      <c r="AN428" s="37"/>
      <c r="AO428" s="37"/>
      <c r="AP428" s="78"/>
      <c r="AQ428" s="37"/>
      <c r="AR428" s="37"/>
      <c r="AS428" s="37"/>
      <c r="AT428" s="37"/>
      <c r="AU428" s="37"/>
      <c r="AV428" s="37"/>
      <c r="AW428" s="37"/>
      <c r="AX428" s="37"/>
      <c r="AY428" s="37"/>
      <c r="AZ428" s="78"/>
      <c r="BA428" s="37"/>
      <c r="BB428" s="78"/>
    </row>
    <row r="429" spans="3:54" ht="20.100000000000001" customHeight="1">
      <c r="C429" s="113"/>
      <c r="D429" s="114"/>
      <c r="P429" s="82"/>
      <c r="Q429" s="82"/>
      <c r="R429" s="38"/>
      <c r="S429" s="38"/>
      <c r="T429" s="38"/>
      <c r="U429" s="38"/>
      <c r="V429" s="38"/>
      <c r="W429" s="38"/>
      <c r="X429" s="38"/>
      <c r="Y429" s="38"/>
      <c r="Z429" s="38"/>
      <c r="AA429" s="38"/>
      <c r="AB429" s="38"/>
      <c r="AC429" s="38"/>
      <c r="AD429" s="38"/>
      <c r="AE429" s="38"/>
      <c r="AF429" s="38"/>
      <c r="AG429" s="38"/>
      <c r="AH429" s="38"/>
      <c r="AN429" s="37"/>
      <c r="AO429" s="37"/>
      <c r="AP429" s="78"/>
      <c r="AQ429" s="37"/>
      <c r="AR429" s="37"/>
      <c r="AS429" s="37"/>
      <c r="AT429" s="37"/>
      <c r="AU429" s="37"/>
      <c r="AV429" s="37"/>
      <c r="AW429" s="37"/>
      <c r="AX429" s="37"/>
      <c r="AY429" s="37"/>
      <c r="AZ429" s="78"/>
      <c r="BA429" s="37"/>
      <c r="BB429" s="78"/>
    </row>
    <row r="430" spans="3:54" ht="20.100000000000001" customHeight="1">
      <c r="C430" s="113"/>
      <c r="D430" s="114"/>
      <c r="P430" s="82"/>
      <c r="Q430" s="82"/>
      <c r="R430" s="38"/>
      <c r="S430" s="38"/>
      <c r="T430" s="38"/>
      <c r="U430" s="38"/>
      <c r="V430" s="38"/>
      <c r="W430" s="38"/>
      <c r="X430" s="38"/>
      <c r="Y430" s="38"/>
      <c r="Z430" s="38"/>
      <c r="AA430" s="38"/>
      <c r="AB430" s="38"/>
      <c r="AC430" s="38"/>
      <c r="AD430" s="38"/>
      <c r="AE430" s="38"/>
      <c r="AF430" s="38"/>
      <c r="AG430" s="38"/>
      <c r="AH430" s="38"/>
      <c r="AN430" s="37"/>
      <c r="AO430" s="37"/>
      <c r="AP430" s="78"/>
      <c r="AQ430" s="37"/>
      <c r="AR430" s="37"/>
      <c r="AS430" s="37"/>
      <c r="AT430" s="37"/>
      <c r="AU430" s="37"/>
      <c r="AV430" s="37"/>
      <c r="AW430" s="37"/>
      <c r="AX430" s="37"/>
      <c r="AY430" s="37"/>
      <c r="AZ430" s="78"/>
      <c r="BA430" s="37"/>
      <c r="BB430" s="78"/>
    </row>
    <row r="431" spans="3:54" ht="20.100000000000001" customHeight="1">
      <c r="C431" s="113"/>
      <c r="D431" s="114"/>
      <c r="P431" s="82"/>
      <c r="Q431" s="82"/>
      <c r="R431" s="38"/>
      <c r="S431" s="38"/>
      <c r="T431" s="38"/>
      <c r="U431" s="38"/>
      <c r="V431" s="38"/>
      <c r="W431" s="38"/>
      <c r="X431" s="38"/>
      <c r="Y431" s="38"/>
      <c r="Z431" s="38"/>
      <c r="AA431" s="38"/>
      <c r="AB431" s="38"/>
      <c r="AC431" s="38"/>
      <c r="AD431" s="38"/>
      <c r="AE431" s="38"/>
      <c r="AF431" s="38"/>
      <c r="AG431" s="38"/>
      <c r="AH431" s="38"/>
      <c r="AN431" s="37"/>
      <c r="AO431" s="37"/>
      <c r="AP431" s="78"/>
      <c r="AQ431" s="37"/>
      <c r="AR431" s="37"/>
      <c r="AS431" s="37"/>
      <c r="AT431" s="37"/>
      <c r="AU431" s="37"/>
      <c r="AV431" s="37"/>
      <c r="AW431" s="37"/>
      <c r="AX431" s="37"/>
      <c r="AY431" s="37"/>
      <c r="AZ431" s="78"/>
      <c r="BA431" s="37"/>
      <c r="BB431" s="78"/>
    </row>
    <row r="432" spans="3:54" ht="20.100000000000001" customHeight="1">
      <c r="C432" s="113"/>
      <c r="D432" s="114"/>
      <c r="P432" s="82"/>
      <c r="Q432" s="82"/>
      <c r="R432" s="38"/>
      <c r="S432" s="38"/>
      <c r="T432" s="38"/>
      <c r="U432" s="38"/>
      <c r="V432" s="38"/>
      <c r="W432" s="38"/>
      <c r="X432" s="38"/>
      <c r="Y432" s="38"/>
      <c r="Z432" s="38"/>
      <c r="AA432" s="38"/>
      <c r="AB432" s="38"/>
      <c r="AC432" s="38"/>
      <c r="AD432" s="38"/>
      <c r="AE432" s="38"/>
      <c r="AF432" s="38"/>
      <c r="AG432" s="38"/>
      <c r="AH432" s="38"/>
      <c r="AN432" s="37"/>
      <c r="AO432" s="37"/>
      <c r="AP432" s="78"/>
      <c r="AQ432" s="37"/>
      <c r="AR432" s="37"/>
      <c r="AS432" s="37"/>
      <c r="AT432" s="37"/>
      <c r="AU432" s="37"/>
      <c r="AV432" s="37"/>
      <c r="AW432" s="37"/>
      <c r="AX432" s="37"/>
      <c r="AY432" s="37"/>
      <c r="AZ432" s="78"/>
      <c r="BA432" s="37"/>
      <c r="BB432" s="78"/>
    </row>
    <row r="433" spans="3:54" ht="20.100000000000001" customHeight="1">
      <c r="C433" s="113"/>
      <c r="D433" s="114"/>
      <c r="P433" s="82"/>
      <c r="Q433" s="82"/>
      <c r="R433" s="38"/>
      <c r="S433" s="38"/>
      <c r="T433" s="38"/>
      <c r="U433" s="38"/>
      <c r="V433" s="38"/>
      <c r="W433" s="38"/>
      <c r="X433" s="38"/>
      <c r="Y433" s="38"/>
      <c r="Z433" s="38"/>
      <c r="AA433" s="38"/>
      <c r="AB433" s="38"/>
      <c r="AC433" s="38"/>
      <c r="AD433" s="38"/>
      <c r="AE433" s="38"/>
      <c r="AF433" s="38"/>
      <c r="AG433" s="38"/>
      <c r="AH433" s="38"/>
      <c r="AN433" s="37"/>
      <c r="AO433" s="37"/>
      <c r="AP433" s="78"/>
      <c r="AQ433" s="37"/>
      <c r="AR433" s="37"/>
      <c r="AS433" s="37"/>
      <c r="AT433" s="37"/>
      <c r="AU433" s="37"/>
      <c r="AV433" s="37"/>
      <c r="AW433" s="37"/>
      <c r="AX433" s="37"/>
      <c r="AY433" s="37"/>
      <c r="AZ433" s="78"/>
      <c r="BA433" s="37"/>
      <c r="BB433" s="78"/>
    </row>
    <row r="434" spans="3:54" ht="20.100000000000001" customHeight="1">
      <c r="C434" s="113"/>
      <c r="D434" s="114"/>
      <c r="P434" s="82"/>
      <c r="Q434" s="82"/>
      <c r="R434" s="38"/>
      <c r="S434" s="38"/>
      <c r="T434" s="38"/>
      <c r="U434" s="38"/>
      <c r="V434" s="38"/>
      <c r="W434" s="38"/>
      <c r="X434" s="38"/>
      <c r="Y434" s="38"/>
      <c r="Z434" s="38"/>
      <c r="AA434" s="38"/>
      <c r="AB434" s="38"/>
      <c r="AC434" s="38"/>
      <c r="AD434" s="38"/>
      <c r="AE434" s="38"/>
      <c r="AF434" s="38"/>
      <c r="AG434" s="38"/>
      <c r="AH434" s="38"/>
      <c r="AN434" s="37"/>
      <c r="AO434" s="37"/>
      <c r="AP434" s="78"/>
      <c r="AQ434" s="37"/>
      <c r="AR434" s="37"/>
      <c r="AS434" s="37"/>
      <c r="AT434" s="37"/>
      <c r="AU434" s="37"/>
      <c r="AV434" s="37"/>
      <c r="AW434" s="37"/>
      <c r="AX434" s="37"/>
      <c r="AY434" s="37"/>
      <c r="AZ434" s="78"/>
      <c r="BA434" s="37"/>
      <c r="BB434" s="78"/>
    </row>
    <row r="435" spans="3:54" ht="20.100000000000001" customHeight="1">
      <c r="C435" s="113"/>
      <c r="D435" s="114"/>
      <c r="P435" s="82"/>
      <c r="Q435" s="82"/>
      <c r="R435" s="38"/>
      <c r="S435" s="38"/>
      <c r="T435" s="38"/>
      <c r="U435" s="38"/>
      <c r="V435" s="38"/>
      <c r="W435" s="38"/>
      <c r="X435" s="38"/>
      <c r="Y435" s="38"/>
      <c r="Z435" s="38"/>
      <c r="AA435" s="38"/>
      <c r="AB435" s="38"/>
      <c r="AC435" s="38"/>
      <c r="AD435" s="38"/>
      <c r="AE435" s="38"/>
      <c r="AF435" s="38"/>
      <c r="AG435" s="38"/>
      <c r="AH435" s="38"/>
      <c r="AN435" s="37"/>
      <c r="AO435" s="37"/>
      <c r="AP435" s="78"/>
      <c r="AQ435" s="37"/>
      <c r="AR435" s="37"/>
      <c r="AS435" s="37"/>
      <c r="AT435" s="37"/>
      <c r="AU435" s="37"/>
      <c r="AV435" s="37"/>
      <c r="AW435" s="37"/>
      <c r="AX435" s="37"/>
      <c r="AY435" s="37"/>
      <c r="AZ435" s="78"/>
      <c r="BA435" s="37"/>
      <c r="BB435" s="78"/>
    </row>
    <row r="436" spans="3:54" ht="20.100000000000001" customHeight="1">
      <c r="C436" s="113"/>
      <c r="D436" s="114"/>
      <c r="P436" s="82"/>
      <c r="Q436" s="82"/>
      <c r="R436" s="38"/>
      <c r="S436" s="38"/>
      <c r="T436" s="38"/>
      <c r="U436" s="38"/>
      <c r="V436" s="38"/>
      <c r="W436" s="38"/>
      <c r="X436" s="38"/>
      <c r="Y436" s="38"/>
      <c r="Z436" s="38"/>
      <c r="AA436" s="38"/>
      <c r="AB436" s="38"/>
      <c r="AC436" s="38"/>
      <c r="AD436" s="38"/>
      <c r="AE436" s="38"/>
      <c r="AF436" s="38"/>
      <c r="AG436" s="38"/>
      <c r="AH436" s="38"/>
      <c r="AN436" s="37"/>
      <c r="AO436" s="37"/>
      <c r="AP436" s="78"/>
      <c r="AQ436" s="37"/>
      <c r="AR436" s="37"/>
      <c r="AS436" s="37"/>
      <c r="AT436" s="37"/>
      <c r="AU436" s="37"/>
      <c r="AV436" s="37"/>
      <c r="AW436" s="37"/>
      <c r="AX436" s="37"/>
      <c r="AY436" s="37"/>
      <c r="AZ436" s="78"/>
      <c r="BA436" s="37"/>
      <c r="BB436" s="78"/>
    </row>
    <row r="437" spans="3:54" ht="20.100000000000001" customHeight="1">
      <c r="C437" s="113"/>
      <c r="D437" s="114"/>
      <c r="P437" s="82"/>
      <c r="Q437" s="82"/>
      <c r="R437" s="38"/>
      <c r="S437" s="38"/>
      <c r="T437" s="38"/>
      <c r="U437" s="38"/>
      <c r="V437" s="38"/>
      <c r="W437" s="38"/>
      <c r="X437" s="38"/>
      <c r="Y437" s="38"/>
      <c r="Z437" s="38"/>
      <c r="AA437" s="38"/>
      <c r="AB437" s="38"/>
      <c r="AC437" s="38"/>
      <c r="AD437" s="38"/>
      <c r="AE437" s="38"/>
      <c r="AF437" s="38"/>
      <c r="AG437" s="38"/>
      <c r="AH437" s="38"/>
      <c r="AN437" s="37"/>
      <c r="AO437" s="37"/>
      <c r="AP437" s="78"/>
      <c r="AQ437" s="37"/>
      <c r="AR437" s="37"/>
      <c r="AS437" s="37"/>
      <c r="AT437" s="37"/>
      <c r="AU437" s="37"/>
      <c r="AV437" s="37"/>
      <c r="AW437" s="37"/>
      <c r="AX437" s="37"/>
      <c r="AY437" s="37"/>
      <c r="AZ437" s="78"/>
      <c r="BA437" s="37"/>
      <c r="BB437" s="78"/>
    </row>
    <row r="438" spans="3:54" ht="20.100000000000001" customHeight="1">
      <c r="C438" s="113"/>
      <c r="D438" s="114"/>
      <c r="P438" s="82"/>
      <c r="Q438" s="82"/>
      <c r="R438" s="38"/>
      <c r="S438" s="38"/>
      <c r="T438" s="38"/>
      <c r="U438" s="38"/>
      <c r="V438" s="38"/>
      <c r="W438" s="38"/>
      <c r="X438" s="38"/>
      <c r="Y438" s="38"/>
      <c r="Z438" s="38"/>
      <c r="AA438" s="38"/>
      <c r="AB438" s="38"/>
      <c r="AC438" s="38"/>
      <c r="AD438" s="38"/>
      <c r="AE438" s="38"/>
      <c r="AF438" s="38"/>
      <c r="AG438" s="38"/>
      <c r="AH438" s="38"/>
      <c r="AN438" s="37"/>
      <c r="AO438" s="37"/>
      <c r="AP438" s="78"/>
      <c r="AQ438" s="37"/>
      <c r="AR438" s="37"/>
      <c r="AS438" s="37"/>
      <c r="AT438" s="37"/>
      <c r="AU438" s="37"/>
      <c r="AV438" s="37"/>
      <c r="AW438" s="37"/>
      <c r="AX438" s="37"/>
      <c r="AY438" s="37"/>
      <c r="AZ438" s="78"/>
      <c r="BA438" s="37"/>
      <c r="BB438" s="78"/>
    </row>
    <row r="439" spans="3:54" ht="20.100000000000001" customHeight="1">
      <c r="C439" s="113"/>
      <c r="D439" s="114"/>
      <c r="P439" s="82"/>
      <c r="Q439" s="82"/>
      <c r="R439" s="38"/>
      <c r="S439" s="38"/>
      <c r="T439" s="38"/>
      <c r="U439" s="38"/>
      <c r="V439" s="38"/>
      <c r="W439" s="38"/>
      <c r="X439" s="38"/>
      <c r="Y439" s="38"/>
      <c r="Z439" s="38"/>
      <c r="AA439" s="38"/>
      <c r="AB439" s="38"/>
      <c r="AC439" s="38"/>
      <c r="AD439" s="38"/>
      <c r="AE439" s="38"/>
      <c r="AF439" s="38"/>
      <c r="AG439" s="38"/>
      <c r="AH439" s="38"/>
      <c r="AN439" s="37"/>
      <c r="AO439" s="37"/>
      <c r="AP439" s="78"/>
      <c r="AQ439" s="37"/>
      <c r="AR439" s="37"/>
      <c r="AS439" s="37"/>
      <c r="AT439" s="37"/>
      <c r="AU439" s="37"/>
      <c r="AV439" s="37"/>
      <c r="AW439" s="37"/>
      <c r="AX439" s="37"/>
      <c r="AY439" s="37"/>
      <c r="AZ439" s="78"/>
      <c r="BA439" s="37"/>
      <c r="BB439" s="78"/>
    </row>
    <row r="440" spans="3:54" ht="20.100000000000001" customHeight="1">
      <c r="C440" s="113"/>
      <c r="D440" s="114"/>
      <c r="P440" s="82"/>
      <c r="Q440" s="82"/>
      <c r="R440" s="38"/>
      <c r="S440" s="38"/>
      <c r="T440" s="38"/>
      <c r="U440" s="38"/>
      <c r="V440" s="38"/>
      <c r="W440" s="38"/>
      <c r="X440" s="38"/>
      <c r="Y440" s="38"/>
      <c r="Z440" s="38"/>
      <c r="AA440" s="38"/>
      <c r="AB440" s="38"/>
      <c r="AC440" s="38"/>
      <c r="AD440" s="38"/>
      <c r="AE440" s="38"/>
      <c r="AF440" s="38"/>
      <c r="AG440" s="38"/>
      <c r="AH440" s="38"/>
      <c r="AN440" s="37"/>
      <c r="AO440" s="37"/>
      <c r="AP440" s="78"/>
      <c r="AQ440" s="37"/>
      <c r="AR440" s="37"/>
      <c r="AS440" s="37"/>
      <c r="AT440" s="37"/>
      <c r="AU440" s="37"/>
      <c r="AV440" s="37"/>
      <c r="AW440" s="37"/>
      <c r="AX440" s="37"/>
      <c r="AY440" s="37"/>
      <c r="AZ440" s="78"/>
      <c r="BA440" s="37"/>
      <c r="BB440" s="78"/>
    </row>
    <row r="441" spans="3:54" ht="20.100000000000001" customHeight="1">
      <c r="C441" s="113"/>
      <c r="D441" s="114"/>
      <c r="P441" s="82"/>
      <c r="Q441" s="82"/>
      <c r="R441" s="38"/>
      <c r="S441" s="38"/>
      <c r="T441" s="38"/>
      <c r="U441" s="38"/>
      <c r="V441" s="38"/>
      <c r="W441" s="38"/>
      <c r="X441" s="38"/>
      <c r="Y441" s="38"/>
      <c r="Z441" s="38"/>
      <c r="AA441" s="38"/>
      <c r="AB441" s="38"/>
      <c r="AC441" s="38"/>
      <c r="AD441" s="38"/>
      <c r="AE441" s="38"/>
      <c r="AF441" s="38"/>
      <c r="AG441" s="38"/>
      <c r="AH441" s="38"/>
      <c r="AN441" s="37"/>
      <c r="AO441" s="37"/>
      <c r="AP441" s="78"/>
      <c r="AQ441" s="37"/>
      <c r="AR441" s="37"/>
      <c r="AS441" s="37"/>
      <c r="AT441" s="37"/>
      <c r="AU441" s="37"/>
      <c r="AV441" s="37"/>
      <c r="AW441" s="37"/>
      <c r="AX441" s="37"/>
      <c r="AY441" s="37"/>
      <c r="AZ441" s="78"/>
      <c r="BA441" s="37"/>
      <c r="BB441" s="78"/>
    </row>
    <row r="442" spans="3:54" ht="20.100000000000001" customHeight="1">
      <c r="C442" s="113"/>
      <c r="D442" s="114"/>
      <c r="P442" s="82"/>
      <c r="Q442" s="82"/>
      <c r="R442" s="38"/>
      <c r="S442" s="38"/>
      <c r="T442" s="38"/>
      <c r="U442" s="38"/>
      <c r="V442" s="38"/>
      <c r="W442" s="38"/>
      <c r="X442" s="38"/>
      <c r="Y442" s="38"/>
      <c r="Z442" s="38"/>
      <c r="AA442" s="38"/>
      <c r="AB442" s="38"/>
      <c r="AC442" s="38"/>
      <c r="AD442" s="38"/>
      <c r="AE442" s="38"/>
      <c r="AF442" s="38"/>
      <c r="AG442" s="38"/>
      <c r="AH442" s="38"/>
      <c r="AN442" s="37"/>
      <c r="AO442" s="37"/>
      <c r="AP442" s="78"/>
      <c r="AQ442" s="37"/>
      <c r="AR442" s="37"/>
      <c r="AS442" s="37"/>
      <c r="AT442" s="37"/>
      <c r="AU442" s="37"/>
      <c r="AV442" s="37"/>
      <c r="AW442" s="37"/>
      <c r="AX442" s="37"/>
      <c r="AY442" s="37"/>
      <c r="AZ442" s="78"/>
      <c r="BA442" s="37"/>
      <c r="BB442" s="78"/>
    </row>
    <row r="443" spans="3:54" ht="20.100000000000001" customHeight="1">
      <c r="C443" s="113"/>
      <c r="D443" s="114"/>
      <c r="P443" s="82"/>
      <c r="Q443" s="82"/>
      <c r="R443" s="38"/>
      <c r="S443" s="38"/>
      <c r="T443" s="38"/>
      <c r="U443" s="38"/>
      <c r="V443" s="38"/>
      <c r="W443" s="38"/>
      <c r="X443" s="38"/>
      <c r="Y443" s="38"/>
      <c r="Z443" s="38"/>
      <c r="AA443" s="38"/>
      <c r="AB443" s="38"/>
      <c r="AC443" s="38"/>
      <c r="AD443" s="38"/>
      <c r="AE443" s="38"/>
      <c r="AF443" s="38"/>
      <c r="AG443" s="38"/>
      <c r="AH443" s="38"/>
      <c r="AN443" s="37"/>
      <c r="AO443" s="37"/>
      <c r="AP443" s="78"/>
      <c r="AQ443" s="37"/>
      <c r="AR443" s="37"/>
      <c r="AS443" s="37"/>
      <c r="AT443" s="37"/>
      <c r="AU443" s="37"/>
      <c r="AV443" s="37"/>
      <c r="AW443" s="37"/>
      <c r="AX443" s="37"/>
      <c r="AY443" s="37"/>
      <c r="AZ443" s="78"/>
      <c r="BA443" s="37"/>
      <c r="BB443" s="78"/>
    </row>
    <row r="444" spans="3:54" ht="20.100000000000001" customHeight="1">
      <c r="C444" s="113"/>
      <c r="D444" s="114"/>
      <c r="P444" s="82"/>
      <c r="Q444" s="82"/>
      <c r="R444" s="38"/>
      <c r="S444" s="38"/>
      <c r="T444" s="38"/>
      <c r="U444" s="38"/>
      <c r="V444" s="38"/>
      <c r="W444" s="38"/>
      <c r="X444" s="38"/>
      <c r="Y444" s="38"/>
      <c r="Z444" s="38"/>
      <c r="AA444" s="38"/>
      <c r="AB444" s="38"/>
      <c r="AC444" s="38"/>
      <c r="AD444" s="38"/>
      <c r="AE444" s="38"/>
      <c r="AF444" s="38"/>
      <c r="AG444" s="38"/>
      <c r="AH444" s="38"/>
      <c r="AN444" s="37"/>
      <c r="AO444" s="37"/>
      <c r="AP444" s="78"/>
      <c r="AQ444" s="37"/>
      <c r="AR444" s="37"/>
      <c r="AS444" s="37"/>
      <c r="AT444" s="37"/>
      <c r="AU444" s="37"/>
      <c r="AV444" s="37"/>
      <c r="AW444" s="37"/>
      <c r="AX444" s="37"/>
      <c r="AY444" s="37"/>
      <c r="AZ444" s="78"/>
      <c r="BA444" s="37"/>
      <c r="BB444" s="78"/>
    </row>
    <row r="445" spans="3:54" ht="20.100000000000001" customHeight="1">
      <c r="C445" s="113"/>
      <c r="D445" s="114"/>
      <c r="P445" s="82"/>
      <c r="Q445" s="82"/>
      <c r="R445" s="38"/>
      <c r="S445" s="38"/>
      <c r="T445" s="38"/>
      <c r="U445" s="38"/>
      <c r="V445" s="38"/>
      <c r="W445" s="38"/>
      <c r="X445" s="38"/>
      <c r="Y445" s="38"/>
      <c r="Z445" s="38"/>
      <c r="AA445" s="38"/>
      <c r="AB445" s="38"/>
      <c r="AC445" s="38"/>
      <c r="AD445" s="38"/>
      <c r="AE445" s="38"/>
      <c r="AF445" s="38"/>
      <c r="AG445" s="38"/>
      <c r="AH445" s="38"/>
      <c r="AN445" s="37"/>
      <c r="AO445" s="37"/>
      <c r="AP445" s="78"/>
      <c r="AQ445" s="37"/>
      <c r="AR445" s="37"/>
      <c r="AS445" s="37"/>
      <c r="AT445" s="37"/>
      <c r="AU445" s="37"/>
      <c r="AV445" s="37"/>
      <c r="AW445" s="37"/>
      <c r="AX445" s="37"/>
      <c r="AY445" s="37"/>
      <c r="AZ445" s="78"/>
      <c r="BA445" s="37"/>
      <c r="BB445" s="78"/>
    </row>
    <row r="446" spans="3:54" ht="20.100000000000001" customHeight="1">
      <c r="C446" s="113"/>
      <c r="D446" s="114"/>
      <c r="P446" s="82"/>
      <c r="Q446" s="82"/>
      <c r="R446" s="38"/>
      <c r="S446" s="38"/>
      <c r="T446" s="38"/>
      <c r="U446" s="38"/>
      <c r="V446" s="38"/>
      <c r="W446" s="38"/>
      <c r="X446" s="38"/>
      <c r="Y446" s="38"/>
      <c r="Z446" s="38"/>
      <c r="AA446" s="38"/>
      <c r="AB446" s="38"/>
      <c r="AC446" s="38"/>
      <c r="AD446" s="38"/>
      <c r="AE446" s="38"/>
      <c r="AF446" s="38"/>
      <c r="AG446" s="38"/>
      <c r="AH446" s="38"/>
      <c r="AN446" s="37"/>
      <c r="AO446" s="37"/>
      <c r="AP446" s="78"/>
      <c r="AQ446" s="37"/>
      <c r="AR446" s="37"/>
      <c r="AS446" s="37"/>
      <c r="AT446" s="37"/>
      <c r="AU446" s="37"/>
      <c r="AV446" s="37"/>
      <c r="AW446" s="37"/>
      <c r="AX446" s="37"/>
      <c r="AY446" s="37"/>
      <c r="AZ446" s="78"/>
      <c r="BA446" s="37"/>
      <c r="BB446" s="78"/>
    </row>
    <row r="447" spans="3:54" ht="20.100000000000001" customHeight="1">
      <c r="C447" s="113"/>
      <c r="D447" s="114"/>
      <c r="P447" s="82"/>
      <c r="Q447" s="82"/>
      <c r="R447" s="38"/>
      <c r="S447" s="38"/>
      <c r="T447" s="38"/>
      <c r="U447" s="38"/>
      <c r="V447" s="38"/>
      <c r="W447" s="38"/>
      <c r="X447" s="38"/>
      <c r="Y447" s="38"/>
      <c r="Z447" s="38"/>
      <c r="AA447" s="38"/>
      <c r="AB447" s="38"/>
      <c r="AC447" s="38"/>
      <c r="AD447" s="38"/>
      <c r="AE447" s="38"/>
      <c r="AF447" s="38"/>
      <c r="AG447" s="38"/>
      <c r="AH447" s="38"/>
      <c r="AN447" s="37"/>
      <c r="AO447" s="37"/>
      <c r="AP447" s="78"/>
      <c r="AQ447" s="37"/>
      <c r="AR447" s="37"/>
      <c r="AS447" s="37"/>
      <c r="AT447" s="37"/>
      <c r="AU447" s="37"/>
      <c r="AV447" s="37"/>
      <c r="AW447" s="37"/>
      <c r="AX447" s="37"/>
      <c r="AY447" s="37"/>
      <c r="AZ447" s="78"/>
      <c r="BA447" s="37"/>
      <c r="BB447" s="78"/>
    </row>
    <row r="448" spans="3:54" ht="20.100000000000001" customHeight="1">
      <c r="C448" s="113"/>
      <c r="D448" s="114"/>
      <c r="P448" s="82"/>
      <c r="Q448" s="82"/>
      <c r="R448" s="38"/>
      <c r="S448" s="38"/>
      <c r="T448" s="38"/>
      <c r="U448" s="38"/>
      <c r="V448" s="38"/>
      <c r="W448" s="38"/>
      <c r="X448" s="38"/>
      <c r="Y448" s="38"/>
      <c r="Z448" s="38"/>
      <c r="AA448" s="38"/>
      <c r="AB448" s="38"/>
      <c r="AC448" s="38"/>
      <c r="AD448" s="38"/>
      <c r="AE448" s="38"/>
      <c r="AF448" s="38"/>
      <c r="AG448" s="38"/>
      <c r="AH448" s="38"/>
      <c r="AN448" s="37"/>
      <c r="AO448" s="37"/>
      <c r="AP448" s="78"/>
      <c r="AQ448" s="37"/>
      <c r="AR448" s="37"/>
      <c r="AS448" s="37"/>
      <c r="AT448" s="37"/>
      <c r="AU448" s="37"/>
      <c r="AV448" s="37"/>
      <c r="AW448" s="37"/>
      <c r="AX448" s="37"/>
      <c r="AY448" s="37"/>
      <c r="AZ448" s="78"/>
      <c r="BA448" s="37"/>
      <c r="BB448" s="78"/>
    </row>
    <row r="449" spans="3:54" ht="20.100000000000001" customHeight="1">
      <c r="C449" s="113"/>
      <c r="D449" s="114"/>
      <c r="P449" s="82"/>
      <c r="Q449" s="82"/>
      <c r="R449" s="38"/>
      <c r="S449" s="38"/>
      <c r="T449" s="38"/>
      <c r="U449" s="38"/>
      <c r="V449" s="38"/>
      <c r="W449" s="38"/>
      <c r="X449" s="38"/>
      <c r="Y449" s="38"/>
      <c r="Z449" s="38"/>
      <c r="AA449" s="38"/>
      <c r="AB449" s="38"/>
      <c r="AC449" s="38"/>
      <c r="AD449" s="38"/>
      <c r="AE449" s="38"/>
      <c r="AF449" s="38"/>
      <c r="AG449" s="38"/>
      <c r="AH449" s="38"/>
      <c r="AN449" s="37"/>
      <c r="AO449" s="37"/>
      <c r="AP449" s="78"/>
      <c r="AQ449" s="37"/>
      <c r="AR449" s="37"/>
      <c r="AS449" s="37"/>
      <c r="AT449" s="37"/>
      <c r="AU449" s="37"/>
      <c r="AV449" s="37"/>
      <c r="AW449" s="37"/>
      <c r="AX449" s="37"/>
      <c r="AY449" s="37"/>
      <c r="AZ449" s="78"/>
      <c r="BA449" s="37"/>
      <c r="BB449" s="78"/>
    </row>
    <row r="450" spans="3:54" ht="20.100000000000001" customHeight="1">
      <c r="C450" s="113"/>
      <c r="D450" s="114"/>
      <c r="P450" s="82"/>
      <c r="Q450" s="82"/>
      <c r="R450" s="38"/>
      <c r="S450" s="38"/>
      <c r="T450" s="38"/>
      <c r="U450" s="38"/>
      <c r="V450" s="38"/>
      <c r="W450" s="38"/>
      <c r="X450" s="38"/>
      <c r="Y450" s="38"/>
      <c r="Z450" s="38"/>
      <c r="AA450" s="38"/>
      <c r="AB450" s="38"/>
      <c r="AC450" s="38"/>
      <c r="AD450" s="38"/>
      <c r="AE450" s="38"/>
      <c r="AF450" s="38"/>
      <c r="AG450" s="38"/>
      <c r="AH450" s="38"/>
      <c r="AN450" s="37"/>
      <c r="AO450" s="37"/>
      <c r="AP450" s="78"/>
      <c r="AQ450" s="37"/>
      <c r="AR450" s="37"/>
      <c r="AS450" s="37"/>
      <c r="AT450" s="37"/>
      <c r="AU450" s="37"/>
      <c r="AV450" s="37"/>
      <c r="AW450" s="37"/>
      <c r="AX450" s="37"/>
      <c r="AY450" s="37"/>
      <c r="AZ450" s="78"/>
      <c r="BA450" s="37"/>
      <c r="BB450" s="78"/>
    </row>
    <row r="451" spans="3:54" ht="20.100000000000001" customHeight="1">
      <c r="C451" s="113"/>
      <c r="D451" s="114"/>
      <c r="P451" s="82"/>
      <c r="Q451" s="82"/>
      <c r="R451" s="38"/>
      <c r="S451" s="38"/>
      <c r="T451" s="38"/>
      <c r="U451" s="38"/>
      <c r="V451" s="38"/>
      <c r="W451" s="38"/>
      <c r="X451" s="38"/>
      <c r="Y451" s="38"/>
      <c r="Z451" s="38"/>
      <c r="AA451" s="38"/>
      <c r="AB451" s="38"/>
      <c r="AC451" s="38"/>
      <c r="AD451" s="38"/>
      <c r="AE451" s="38"/>
      <c r="AF451" s="38"/>
      <c r="AG451" s="38"/>
      <c r="AH451" s="38"/>
      <c r="AN451" s="37"/>
      <c r="AO451" s="37"/>
      <c r="AP451" s="78"/>
      <c r="AQ451" s="37"/>
      <c r="AR451" s="37"/>
      <c r="AS451" s="37"/>
      <c r="AT451" s="37"/>
      <c r="AU451" s="37"/>
      <c r="AV451" s="37"/>
      <c r="AW451" s="37"/>
      <c r="AX451" s="37"/>
      <c r="AY451" s="37"/>
      <c r="AZ451" s="78"/>
      <c r="BA451" s="37"/>
      <c r="BB451" s="78"/>
    </row>
    <row r="452" spans="3:54" ht="20.100000000000001" customHeight="1">
      <c r="C452" s="113"/>
      <c r="D452" s="114"/>
      <c r="P452" s="82"/>
      <c r="Q452" s="82"/>
      <c r="R452" s="38"/>
      <c r="S452" s="38"/>
      <c r="T452" s="38"/>
      <c r="U452" s="38"/>
      <c r="V452" s="38"/>
      <c r="W452" s="38"/>
      <c r="X452" s="38"/>
      <c r="Y452" s="38"/>
      <c r="Z452" s="38"/>
      <c r="AA452" s="38"/>
      <c r="AB452" s="38"/>
      <c r="AC452" s="38"/>
      <c r="AD452" s="38"/>
      <c r="AE452" s="38"/>
      <c r="AF452" s="38"/>
      <c r="AG452" s="38"/>
      <c r="AH452" s="38"/>
      <c r="AN452" s="37"/>
      <c r="AO452" s="37"/>
      <c r="AP452" s="78"/>
      <c r="AQ452" s="37"/>
      <c r="AR452" s="37"/>
      <c r="AS452" s="37"/>
      <c r="AT452" s="37"/>
      <c r="AU452" s="37"/>
      <c r="AV452" s="37"/>
      <c r="AW452" s="37"/>
      <c r="AX452" s="37"/>
      <c r="AY452" s="37"/>
      <c r="AZ452" s="78"/>
      <c r="BA452" s="37"/>
      <c r="BB452" s="78"/>
    </row>
    <row r="453" spans="3:54" ht="20.100000000000001" customHeight="1">
      <c r="C453" s="113"/>
      <c r="D453" s="114"/>
      <c r="P453" s="82"/>
      <c r="Q453" s="82"/>
      <c r="R453" s="38"/>
      <c r="S453" s="38"/>
      <c r="T453" s="38"/>
      <c r="U453" s="38"/>
      <c r="V453" s="38"/>
      <c r="W453" s="38"/>
      <c r="X453" s="38"/>
      <c r="Y453" s="38"/>
      <c r="Z453" s="38"/>
      <c r="AA453" s="38"/>
      <c r="AB453" s="38"/>
      <c r="AC453" s="38"/>
      <c r="AD453" s="38"/>
      <c r="AE453" s="38"/>
      <c r="AF453" s="38"/>
      <c r="AG453" s="38"/>
      <c r="AH453" s="38"/>
      <c r="AN453" s="37"/>
      <c r="AO453" s="37"/>
      <c r="AP453" s="78"/>
      <c r="AQ453" s="37"/>
      <c r="AR453" s="37"/>
      <c r="AS453" s="37"/>
      <c r="AT453" s="37"/>
      <c r="AU453" s="37"/>
      <c r="AV453" s="37"/>
      <c r="AW453" s="37"/>
      <c r="AX453" s="37"/>
      <c r="AY453" s="37"/>
      <c r="AZ453" s="78"/>
      <c r="BA453" s="37"/>
      <c r="BB453" s="78"/>
    </row>
    <row r="454" spans="3:54" ht="20.100000000000001" customHeight="1">
      <c r="C454" s="113"/>
      <c r="D454" s="114"/>
      <c r="P454" s="82"/>
      <c r="Q454" s="82"/>
      <c r="R454" s="38"/>
      <c r="S454" s="38"/>
      <c r="T454" s="38"/>
      <c r="U454" s="38"/>
      <c r="V454" s="38"/>
      <c r="W454" s="38"/>
      <c r="X454" s="38"/>
      <c r="Y454" s="38"/>
      <c r="Z454" s="38"/>
      <c r="AA454" s="38"/>
      <c r="AB454" s="38"/>
      <c r="AC454" s="38"/>
      <c r="AD454" s="38"/>
      <c r="AE454" s="38"/>
      <c r="AF454" s="38"/>
      <c r="AG454" s="38"/>
      <c r="AH454" s="38"/>
      <c r="AN454" s="37"/>
      <c r="AO454" s="37"/>
      <c r="AP454" s="78"/>
      <c r="AQ454" s="37"/>
      <c r="AR454" s="37"/>
      <c r="AS454" s="37"/>
      <c r="AT454" s="37"/>
      <c r="AU454" s="37"/>
      <c r="AV454" s="37"/>
      <c r="AW454" s="37"/>
      <c r="AX454" s="37"/>
      <c r="AY454" s="37"/>
      <c r="AZ454" s="78"/>
      <c r="BA454" s="37"/>
      <c r="BB454" s="78"/>
    </row>
    <row r="455" spans="3:54" ht="20.100000000000001" customHeight="1">
      <c r="C455" s="113"/>
      <c r="D455" s="114"/>
      <c r="P455" s="82"/>
      <c r="Q455" s="82"/>
      <c r="R455" s="38"/>
      <c r="S455" s="38"/>
      <c r="T455" s="38"/>
      <c r="U455" s="38"/>
      <c r="V455" s="38"/>
      <c r="W455" s="38"/>
      <c r="X455" s="38"/>
      <c r="Y455" s="38"/>
      <c r="Z455" s="38"/>
      <c r="AA455" s="38"/>
      <c r="AB455" s="38"/>
      <c r="AC455" s="38"/>
      <c r="AD455" s="38"/>
      <c r="AE455" s="38"/>
      <c r="AF455" s="38"/>
      <c r="AG455" s="38"/>
      <c r="AH455" s="38"/>
      <c r="AN455" s="37"/>
      <c r="AO455" s="37"/>
      <c r="AP455" s="78"/>
      <c r="AQ455" s="37"/>
      <c r="AR455" s="37"/>
      <c r="AS455" s="37"/>
      <c r="AT455" s="37"/>
      <c r="AU455" s="37"/>
      <c r="AV455" s="37"/>
      <c r="AW455" s="37"/>
      <c r="AX455" s="37"/>
      <c r="AY455" s="37"/>
      <c r="AZ455" s="78"/>
      <c r="BA455" s="37"/>
      <c r="BB455" s="78"/>
    </row>
    <row r="456" spans="3:54" ht="20.100000000000001" customHeight="1">
      <c r="C456" s="113"/>
      <c r="D456" s="114"/>
      <c r="P456" s="82"/>
      <c r="Q456" s="82"/>
      <c r="R456" s="38"/>
      <c r="S456" s="38"/>
      <c r="T456" s="38"/>
      <c r="U456" s="38"/>
      <c r="V456" s="38"/>
      <c r="W456" s="38"/>
      <c r="X456" s="38"/>
      <c r="Y456" s="38"/>
      <c r="Z456" s="38"/>
      <c r="AA456" s="38"/>
      <c r="AB456" s="38"/>
      <c r="AC456" s="38"/>
      <c r="AD456" s="38"/>
      <c r="AE456" s="38"/>
      <c r="AF456" s="38"/>
      <c r="AG456" s="38"/>
      <c r="AH456" s="38"/>
      <c r="AN456" s="37"/>
      <c r="AO456" s="37"/>
      <c r="AP456" s="78"/>
      <c r="AQ456" s="37"/>
      <c r="AR456" s="37"/>
      <c r="AS456" s="37"/>
      <c r="AT456" s="37"/>
      <c r="AU456" s="37"/>
      <c r="AV456" s="37"/>
      <c r="AW456" s="37"/>
      <c r="AX456" s="37"/>
      <c r="AY456" s="37"/>
      <c r="AZ456" s="78"/>
      <c r="BA456" s="37"/>
      <c r="BB456" s="78"/>
    </row>
    <row r="457" spans="3:54" ht="20.100000000000001" customHeight="1">
      <c r="C457" s="113"/>
      <c r="D457" s="114"/>
      <c r="P457" s="82"/>
      <c r="Q457" s="82"/>
      <c r="R457" s="38"/>
      <c r="S457" s="38"/>
      <c r="T457" s="38"/>
      <c r="U457" s="38"/>
      <c r="V457" s="38"/>
      <c r="W457" s="38"/>
      <c r="X457" s="38"/>
      <c r="Y457" s="38"/>
      <c r="Z457" s="38"/>
      <c r="AA457" s="38"/>
      <c r="AB457" s="38"/>
      <c r="AC457" s="38"/>
      <c r="AD457" s="38"/>
      <c r="AE457" s="38"/>
      <c r="AF457" s="38"/>
      <c r="AG457" s="38"/>
      <c r="AH457" s="38"/>
      <c r="AN457" s="37"/>
      <c r="AO457" s="37"/>
      <c r="AP457" s="78"/>
      <c r="AQ457" s="37"/>
      <c r="AR457" s="37"/>
      <c r="AS457" s="37"/>
      <c r="AT457" s="37"/>
      <c r="AU457" s="37"/>
      <c r="AV457" s="37"/>
      <c r="AW457" s="37"/>
      <c r="AX457" s="37"/>
      <c r="AY457" s="37"/>
      <c r="AZ457" s="78"/>
      <c r="BA457" s="37"/>
      <c r="BB457" s="78"/>
    </row>
    <row r="458" spans="3:54" ht="20.100000000000001" customHeight="1">
      <c r="C458" s="113"/>
      <c r="D458" s="114"/>
      <c r="P458" s="82"/>
      <c r="Q458" s="82"/>
      <c r="R458" s="38"/>
      <c r="S458" s="38"/>
      <c r="T458" s="38"/>
      <c r="U458" s="38"/>
      <c r="V458" s="38"/>
      <c r="W458" s="38"/>
      <c r="X458" s="38"/>
      <c r="Y458" s="38"/>
      <c r="Z458" s="38"/>
      <c r="AA458" s="38"/>
      <c r="AB458" s="38"/>
      <c r="AC458" s="38"/>
      <c r="AD458" s="38"/>
      <c r="AE458" s="38"/>
      <c r="AF458" s="38"/>
      <c r="AG458" s="38"/>
      <c r="AH458" s="38"/>
      <c r="AN458" s="37"/>
      <c r="AO458" s="37"/>
      <c r="AP458" s="78"/>
      <c r="AQ458" s="37"/>
      <c r="AR458" s="37"/>
      <c r="AS458" s="37"/>
      <c r="AT458" s="37"/>
      <c r="AU458" s="37"/>
      <c r="AV458" s="37"/>
      <c r="AW458" s="37"/>
      <c r="AX458" s="37"/>
      <c r="AY458" s="37"/>
      <c r="AZ458" s="78"/>
      <c r="BA458" s="37"/>
      <c r="BB458" s="78"/>
    </row>
    <row r="459" spans="3:54" ht="20.100000000000001" customHeight="1">
      <c r="C459" s="113"/>
      <c r="D459" s="114"/>
      <c r="P459" s="82"/>
      <c r="Q459" s="82"/>
      <c r="R459" s="38"/>
      <c r="S459" s="38"/>
      <c r="T459" s="38"/>
      <c r="U459" s="38"/>
      <c r="V459" s="38"/>
      <c r="W459" s="38"/>
      <c r="X459" s="38"/>
      <c r="Y459" s="38"/>
      <c r="Z459" s="38"/>
      <c r="AA459" s="38"/>
      <c r="AB459" s="38"/>
      <c r="AC459" s="38"/>
      <c r="AD459" s="38"/>
      <c r="AE459" s="38"/>
      <c r="AF459" s="38"/>
      <c r="AG459" s="38"/>
      <c r="AH459" s="38"/>
      <c r="AN459" s="37"/>
      <c r="AO459" s="37"/>
      <c r="AP459" s="78"/>
      <c r="AQ459" s="37"/>
      <c r="AR459" s="37"/>
      <c r="AS459" s="37"/>
      <c r="AT459" s="37"/>
      <c r="AU459" s="37"/>
      <c r="AV459" s="37"/>
      <c r="AW459" s="37"/>
      <c r="AX459" s="37"/>
      <c r="AY459" s="37"/>
      <c r="AZ459" s="78"/>
      <c r="BA459" s="37"/>
      <c r="BB459" s="78"/>
    </row>
    <row r="460" spans="3:54" ht="20.100000000000001" customHeight="1">
      <c r="C460" s="113"/>
      <c r="D460" s="114"/>
      <c r="P460" s="82"/>
      <c r="Q460" s="82"/>
      <c r="R460" s="38"/>
      <c r="S460" s="38"/>
      <c r="T460" s="38"/>
      <c r="U460" s="38"/>
      <c r="V460" s="38"/>
      <c r="W460" s="38"/>
      <c r="X460" s="38"/>
      <c r="Y460" s="38"/>
      <c r="Z460" s="38"/>
      <c r="AA460" s="38"/>
      <c r="AB460" s="38"/>
      <c r="AC460" s="38"/>
      <c r="AD460" s="38"/>
      <c r="AE460" s="38"/>
      <c r="AF460" s="38"/>
      <c r="AG460" s="38"/>
      <c r="AH460" s="38"/>
      <c r="AN460" s="37"/>
      <c r="AO460" s="37"/>
      <c r="AP460" s="78"/>
      <c r="AQ460" s="37"/>
      <c r="AR460" s="37"/>
      <c r="AS460" s="37"/>
      <c r="AT460" s="37"/>
      <c r="AU460" s="37"/>
      <c r="AV460" s="37"/>
      <c r="AW460" s="37"/>
      <c r="AX460" s="37"/>
      <c r="AY460" s="37"/>
      <c r="AZ460" s="78"/>
      <c r="BA460" s="37"/>
      <c r="BB460" s="78"/>
    </row>
    <row r="461" spans="3:54" ht="20.100000000000001" customHeight="1">
      <c r="C461" s="113"/>
      <c r="D461" s="114"/>
      <c r="P461" s="82"/>
      <c r="Q461" s="82"/>
      <c r="R461" s="38"/>
      <c r="S461" s="38"/>
      <c r="T461" s="38"/>
      <c r="U461" s="38"/>
      <c r="V461" s="38"/>
      <c r="W461" s="38"/>
      <c r="X461" s="38"/>
      <c r="Y461" s="38"/>
      <c r="Z461" s="38"/>
      <c r="AA461" s="38"/>
      <c r="AB461" s="38"/>
      <c r="AC461" s="38"/>
      <c r="AD461" s="38"/>
      <c r="AE461" s="38"/>
      <c r="AF461" s="38"/>
      <c r="AG461" s="38"/>
      <c r="AH461" s="38"/>
      <c r="AN461" s="37"/>
      <c r="AO461" s="37"/>
      <c r="AP461" s="78"/>
      <c r="AQ461" s="37"/>
      <c r="AR461" s="37"/>
      <c r="AS461" s="37"/>
      <c r="AT461" s="37"/>
      <c r="AU461" s="37"/>
      <c r="AV461" s="37"/>
      <c r="AW461" s="37"/>
      <c r="AX461" s="37"/>
      <c r="AY461" s="37"/>
      <c r="AZ461" s="78"/>
      <c r="BA461" s="37"/>
      <c r="BB461" s="78"/>
    </row>
    <row r="462" spans="3:54" ht="20.100000000000001" customHeight="1">
      <c r="C462" s="113"/>
      <c r="D462" s="114"/>
      <c r="P462" s="82"/>
      <c r="Q462" s="82"/>
      <c r="R462" s="38"/>
      <c r="S462" s="38"/>
      <c r="T462" s="38"/>
      <c r="U462" s="38"/>
      <c r="V462" s="38"/>
      <c r="W462" s="38"/>
      <c r="X462" s="38"/>
      <c r="Y462" s="38"/>
      <c r="Z462" s="38"/>
      <c r="AA462" s="38"/>
      <c r="AB462" s="38"/>
      <c r="AC462" s="38"/>
      <c r="AD462" s="38"/>
      <c r="AE462" s="38"/>
      <c r="AF462" s="38"/>
      <c r="AG462" s="38"/>
      <c r="AH462" s="38"/>
      <c r="AN462" s="37"/>
      <c r="AO462" s="37"/>
      <c r="AP462" s="78"/>
      <c r="AQ462" s="37"/>
      <c r="AR462" s="37"/>
      <c r="AS462" s="37"/>
      <c r="AT462" s="37"/>
      <c r="AU462" s="37"/>
      <c r="AV462" s="37"/>
      <c r="AW462" s="37"/>
      <c r="AX462" s="37"/>
      <c r="AY462" s="37"/>
      <c r="AZ462" s="78"/>
      <c r="BA462" s="37"/>
      <c r="BB462" s="78"/>
    </row>
    <row r="463" spans="3:54" ht="20.100000000000001" customHeight="1">
      <c r="C463" s="113"/>
      <c r="D463" s="114"/>
      <c r="P463" s="82"/>
      <c r="Q463" s="82"/>
      <c r="R463" s="38"/>
      <c r="S463" s="38"/>
      <c r="T463" s="38"/>
      <c r="U463" s="38"/>
      <c r="V463" s="38"/>
      <c r="W463" s="38"/>
      <c r="X463" s="38"/>
      <c r="Y463" s="38"/>
      <c r="Z463" s="38"/>
      <c r="AA463" s="38"/>
      <c r="AB463" s="38"/>
      <c r="AC463" s="38"/>
      <c r="AD463" s="38"/>
      <c r="AE463" s="38"/>
      <c r="AF463" s="38"/>
      <c r="AG463" s="38"/>
      <c r="AH463" s="38"/>
      <c r="AN463" s="37"/>
      <c r="AO463" s="37"/>
      <c r="AP463" s="78"/>
      <c r="AQ463" s="37"/>
      <c r="AR463" s="37"/>
      <c r="AS463" s="37"/>
      <c r="AT463" s="37"/>
      <c r="AU463" s="37"/>
      <c r="AV463" s="37"/>
      <c r="AW463" s="37"/>
      <c r="AX463" s="37"/>
      <c r="AY463" s="37"/>
      <c r="AZ463" s="78"/>
      <c r="BA463" s="37"/>
      <c r="BB463" s="78"/>
    </row>
    <row r="464" spans="3:54" ht="20.100000000000001" customHeight="1">
      <c r="C464" s="113"/>
      <c r="D464" s="114"/>
      <c r="P464" s="82"/>
      <c r="Q464" s="82"/>
      <c r="R464" s="38"/>
      <c r="S464" s="38"/>
      <c r="T464" s="38"/>
      <c r="U464" s="38"/>
      <c r="V464" s="38"/>
      <c r="W464" s="38"/>
      <c r="X464" s="38"/>
      <c r="Y464" s="38"/>
      <c r="Z464" s="38"/>
      <c r="AA464" s="38"/>
      <c r="AB464" s="38"/>
      <c r="AC464" s="38"/>
      <c r="AD464" s="38"/>
      <c r="AE464" s="38"/>
      <c r="AF464" s="38"/>
      <c r="AG464" s="38"/>
      <c r="AH464" s="38"/>
      <c r="AN464" s="37"/>
      <c r="AO464" s="37"/>
      <c r="AP464" s="78"/>
      <c r="AQ464" s="37"/>
      <c r="AR464" s="37"/>
      <c r="AS464" s="37"/>
      <c r="AT464" s="37"/>
      <c r="AU464" s="37"/>
      <c r="AV464" s="37"/>
      <c r="AW464" s="37"/>
      <c r="AX464" s="37"/>
      <c r="AY464" s="37"/>
      <c r="AZ464" s="78"/>
      <c r="BA464" s="37"/>
      <c r="BB464" s="78"/>
    </row>
    <row r="465" spans="3:54" ht="20.100000000000001" customHeight="1">
      <c r="C465" s="113"/>
      <c r="D465" s="114"/>
      <c r="P465" s="82"/>
      <c r="Q465" s="82"/>
      <c r="R465" s="38"/>
      <c r="S465" s="38"/>
      <c r="T465" s="38"/>
      <c r="U465" s="38"/>
      <c r="V465" s="38"/>
      <c r="W465" s="38"/>
      <c r="X465" s="38"/>
      <c r="Y465" s="38"/>
      <c r="Z465" s="38"/>
      <c r="AA465" s="38"/>
      <c r="AB465" s="38"/>
      <c r="AC465" s="38"/>
      <c r="AD465" s="38"/>
      <c r="AE465" s="38"/>
      <c r="AF465" s="38"/>
      <c r="AG465" s="38"/>
      <c r="AH465" s="38"/>
      <c r="AN465" s="37"/>
      <c r="AO465" s="37"/>
      <c r="AP465" s="78"/>
      <c r="AQ465" s="37"/>
      <c r="AR465" s="37"/>
      <c r="AS465" s="37"/>
      <c r="AT465" s="37"/>
      <c r="AU465" s="37"/>
      <c r="AV465" s="37"/>
      <c r="AW465" s="37"/>
      <c r="AX465" s="37"/>
      <c r="AY465" s="37"/>
      <c r="AZ465" s="78"/>
      <c r="BA465" s="37"/>
      <c r="BB465" s="78"/>
    </row>
    <row r="466" spans="3:54" ht="20.100000000000001" customHeight="1">
      <c r="C466" s="113"/>
      <c r="D466" s="114"/>
      <c r="P466" s="82"/>
      <c r="Q466" s="82"/>
      <c r="R466" s="38"/>
      <c r="S466" s="38"/>
      <c r="T466" s="38"/>
      <c r="U466" s="38"/>
      <c r="V466" s="38"/>
      <c r="W466" s="38"/>
      <c r="X466" s="38"/>
      <c r="Y466" s="38"/>
      <c r="Z466" s="38"/>
      <c r="AA466" s="38"/>
      <c r="AB466" s="38"/>
      <c r="AC466" s="38"/>
      <c r="AD466" s="38"/>
      <c r="AE466" s="38"/>
      <c r="AF466" s="38"/>
      <c r="AG466" s="38"/>
      <c r="AH466" s="38"/>
      <c r="AN466" s="37"/>
      <c r="AO466" s="37"/>
      <c r="AP466" s="78"/>
      <c r="AQ466" s="37"/>
      <c r="AR466" s="37"/>
      <c r="AS466" s="37"/>
      <c r="AT466" s="37"/>
      <c r="AU466" s="37"/>
      <c r="AV466" s="37"/>
      <c r="AW466" s="37"/>
      <c r="AX466" s="37"/>
      <c r="AY466" s="37"/>
      <c r="AZ466" s="78"/>
      <c r="BA466" s="37"/>
      <c r="BB466" s="78"/>
    </row>
    <row r="467" spans="3:54" ht="20.100000000000001" customHeight="1">
      <c r="C467" s="113"/>
      <c r="D467" s="114"/>
      <c r="P467" s="82"/>
      <c r="Q467" s="82"/>
      <c r="R467" s="38"/>
      <c r="S467" s="38"/>
      <c r="T467" s="38"/>
      <c r="U467" s="38"/>
      <c r="V467" s="38"/>
      <c r="W467" s="38"/>
      <c r="X467" s="38"/>
      <c r="Y467" s="38"/>
      <c r="Z467" s="38"/>
      <c r="AA467" s="38"/>
      <c r="AB467" s="38"/>
      <c r="AC467" s="38"/>
      <c r="AD467" s="38"/>
      <c r="AE467" s="38"/>
      <c r="AF467" s="38"/>
      <c r="AG467" s="38"/>
      <c r="AH467" s="38"/>
      <c r="AN467" s="37"/>
      <c r="AO467" s="37"/>
      <c r="AP467" s="78"/>
      <c r="AQ467" s="37"/>
      <c r="AR467" s="37"/>
      <c r="AS467" s="37"/>
      <c r="AT467" s="37"/>
      <c r="AU467" s="37"/>
      <c r="AV467" s="37"/>
      <c r="AW467" s="37"/>
      <c r="AX467" s="37"/>
      <c r="AY467" s="37"/>
      <c r="AZ467" s="78"/>
      <c r="BA467" s="37"/>
      <c r="BB467" s="78"/>
    </row>
    <row r="468" spans="3:54" ht="20.100000000000001" customHeight="1">
      <c r="C468" s="113"/>
      <c r="D468" s="114"/>
      <c r="P468" s="82"/>
      <c r="Q468" s="82"/>
      <c r="R468" s="38"/>
      <c r="S468" s="38"/>
      <c r="T468" s="38"/>
      <c r="U468" s="38"/>
      <c r="V468" s="38"/>
      <c r="W468" s="38"/>
      <c r="X468" s="38"/>
      <c r="Y468" s="38"/>
      <c r="Z468" s="38"/>
      <c r="AA468" s="38"/>
      <c r="AB468" s="38"/>
      <c r="AC468" s="38"/>
      <c r="AD468" s="38"/>
      <c r="AE468" s="38"/>
      <c r="AF468" s="38"/>
      <c r="AG468" s="38"/>
      <c r="AH468" s="38"/>
      <c r="AN468" s="37"/>
      <c r="AO468" s="37"/>
      <c r="AP468" s="78"/>
      <c r="AQ468" s="37"/>
      <c r="AR468" s="37"/>
      <c r="AS468" s="37"/>
      <c r="AT468" s="37"/>
      <c r="AU468" s="37"/>
      <c r="AV468" s="37"/>
      <c r="AW468" s="37"/>
      <c r="AX468" s="37"/>
      <c r="AY468" s="37"/>
      <c r="AZ468" s="78"/>
      <c r="BA468" s="37"/>
      <c r="BB468" s="78"/>
    </row>
    <row r="469" spans="3:54" ht="20.100000000000001" customHeight="1">
      <c r="C469" s="113"/>
      <c r="D469" s="114"/>
      <c r="P469" s="82"/>
      <c r="Q469" s="82"/>
      <c r="R469" s="38"/>
      <c r="S469" s="38"/>
      <c r="T469" s="38"/>
      <c r="U469" s="38"/>
      <c r="V469" s="38"/>
      <c r="W469" s="38"/>
      <c r="X469" s="38"/>
      <c r="Y469" s="38"/>
      <c r="Z469" s="38"/>
      <c r="AA469" s="38"/>
      <c r="AB469" s="38"/>
      <c r="AC469" s="38"/>
      <c r="AD469" s="38"/>
      <c r="AE469" s="38"/>
      <c r="AF469" s="38"/>
      <c r="AG469" s="38"/>
      <c r="AH469" s="38"/>
      <c r="AN469" s="37"/>
      <c r="AO469" s="37"/>
      <c r="AP469" s="78"/>
      <c r="AQ469" s="37"/>
      <c r="AR469" s="37"/>
      <c r="AS469" s="37"/>
      <c r="AT469" s="37"/>
      <c r="AU469" s="37"/>
      <c r="AV469" s="37"/>
      <c r="AW469" s="37"/>
      <c r="AX469" s="37"/>
      <c r="AY469" s="37"/>
      <c r="AZ469" s="78"/>
      <c r="BA469" s="37"/>
      <c r="BB469" s="78"/>
    </row>
    <row r="470" spans="3:54" ht="20.100000000000001" customHeight="1">
      <c r="C470" s="113"/>
      <c r="D470" s="114"/>
      <c r="P470" s="82"/>
      <c r="Q470" s="82"/>
      <c r="R470" s="38"/>
      <c r="S470" s="38"/>
      <c r="T470" s="38"/>
      <c r="U470" s="38"/>
      <c r="V470" s="38"/>
      <c r="W470" s="38"/>
      <c r="X470" s="38"/>
      <c r="Y470" s="38"/>
      <c r="Z470" s="38"/>
      <c r="AA470" s="38"/>
      <c r="AB470" s="38"/>
      <c r="AC470" s="38"/>
      <c r="AD470" s="38"/>
      <c r="AE470" s="38"/>
      <c r="AF470" s="38"/>
      <c r="AG470" s="38"/>
      <c r="AH470" s="38"/>
      <c r="AN470" s="37"/>
      <c r="AO470" s="37"/>
      <c r="AP470" s="78"/>
      <c r="AQ470" s="37"/>
      <c r="AR470" s="37"/>
      <c r="AS470" s="37"/>
      <c r="AT470" s="37"/>
      <c r="AU470" s="37"/>
      <c r="AV470" s="37"/>
      <c r="AW470" s="37"/>
      <c r="AX470" s="37"/>
      <c r="AY470" s="37"/>
      <c r="AZ470" s="78"/>
      <c r="BA470" s="37"/>
      <c r="BB470" s="78"/>
    </row>
    <row r="471" spans="3:54" ht="20.100000000000001" customHeight="1">
      <c r="C471" s="113"/>
      <c r="D471" s="114"/>
      <c r="P471" s="82"/>
      <c r="Q471" s="82"/>
      <c r="R471" s="38"/>
      <c r="S471" s="38"/>
      <c r="T471" s="38"/>
      <c r="U471" s="38"/>
      <c r="V471" s="38"/>
      <c r="W471" s="38"/>
      <c r="X471" s="38"/>
      <c r="Y471" s="38"/>
      <c r="Z471" s="38"/>
      <c r="AA471" s="38"/>
      <c r="AB471" s="38"/>
      <c r="AC471" s="38"/>
      <c r="AD471" s="38"/>
      <c r="AE471" s="38"/>
      <c r="AF471" s="38"/>
      <c r="AG471" s="38"/>
      <c r="AH471" s="38"/>
      <c r="AN471" s="37"/>
      <c r="AO471" s="37"/>
      <c r="AP471" s="78"/>
      <c r="AQ471" s="37"/>
      <c r="AR471" s="37"/>
      <c r="AS471" s="37"/>
      <c r="AT471" s="37"/>
      <c r="AU471" s="37"/>
      <c r="AV471" s="37"/>
      <c r="AW471" s="37"/>
      <c r="AX471" s="37"/>
      <c r="AY471" s="37"/>
      <c r="AZ471" s="78"/>
      <c r="BA471" s="37"/>
      <c r="BB471" s="78"/>
    </row>
    <row r="472" spans="3:54" ht="20.100000000000001" customHeight="1">
      <c r="C472" s="113"/>
      <c r="D472" s="114"/>
      <c r="P472" s="82"/>
      <c r="Q472" s="82"/>
      <c r="R472" s="38"/>
      <c r="S472" s="38"/>
      <c r="T472" s="38"/>
      <c r="U472" s="38"/>
      <c r="V472" s="38"/>
      <c r="W472" s="38"/>
      <c r="X472" s="38"/>
      <c r="Y472" s="38"/>
      <c r="Z472" s="38"/>
      <c r="AA472" s="38"/>
      <c r="AB472" s="38"/>
      <c r="AC472" s="38"/>
      <c r="AD472" s="38"/>
      <c r="AE472" s="38"/>
      <c r="AF472" s="38"/>
      <c r="AG472" s="38"/>
      <c r="AH472" s="38"/>
      <c r="AN472" s="37"/>
      <c r="AO472" s="37"/>
      <c r="AP472" s="78"/>
      <c r="AQ472" s="37"/>
      <c r="AR472" s="37"/>
      <c r="AS472" s="37"/>
      <c r="AT472" s="37"/>
      <c r="AU472" s="37"/>
      <c r="AV472" s="37"/>
      <c r="AW472" s="37"/>
      <c r="AX472" s="37"/>
      <c r="AY472" s="37"/>
      <c r="AZ472" s="78"/>
      <c r="BA472" s="37"/>
      <c r="BB472" s="78"/>
    </row>
    <row r="473" spans="3:54" ht="20.100000000000001" customHeight="1">
      <c r="C473" s="113"/>
      <c r="D473" s="114"/>
      <c r="P473" s="82"/>
      <c r="Q473" s="82"/>
      <c r="R473" s="38"/>
      <c r="S473" s="38"/>
      <c r="T473" s="38"/>
      <c r="U473" s="38"/>
      <c r="V473" s="38"/>
      <c r="W473" s="38"/>
      <c r="X473" s="38"/>
      <c r="Y473" s="38"/>
      <c r="Z473" s="38"/>
      <c r="AA473" s="38"/>
      <c r="AB473" s="38"/>
      <c r="AC473" s="38"/>
      <c r="AD473" s="38"/>
      <c r="AE473" s="38"/>
      <c r="AF473" s="38"/>
      <c r="AG473" s="38"/>
      <c r="AH473" s="38"/>
      <c r="AN473" s="37"/>
      <c r="AO473" s="37"/>
      <c r="AP473" s="78"/>
      <c r="AQ473" s="37"/>
      <c r="AR473" s="37"/>
      <c r="AS473" s="37"/>
      <c r="AT473" s="37"/>
      <c r="AU473" s="37"/>
      <c r="AV473" s="37"/>
      <c r="AW473" s="37"/>
      <c r="AX473" s="37"/>
      <c r="AY473" s="37"/>
      <c r="AZ473" s="78"/>
      <c r="BA473" s="37"/>
      <c r="BB473" s="78"/>
    </row>
    <row r="474" spans="3:54" ht="20.100000000000001" customHeight="1">
      <c r="C474" s="113"/>
      <c r="D474" s="114"/>
      <c r="P474" s="82"/>
      <c r="Q474" s="82"/>
      <c r="R474" s="38"/>
      <c r="S474" s="38"/>
      <c r="T474" s="38"/>
      <c r="U474" s="38"/>
      <c r="V474" s="38"/>
      <c r="W474" s="38"/>
      <c r="X474" s="38"/>
      <c r="Y474" s="38"/>
      <c r="Z474" s="38"/>
      <c r="AA474" s="38"/>
      <c r="AB474" s="38"/>
      <c r="AC474" s="38"/>
      <c r="AD474" s="38"/>
      <c r="AE474" s="38"/>
      <c r="AF474" s="38"/>
      <c r="AG474" s="38"/>
      <c r="AH474" s="38"/>
      <c r="AN474" s="37"/>
      <c r="AO474" s="37"/>
      <c r="AP474" s="78"/>
      <c r="AQ474" s="37"/>
      <c r="AR474" s="37"/>
      <c r="AS474" s="37"/>
      <c r="AT474" s="37"/>
      <c r="AU474" s="37"/>
      <c r="AV474" s="37"/>
      <c r="AW474" s="37"/>
      <c r="AX474" s="37"/>
      <c r="AY474" s="37"/>
      <c r="AZ474" s="78"/>
      <c r="BA474" s="37"/>
      <c r="BB474" s="78"/>
    </row>
    <row r="475" spans="3:54" ht="20.100000000000001" customHeight="1">
      <c r="C475" s="113"/>
      <c r="D475" s="114"/>
      <c r="P475" s="82"/>
      <c r="Q475" s="82"/>
      <c r="R475" s="38"/>
      <c r="S475" s="38"/>
      <c r="T475" s="38"/>
      <c r="U475" s="38"/>
      <c r="V475" s="38"/>
      <c r="W475" s="38"/>
      <c r="X475" s="38"/>
      <c r="Y475" s="38"/>
      <c r="Z475" s="38"/>
      <c r="AA475" s="38"/>
      <c r="AB475" s="38"/>
      <c r="AC475" s="38"/>
      <c r="AD475" s="38"/>
      <c r="AE475" s="38"/>
      <c r="AF475" s="38"/>
      <c r="AG475" s="38"/>
      <c r="AH475" s="38"/>
    </row>
    <row r="476" spans="3:54" ht="20.100000000000001" customHeight="1">
      <c r="C476" s="113"/>
      <c r="D476" s="114"/>
      <c r="P476" s="82"/>
      <c r="Q476" s="82"/>
      <c r="R476" s="38"/>
      <c r="S476" s="38"/>
      <c r="T476" s="38"/>
      <c r="U476" s="38"/>
      <c r="V476" s="38"/>
      <c r="W476" s="38"/>
      <c r="X476" s="38"/>
      <c r="Y476" s="38"/>
      <c r="Z476" s="38"/>
      <c r="AA476" s="38"/>
      <c r="AB476" s="38"/>
      <c r="AC476" s="38"/>
      <c r="AD476" s="38"/>
      <c r="AE476" s="38"/>
      <c r="AF476" s="38"/>
      <c r="AG476" s="38"/>
      <c r="AH476" s="38"/>
    </row>
    <row r="477" spans="3:54" ht="20.100000000000001" customHeight="1">
      <c r="C477" s="113"/>
      <c r="D477" s="114"/>
      <c r="P477" s="82"/>
      <c r="Q477" s="82"/>
      <c r="R477" s="38"/>
      <c r="S477" s="38"/>
      <c r="T477" s="38"/>
      <c r="U477" s="38"/>
      <c r="V477" s="38"/>
      <c r="W477" s="38"/>
      <c r="X477" s="38"/>
      <c r="Y477" s="38"/>
      <c r="Z477" s="38"/>
      <c r="AA477" s="38"/>
      <c r="AB477" s="38"/>
      <c r="AC477" s="38"/>
      <c r="AD477" s="38"/>
      <c r="AE477" s="38"/>
      <c r="AF477" s="38"/>
      <c r="AG477" s="38"/>
      <c r="AH477" s="38"/>
    </row>
    <row r="478" spans="3:54" ht="20.100000000000001" customHeight="1">
      <c r="C478" s="113"/>
      <c r="D478" s="114"/>
      <c r="P478" s="82"/>
      <c r="Q478" s="82"/>
      <c r="R478" s="38"/>
      <c r="S478" s="38"/>
      <c r="T478" s="38"/>
      <c r="U478" s="38"/>
      <c r="V478" s="38"/>
      <c r="W478" s="38"/>
      <c r="X478" s="38"/>
      <c r="Y478" s="38"/>
      <c r="Z478" s="38"/>
      <c r="AA478" s="38"/>
      <c r="AB478" s="38"/>
      <c r="AC478" s="38"/>
      <c r="AD478" s="38"/>
      <c r="AE478" s="38"/>
      <c r="AF478" s="38"/>
      <c r="AG478" s="38"/>
      <c r="AH478" s="38"/>
    </row>
    <row r="479" spans="3:54" ht="20.100000000000001" customHeight="1">
      <c r="C479" s="113"/>
      <c r="D479" s="114"/>
      <c r="P479" s="82"/>
      <c r="Q479" s="82"/>
      <c r="R479" s="38"/>
      <c r="S479" s="38"/>
      <c r="T479" s="38"/>
      <c r="U479" s="38"/>
      <c r="V479" s="38"/>
      <c r="W479" s="38"/>
      <c r="X479" s="38"/>
      <c r="Y479" s="38"/>
      <c r="Z479" s="38"/>
      <c r="AA479" s="38"/>
      <c r="AB479" s="38"/>
      <c r="AC479" s="38"/>
      <c r="AD479" s="38"/>
      <c r="AE479" s="38"/>
      <c r="AF479" s="38"/>
      <c r="AG479" s="38"/>
      <c r="AH479" s="38"/>
    </row>
    <row r="480" spans="3:54" ht="20.100000000000001" customHeight="1">
      <c r="C480" s="113"/>
      <c r="D480" s="114"/>
      <c r="P480" s="82"/>
      <c r="Q480" s="82"/>
      <c r="R480" s="38"/>
      <c r="S480" s="38"/>
      <c r="T480" s="38"/>
      <c r="U480" s="38"/>
      <c r="V480" s="38"/>
      <c r="W480" s="38"/>
      <c r="X480" s="38"/>
      <c r="Y480" s="38"/>
      <c r="Z480" s="38"/>
      <c r="AA480" s="38"/>
      <c r="AB480" s="38"/>
      <c r="AC480" s="38"/>
      <c r="AD480" s="38"/>
      <c r="AE480" s="38"/>
      <c r="AF480" s="38"/>
      <c r="AG480" s="38"/>
      <c r="AH480" s="38"/>
    </row>
    <row r="481" spans="3:34" ht="20.100000000000001" customHeight="1">
      <c r="C481" s="113"/>
      <c r="D481" s="114"/>
      <c r="P481" s="82"/>
      <c r="Q481" s="82"/>
      <c r="R481" s="38"/>
      <c r="S481" s="38"/>
      <c r="T481" s="38"/>
      <c r="U481" s="38"/>
      <c r="V481" s="38"/>
      <c r="W481" s="38"/>
      <c r="X481" s="38"/>
      <c r="Y481" s="38"/>
      <c r="Z481" s="38"/>
      <c r="AA481" s="38"/>
      <c r="AB481" s="38"/>
      <c r="AC481" s="38"/>
      <c r="AD481" s="38"/>
      <c r="AE481" s="38"/>
      <c r="AF481" s="38"/>
      <c r="AG481" s="38"/>
      <c r="AH481" s="38"/>
    </row>
    <row r="482" spans="3:34" ht="20.100000000000001" customHeight="1">
      <c r="C482" s="113"/>
      <c r="D482" s="114"/>
      <c r="P482" s="82"/>
      <c r="Q482" s="82"/>
      <c r="R482" s="38"/>
      <c r="S482" s="38"/>
      <c r="T482" s="38"/>
      <c r="U482" s="38"/>
      <c r="V482" s="38"/>
      <c r="W482" s="38"/>
      <c r="X482" s="38"/>
      <c r="Y482" s="38"/>
      <c r="Z482" s="38"/>
      <c r="AA482" s="38"/>
      <c r="AB482" s="38"/>
      <c r="AC482" s="38"/>
      <c r="AD482" s="38"/>
      <c r="AE482" s="38"/>
      <c r="AF482" s="38"/>
      <c r="AG482" s="38"/>
      <c r="AH482" s="38"/>
    </row>
    <row r="483" spans="3:34" ht="20.100000000000001" customHeight="1">
      <c r="C483" s="113"/>
      <c r="D483" s="114"/>
      <c r="P483" s="82"/>
      <c r="Q483" s="82"/>
      <c r="R483" s="38"/>
      <c r="S483" s="38"/>
      <c r="T483" s="38"/>
      <c r="U483" s="38"/>
      <c r="V483" s="38"/>
      <c r="W483" s="38"/>
      <c r="X483" s="38"/>
      <c r="Y483" s="38"/>
      <c r="Z483" s="38"/>
      <c r="AA483" s="38"/>
      <c r="AB483" s="38"/>
      <c r="AC483" s="38"/>
      <c r="AD483" s="38"/>
      <c r="AE483" s="38"/>
      <c r="AF483" s="38"/>
      <c r="AG483" s="38"/>
      <c r="AH483" s="38"/>
    </row>
    <row r="484" spans="3:34" ht="20.100000000000001" customHeight="1">
      <c r="C484" s="113"/>
      <c r="D484" s="114"/>
      <c r="P484" s="82"/>
      <c r="Q484" s="82"/>
      <c r="R484" s="38"/>
      <c r="S484" s="38"/>
      <c r="T484" s="38"/>
      <c r="U484" s="38"/>
      <c r="V484" s="38"/>
      <c r="W484" s="38"/>
      <c r="X484" s="38"/>
      <c r="Y484" s="38"/>
      <c r="Z484" s="38"/>
      <c r="AA484" s="38"/>
      <c r="AB484" s="38"/>
      <c r="AC484" s="38"/>
      <c r="AD484" s="38"/>
      <c r="AE484" s="38"/>
      <c r="AF484" s="38"/>
      <c r="AG484" s="38"/>
      <c r="AH484" s="38"/>
    </row>
    <row r="485" spans="3:34" ht="20.100000000000001" customHeight="1">
      <c r="C485" s="113"/>
      <c r="D485" s="114"/>
      <c r="P485" s="82"/>
      <c r="Q485" s="82"/>
      <c r="R485" s="38"/>
      <c r="S485" s="38"/>
      <c r="T485" s="38"/>
      <c r="U485" s="38"/>
      <c r="V485" s="38"/>
      <c r="W485" s="38"/>
      <c r="X485" s="38"/>
      <c r="Y485" s="38"/>
      <c r="Z485" s="38"/>
      <c r="AA485" s="38"/>
      <c r="AB485" s="38"/>
      <c r="AC485" s="38"/>
      <c r="AD485" s="38"/>
      <c r="AE485" s="38"/>
      <c r="AF485" s="38"/>
      <c r="AG485" s="38"/>
      <c r="AH485" s="38"/>
    </row>
    <row r="486" spans="3:34" ht="20.100000000000001" customHeight="1">
      <c r="C486" s="113"/>
      <c r="D486" s="114"/>
      <c r="P486" s="82"/>
      <c r="Q486" s="82"/>
      <c r="R486" s="38"/>
      <c r="S486" s="38"/>
      <c r="T486" s="38"/>
      <c r="U486" s="38"/>
      <c r="V486" s="38"/>
      <c r="W486" s="38"/>
      <c r="X486" s="38"/>
      <c r="Y486" s="38"/>
      <c r="Z486" s="38"/>
      <c r="AA486" s="38"/>
      <c r="AB486" s="38"/>
      <c r="AC486" s="38"/>
      <c r="AD486" s="38"/>
      <c r="AE486" s="38"/>
      <c r="AF486" s="38"/>
      <c r="AG486" s="38"/>
      <c r="AH486" s="38"/>
    </row>
    <row r="487" spans="3:34" ht="20.100000000000001" customHeight="1">
      <c r="C487" s="113"/>
      <c r="D487" s="114"/>
      <c r="P487" s="82"/>
      <c r="Q487" s="82"/>
      <c r="R487" s="38"/>
      <c r="S487" s="38"/>
      <c r="T487" s="38"/>
      <c r="U487" s="38"/>
      <c r="V487" s="38"/>
      <c r="W487" s="38"/>
      <c r="X487" s="38"/>
      <c r="Y487" s="38"/>
      <c r="Z487" s="38"/>
      <c r="AA487" s="38"/>
      <c r="AB487" s="38"/>
      <c r="AC487" s="38"/>
      <c r="AD487" s="38"/>
      <c r="AE487" s="38"/>
      <c r="AF487" s="38"/>
      <c r="AG487" s="38"/>
      <c r="AH487" s="38"/>
    </row>
    <row r="488" spans="3:34" ht="20.100000000000001" customHeight="1">
      <c r="C488" s="113"/>
      <c r="D488" s="114"/>
      <c r="P488" s="82"/>
      <c r="Q488" s="82"/>
      <c r="R488" s="38"/>
      <c r="S488" s="38"/>
      <c r="T488" s="38"/>
      <c r="U488" s="38"/>
      <c r="V488" s="38"/>
      <c r="W488" s="38"/>
      <c r="X488" s="38"/>
      <c r="Y488" s="38"/>
      <c r="Z488" s="38"/>
      <c r="AA488" s="38"/>
      <c r="AB488" s="38"/>
      <c r="AC488" s="38"/>
      <c r="AD488" s="38"/>
      <c r="AE488" s="38"/>
      <c r="AF488" s="38"/>
      <c r="AG488" s="38"/>
      <c r="AH488" s="38"/>
    </row>
    <row r="489" spans="3:34" ht="20.100000000000001" customHeight="1">
      <c r="C489" s="113"/>
      <c r="D489" s="114"/>
      <c r="P489" s="82"/>
      <c r="Q489" s="82"/>
      <c r="R489" s="38"/>
      <c r="S489" s="38"/>
      <c r="T489" s="38"/>
      <c r="U489" s="38"/>
      <c r="V489" s="38"/>
      <c r="W489" s="38"/>
      <c r="X489" s="38"/>
      <c r="Y489" s="38"/>
      <c r="Z489" s="38"/>
      <c r="AA489" s="38"/>
      <c r="AB489" s="38"/>
      <c r="AC489" s="38"/>
      <c r="AD489" s="38"/>
      <c r="AE489" s="38"/>
      <c r="AF489" s="38"/>
      <c r="AG489" s="38"/>
      <c r="AH489" s="38"/>
    </row>
    <row r="490" spans="3:34" ht="20.100000000000001" customHeight="1">
      <c r="C490" s="113"/>
      <c r="D490" s="114"/>
      <c r="P490" s="82"/>
      <c r="Q490" s="82"/>
      <c r="R490" s="38"/>
      <c r="S490" s="38"/>
      <c r="T490" s="38"/>
      <c r="U490" s="38"/>
      <c r="V490" s="38"/>
      <c r="W490" s="38"/>
      <c r="X490" s="38"/>
      <c r="Y490" s="38"/>
      <c r="Z490" s="38"/>
      <c r="AA490" s="38"/>
      <c r="AB490" s="38"/>
      <c r="AC490" s="38"/>
      <c r="AD490" s="38"/>
      <c r="AE490" s="38"/>
      <c r="AF490" s="38"/>
      <c r="AG490" s="38"/>
      <c r="AH490" s="38"/>
    </row>
    <row r="491" spans="3:34" ht="20.100000000000001" customHeight="1">
      <c r="C491" s="113"/>
      <c r="D491" s="114"/>
      <c r="P491" s="82"/>
      <c r="Q491" s="82"/>
      <c r="R491" s="38"/>
      <c r="S491" s="38"/>
      <c r="T491" s="38"/>
      <c r="U491" s="38"/>
      <c r="V491" s="38"/>
      <c r="W491" s="38"/>
      <c r="X491" s="38"/>
      <c r="Y491" s="38"/>
      <c r="Z491" s="38"/>
      <c r="AA491" s="38"/>
      <c r="AB491" s="38"/>
      <c r="AC491" s="38"/>
      <c r="AD491" s="38"/>
      <c r="AE491" s="38"/>
      <c r="AF491" s="38"/>
      <c r="AG491" s="38"/>
      <c r="AH491" s="38"/>
    </row>
    <row r="492" spans="3:34" ht="20.100000000000001" customHeight="1">
      <c r="C492" s="113"/>
      <c r="D492" s="114"/>
      <c r="P492" s="82"/>
      <c r="Q492" s="82"/>
      <c r="R492" s="38"/>
      <c r="S492" s="38"/>
      <c r="T492" s="38"/>
      <c r="U492" s="38"/>
      <c r="V492" s="38"/>
      <c r="W492" s="38"/>
      <c r="X492" s="38"/>
      <c r="Y492" s="38"/>
      <c r="Z492" s="38"/>
      <c r="AA492" s="38"/>
      <c r="AB492" s="38"/>
      <c r="AC492" s="38"/>
      <c r="AD492" s="38"/>
      <c r="AE492" s="38"/>
      <c r="AF492" s="38"/>
      <c r="AG492" s="38"/>
      <c r="AH492" s="38"/>
    </row>
    <row r="493" spans="3:34" ht="20.100000000000001" customHeight="1">
      <c r="C493" s="113"/>
      <c r="D493" s="114"/>
      <c r="P493" s="82"/>
      <c r="Q493" s="82"/>
      <c r="R493" s="38"/>
      <c r="S493" s="38"/>
      <c r="T493" s="38"/>
      <c r="U493" s="38"/>
      <c r="V493" s="38"/>
      <c r="W493" s="38"/>
      <c r="X493" s="38"/>
      <c r="Y493" s="38"/>
      <c r="Z493" s="38"/>
      <c r="AA493" s="38"/>
      <c r="AB493" s="38"/>
      <c r="AC493" s="38"/>
      <c r="AD493" s="38"/>
      <c r="AE493" s="38"/>
      <c r="AF493" s="38"/>
      <c r="AG493" s="38"/>
      <c r="AH493" s="38"/>
    </row>
    <row r="494" spans="3:34" ht="20.100000000000001" customHeight="1">
      <c r="C494" s="113"/>
      <c r="D494" s="114"/>
      <c r="P494" s="82"/>
      <c r="Q494" s="82"/>
      <c r="R494" s="38"/>
      <c r="S494" s="38"/>
      <c r="T494" s="38"/>
      <c r="U494" s="38"/>
      <c r="V494" s="38"/>
      <c r="W494" s="38"/>
      <c r="X494" s="38"/>
      <c r="Y494" s="38"/>
      <c r="Z494" s="38"/>
      <c r="AA494" s="38"/>
      <c r="AB494" s="38"/>
      <c r="AC494" s="38"/>
      <c r="AD494" s="38"/>
      <c r="AE494" s="38"/>
      <c r="AF494" s="38"/>
      <c r="AG494" s="38"/>
      <c r="AH494" s="38"/>
    </row>
    <row r="495" spans="3:34" ht="20.100000000000001" customHeight="1">
      <c r="C495" s="113"/>
      <c r="D495" s="114"/>
      <c r="P495" s="82"/>
      <c r="Q495" s="82"/>
      <c r="R495" s="38"/>
      <c r="S495" s="38"/>
      <c r="T495" s="38"/>
      <c r="U495" s="38"/>
      <c r="V495" s="38"/>
      <c r="W495" s="38"/>
      <c r="X495" s="38"/>
      <c r="Y495" s="38"/>
      <c r="Z495" s="38"/>
      <c r="AA495" s="38"/>
      <c r="AB495" s="38"/>
      <c r="AC495" s="38"/>
      <c r="AD495" s="38"/>
      <c r="AE495" s="38"/>
      <c r="AF495" s="38"/>
      <c r="AG495" s="38"/>
      <c r="AH495" s="38"/>
    </row>
    <row r="496" spans="3:34" ht="20.100000000000001" customHeight="1">
      <c r="C496" s="113"/>
      <c r="D496" s="114"/>
      <c r="P496" s="82"/>
      <c r="Q496" s="82"/>
      <c r="R496" s="38"/>
      <c r="S496" s="38"/>
      <c r="T496" s="38"/>
      <c r="U496" s="38"/>
      <c r="V496" s="38"/>
      <c r="W496" s="38"/>
      <c r="X496" s="38"/>
      <c r="Y496" s="38"/>
      <c r="Z496" s="38"/>
      <c r="AA496" s="38"/>
      <c r="AB496" s="38"/>
      <c r="AC496" s="38"/>
      <c r="AD496" s="38"/>
      <c r="AE496" s="38"/>
      <c r="AF496" s="38"/>
      <c r="AG496" s="38"/>
      <c r="AH496" s="38"/>
    </row>
    <row r="497" spans="3:34" ht="20.100000000000001" customHeight="1">
      <c r="C497" s="113"/>
      <c r="D497" s="114"/>
      <c r="P497" s="82"/>
      <c r="Q497" s="82"/>
      <c r="R497" s="38"/>
      <c r="S497" s="38"/>
      <c r="T497" s="38"/>
      <c r="U497" s="38"/>
      <c r="V497" s="38"/>
      <c r="W497" s="38"/>
      <c r="X497" s="38"/>
      <c r="Y497" s="38"/>
      <c r="Z497" s="38"/>
      <c r="AA497" s="38"/>
      <c r="AB497" s="38"/>
      <c r="AC497" s="38"/>
      <c r="AD497" s="38"/>
      <c r="AE497" s="38"/>
      <c r="AF497" s="38"/>
      <c r="AG497" s="38"/>
      <c r="AH497" s="38"/>
    </row>
    <row r="498" spans="3:34" ht="20.100000000000001" customHeight="1">
      <c r="C498" s="113"/>
      <c r="D498" s="114"/>
      <c r="P498" s="82"/>
      <c r="Q498" s="82"/>
      <c r="R498" s="38"/>
      <c r="S498" s="38"/>
      <c r="T498" s="38"/>
      <c r="U498" s="38"/>
      <c r="V498" s="38"/>
      <c r="W498" s="38"/>
      <c r="X498" s="38"/>
      <c r="Y498" s="38"/>
      <c r="Z498" s="38"/>
      <c r="AA498" s="38"/>
      <c r="AB498" s="38"/>
      <c r="AC498" s="38"/>
      <c r="AD498" s="38"/>
      <c r="AE498" s="38"/>
      <c r="AF498" s="38"/>
      <c r="AG498" s="38"/>
      <c r="AH498" s="38"/>
    </row>
    <row r="499" spans="3:34" ht="20.100000000000001" customHeight="1">
      <c r="C499" s="113"/>
      <c r="D499" s="114"/>
      <c r="P499" s="82"/>
      <c r="Q499" s="82"/>
      <c r="R499" s="38"/>
      <c r="S499" s="38"/>
      <c r="T499" s="38"/>
      <c r="U499" s="38"/>
      <c r="V499" s="38"/>
      <c r="W499" s="38"/>
      <c r="X499" s="38"/>
      <c r="Y499" s="38"/>
      <c r="Z499" s="38"/>
      <c r="AA499" s="38"/>
      <c r="AB499" s="38"/>
      <c r="AC499" s="38"/>
      <c r="AD499" s="38"/>
      <c r="AE499" s="38"/>
      <c r="AF499" s="38"/>
      <c r="AG499" s="38"/>
      <c r="AH499" s="38"/>
    </row>
    <row r="500" spans="3:34" ht="20.100000000000001" customHeight="1">
      <c r="C500" s="113"/>
      <c r="D500" s="114"/>
      <c r="P500" s="82"/>
      <c r="Q500" s="82"/>
      <c r="R500" s="38"/>
      <c r="S500" s="38"/>
      <c r="T500" s="38"/>
      <c r="U500" s="38"/>
      <c r="V500" s="38"/>
      <c r="W500" s="38"/>
      <c r="X500" s="38"/>
      <c r="Y500" s="38"/>
      <c r="Z500" s="38"/>
      <c r="AA500" s="38"/>
      <c r="AB500" s="38"/>
      <c r="AC500" s="38"/>
      <c r="AD500" s="38"/>
      <c r="AE500" s="38"/>
      <c r="AF500" s="38"/>
      <c r="AG500" s="38"/>
      <c r="AH500" s="38"/>
    </row>
    <row r="501" spans="3:34" ht="20.100000000000001" customHeight="1">
      <c r="C501" s="113"/>
      <c r="D501" s="114"/>
      <c r="P501" s="82"/>
      <c r="Q501" s="82"/>
      <c r="R501" s="38"/>
      <c r="S501" s="38"/>
      <c r="T501" s="38"/>
      <c r="U501" s="38"/>
      <c r="V501" s="38"/>
      <c r="W501" s="38"/>
      <c r="X501" s="38"/>
      <c r="Y501" s="38"/>
      <c r="Z501" s="38"/>
      <c r="AA501" s="38"/>
      <c r="AB501" s="38"/>
      <c r="AC501" s="38"/>
      <c r="AD501" s="38"/>
      <c r="AE501" s="38"/>
      <c r="AF501" s="38"/>
      <c r="AG501" s="38"/>
      <c r="AH501" s="38"/>
    </row>
    <row r="502" spans="3:34" ht="20.100000000000001" customHeight="1">
      <c r="C502" s="113"/>
      <c r="D502" s="114"/>
      <c r="P502" s="82"/>
      <c r="Q502" s="82"/>
      <c r="R502" s="38"/>
      <c r="S502" s="38"/>
      <c r="T502" s="38"/>
      <c r="U502" s="38"/>
      <c r="V502" s="38"/>
      <c r="W502" s="38"/>
      <c r="X502" s="38"/>
      <c r="Y502" s="38"/>
      <c r="Z502" s="38"/>
      <c r="AA502" s="38"/>
      <c r="AB502" s="38"/>
      <c r="AC502" s="38"/>
      <c r="AD502" s="38"/>
      <c r="AE502" s="38"/>
      <c r="AF502" s="38"/>
      <c r="AG502" s="38"/>
      <c r="AH502" s="38"/>
    </row>
    <row r="503" spans="3:34" ht="20.100000000000001" customHeight="1">
      <c r="C503" s="113"/>
      <c r="D503" s="114"/>
      <c r="P503" s="82"/>
      <c r="Q503" s="82"/>
      <c r="R503" s="38"/>
      <c r="S503" s="38"/>
      <c r="T503" s="38"/>
      <c r="U503" s="38"/>
      <c r="V503" s="38"/>
      <c r="W503" s="38"/>
      <c r="X503" s="38"/>
      <c r="Y503" s="38"/>
      <c r="Z503" s="38"/>
      <c r="AA503" s="38"/>
      <c r="AB503" s="38"/>
      <c r="AC503" s="38"/>
      <c r="AD503" s="38"/>
      <c r="AE503" s="38"/>
      <c r="AF503" s="38"/>
      <c r="AG503" s="38"/>
      <c r="AH503" s="38"/>
    </row>
    <row r="504" spans="3:34" ht="20.100000000000001" customHeight="1">
      <c r="C504" s="113"/>
      <c r="D504" s="114"/>
      <c r="P504" s="82"/>
      <c r="Q504" s="82"/>
      <c r="R504" s="38"/>
      <c r="S504" s="38"/>
      <c r="T504" s="38"/>
      <c r="U504" s="38"/>
      <c r="V504" s="38"/>
      <c r="W504" s="38"/>
      <c r="X504" s="38"/>
      <c r="Y504" s="38"/>
      <c r="Z504" s="38"/>
      <c r="AA504" s="38"/>
      <c r="AB504" s="38"/>
      <c r="AC504" s="38"/>
      <c r="AD504" s="38"/>
      <c r="AE504" s="38"/>
      <c r="AF504" s="38"/>
      <c r="AG504" s="38"/>
      <c r="AH504" s="38"/>
    </row>
    <row r="505" spans="3:34" ht="20.100000000000001" customHeight="1">
      <c r="C505" s="113"/>
      <c r="D505" s="114"/>
      <c r="P505" s="82"/>
      <c r="Q505" s="82"/>
      <c r="R505" s="38"/>
      <c r="S505" s="38"/>
      <c r="T505" s="38"/>
      <c r="U505" s="38"/>
      <c r="V505" s="38"/>
      <c r="W505" s="38"/>
      <c r="X505" s="38"/>
      <c r="Y505" s="38"/>
      <c r="Z505" s="38"/>
      <c r="AA505" s="38"/>
      <c r="AB505" s="38"/>
      <c r="AC505" s="38"/>
      <c r="AD505" s="38"/>
      <c r="AE505" s="38"/>
      <c r="AF505" s="38"/>
      <c r="AG505" s="38"/>
      <c r="AH505" s="38"/>
    </row>
    <row r="506" spans="3:34" ht="20.100000000000001" customHeight="1">
      <c r="C506" s="113"/>
      <c r="D506" s="114"/>
      <c r="P506" s="82"/>
      <c r="Q506" s="82"/>
      <c r="R506" s="38"/>
      <c r="S506" s="38"/>
      <c r="T506" s="38"/>
      <c r="U506" s="38"/>
      <c r="V506" s="38"/>
      <c r="W506" s="38"/>
      <c r="X506" s="38"/>
      <c r="Y506" s="38"/>
      <c r="Z506" s="38"/>
      <c r="AA506" s="38"/>
      <c r="AB506" s="38"/>
      <c r="AC506" s="38"/>
      <c r="AD506" s="38"/>
      <c r="AE506" s="38"/>
      <c r="AF506" s="38"/>
      <c r="AG506" s="38"/>
      <c r="AH506" s="38"/>
    </row>
    <row r="507" spans="3:34" ht="20.100000000000001" customHeight="1">
      <c r="C507" s="113"/>
      <c r="D507" s="114"/>
      <c r="P507" s="82"/>
      <c r="Q507" s="82"/>
      <c r="R507" s="38"/>
      <c r="S507" s="38"/>
      <c r="T507" s="38"/>
      <c r="U507" s="38"/>
      <c r="V507" s="38"/>
      <c r="W507" s="38"/>
      <c r="X507" s="38"/>
      <c r="Y507" s="38"/>
      <c r="Z507" s="38"/>
      <c r="AA507" s="38"/>
      <c r="AB507" s="38"/>
      <c r="AC507" s="38"/>
      <c r="AD507" s="38"/>
      <c r="AE507" s="38"/>
      <c r="AF507" s="38"/>
      <c r="AG507" s="38"/>
      <c r="AH507" s="38"/>
    </row>
    <row r="508" spans="3:34" ht="20.100000000000001" customHeight="1">
      <c r="C508" s="113"/>
      <c r="D508" s="114"/>
      <c r="P508" s="82"/>
      <c r="Q508" s="82"/>
      <c r="R508" s="38"/>
      <c r="S508" s="38"/>
      <c r="T508" s="38"/>
      <c r="U508" s="38"/>
      <c r="V508" s="38"/>
      <c r="W508" s="38"/>
      <c r="X508" s="38"/>
      <c r="Y508" s="38"/>
      <c r="Z508" s="38"/>
      <c r="AA508" s="38"/>
      <c r="AB508" s="38"/>
      <c r="AC508" s="38"/>
      <c r="AD508" s="38"/>
      <c r="AE508" s="38"/>
      <c r="AF508" s="38"/>
      <c r="AG508" s="38"/>
      <c r="AH508" s="38"/>
    </row>
    <row r="509" spans="3:34" ht="20.100000000000001" customHeight="1">
      <c r="C509" s="113"/>
      <c r="D509" s="114"/>
      <c r="P509" s="82"/>
      <c r="Q509" s="82"/>
      <c r="R509" s="38"/>
      <c r="S509" s="38"/>
      <c r="T509" s="38"/>
      <c r="U509" s="38"/>
      <c r="V509" s="38"/>
      <c r="W509" s="38"/>
      <c r="X509" s="38"/>
      <c r="Y509" s="38"/>
      <c r="Z509" s="38"/>
      <c r="AA509" s="38"/>
      <c r="AB509" s="38"/>
      <c r="AC509" s="38"/>
      <c r="AD509" s="38"/>
      <c r="AE509" s="38"/>
      <c r="AF509" s="38"/>
      <c r="AG509" s="38"/>
      <c r="AH509" s="38"/>
    </row>
    <row r="510" spans="3:34" ht="20.100000000000001" customHeight="1">
      <c r="C510" s="113"/>
      <c r="D510" s="114"/>
      <c r="P510" s="82"/>
      <c r="Q510" s="82"/>
      <c r="R510" s="38"/>
      <c r="S510" s="38"/>
      <c r="T510" s="38"/>
      <c r="U510" s="38"/>
      <c r="V510" s="38"/>
      <c r="W510" s="38"/>
      <c r="X510" s="38"/>
      <c r="Y510" s="38"/>
      <c r="Z510" s="38"/>
      <c r="AA510" s="38"/>
      <c r="AB510" s="38"/>
      <c r="AC510" s="38"/>
      <c r="AD510" s="38"/>
      <c r="AE510" s="38"/>
      <c r="AF510" s="38"/>
      <c r="AG510" s="38"/>
      <c r="AH510" s="38"/>
    </row>
    <row r="511" spans="3:34" ht="20.100000000000001" customHeight="1">
      <c r="C511" s="113"/>
      <c r="D511" s="114"/>
      <c r="P511" s="82"/>
      <c r="Q511" s="82"/>
      <c r="R511" s="38"/>
      <c r="S511" s="38"/>
      <c r="T511" s="38"/>
      <c r="U511" s="38"/>
      <c r="V511" s="38"/>
      <c r="W511" s="38"/>
      <c r="X511" s="38"/>
      <c r="Y511" s="38"/>
      <c r="Z511" s="38"/>
      <c r="AA511" s="38"/>
      <c r="AB511" s="38"/>
      <c r="AC511" s="38"/>
      <c r="AD511" s="38"/>
      <c r="AE511" s="38"/>
      <c r="AF511" s="38"/>
      <c r="AG511" s="38"/>
      <c r="AH511" s="38"/>
    </row>
    <row r="512" spans="3:34" ht="20.100000000000001" customHeight="1">
      <c r="C512" s="113"/>
      <c r="D512" s="114"/>
      <c r="P512" s="82"/>
      <c r="Q512" s="82"/>
      <c r="R512" s="38"/>
      <c r="S512" s="38"/>
      <c r="T512" s="38"/>
      <c r="U512" s="38"/>
      <c r="V512" s="38"/>
      <c r="W512" s="38"/>
      <c r="X512" s="38"/>
      <c r="Y512" s="38"/>
      <c r="Z512" s="38"/>
      <c r="AA512" s="38"/>
      <c r="AB512" s="38"/>
      <c r="AC512" s="38"/>
      <c r="AD512" s="38"/>
      <c r="AE512" s="38"/>
      <c r="AF512" s="38"/>
      <c r="AG512" s="38"/>
      <c r="AH512" s="38"/>
    </row>
    <row r="513" spans="3:34" ht="20.100000000000001" customHeight="1">
      <c r="C513" s="113"/>
      <c r="D513" s="114"/>
      <c r="P513" s="82"/>
      <c r="Q513" s="82"/>
      <c r="R513" s="38"/>
      <c r="S513" s="38"/>
      <c r="T513" s="38"/>
      <c r="U513" s="38"/>
      <c r="V513" s="38"/>
      <c r="W513" s="38"/>
      <c r="X513" s="38"/>
      <c r="Y513" s="38"/>
      <c r="Z513" s="38"/>
      <c r="AA513" s="38"/>
      <c r="AB513" s="38"/>
      <c r="AC513" s="38"/>
      <c r="AD513" s="38"/>
      <c r="AE513" s="38"/>
      <c r="AF513" s="38"/>
      <c r="AG513" s="38"/>
      <c r="AH513" s="38"/>
    </row>
    <row r="514" spans="3:34" ht="20.100000000000001" customHeight="1">
      <c r="C514" s="113"/>
      <c r="D514" s="114"/>
      <c r="P514" s="82"/>
      <c r="Q514" s="82"/>
      <c r="R514" s="38"/>
      <c r="S514" s="38"/>
      <c r="T514" s="38"/>
      <c r="U514" s="38"/>
      <c r="V514" s="38"/>
      <c r="W514" s="38"/>
      <c r="X514" s="38"/>
      <c r="Y514" s="38"/>
      <c r="Z514" s="38"/>
      <c r="AA514" s="38"/>
      <c r="AB514" s="38"/>
      <c r="AC514" s="38"/>
      <c r="AD514" s="38"/>
      <c r="AE514" s="38"/>
      <c r="AF514" s="38"/>
      <c r="AG514" s="38"/>
      <c r="AH514" s="38"/>
    </row>
    <row r="515" spans="3:34" ht="20.100000000000001" customHeight="1">
      <c r="C515" s="113"/>
      <c r="D515" s="114"/>
      <c r="P515" s="82"/>
      <c r="Q515" s="82"/>
      <c r="R515" s="38"/>
      <c r="S515" s="38"/>
      <c r="T515" s="38"/>
      <c r="U515" s="38"/>
      <c r="V515" s="38"/>
      <c r="W515" s="38"/>
      <c r="X515" s="38"/>
      <c r="Y515" s="38"/>
      <c r="Z515" s="38"/>
      <c r="AA515" s="38"/>
      <c r="AB515" s="38"/>
      <c r="AC515" s="38"/>
      <c r="AD515" s="38"/>
      <c r="AE515" s="38"/>
      <c r="AF515" s="38"/>
      <c r="AG515" s="38"/>
      <c r="AH515" s="38"/>
    </row>
    <row r="516" spans="3:34" ht="20.100000000000001" customHeight="1">
      <c r="C516" s="113"/>
      <c r="D516" s="114"/>
      <c r="P516" s="82"/>
      <c r="Q516" s="82"/>
      <c r="R516" s="38"/>
      <c r="S516" s="38"/>
      <c r="T516" s="38"/>
      <c r="U516" s="38"/>
      <c r="V516" s="38"/>
      <c r="W516" s="38"/>
      <c r="X516" s="38"/>
      <c r="Y516" s="38"/>
      <c r="Z516" s="38"/>
      <c r="AA516" s="38"/>
      <c r="AB516" s="38"/>
      <c r="AC516" s="38"/>
      <c r="AD516" s="38"/>
      <c r="AE516" s="38"/>
      <c r="AF516" s="38"/>
      <c r="AG516" s="38"/>
      <c r="AH516" s="38"/>
    </row>
    <row r="517" spans="3:34" ht="20.100000000000001" customHeight="1">
      <c r="C517" s="113"/>
      <c r="D517" s="114"/>
      <c r="P517" s="82"/>
      <c r="Q517" s="82"/>
      <c r="R517" s="38"/>
      <c r="S517" s="38"/>
      <c r="T517" s="38"/>
      <c r="U517" s="38"/>
      <c r="V517" s="38"/>
      <c r="W517" s="38"/>
      <c r="X517" s="38"/>
      <c r="Y517" s="38"/>
      <c r="Z517" s="38"/>
      <c r="AA517" s="38"/>
      <c r="AB517" s="38"/>
      <c r="AC517" s="38"/>
      <c r="AD517" s="38"/>
      <c r="AE517" s="38"/>
      <c r="AF517" s="38"/>
      <c r="AG517" s="38"/>
      <c r="AH517" s="38"/>
    </row>
    <row r="518" spans="3:34" ht="20.100000000000001" customHeight="1">
      <c r="C518" s="113"/>
      <c r="D518" s="114"/>
      <c r="P518" s="82"/>
      <c r="Q518" s="82"/>
      <c r="R518" s="38"/>
      <c r="S518" s="38"/>
      <c r="T518" s="38"/>
      <c r="U518" s="38"/>
      <c r="V518" s="38"/>
      <c r="W518" s="38"/>
      <c r="X518" s="38"/>
      <c r="Y518" s="38"/>
      <c r="Z518" s="38"/>
      <c r="AA518" s="38"/>
      <c r="AB518" s="38"/>
      <c r="AC518" s="38"/>
      <c r="AD518" s="38"/>
      <c r="AE518" s="38"/>
      <c r="AF518" s="38"/>
      <c r="AG518" s="38"/>
      <c r="AH518" s="38"/>
    </row>
    <row r="519" spans="3:34" ht="20.100000000000001" customHeight="1">
      <c r="C519" s="113"/>
      <c r="D519" s="114"/>
      <c r="P519" s="82"/>
      <c r="Q519" s="82"/>
      <c r="R519" s="38"/>
      <c r="S519" s="38"/>
      <c r="T519" s="38"/>
      <c r="U519" s="38"/>
      <c r="V519" s="38"/>
      <c r="W519" s="38"/>
      <c r="X519" s="38"/>
      <c r="Y519" s="38"/>
      <c r="Z519" s="38"/>
      <c r="AA519" s="38"/>
      <c r="AB519" s="38"/>
      <c r="AC519" s="38"/>
      <c r="AD519" s="38"/>
      <c r="AE519" s="38"/>
      <c r="AF519" s="38"/>
      <c r="AG519" s="38"/>
      <c r="AH519" s="38"/>
    </row>
    <row r="520" spans="3:34" ht="20.100000000000001" customHeight="1">
      <c r="C520" s="113"/>
      <c r="D520" s="114"/>
      <c r="P520" s="82"/>
      <c r="Q520" s="82"/>
      <c r="R520" s="38"/>
      <c r="S520" s="38"/>
      <c r="T520" s="38"/>
      <c r="U520" s="38"/>
      <c r="V520" s="38"/>
      <c r="W520" s="38"/>
      <c r="X520" s="38"/>
      <c r="Y520" s="38"/>
      <c r="Z520" s="38"/>
      <c r="AA520" s="38"/>
      <c r="AB520" s="38"/>
      <c r="AC520" s="38"/>
      <c r="AD520" s="38"/>
      <c r="AE520" s="38"/>
      <c r="AF520" s="38"/>
      <c r="AG520" s="38"/>
      <c r="AH520" s="38"/>
    </row>
    <row r="521" spans="3:34" ht="20.100000000000001" customHeight="1">
      <c r="C521" s="113"/>
      <c r="D521" s="114"/>
      <c r="P521" s="82"/>
      <c r="Q521" s="82"/>
      <c r="R521" s="38"/>
      <c r="S521" s="38"/>
      <c r="T521" s="38"/>
      <c r="U521" s="38"/>
      <c r="V521" s="38"/>
      <c r="W521" s="38"/>
      <c r="X521" s="38"/>
      <c r="Y521" s="38"/>
      <c r="Z521" s="38"/>
      <c r="AA521" s="38"/>
      <c r="AB521" s="38"/>
      <c r="AC521" s="38"/>
      <c r="AD521" s="38"/>
      <c r="AE521" s="38"/>
      <c r="AF521" s="38"/>
      <c r="AG521" s="38"/>
      <c r="AH521" s="38"/>
    </row>
    <row r="522" spans="3:34" ht="20.100000000000001" customHeight="1">
      <c r="C522" s="113"/>
      <c r="D522" s="114"/>
      <c r="P522" s="82"/>
      <c r="Q522" s="82"/>
      <c r="R522" s="38"/>
      <c r="S522" s="38"/>
      <c r="T522" s="38"/>
      <c r="U522" s="38"/>
      <c r="V522" s="38"/>
      <c r="W522" s="38"/>
      <c r="X522" s="38"/>
      <c r="Y522" s="38"/>
      <c r="Z522" s="38"/>
      <c r="AA522" s="38"/>
      <c r="AB522" s="38"/>
      <c r="AC522" s="38"/>
      <c r="AD522" s="38"/>
      <c r="AE522" s="38"/>
      <c r="AF522" s="38"/>
      <c r="AG522" s="38"/>
      <c r="AH522" s="38"/>
    </row>
    <row r="523" spans="3:34" ht="20.100000000000001" customHeight="1">
      <c r="C523" s="113"/>
      <c r="D523" s="114"/>
      <c r="P523" s="82"/>
      <c r="Q523" s="82"/>
      <c r="R523" s="38"/>
      <c r="S523" s="38"/>
      <c r="T523" s="38"/>
      <c r="U523" s="38"/>
      <c r="V523" s="38"/>
      <c r="W523" s="38"/>
      <c r="X523" s="38"/>
      <c r="Y523" s="38"/>
      <c r="Z523" s="38"/>
      <c r="AA523" s="38"/>
      <c r="AB523" s="38"/>
      <c r="AC523" s="38"/>
      <c r="AD523" s="38"/>
      <c r="AE523" s="38"/>
      <c r="AF523" s="38"/>
      <c r="AG523" s="38"/>
      <c r="AH523" s="38"/>
    </row>
    <row r="524" spans="3:34" ht="20.100000000000001" customHeight="1">
      <c r="C524" s="113"/>
      <c r="D524" s="114"/>
      <c r="P524" s="82"/>
      <c r="Q524" s="82"/>
      <c r="R524" s="38"/>
      <c r="S524" s="38"/>
      <c r="T524" s="38"/>
      <c r="U524" s="38"/>
      <c r="V524" s="38"/>
      <c r="W524" s="38"/>
      <c r="X524" s="38"/>
      <c r="Y524" s="38"/>
      <c r="Z524" s="38"/>
      <c r="AA524" s="38"/>
      <c r="AB524" s="38"/>
      <c r="AC524" s="38"/>
      <c r="AD524" s="38"/>
      <c r="AE524" s="38"/>
      <c r="AF524" s="38"/>
      <c r="AG524" s="38"/>
      <c r="AH524" s="38"/>
    </row>
    <row r="525" spans="3:34" ht="20.100000000000001" customHeight="1">
      <c r="C525" s="113"/>
      <c r="D525" s="114"/>
      <c r="P525" s="82"/>
      <c r="Q525" s="82"/>
      <c r="R525" s="38"/>
      <c r="S525" s="38"/>
      <c r="T525" s="38"/>
      <c r="U525" s="38"/>
      <c r="V525" s="38"/>
      <c r="W525" s="38"/>
      <c r="X525" s="38"/>
      <c r="Y525" s="38"/>
      <c r="Z525" s="38"/>
      <c r="AA525" s="38"/>
      <c r="AB525" s="38"/>
      <c r="AC525" s="38"/>
      <c r="AD525" s="38"/>
      <c r="AE525" s="38"/>
      <c r="AF525" s="38"/>
      <c r="AG525" s="38"/>
      <c r="AH525" s="38"/>
    </row>
    <row r="526" spans="3:34" ht="20.100000000000001" customHeight="1">
      <c r="C526" s="113"/>
      <c r="D526" s="114"/>
      <c r="P526" s="82"/>
      <c r="Q526" s="82"/>
      <c r="R526" s="38"/>
      <c r="S526" s="38"/>
      <c r="T526" s="38"/>
      <c r="U526" s="38"/>
      <c r="V526" s="38"/>
      <c r="W526" s="38"/>
      <c r="X526" s="38"/>
      <c r="Y526" s="38"/>
      <c r="Z526" s="38"/>
      <c r="AA526" s="38"/>
      <c r="AB526" s="38"/>
      <c r="AC526" s="38"/>
      <c r="AD526" s="38"/>
      <c r="AE526" s="38"/>
      <c r="AF526" s="38"/>
      <c r="AG526" s="38"/>
      <c r="AH526" s="38"/>
    </row>
    <row r="527" spans="3:34" ht="20.100000000000001" customHeight="1">
      <c r="C527" s="113"/>
      <c r="D527" s="114"/>
      <c r="P527" s="82"/>
      <c r="Q527" s="82"/>
      <c r="R527" s="38"/>
      <c r="S527" s="38"/>
      <c r="T527" s="38"/>
      <c r="U527" s="38"/>
      <c r="V527" s="38"/>
      <c r="W527" s="38"/>
      <c r="X527" s="38"/>
      <c r="Y527" s="38"/>
      <c r="Z527" s="38"/>
      <c r="AA527" s="38"/>
      <c r="AB527" s="38"/>
      <c r="AC527" s="38"/>
      <c r="AD527" s="38"/>
      <c r="AE527" s="38"/>
      <c r="AF527" s="38"/>
      <c r="AG527" s="38"/>
      <c r="AH527" s="38"/>
    </row>
    <row r="528" spans="3:34" ht="20.100000000000001" customHeight="1">
      <c r="C528" s="113"/>
      <c r="D528" s="114"/>
      <c r="P528" s="82"/>
      <c r="Q528" s="82"/>
      <c r="R528" s="38"/>
      <c r="S528" s="38"/>
      <c r="T528" s="38"/>
      <c r="U528" s="38"/>
      <c r="V528" s="38"/>
      <c r="W528" s="38"/>
      <c r="X528" s="38"/>
      <c r="Y528" s="38"/>
      <c r="Z528" s="38"/>
      <c r="AA528" s="38"/>
      <c r="AB528" s="38"/>
      <c r="AC528" s="38"/>
      <c r="AD528" s="38"/>
      <c r="AE528" s="38"/>
      <c r="AF528" s="38"/>
      <c r="AG528" s="38"/>
      <c r="AH528" s="38"/>
    </row>
    <row r="529" spans="3:34" ht="20.100000000000001" customHeight="1">
      <c r="C529" s="113"/>
      <c r="D529" s="114"/>
      <c r="P529" s="82"/>
      <c r="Q529" s="82"/>
      <c r="R529" s="38"/>
      <c r="S529" s="38"/>
      <c r="T529" s="38"/>
      <c r="U529" s="38"/>
      <c r="V529" s="38"/>
      <c r="W529" s="38"/>
      <c r="X529" s="38"/>
      <c r="Y529" s="38"/>
      <c r="Z529" s="38"/>
      <c r="AA529" s="38"/>
      <c r="AB529" s="38"/>
      <c r="AC529" s="38"/>
      <c r="AD529" s="38"/>
      <c r="AE529" s="38"/>
      <c r="AF529" s="38"/>
      <c r="AG529" s="38"/>
      <c r="AH529" s="38"/>
    </row>
    <row r="530" spans="3:34" ht="20.100000000000001" customHeight="1">
      <c r="C530" s="113"/>
      <c r="D530" s="114"/>
      <c r="P530" s="82"/>
      <c r="Q530" s="82"/>
      <c r="R530" s="38"/>
      <c r="S530" s="38"/>
      <c r="T530" s="38"/>
      <c r="U530" s="38"/>
      <c r="V530" s="38"/>
      <c r="W530" s="38"/>
      <c r="X530" s="38"/>
      <c r="Y530" s="38"/>
      <c r="Z530" s="38"/>
      <c r="AA530" s="38"/>
      <c r="AB530" s="38"/>
      <c r="AC530" s="38"/>
      <c r="AD530" s="38"/>
      <c r="AE530" s="38"/>
      <c r="AF530" s="38"/>
      <c r="AG530" s="38"/>
      <c r="AH530" s="38"/>
    </row>
    <row r="531" spans="3:34" ht="20.100000000000001" customHeight="1">
      <c r="C531" s="113"/>
      <c r="D531" s="114"/>
      <c r="P531" s="82"/>
      <c r="Q531" s="82"/>
      <c r="R531" s="38"/>
      <c r="S531" s="38"/>
      <c r="T531" s="38"/>
      <c r="U531" s="38"/>
      <c r="V531" s="38"/>
      <c r="W531" s="38"/>
      <c r="X531" s="38"/>
      <c r="Y531" s="38"/>
      <c r="Z531" s="38"/>
      <c r="AA531" s="38"/>
      <c r="AB531" s="38"/>
      <c r="AC531" s="38"/>
      <c r="AD531" s="38"/>
      <c r="AE531" s="38"/>
      <c r="AF531" s="38"/>
      <c r="AG531" s="38"/>
      <c r="AH531" s="38"/>
    </row>
    <row r="532" spans="3:34" ht="20.100000000000001" customHeight="1">
      <c r="C532" s="113"/>
      <c r="D532" s="114"/>
      <c r="P532" s="82"/>
      <c r="Q532" s="82"/>
      <c r="R532" s="38"/>
      <c r="S532" s="38"/>
      <c r="T532" s="38"/>
      <c r="U532" s="38"/>
      <c r="V532" s="38"/>
      <c r="W532" s="38"/>
      <c r="X532" s="38"/>
      <c r="Y532" s="38"/>
      <c r="Z532" s="38"/>
      <c r="AA532" s="38"/>
      <c r="AB532" s="38"/>
      <c r="AC532" s="38"/>
      <c r="AD532" s="38"/>
      <c r="AE532" s="38"/>
      <c r="AF532" s="38"/>
      <c r="AG532" s="38"/>
      <c r="AH532" s="38"/>
    </row>
    <row r="533" spans="3:34" ht="20.100000000000001" customHeight="1">
      <c r="C533" s="113"/>
      <c r="D533" s="114"/>
      <c r="P533" s="82"/>
      <c r="Q533" s="82"/>
      <c r="R533" s="38"/>
      <c r="S533" s="38"/>
      <c r="T533" s="38"/>
      <c r="U533" s="38"/>
      <c r="V533" s="38"/>
      <c r="W533" s="38"/>
      <c r="X533" s="38"/>
      <c r="Y533" s="38"/>
      <c r="Z533" s="38"/>
      <c r="AA533" s="38"/>
      <c r="AB533" s="38"/>
      <c r="AC533" s="38"/>
      <c r="AD533" s="38"/>
      <c r="AE533" s="38"/>
      <c r="AF533" s="38"/>
      <c r="AG533" s="38"/>
      <c r="AH533" s="38"/>
    </row>
    <row r="534" spans="3:34" ht="20.100000000000001" customHeight="1">
      <c r="C534" s="113"/>
      <c r="D534" s="114"/>
      <c r="P534" s="82"/>
      <c r="Q534" s="82"/>
      <c r="R534" s="38"/>
      <c r="S534" s="38"/>
      <c r="T534" s="38"/>
      <c r="U534" s="38"/>
      <c r="V534" s="38"/>
      <c r="W534" s="38"/>
      <c r="X534" s="38"/>
      <c r="Y534" s="38"/>
      <c r="Z534" s="38"/>
      <c r="AA534" s="38"/>
      <c r="AB534" s="38"/>
      <c r="AC534" s="38"/>
      <c r="AD534" s="38"/>
      <c r="AE534" s="38"/>
      <c r="AF534" s="38"/>
      <c r="AG534" s="38"/>
      <c r="AH534" s="38"/>
    </row>
    <row r="535" spans="3:34" ht="20.100000000000001" customHeight="1">
      <c r="C535" s="113"/>
      <c r="D535" s="114"/>
      <c r="P535" s="82"/>
      <c r="Q535" s="82"/>
      <c r="R535" s="38"/>
      <c r="S535" s="38"/>
      <c r="T535" s="38"/>
      <c r="U535" s="38"/>
      <c r="V535" s="38"/>
      <c r="W535" s="38"/>
      <c r="X535" s="38"/>
      <c r="Y535" s="38"/>
      <c r="Z535" s="38"/>
      <c r="AA535" s="38"/>
      <c r="AB535" s="38"/>
      <c r="AC535" s="38"/>
      <c r="AD535" s="38"/>
      <c r="AE535" s="38"/>
      <c r="AF535" s="38"/>
      <c r="AG535" s="38"/>
      <c r="AH535" s="38"/>
    </row>
    <row r="536" spans="3:34" ht="20.100000000000001" customHeight="1">
      <c r="C536" s="113"/>
      <c r="D536" s="114"/>
      <c r="P536" s="82"/>
      <c r="Q536" s="82"/>
      <c r="R536" s="38"/>
      <c r="S536" s="38"/>
      <c r="T536" s="38"/>
      <c r="U536" s="38"/>
      <c r="V536" s="38"/>
      <c r="W536" s="38"/>
      <c r="X536" s="38"/>
      <c r="Y536" s="38"/>
      <c r="Z536" s="38"/>
      <c r="AA536" s="38"/>
      <c r="AB536" s="38"/>
      <c r="AC536" s="38"/>
      <c r="AD536" s="38"/>
      <c r="AE536" s="38"/>
      <c r="AF536" s="38"/>
      <c r="AG536" s="38"/>
      <c r="AH536" s="38"/>
    </row>
    <row r="537" spans="3:34" ht="20.100000000000001" customHeight="1">
      <c r="C537" s="113"/>
      <c r="D537" s="114"/>
      <c r="P537" s="82"/>
      <c r="Q537" s="82"/>
      <c r="R537" s="38"/>
      <c r="S537" s="38"/>
      <c r="T537" s="38"/>
      <c r="U537" s="38"/>
      <c r="V537" s="38"/>
      <c r="W537" s="38"/>
      <c r="X537" s="38"/>
      <c r="Y537" s="38"/>
      <c r="Z537" s="38"/>
      <c r="AA537" s="38"/>
      <c r="AB537" s="38"/>
      <c r="AC537" s="38"/>
      <c r="AD537" s="38"/>
      <c r="AE537" s="38"/>
      <c r="AF537" s="38"/>
      <c r="AG537" s="38"/>
      <c r="AH537" s="38"/>
    </row>
    <row r="538" spans="3:34" ht="20.100000000000001" customHeight="1">
      <c r="C538" s="113"/>
      <c r="D538" s="114"/>
      <c r="P538" s="82"/>
      <c r="Q538" s="82"/>
      <c r="R538" s="38"/>
      <c r="S538" s="38"/>
      <c r="T538" s="38"/>
      <c r="U538" s="38"/>
      <c r="V538" s="38"/>
      <c r="W538" s="38"/>
      <c r="X538" s="38"/>
      <c r="Y538" s="38"/>
      <c r="Z538" s="38"/>
      <c r="AA538" s="38"/>
      <c r="AB538" s="38"/>
      <c r="AC538" s="38"/>
      <c r="AD538" s="38"/>
      <c r="AE538" s="38"/>
      <c r="AF538" s="38"/>
      <c r="AG538" s="38"/>
      <c r="AH538" s="38"/>
    </row>
    <row r="539" spans="3:34" ht="20.100000000000001" customHeight="1">
      <c r="C539" s="113"/>
      <c r="D539" s="114"/>
      <c r="P539" s="82"/>
      <c r="Q539" s="82"/>
      <c r="R539" s="38"/>
      <c r="S539" s="38"/>
      <c r="T539" s="38"/>
      <c r="U539" s="38"/>
      <c r="V539" s="38"/>
      <c r="W539" s="38"/>
      <c r="X539" s="38"/>
      <c r="Y539" s="38"/>
      <c r="Z539" s="38"/>
      <c r="AA539" s="38"/>
      <c r="AB539" s="38"/>
      <c r="AC539" s="38"/>
      <c r="AD539" s="38"/>
      <c r="AE539" s="38"/>
      <c r="AF539" s="38"/>
      <c r="AG539" s="38"/>
      <c r="AH539" s="38"/>
    </row>
    <row r="540" spans="3:34" ht="20.100000000000001" customHeight="1">
      <c r="C540" s="113"/>
      <c r="D540" s="114"/>
      <c r="P540" s="82"/>
      <c r="Q540" s="82"/>
      <c r="R540" s="38"/>
      <c r="S540" s="38"/>
      <c r="T540" s="38"/>
      <c r="U540" s="38"/>
      <c r="V540" s="38"/>
      <c r="W540" s="38"/>
      <c r="X540" s="38"/>
      <c r="Y540" s="38"/>
      <c r="Z540" s="38"/>
      <c r="AA540" s="38"/>
      <c r="AB540" s="38"/>
      <c r="AC540" s="38"/>
      <c r="AD540" s="38"/>
      <c r="AE540" s="38"/>
      <c r="AF540" s="38"/>
      <c r="AG540" s="38"/>
      <c r="AH540" s="38"/>
    </row>
    <row r="541" spans="3:34" ht="20.100000000000001" customHeight="1">
      <c r="C541" s="113"/>
      <c r="D541" s="114"/>
      <c r="P541" s="82"/>
      <c r="Q541" s="82"/>
      <c r="R541" s="38"/>
      <c r="S541" s="38"/>
      <c r="T541" s="38"/>
      <c r="U541" s="38"/>
      <c r="V541" s="38"/>
      <c r="W541" s="38"/>
      <c r="X541" s="38"/>
      <c r="Y541" s="38"/>
      <c r="Z541" s="38"/>
      <c r="AA541" s="38"/>
      <c r="AB541" s="38"/>
      <c r="AC541" s="38"/>
      <c r="AD541" s="38"/>
      <c r="AE541" s="38"/>
      <c r="AF541" s="38"/>
      <c r="AG541" s="38"/>
      <c r="AH541" s="38"/>
    </row>
    <row r="542" spans="3:34" ht="20.100000000000001" customHeight="1">
      <c r="C542" s="113"/>
      <c r="D542" s="114"/>
      <c r="P542" s="82"/>
      <c r="Q542" s="82"/>
      <c r="R542" s="38"/>
      <c r="S542" s="38"/>
      <c r="T542" s="38"/>
      <c r="U542" s="38"/>
      <c r="V542" s="38"/>
      <c r="W542" s="38"/>
      <c r="X542" s="38"/>
      <c r="Y542" s="38"/>
      <c r="Z542" s="38"/>
      <c r="AA542" s="38"/>
      <c r="AB542" s="38"/>
      <c r="AC542" s="38"/>
      <c r="AD542" s="38"/>
      <c r="AE542" s="38"/>
      <c r="AF542" s="38"/>
      <c r="AG542" s="38"/>
      <c r="AH542" s="38"/>
    </row>
    <row r="543" spans="3:34" ht="20.100000000000001" customHeight="1">
      <c r="C543" s="113"/>
      <c r="D543" s="114"/>
      <c r="P543" s="82"/>
      <c r="Q543" s="82"/>
      <c r="R543" s="38"/>
      <c r="S543" s="38"/>
      <c r="T543" s="38"/>
      <c r="U543" s="38"/>
      <c r="V543" s="38"/>
      <c r="W543" s="38"/>
      <c r="X543" s="38"/>
      <c r="Y543" s="38"/>
      <c r="Z543" s="38"/>
      <c r="AA543" s="38"/>
      <c r="AB543" s="38"/>
      <c r="AC543" s="38"/>
      <c r="AD543" s="38"/>
      <c r="AE543" s="38"/>
      <c r="AF543" s="38"/>
      <c r="AG543" s="38"/>
      <c r="AH543" s="38"/>
    </row>
    <row r="544" spans="3:34" ht="20.100000000000001" customHeight="1">
      <c r="C544" s="113"/>
      <c r="D544" s="114"/>
      <c r="P544" s="82"/>
      <c r="Q544" s="82"/>
      <c r="R544" s="38"/>
      <c r="S544" s="38"/>
      <c r="T544" s="38"/>
      <c r="U544" s="38"/>
      <c r="V544" s="38"/>
      <c r="W544" s="38"/>
      <c r="X544" s="38"/>
      <c r="Y544" s="38"/>
      <c r="Z544" s="38"/>
      <c r="AA544" s="38"/>
      <c r="AB544" s="38"/>
      <c r="AC544" s="38"/>
      <c r="AD544" s="38"/>
      <c r="AE544" s="38"/>
      <c r="AF544" s="38"/>
      <c r="AG544" s="38"/>
      <c r="AH544" s="38"/>
    </row>
    <row r="545" spans="3:34" ht="20.100000000000001" customHeight="1">
      <c r="C545" s="113"/>
      <c r="D545" s="114"/>
      <c r="P545" s="82"/>
      <c r="Q545" s="82"/>
      <c r="R545" s="38"/>
      <c r="S545" s="38"/>
      <c r="T545" s="38"/>
      <c r="U545" s="38"/>
      <c r="V545" s="38"/>
      <c r="W545" s="38"/>
      <c r="X545" s="38"/>
      <c r="Y545" s="38"/>
      <c r="Z545" s="38"/>
      <c r="AA545" s="38"/>
      <c r="AB545" s="38"/>
      <c r="AC545" s="38"/>
      <c r="AD545" s="38"/>
      <c r="AE545" s="38"/>
      <c r="AF545" s="38"/>
      <c r="AG545" s="38"/>
      <c r="AH545" s="38"/>
    </row>
    <row r="546" spans="3:34" ht="20.100000000000001" customHeight="1">
      <c r="C546" s="113"/>
      <c r="D546" s="114"/>
      <c r="P546" s="82"/>
      <c r="Q546" s="82"/>
      <c r="R546" s="38"/>
      <c r="S546" s="38"/>
      <c r="T546" s="38"/>
      <c r="U546" s="38"/>
      <c r="V546" s="38"/>
      <c r="W546" s="38"/>
      <c r="X546" s="38"/>
      <c r="Y546" s="38"/>
      <c r="Z546" s="38"/>
      <c r="AA546" s="38"/>
      <c r="AB546" s="38"/>
      <c r="AC546" s="38"/>
      <c r="AD546" s="38"/>
      <c r="AE546" s="38"/>
      <c r="AF546" s="38"/>
      <c r="AG546" s="38"/>
      <c r="AH546" s="38"/>
    </row>
    <row r="547" spans="3:34" ht="20.100000000000001" customHeight="1">
      <c r="C547" s="113"/>
      <c r="D547" s="114"/>
      <c r="P547" s="82"/>
      <c r="Q547" s="82"/>
      <c r="R547" s="38"/>
      <c r="S547" s="38"/>
      <c r="T547" s="38"/>
      <c r="U547" s="38"/>
      <c r="V547" s="38"/>
      <c r="W547" s="38"/>
      <c r="X547" s="38"/>
      <c r="Y547" s="38"/>
      <c r="Z547" s="38"/>
      <c r="AA547" s="38"/>
      <c r="AB547" s="38"/>
      <c r="AC547" s="38"/>
      <c r="AD547" s="38"/>
      <c r="AE547" s="38"/>
      <c r="AF547" s="38"/>
      <c r="AG547" s="38"/>
      <c r="AH547" s="38"/>
    </row>
    <row r="548" spans="3:34" ht="20.100000000000001" customHeight="1">
      <c r="C548" s="113"/>
      <c r="D548" s="114"/>
      <c r="P548" s="82"/>
      <c r="Q548" s="82"/>
      <c r="R548" s="38"/>
      <c r="S548" s="38"/>
      <c r="T548" s="38"/>
      <c r="U548" s="38"/>
      <c r="V548" s="38"/>
      <c r="W548" s="38"/>
      <c r="X548" s="38"/>
      <c r="Y548" s="38"/>
      <c r="Z548" s="38"/>
      <c r="AA548" s="38"/>
      <c r="AB548" s="38"/>
      <c r="AC548" s="38"/>
      <c r="AD548" s="38"/>
      <c r="AE548" s="38"/>
      <c r="AF548" s="38"/>
      <c r="AG548" s="38"/>
      <c r="AH548" s="38"/>
    </row>
    <row r="549" spans="3:34" ht="20.100000000000001" customHeight="1">
      <c r="C549" s="113"/>
      <c r="D549" s="114"/>
      <c r="P549" s="82"/>
      <c r="Q549" s="82"/>
      <c r="R549" s="38"/>
      <c r="S549" s="38"/>
      <c r="T549" s="38"/>
      <c r="U549" s="38"/>
      <c r="V549" s="38"/>
      <c r="W549" s="38"/>
      <c r="X549" s="38"/>
      <c r="Y549" s="38"/>
      <c r="Z549" s="38"/>
      <c r="AA549" s="38"/>
      <c r="AB549" s="38"/>
      <c r="AC549" s="38"/>
      <c r="AD549" s="38"/>
      <c r="AE549" s="38"/>
      <c r="AF549" s="38"/>
      <c r="AG549" s="38"/>
      <c r="AH549" s="38"/>
    </row>
    <row r="550" spans="3:34" ht="20.100000000000001" customHeight="1">
      <c r="C550" s="113"/>
      <c r="D550" s="114"/>
      <c r="P550" s="82"/>
      <c r="Q550" s="82"/>
      <c r="R550" s="38"/>
      <c r="S550" s="38"/>
      <c r="T550" s="38"/>
      <c r="U550" s="38"/>
      <c r="V550" s="38"/>
      <c r="W550" s="38"/>
      <c r="X550" s="38"/>
      <c r="Y550" s="38"/>
      <c r="Z550" s="38"/>
      <c r="AA550" s="38"/>
      <c r="AB550" s="38"/>
      <c r="AC550" s="38"/>
      <c r="AD550" s="38"/>
      <c r="AE550" s="38"/>
      <c r="AF550" s="38"/>
      <c r="AG550" s="38"/>
      <c r="AH550" s="38"/>
    </row>
    <row r="551" spans="3:34" ht="20.100000000000001" customHeight="1">
      <c r="C551" s="113"/>
      <c r="D551" s="114"/>
      <c r="P551" s="82"/>
      <c r="Q551" s="82"/>
      <c r="R551" s="38"/>
      <c r="S551" s="38"/>
      <c r="T551" s="38"/>
      <c r="U551" s="38"/>
      <c r="V551" s="38"/>
      <c r="W551" s="38"/>
      <c r="X551" s="38"/>
      <c r="Y551" s="38"/>
      <c r="Z551" s="38"/>
      <c r="AA551" s="38"/>
      <c r="AB551" s="38"/>
      <c r="AC551" s="38"/>
      <c r="AD551" s="38"/>
      <c r="AE551" s="38"/>
      <c r="AF551" s="38"/>
      <c r="AG551" s="38"/>
      <c r="AH551" s="38"/>
    </row>
    <row r="552" spans="3:34" ht="20.100000000000001" customHeight="1">
      <c r="C552" s="113"/>
      <c r="D552" s="114"/>
      <c r="P552" s="82"/>
      <c r="Q552" s="82"/>
      <c r="R552" s="38"/>
      <c r="S552" s="38"/>
      <c r="T552" s="38"/>
      <c r="U552" s="38"/>
      <c r="V552" s="38"/>
      <c r="W552" s="38"/>
      <c r="X552" s="38"/>
      <c r="Y552" s="38"/>
      <c r="Z552" s="38"/>
      <c r="AA552" s="38"/>
      <c r="AB552" s="38"/>
      <c r="AC552" s="38"/>
      <c r="AD552" s="38"/>
      <c r="AE552" s="38"/>
      <c r="AF552" s="38"/>
      <c r="AG552" s="38"/>
      <c r="AH552" s="38"/>
    </row>
    <row r="553" spans="3:34" ht="20.100000000000001" customHeight="1">
      <c r="C553" s="113"/>
      <c r="D553" s="114"/>
      <c r="P553" s="82"/>
      <c r="Q553" s="82"/>
      <c r="R553" s="38"/>
      <c r="S553" s="38"/>
      <c r="T553" s="38"/>
      <c r="U553" s="38"/>
      <c r="V553" s="38"/>
      <c r="W553" s="38"/>
      <c r="X553" s="38"/>
      <c r="Y553" s="38"/>
      <c r="Z553" s="38"/>
      <c r="AA553" s="38"/>
      <c r="AB553" s="38"/>
      <c r="AC553" s="38"/>
      <c r="AD553" s="38"/>
      <c r="AE553" s="38"/>
      <c r="AF553" s="38"/>
      <c r="AG553" s="38"/>
      <c r="AH553" s="38"/>
    </row>
    <row r="554" spans="3:34" ht="20.100000000000001" customHeight="1">
      <c r="C554" s="113"/>
      <c r="D554" s="114"/>
      <c r="P554" s="82"/>
      <c r="Q554" s="82"/>
      <c r="R554" s="38"/>
      <c r="S554" s="38"/>
      <c r="T554" s="38"/>
      <c r="U554" s="38"/>
      <c r="V554" s="38"/>
      <c r="W554" s="38"/>
      <c r="X554" s="38"/>
      <c r="Y554" s="38"/>
      <c r="Z554" s="38"/>
      <c r="AA554" s="38"/>
      <c r="AB554" s="38"/>
      <c r="AC554" s="38"/>
      <c r="AD554" s="38"/>
      <c r="AE554" s="38"/>
      <c r="AF554" s="38"/>
      <c r="AG554" s="38"/>
      <c r="AH554" s="38"/>
    </row>
    <row r="555" spans="3:34" ht="20.100000000000001" customHeight="1">
      <c r="C555" s="113"/>
      <c r="D555" s="114"/>
      <c r="P555" s="82"/>
      <c r="Q555" s="82"/>
      <c r="R555" s="38"/>
      <c r="S555" s="38"/>
      <c r="T555" s="38"/>
      <c r="U555" s="38"/>
      <c r="V555" s="38"/>
      <c r="W555" s="38"/>
      <c r="X555" s="38"/>
      <c r="Y555" s="38"/>
      <c r="Z555" s="38"/>
      <c r="AA555" s="38"/>
      <c r="AB555" s="38"/>
      <c r="AC555" s="38"/>
      <c r="AD555" s="38"/>
      <c r="AE555" s="38"/>
      <c r="AF555" s="38"/>
      <c r="AG555" s="38"/>
      <c r="AH555" s="38"/>
    </row>
    <row r="556" spans="3:34" ht="20.100000000000001" customHeight="1">
      <c r="C556" s="113"/>
      <c r="D556" s="114"/>
      <c r="P556" s="82"/>
      <c r="Q556" s="82"/>
      <c r="R556" s="38"/>
      <c r="S556" s="38"/>
      <c r="T556" s="38"/>
      <c r="U556" s="38"/>
      <c r="V556" s="38"/>
      <c r="W556" s="38"/>
      <c r="X556" s="38"/>
      <c r="Y556" s="38"/>
      <c r="Z556" s="38"/>
      <c r="AA556" s="38"/>
      <c r="AB556" s="38"/>
      <c r="AC556" s="38"/>
      <c r="AD556" s="38"/>
      <c r="AE556" s="38"/>
      <c r="AF556" s="38"/>
      <c r="AG556" s="38"/>
      <c r="AH556" s="38"/>
    </row>
    <row r="557" spans="3:34" ht="20.100000000000001" customHeight="1">
      <c r="C557" s="113"/>
      <c r="D557" s="114"/>
      <c r="P557" s="82"/>
      <c r="Q557" s="82"/>
      <c r="R557" s="38"/>
      <c r="S557" s="38"/>
      <c r="T557" s="38"/>
      <c r="U557" s="38"/>
      <c r="V557" s="38"/>
      <c r="W557" s="38"/>
      <c r="X557" s="38"/>
      <c r="Y557" s="38"/>
      <c r="Z557" s="38"/>
      <c r="AA557" s="38"/>
      <c r="AB557" s="38"/>
      <c r="AC557" s="38"/>
      <c r="AD557" s="38"/>
      <c r="AE557" s="38"/>
      <c r="AF557" s="38"/>
      <c r="AG557" s="38"/>
      <c r="AH557" s="38"/>
    </row>
    <row r="558" spans="3:34" ht="20.100000000000001" customHeight="1">
      <c r="C558" s="113"/>
      <c r="D558" s="114"/>
      <c r="P558" s="82"/>
      <c r="Q558" s="82"/>
      <c r="R558" s="38"/>
      <c r="S558" s="38"/>
      <c r="T558" s="38"/>
      <c r="U558" s="38"/>
      <c r="V558" s="38"/>
      <c r="W558" s="38"/>
      <c r="X558" s="38"/>
      <c r="Y558" s="38"/>
      <c r="Z558" s="38"/>
      <c r="AA558" s="38"/>
      <c r="AB558" s="38"/>
      <c r="AC558" s="38"/>
      <c r="AD558" s="38"/>
      <c r="AE558" s="38"/>
      <c r="AF558" s="38"/>
      <c r="AG558" s="38"/>
      <c r="AH558" s="38"/>
    </row>
    <row r="559" spans="3:34" ht="20.100000000000001" customHeight="1">
      <c r="C559" s="113"/>
      <c r="D559" s="114"/>
      <c r="P559" s="82"/>
      <c r="Q559" s="82"/>
      <c r="R559" s="38"/>
      <c r="S559" s="38"/>
      <c r="T559" s="38"/>
      <c r="U559" s="38"/>
      <c r="V559" s="38"/>
      <c r="W559" s="38"/>
      <c r="X559" s="38"/>
      <c r="Y559" s="38"/>
      <c r="Z559" s="38"/>
      <c r="AA559" s="38"/>
      <c r="AB559" s="38"/>
      <c r="AC559" s="38"/>
      <c r="AD559" s="38"/>
      <c r="AE559" s="38"/>
      <c r="AF559" s="38"/>
      <c r="AG559" s="38"/>
      <c r="AH559" s="38"/>
    </row>
    <row r="560" spans="3:34" ht="20.100000000000001" customHeight="1">
      <c r="C560" s="113"/>
      <c r="D560" s="114"/>
      <c r="P560" s="82"/>
      <c r="Q560" s="82"/>
      <c r="R560" s="38"/>
      <c r="S560" s="38"/>
      <c r="T560" s="38"/>
      <c r="U560" s="38"/>
      <c r="V560" s="38"/>
      <c r="W560" s="38"/>
      <c r="X560" s="38"/>
      <c r="Y560" s="38"/>
      <c r="Z560" s="38"/>
      <c r="AA560" s="38"/>
      <c r="AB560" s="38"/>
      <c r="AC560" s="38"/>
      <c r="AD560" s="38"/>
      <c r="AE560" s="38"/>
      <c r="AF560" s="38"/>
      <c r="AG560" s="38"/>
      <c r="AH560" s="38"/>
    </row>
    <row r="561" spans="3:34" ht="20.100000000000001" customHeight="1">
      <c r="C561" s="113"/>
      <c r="D561" s="114"/>
      <c r="P561" s="82"/>
      <c r="Q561" s="82"/>
      <c r="R561" s="38"/>
      <c r="S561" s="38"/>
      <c r="T561" s="38"/>
      <c r="U561" s="38"/>
      <c r="V561" s="38"/>
      <c r="W561" s="38"/>
      <c r="X561" s="38"/>
      <c r="Y561" s="38"/>
      <c r="Z561" s="38"/>
      <c r="AA561" s="38"/>
      <c r="AB561" s="38"/>
      <c r="AC561" s="38"/>
      <c r="AD561" s="38"/>
      <c r="AE561" s="38"/>
      <c r="AF561" s="38"/>
      <c r="AG561" s="38"/>
      <c r="AH561" s="38"/>
    </row>
    <row r="562" spans="3:34" ht="20.100000000000001" customHeight="1">
      <c r="C562" s="113"/>
      <c r="D562" s="114"/>
      <c r="P562" s="82"/>
      <c r="Q562" s="82"/>
      <c r="R562" s="38"/>
      <c r="S562" s="38"/>
      <c r="T562" s="38"/>
      <c r="U562" s="38"/>
      <c r="V562" s="38"/>
      <c r="W562" s="38"/>
      <c r="X562" s="38"/>
      <c r="Y562" s="38"/>
      <c r="Z562" s="38"/>
      <c r="AA562" s="38"/>
      <c r="AB562" s="38"/>
      <c r="AC562" s="38"/>
      <c r="AD562" s="38"/>
      <c r="AE562" s="38"/>
      <c r="AF562" s="38"/>
      <c r="AG562" s="38"/>
      <c r="AH562" s="38"/>
    </row>
    <row r="563" spans="3:34" ht="20.100000000000001" customHeight="1">
      <c r="C563" s="113"/>
      <c r="D563" s="114"/>
      <c r="P563" s="82"/>
      <c r="Q563" s="82"/>
      <c r="R563" s="38"/>
      <c r="S563" s="38"/>
      <c r="T563" s="38"/>
      <c r="U563" s="38"/>
      <c r="V563" s="38"/>
      <c r="W563" s="38"/>
      <c r="X563" s="38"/>
      <c r="Y563" s="38"/>
      <c r="Z563" s="38"/>
      <c r="AA563" s="38"/>
      <c r="AB563" s="38"/>
      <c r="AC563" s="38"/>
      <c r="AD563" s="38"/>
      <c r="AE563" s="38"/>
      <c r="AF563" s="38"/>
      <c r="AG563" s="38"/>
      <c r="AH563" s="38"/>
    </row>
    <row r="564" spans="3:34" ht="20.100000000000001" customHeight="1">
      <c r="C564" s="113"/>
      <c r="D564" s="114"/>
      <c r="P564" s="82"/>
      <c r="Q564" s="82"/>
      <c r="R564" s="38"/>
      <c r="S564" s="38"/>
      <c r="T564" s="38"/>
      <c r="U564" s="38"/>
      <c r="V564" s="38"/>
      <c r="W564" s="38"/>
      <c r="X564" s="38"/>
      <c r="Y564" s="38"/>
      <c r="Z564" s="38"/>
      <c r="AA564" s="38"/>
      <c r="AB564" s="38"/>
      <c r="AC564" s="38"/>
      <c r="AD564" s="38"/>
      <c r="AE564" s="38"/>
      <c r="AF564" s="38"/>
      <c r="AG564" s="38"/>
      <c r="AH564" s="38"/>
    </row>
    <row r="565" spans="3:34" ht="20.100000000000001" customHeight="1">
      <c r="C565" s="113"/>
      <c r="D565" s="114"/>
      <c r="P565" s="82"/>
      <c r="Q565" s="82"/>
      <c r="R565" s="38"/>
      <c r="S565" s="38"/>
      <c r="T565" s="38"/>
      <c r="U565" s="38"/>
      <c r="V565" s="38"/>
      <c r="W565" s="38"/>
      <c r="X565" s="38"/>
      <c r="Y565" s="38"/>
      <c r="Z565" s="38"/>
      <c r="AA565" s="38"/>
      <c r="AB565" s="38"/>
      <c r="AC565" s="38"/>
      <c r="AD565" s="38"/>
      <c r="AE565" s="38"/>
      <c r="AF565" s="38"/>
      <c r="AG565" s="38"/>
      <c r="AH565" s="38"/>
    </row>
    <row r="566" spans="3:34" ht="20.100000000000001" customHeight="1">
      <c r="C566" s="113"/>
      <c r="D566" s="114"/>
      <c r="P566" s="82"/>
      <c r="Q566" s="82"/>
      <c r="R566" s="38"/>
      <c r="S566" s="38"/>
      <c r="T566" s="38"/>
      <c r="U566" s="38"/>
      <c r="V566" s="38"/>
      <c r="W566" s="38"/>
      <c r="X566" s="38"/>
      <c r="Y566" s="38"/>
      <c r="Z566" s="38"/>
      <c r="AA566" s="38"/>
      <c r="AB566" s="38"/>
      <c r="AC566" s="38"/>
      <c r="AD566" s="38"/>
      <c r="AE566" s="38"/>
      <c r="AF566" s="38"/>
      <c r="AG566" s="38"/>
      <c r="AH566" s="38"/>
    </row>
    <row r="567" spans="3:34" ht="20.100000000000001" customHeight="1">
      <c r="C567" s="113"/>
      <c r="D567" s="114"/>
      <c r="P567" s="82"/>
      <c r="Q567" s="82"/>
      <c r="R567" s="38"/>
      <c r="S567" s="38"/>
      <c r="T567" s="38"/>
      <c r="U567" s="38"/>
      <c r="V567" s="38"/>
      <c r="W567" s="38"/>
      <c r="X567" s="38"/>
      <c r="Y567" s="38"/>
      <c r="Z567" s="38"/>
      <c r="AA567" s="38"/>
      <c r="AB567" s="38"/>
      <c r="AC567" s="38"/>
      <c r="AD567" s="38"/>
      <c r="AE567" s="38"/>
      <c r="AF567" s="38"/>
      <c r="AG567" s="38"/>
      <c r="AH567" s="38"/>
    </row>
    <row r="568" spans="3:34" ht="20.100000000000001" customHeight="1">
      <c r="C568" s="113"/>
      <c r="D568" s="114"/>
      <c r="P568" s="82"/>
      <c r="Q568" s="82"/>
      <c r="R568" s="38"/>
      <c r="S568" s="38"/>
      <c r="T568" s="38"/>
      <c r="U568" s="38"/>
      <c r="V568" s="38"/>
      <c r="W568" s="38"/>
      <c r="X568" s="38"/>
      <c r="Y568" s="38"/>
      <c r="Z568" s="38"/>
      <c r="AA568" s="38"/>
      <c r="AB568" s="38"/>
      <c r="AC568" s="38"/>
      <c r="AD568" s="38"/>
      <c r="AE568" s="38"/>
      <c r="AF568" s="38"/>
      <c r="AG568" s="38"/>
      <c r="AH568" s="38"/>
    </row>
    <row r="569" spans="3:34" ht="20.100000000000001" customHeight="1">
      <c r="C569" s="113"/>
      <c r="D569" s="114"/>
      <c r="P569" s="82"/>
      <c r="Q569" s="82"/>
      <c r="R569" s="38"/>
      <c r="S569" s="38"/>
      <c r="T569" s="38"/>
      <c r="U569" s="38"/>
      <c r="V569" s="38"/>
      <c r="W569" s="38"/>
      <c r="X569" s="38"/>
      <c r="Y569" s="38"/>
      <c r="Z569" s="38"/>
      <c r="AA569" s="38"/>
      <c r="AB569" s="38"/>
      <c r="AC569" s="38"/>
      <c r="AD569" s="38"/>
      <c r="AE569" s="38"/>
      <c r="AF569" s="38"/>
      <c r="AG569" s="38"/>
      <c r="AH569" s="38"/>
    </row>
    <row r="570" spans="3:34" ht="20.100000000000001" customHeight="1">
      <c r="C570" s="113"/>
      <c r="D570" s="114"/>
      <c r="P570" s="82"/>
      <c r="Q570" s="82"/>
      <c r="R570" s="38"/>
      <c r="S570" s="38"/>
      <c r="T570" s="38"/>
      <c r="U570" s="38"/>
      <c r="V570" s="38"/>
      <c r="W570" s="38"/>
      <c r="X570" s="38"/>
      <c r="Y570" s="38"/>
      <c r="Z570" s="38"/>
      <c r="AA570" s="38"/>
      <c r="AB570" s="38"/>
      <c r="AC570" s="38"/>
      <c r="AD570" s="38"/>
      <c r="AE570" s="38"/>
      <c r="AF570" s="38"/>
      <c r="AG570" s="38"/>
      <c r="AH570" s="38"/>
    </row>
    <row r="571" spans="3:34" ht="20.100000000000001" customHeight="1">
      <c r="C571" s="113"/>
      <c r="D571" s="114"/>
      <c r="P571" s="82"/>
      <c r="Q571" s="82"/>
      <c r="R571" s="38"/>
      <c r="S571" s="38"/>
      <c r="T571" s="38"/>
      <c r="U571" s="38"/>
      <c r="V571" s="38"/>
      <c r="W571" s="38"/>
      <c r="X571" s="38"/>
      <c r="Y571" s="38"/>
      <c r="Z571" s="38"/>
      <c r="AA571" s="38"/>
      <c r="AB571" s="38"/>
      <c r="AC571" s="38"/>
      <c r="AD571" s="38"/>
      <c r="AE571" s="38"/>
      <c r="AF571" s="38"/>
      <c r="AG571" s="38"/>
      <c r="AH571" s="38"/>
    </row>
    <row r="572" spans="3:34" ht="20.100000000000001" customHeight="1">
      <c r="C572" s="113"/>
      <c r="D572" s="114"/>
      <c r="P572" s="82"/>
      <c r="Q572" s="82"/>
      <c r="R572" s="38"/>
      <c r="S572" s="38"/>
      <c r="T572" s="38"/>
      <c r="U572" s="38"/>
      <c r="V572" s="38"/>
      <c r="W572" s="38"/>
      <c r="X572" s="38"/>
      <c r="Y572" s="38"/>
      <c r="Z572" s="38"/>
      <c r="AA572" s="38"/>
      <c r="AB572" s="38"/>
      <c r="AC572" s="38"/>
      <c r="AD572" s="38"/>
      <c r="AE572" s="38"/>
      <c r="AF572" s="38"/>
      <c r="AG572" s="38"/>
      <c r="AH572" s="38"/>
    </row>
    <row r="573" spans="3:34" ht="20.100000000000001" customHeight="1">
      <c r="C573" s="113"/>
      <c r="D573" s="114"/>
      <c r="P573" s="82"/>
      <c r="Q573" s="82"/>
      <c r="R573" s="38"/>
      <c r="S573" s="38"/>
      <c r="T573" s="38"/>
      <c r="U573" s="38"/>
      <c r="V573" s="38"/>
      <c r="W573" s="38"/>
      <c r="X573" s="38"/>
      <c r="Y573" s="38"/>
      <c r="Z573" s="38"/>
      <c r="AA573" s="38"/>
      <c r="AB573" s="38"/>
      <c r="AC573" s="38"/>
      <c r="AD573" s="38"/>
      <c r="AE573" s="38"/>
      <c r="AF573" s="38"/>
      <c r="AG573" s="38"/>
      <c r="AH573" s="38"/>
    </row>
    <row r="574" spans="3:34" ht="20.100000000000001" customHeight="1">
      <c r="C574" s="113"/>
      <c r="D574" s="114"/>
      <c r="P574" s="82"/>
      <c r="Q574" s="82"/>
      <c r="R574" s="38"/>
      <c r="S574" s="38"/>
      <c r="T574" s="38"/>
      <c r="U574" s="38"/>
      <c r="V574" s="38"/>
      <c r="W574" s="38"/>
      <c r="X574" s="38"/>
      <c r="Y574" s="38"/>
      <c r="Z574" s="38"/>
      <c r="AA574" s="38"/>
      <c r="AB574" s="38"/>
      <c r="AC574" s="38"/>
      <c r="AD574" s="38"/>
      <c r="AE574" s="38"/>
      <c r="AF574" s="38"/>
      <c r="AG574" s="38"/>
      <c r="AH574" s="38"/>
    </row>
    <row r="575" spans="3:34" ht="20.100000000000001" customHeight="1">
      <c r="C575" s="113"/>
      <c r="D575" s="114"/>
      <c r="P575" s="82"/>
      <c r="Q575" s="82"/>
      <c r="R575" s="38"/>
      <c r="S575" s="38"/>
      <c r="T575" s="38"/>
      <c r="U575" s="38"/>
      <c r="V575" s="38"/>
      <c r="W575" s="38"/>
      <c r="X575" s="38"/>
      <c r="Y575" s="38"/>
      <c r="Z575" s="38"/>
      <c r="AA575" s="38"/>
      <c r="AB575" s="38"/>
      <c r="AC575" s="38"/>
      <c r="AD575" s="38"/>
      <c r="AE575" s="38"/>
      <c r="AF575" s="38"/>
      <c r="AG575" s="38"/>
      <c r="AH575" s="38"/>
    </row>
    <row r="576" spans="3:34" ht="20.100000000000001" customHeight="1">
      <c r="C576" s="113"/>
      <c r="D576" s="114"/>
      <c r="P576" s="82"/>
      <c r="Q576" s="82"/>
      <c r="R576" s="38"/>
      <c r="S576" s="38"/>
      <c r="T576" s="38"/>
      <c r="U576" s="38"/>
      <c r="V576" s="38"/>
      <c r="W576" s="38"/>
      <c r="X576" s="38"/>
      <c r="Y576" s="38"/>
      <c r="Z576" s="38"/>
      <c r="AA576" s="38"/>
      <c r="AB576" s="38"/>
      <c r="AC576" s="38"/>
      <c r="AD576" s="38"/>
      <c r="AE576" s="38"/>
      <c r="AF576" s="38"/>
      <c r="AG576" s="38"/>
      <c r="AH576" s="38"/>
    </row>
    <row r="577" spans="3:34" ht="20.100000000000001" customHeight="1">
      <c r="C577" s="113"/>
      <c r="D577" s="114"/>
      <c r="P577" s="82"/>
      <c r="Q577" s="82"/>
      <c r="R577" s="38"/>
      <c r="S577" s="38"/>
      <c r="T577" s="38"/>
      <c r="U577" s="38"/>
      <c r="V577" s="38"/>
      <c r="W577" s="38"/>
      <c r="X577" s="38"/>
      <c r="Y577" s="38"/>
      <c r="Z577" s="38"/>
      <c r="AA577" s="38"/>
      <c r="AB577" s="38"/>
      <c r="AC577" s="38"/>
      <c r="AD577" s="38"/>
      <c r="AE577" s="38"/>
      <c r="AF577" s="38"/>
      <c r="AG577" s="38"/>
      <c r="AH577" s="38"/>
    </row>
    <row r="578" spans="3:34" ht="20.100000000000001" customHeight="1">
      <c r="C578" s="113"/>
      <c r="D578" s="114"/>
      <c r="P578" s="82"/>
      <c r="Q578" s="82"/>
      <c r="R578" s="38"/>
      <c r="S578" s="38"/>
      <c r="T578" s="38"/>
      <c r="U578" s="38"/>
      <c r="V578" s="38"/>
      <c r="W578" s="38"/>
      <c r="X578" s="38"/>
      <c r="Y578" s="38"/>
      <c r="Z578" s="38"/>
      <c r="AA578" s="38"/>
      <c r="AB578" s="38"/>
      <c r="AC578" s="38"/>
      <c r="AD578" s="38"/>
      <c r="AE578" s="38"/>
      <c r="AF578" s="38"/>
      <c r="AG578" s="38"/>
      <c r="AH578" s="38"/>
    </row>
    <row r="579" spans="3:34" ht="20.100000000000001" customHeight="1">
      <c r="C579" s="113"/>
      <c r="D579" s="114"/>
      <c r="P579" s="82"/>
      <c r="Q579" s="82"/>
      <c r="R579" s="38"/>
      <c r="S579" s="38"/>
      <c r="T579" s="38"/>
      <c r="U579" s="38"/>
      <c r="V579" s="38"/>
      <c r="W579" s="38"/>
      <c r="X579" s="38"/>
      <c r="Y579" s="38"/>
      <c r="Z579" s="38"/>
      <c r="AA579" s="38"/>
      <c r="AB579" s="38"/>
      <c r="AC579" s="38"/>
      <c r="AD579" s="38"/>
      <c r="AE579" s="38"/>
      <c r="AF579" s="38"/>
      <c r="AG579" s="38"/>
      <c r="AH579" s="38"/>
    </row>
    <row r="580" spans="3:34" ht="20.100000000000001" customHeight="1">
      <c r="C580" s="113"/>
      <c r="D580" s="114"/>
      <c r="P580" s="82"/>
      <c r="Q580" s="82"/>
      <c r="R580" s="38"/>
      <c r="S580" s="38"/>
      <c r="T580" s="38"/>
      <c r="U580" s="38"/>
      <c r="V580" s="38"/>
      <c r="W580" s="38"/>
      <c r="X580" s="38"/>
      <c r="Y580" s="38"/>
      <c r="Z580" s="38"/>
      <c r="AA580" s="38"/>
      <c r="AB580" s="38"/>
      <c r="AC580" s="38"/>
      <c r="AD580" s="38"/>
      <c r="AE580" s="38"/>
      <c r="AF580" s="38"/>
      <c r="AG580" s="38"/>
      <c r="AH580" s="38"/>
    </row>
    <row r="581" spans="3:34" ht="20.100000000000001" customHeight="1">
      <c r="C581" s="113"/>
      <c r="D581" s="114"/>
      <c r="P581" s="82"/>
      <c r="Q581" s="82"/>
      <c r="R581" s="38"/>
      <c r="S581" s="38"/>
      <c r="T581" s="38"/>
      <c r="U581" s="38"/>
      <c r="V581" s="38"/>
      <c r="W581" s="38"/>
      <c r="X581" s="38"/>
      <c r="Y581" s="38"/>
      <c r="Z581" s="38"/>
      <c r="AA581" s="38"/>
      <c r="AB581" s="38"/>
      <c r="AC581" s="38"/>
      <c r="AD581" s="38"/>
      <c r="AE581" s="38"/>
      <c r="AF581" s="38"/>
      <c r="AG581" s="38"/>
      <c r="AH581" s="38"/>
    </row>
    <row r="582" spans="3:34" ht="20.100000000000001" customHeight="1">
      <c r="C582" s="113"/>
      <c r="D582" s="114"/>
      <c r="P582" s="82"/>
      <c r="Q582" s="82"/>
      <c r="R582" s="38"/>
      <c r="S582" s="38"/>
      <c r="T582" s="38"/>
      <c r="U582" s="38"/>
      <c r="V582" s="38"/>
      <c r="W582" s="38"/>
      <c r="X582" s="38"/>
      <c r="Y582" s="38"/>
      <c r="Z582" s="38"/>
      <c r="AA582" s="38"/>
      <c r="AB582" s="38"/>
      <c r="AC582" s="38"/>
      <c r="AD582" s="38"/>
      <c r="AE582" s="38"/>
      <c r="AF582" s="38"/>
      <c r="AG582" s="38"/>
      <c r="AH582" s="38"/>
    </row>
    <row r="583" spans="3:34" ht="20.100000000000001" customHeight="1">
      <c r="C583" s="113"/>
      <c r="D583" s="114"/>
      <c r="P583" s="82"/>
      <c r="Q583" s="82"/>
      <c r="R583" s="38"/>
      <c r="S583" s="38"/>
      <c r="T583" s="38"/>
      <c r="U583" s="38"/>
      <c r="V583" s="38"/>
      <c r="W583" s="38"/>
      <c r="X583" s="38"/>
      <c r="Y583" s="38"/>
      <c r="Z583" s="38"/>
      <c r="AA583" s="38"/>
      <c r="AB583" s="38"/>
      <c r="AC583" s="38"/>
      <c r="AD583" s="38"/>
      <c r="AE583" s="38"/>
      <c r="AF583" s="38"/>
      <c r="AG583" s="38"/>
      <c r="AH583" s="38"/>
    </row>
    <row r="584" spans="3:34" ht="20.100000000000001" customHeight="1">
      <c r="C584" s="113"/>
      <c r="D584" s="114"/>
      <c r="P584" s="82"/>
      <c r="Q584" s="82"/>
      <c r="R584" s="38"/>
      <c r="S584" s="38"/>
      <c r="T584" s="38"/>
      <c r="U584" s="38"/>
      <c r="V584" s="38"/>
      <c r="W584" s="38"/>
      <c r="X584" s="38"/>
      <c r="Y584" s="38"/>
      <c r="Z584" s="38"/>
      <c r="AA584" s="38"/>
      <c r="AB584" s="38"/>
      <c r="AC584" s="38"/>
      <c r="AD584" s="38"/>
      <c r="AE584" s="38"/>
      <c r="AF584" s="38"/>
      <c r="AG584" s="38"/>
      <c r="AH584" s="38"/>
    </row>
    <row r="585" spans="3:34" ht="20.100000000000001" customHeight="1">
      <c r="C585" s="113"/>
      <c r="D585" s="114"/>
      <c r="P585" s="82"/>
      <c r="Q585" s="82"/>
      <c r="R585" s="38"/>
      <c r="S585" s="38"/>
      <c r="T585" s="38"/>
      <c r="U585" s="38"/>
      <c r="V585" s="38"/>
      <c r="W585" s="38"/>
      <c r="X585" s="38"/>
      <c r="Y585" s="38"/>
      <c r="Z585" s="38"/>
      <c r="AA585" s="38"/>
      <c r="AB585" s="38"/>
      <c r="AC585" s="38"/>
      <c r="AD585" s="38"/>
      <c r="AE585" s="38"/>
      <c r="AF585" s="38"/>
      <c r="AG585" s="38"/>
      <c r="AH585" s="38"/>
    </row>
    <row r="586" spans="3:34" ht="20.100000000000001" customHeight="1">
      <c r="C586" s="113"/>
      <c r="D586" s="114"/>
      <c r="P586" s="82"/>
      <c r="Q586" s="82"/>
      <c r="R586" s="38"/>
      <c r="S586" s="38"/>
      <c r="T586" s="38"/>
      <c r="U586" s="38"/>
      <c r="V586" s="38"/>
      <c r="W586" s="38"/>
      <c r="X586" s="38"/>
      <c r="Y586" s="38"/>
      <c r="Z586" s="38"/>
      <c r="AA586" s="38"/>
      <c r="AB586" s="38"/>
      <c r="AC586" s="38"/>
      <c r="AD586" s="38"/>
      <c r="AE586" s="38"/>
      <c r="AF586" s="38"/>
      <c r="AG586" s="38"/>
      <c r="AH586" s="38"/>
    </row>
    <row r="587" spans="3:34" ht="20.100000000000001" customHeight="1">
      <c r="C587" s="113"/>
      <c r="D587" s="114"/>
      <c r="P587" s="82"/>
      <c r="Q587" s="82"/>
      <c r="R587" s="38"/>
      <c r="S587" s="38"/>
      <c r="T587" s="38"/>
      <c r="U587" s="38"/>
      <c r="V587" s="38"/>
      <c r="W587" s="38"/>
      <c r="X587" s="38"/>
      <c r="Y587" s="38"/>
      <c r="Z587" s="38"/>
      <c r="AA587" s="38"/>
      <c r="AB587" s="38"/>
      <c r="AC587" s="38"/>
      <c r="AD587" s="38"/>
      <c r="AE587" s="38"/>
      <c r="AF587" s="38"/>
      <c r="AG587" s="38"/>
      <c r="AH587" s="38"/>
    </row>
    <row r="588" spans="3:34" ht="20.100000000000001" customHeight="1">
      <c r="C588" s="113"/>
      <c r="D588" s="114"/>
      <c r="P588" s="82"/>
      <c r="Q588" s="82"/>
      <c r="R588" s="38"/>
      <c r="S588" s="38"/>
      <c r="T588" s="38"/>
      <c r="U588" s="38"/>
      <c r="V588" s="38"/>
      <c r="W588" s="38"/>
      <c r="X588" s="38"/>
      <c r="Y588" s="38"/>
      <c r="Z588" s="38"/>
      <c r="AA588" s="38"/>
      <c r="AB588" s="38"/>
      <c r="AC588" s="38"/>
      <c r="AD588" s="38"/>
      <c r="AE588" s="38"/>
      <c r="AF588" s="38"/>
      <c r="AG588" s="38"/>
      <c r="AH588" s="38"/>
    </row>
    <row r="589" spans="3:34" ht="20.100000000000001" customHeight="1">
      <c r="C589" s="113"/>
      <c r="D589" s="114"/>
      <c r="P589" s="82"/>
      <c r="Q589" s="82"/>
      <c r="R589" s="38"/>
      <c r="S589" s="38"/>
      <c r="T589" s="38"/>
      <c r="U589" s="38"/>
      <c r="V589" s="38"/>
      <c r="W589" s="38"/>
      <c r="X589" s="38"/>
      <c r="Y589" s="38"/>
      <c r="Z589" s="38"/>
      <c r="AA589" s="38"/>
      <c r="AB589" s="38"/>
      <c r="AC589" s="38"/>
      <c r="AD589" s="38"/>
      <c r="AE589" s="38"/>
      <c r="AF589" s="38"/>
      <c r="AG589" s="38"/>
      <c r="AH589" s="38"/>
    </row>
    <row r="590" spans="3:34" ht="20.100000000000001" customHeight="1">
      <c r="C590" s="113"/>
      <c r="D590" s="114"/>
      <c r="P590" s="82"/>
      <c r="Q590" s="82"/>
      <c r="R590" s="38"/>
      <c r="S590" s="38"/>
      <c r="T590" s="38"/>
      <c r="U590" s="38"/>
      <c r="V590" s="38"/>
      <c r="W590" s="38"/>
      <c r="X590" s="38"/>
      <c r="Y590" s="38"/>
      <c r="Z590" s="38"/>
      <c r="AA590" s="38"/>
      <c r="AB590" s="38"/>
      <c r="AC590" s="38"/>
      <c r="AD590" s="38"/>
      <c r="AE590" s="38"/>
      <c r="AF590" s="38"/>
      <c r="AG590" s="38"/>
      <c r="AH590" s="38"/>
    </row>
    <row r="591" spans="3:34" ht="20.100000000000001" customHeight="1">
      <c r="C591" s="113"/>
      <c r="D591" s="114"/>
      <c r="P591" s="82"/>
      <c r="Q591" s="82"/>
      <c r="R591" s="38"/>
      <c r="S591" s="38"/>
      <c r="T591" s="38"/>
      <c r="U591" s="38"/>
      <c r="V591" s="38"/>
      <c r="W591" s="38"/>
      <c r="X591" s="38"/>
      <c r="Y591" s="38"/>
      <c r="Z591" s="38"/>
      <c r="AA591" s="38"/>
      <c r="AB591" s="38"/>
      <c r="AC591" s="38"/>
      <c r="AD591" s="38"/>
      <c r="AE591" s="38"/>
      <c r="AF591" s="38"/>
      <c r="AG591" s="38"/>
      <c r="AH591" s="38"/>
    </row>
    <row r="592" spans="3:34" ht="20.100000000000001" customHeight="1">
      <c r="C592" s="113"/>
      <c r="D592" s="114"/>
      <c r="P592" s="82"/>
      <c r="Q592" s="82"/>
      <c r="R592" s="38"/>
      <c r="S592" s="38"/>
      <c r="T592" s="38"/>
      <c r="U592" s="38"/>
      <c r="V592" s="38"/>
      <c r="W592" s="38"/>
      <c r="X592" s="38"/>
      <c r="Y592" s="38"/>
      <c r="Z592" s="38"/>
      <c r="AA592" s="38"/>
      <c r="AB592" s="38"/>
      <c r="AC592" s="38"/>
      <c r="AD592" s="38"/>
      <c r="AE592" s="38"/>
      <c r="AF592" s="38"/>
      <c r="AG592" s="38"/>
      <c r="AH592" s="38"/>
    </row>
    <row r="593" spans="3:34" ht="20.100000000000001" customHeight="1">
      <c r="C593" s="113"/>
      <c r="D593" s="114"/>
      <c r="P593" s="82"/>
      <c r="Q593" s="82"/>
      <c r="R593" s="38"/>
      <c r="S593" s="38"/>
      <c r="T593" s="38"/>
      <c r="U593" s="38"/>
      <c r="V593" s="38"/>
      <c r="W593" s="38"/>
      <c r="X593" s="38"/>
      <c r="Y593" s="38"/>
      <c r="Z593" s="38"/>
      <c r="AA593" s="38"/>
      <c r="AB593" s="38"/>
      <c r="AC593" s="38"/>
      <c r="AD593" s="38"/>
      <c r="AE593" s="38"/>
      <c r="AF593" s="38"/>
      <c r="AG593" s="38"/>
      <c r="AH593" s="38"/>
    </row>
    <row r="594" spans="3:34" ht="20.100000000000001" customHeight="1">
      <c r="C594" s="113"/>
      <c r="D594" s="114"/>
      <c r="P594" s="82"/>
      <c r="Q594" s="82"/>
      <c r="R594" s="38"/>
      <c r="S594" s="38"/>
      <c r="T594" s="38"/>
      <c r="U594" s="38"/>
      <c r="V594" s="38"/>
      <c r="W594" s="38"/>
      <c r="X594" s="38"/>
      <c r="Y594" s="38"/>
      <c r="Z594" s="38"/>
      <c r="AA594" s="38"/>
      <c r="AB594" s="38"/>
      <c r="AC594" s="38"/>
      <c r="AD594" s="38"/>
      <c r="AE594" s="38"/>
      <c r="AF594" s="38"/>
      <c r="AG594" s="38"/>
      <c r="AH594" s="38"/>
    </row>
    <row r="595" spans="3:34" ht="20.100000000000001" customHeight="1">
      <c r="C595" s="113"/>
      <c r="D595" s="114"/>
      <c r="P595" s="82"/>
      <c r="Q595" s="82"/>
      <c r="R595" s="38"/>
      <c r="S595" s="38"/>
      <c r="T595" s="38"/>
      <c r="U595" s="38"/>
      <c r="V595" s="38"/>
      <c r="W595" s="38"/>
      <c r="X595" s="38"/>
      <c r="Y595" s="38"/>
      <c r="Z595" s="38"/>
      <c r="AA595" s="38"/>
      <c r="AB595" s="38"/>
      <c r="AC595" s="38"/>
      <c r="AD595" s="38"/>
      <c r="AE595" s="38"/>
      <c r="AF595" s="38"/>
      <c r="AG595" s="38"/>
      <c r="AH595" s="38"/>
    </row>
    <row r="596" spans="3:34" ht="20.100000000000001" customHeight="1">
      <c r="C596" s="113"/>
      <c r="D596" s="114"/>
      <c r="P596" s="82"/>
      <c r="Q596" s="82"/>
      <c r="R596" s="38"/>
      <c r="S596" s="38"/>
      <c r="T596" s="38"/>
      <c r="U596" s="38"/>
      <c r="V596" s="38"/>
      <c r="W596" s="38"/>
      <c r="X596" s="38"/>
      <c r="Y596" s="38"/>
      <c r="Z596" s="38"/>
      <c r="AA596" s="38"/>
      <c r="AB596" s="38"/>
      <c r="AC596" s="38"/>
      <c r="AD596" s="38"/>
      <c r="AE596" s="38"/>
      <c r="AF596" s="38"/>
      <c r="AG596" s="38"/>
      <c r="AH596" s="38"/>
    </row>
    <row r="597" spans="3:34" ht="20.100000000000001" customHeight="1">
      <c r="C597" s="113"/>
      <c r="D597" s="114"/>
      <c r="P597" s="82"/>
      <c r="Q597" s="82"/>
      <c r="R597" s="38"/>
      <c r="S597" s="38"/>
      <c r="T597" s="38"/>
      <c r="U597" s="38"/>
      <c r="V597" s="38"/>
      <c r="W597" s="38"/>
      <c r="X597" s="38"/>
      <c r="Y597" s="38"/>
      <c r="Z597" s="38"/>
      <c r="AA597" s="38"/>
      <c r="AB597" s="38"/>
      <c r="AC597" s="38"/>
      <c r="AD597" s="38"/>
      <c r="AE597" s="38"/>
      <c r="AF597" s="38"/>
      <c r="AG597" s="38"/>
      <c r="AH597" s="38"/>
    </row>
    <row r="598" spans="3:34" ht="20.100000000000001" customHeight="1">
      <c r="C598" s="113"/>
      <c r="D598" s="114"/>
      <c r="P598" s="82"/>
      <c r="Q598" s="82"/>
      <c r="R598" s="38"/>
      <c r="S598" s="38"/>
      <c r="T598" s="38"/>
      <c r="U598" s="38"/>
      <c r="V598" s="38"/>
      <c r="W598" s="38"/>
      <c r="X598" s="38"/>
      <c r="Y598" s="38"/>
      <c r="Z598" s="38"/>
      <c r="AA598" s="38"/>
      <c r="AB598" s="38"/>
      <c r="AC598" s="38"/>
      <c r="AD598" s="38"/>
      <c r="AE598" s="38"/>
      <c r="AF598" s="38"/>
      <c r="AG598" s="38"/>
      <c r="AH598" s="38"/>
    </row>
    <row r="599" spans="3:34" ht="20.100000000000001" customHeight="1">
      <c r="C599" s="113"/>
      <c r="D599" s="114"/>
      <c r="P599" s="82"/>
      <c r="Q599" s="82"/>
      <c r="R599" s="38"/>
      <c r="S599" s="38"/>
      <c r="T599" s="38"/>
      <c r="U599" s="38"/>
      <c r="V599" s="38"/>
      <c r="W599" s="38"/>
      <c r="X599" s="38"/>
      <c r="Y599" s="38"/>
      <c r="Z599" s="38"/>
      <c r="AA599" s="38"/>
      <c r="AB599" s="38"/>
      <c r="AC599" s="38"/>
      <c r="AD599" s="38"/>
      <c r="AE599" s="38"/>
      <c r="AF599" s="38"/>
      <c r="AG599" s="38"/>
      <c r="AH599" s="38"/>
    </row>
    <row r="600" spans="3:34" ht="20.100000000000001" customHeight="1">
      <c r="C600" s="113"/>
      <c r="D600" s="114"/>
      <c r="P600" s="82"/>
      <c r="Q600" s="82"/>
      <c r="R600" s="38"/>
      <c r="S600" s="38"/>
      <c r="T600" s="38"/>
      <c r="U600" s="38"/>
      <c r="V600" s="38"/>
      <c r="W600" s="38"/>
      <c r="X600" s="38"/>
      <c r="Y600" s="38"/>
      <c r="Z600" s="38"/>
      <c r="AA600" s="38"/>
      <c r="AB600" s="38"/>
      <c r="AC600" s="38"/>
      <c r="AD600" s="38"/>
      <c r="AE600" s="38"/>
      <c r="AF600" s="38"/>
      <c r="AG600" s="38"/>
      <c r="AH600" s="38"/>
    </row>
    <row r="601" spans="3:34" ht="20.100000000000001" customHeight="1">
      <c r="C601" s="113"/>
      <c r="D601" s="114"/>
      <c r="P601" s="82"/>
      <c r="Q601" s="82"/>
      <c r="R601" s="38"/>
      <c r="S601" s="38"/>
      <c r="T601" s="38"/>
      <c r="U601" s="38"/>
      <c r="V601" s="38"/>
      <c r="W601" s="38"/>
      <c r="X601" s="38"/>
      <c r="Y601" s="38"/>
      <c r="Z601" s="38"/>
      <c r="AA601" s="38"/>
      <c r="AB601" s="38"/>
      <c r="AC601" s="38"/>
      <c r="AD601" s="38"/>
      <c r="AE601" s="38"/>
      <c r="AF601" s="38"/>
      <c r="AG601" s="38"/>
      <c r="AH601" s="38"/>
    </row>
    <row r="602" spans="3:34" ht="20.100000000000001" customHeight="1">
      <c r="C602" s="113"/>
      <c r="D602" s="114"/>
      <c r="P602" s="82"/>
      <c r="Q602" s="82"/>
      <c r="R602" s="38"/>
      <c r="S602" s="38"/>
      <c r="T602" s="38"/>
      <c r="U602" s="38"/>
      <c r="V602" s="38"/>
      <c r="W602" s="38"/>
      <c r="X602" s="38"/>
      <c r="Y602" s="38"/>
      <c r="Z602" s="38"/>
      <c r="AA602" s="38"/>
      <c r="AB602" s="38"/>
      <c r="AC602" s="38"/>
      <c r="AD602" s="38"/>
      <c r="AE602" s="38"/>
      <c r="AF602" s="38"/>
      <c r="AG602" s="38"/>
      <c r="AH602" s="38"/>
    </row>
    <row r="603" spans="3:34" ht="20.100000000000001" customHeight="1">
      <c r="C603" s="113"/>
      <c r="D603" s="114"/>
      <c r="P603" s="82"/>
      <c r="Q603" s="82"/>
      <c r="R603" s="38"/>
      <c r="S603" s="38"/>
      <c r="T603" s="38"/>
      <c r="U603" s="38"/>
      <c r="V603" s="38"/>
      <c r="W603" s="38"/>
      <c r="X603" s="38"/>
      <c r="Y603" s="38"/>
      <c r="Z603" s="38"/>
      <c r="AA603" s="38"/>
      <c r="AB603" s="38"/>
      <c r="AC603" s="38"/>
      <c r="AD603" s="38"/>
      <c r="AE603" s="38"/>
      <c r="AF603" s="38"/>
      <c r="AG603" s="38"/>
      <c r="AH603" s="38"/>
    </row>
    <row r="604" spans="3:34" ht="20.100000000000001" customHeight="1">
      <c r="C604" s="113"/>
      <c r="D604" s="114"/>
      <c r="P604" s="82"/>
      <c r="Q604" s="82"/>
      <c r="R604" s="38"/>
      <c r="S604" s="38"/>
      <c r="T604" s="38"/>
      <c r="U604" s="38"/>
      <c r="V604" s="38"/>
      <c r="W604" s="38"/>
      <c r="X604" s="38"/>
      <c r="Y604" s="38"/>
      <c r="Z604" s="38"/>
      <c r="AA604" s="38"/>
      <c r="AB604" s="38"/>
      <c r="AC604" s="38"/>
      <c r="AD604" s="38"/>
      <c r="AE604" s="38"/>
      <c r="AF604" s="38"/>
      <c r="AG604" s="38"/>
      <c r="AH604" s="38"/>
    </row>
    <row r="605" spans="3:34" ht="20.100000000000001" customHeight="1">
      <c r="C605" s="113"/>
      <c r="D605" s="114"/>
      <c r="P605" s="82"/>
      <c r="Q605" s="82"/>
      <c r="R605" s="38"/>
      <c r="S605" s="38"/>
      <c r="T605" s="38"/>
      <c r="U605" s="38"/>
      <c r="V605" s="38"/>
      <c r="W605" s="38"/>
      <c r="X605" s="38"/>
      <c r="Y605" s="38"/>
      <c r="Z605" s="38"/>
      <c r="AA605" s="38"/>
      <c r="AB605" s="38"/>
      <c r="AC605" s="38"/>
      <c r="AD605" s="38"/>
      <c r="AE605" s="38"/>
      <c r="AF605" s="38"/>
      <c r="AG605" s="38"/>
      <c r="AH605" s="38"/>
    </row>
    <row r="606" spans="3:34" ht="20.100000000000001" customHeight="1">
      <c r="C606" s="113"/>
      <c r="D606" s="114"/>
      <c r="P606" s="82"/>
      <c r="Q606" s="82"/>
      <c r="R606" s="38"/>
      <c r="S606" s="38"/>
      <c r="T606" s="38"/>
      <c r="U606" s="38"/>
      <c r="V606" s="38"/>
      <c r="W606" s="38"/>
      <c r="X606" s="38"/>
      <c r="Y606" s="38"/>
      <c r="Z606" s="38"/>
      <c r="AA606" s="38"/>
      <c r="AB606" s="38"/>
      <c r="AC606" s="38"/>
      <c r="AD606" s="38"/>
      <c r="AE606" s="38"/>
      <c r="AF606" s="38"/>
      <c r="AG606" s="38"/>
      <c r="AH606" s="38"/>
    </row>
    <row r="607" spans="3:34" ht="20.100000000000001" customHeight="1">
      <c r="C607" s="113"/>
      <c r="D607" s="114"/>
      <c r="P607" s="82"/>
      <c r="Q607" s="82"/>
      <c r="R607" s="38"/>
      <c r="S607" s="38"/>
      <c r="T607" s="38"/>
      <c r="U607" s="38"/>
      <c r="V607" s="38"/>
      <c r="W607" s="38"/>
      <c r="X607" s="38"/>
      <c r="Y607" s="38"/>
      <c r="Z607" s="38"/>
      <c r="AA607" s="38"/>
      <c r="AB607" s="38"/>
      <c r="AC607" s="38"/>
      <c r="AD607" s="38"/>
      <c r="AE607" s="38"/>
      <c r="AF607" s="38"/>
      <c r="AG607" s="38"/>
      <c r="AH607" s="38"/>
    </row>
    <row r="608" spans="3:34" ht="20.100000000000001" customHeight="1">
      <c r="C608" s="113"/>
      <c r="D608" s="114"/>
      <c r="P608" s="82"/>
      <c r="Q608" s="82"/>
      <c r="R608" s="38"/>
      <c r="S608" s="38"/>
      <c r="T608" s="38"/>
      <c r="U608" s="38"/>
      <c r="V608" s="38"/>
      <c r="W608" s="38"/>
      <c r="X608" s="38"/>
      <c r="Y608" s="38"/>
      <c r="Z608" s="38"/>
      <c r="AA608" s="38"/>
      <c r="AB608" s="38"/>
      <c r="AC608" s="38"/>
      <c r="AD608" s="38"/>
      <c r="AE608" s="38"/>
      <c r="AF608" s="38"/>
      <c r="AG608" s="38"/>
      <c r="AH608" s="38"/>
    </row>
    <row r="609" spans="3:34" ht="20.100000000000001" customHeight="1">
      <c r="C609" s="113"/>
      <c r="D609" s="114"/>
      <c r="P609" s="82"/>
      <c r="Q609" s="82"/>
      <c r="R609" s="38"/>
      <c r="S609" s="38"/>
      <c r="T609" s="38"/>
      <c r="U609" s="38"/>
      <c r="V609" s="38"/>
      <c r="W609" s="38"/>
      <c r="X609" s="38"/>
      <c r="Y609" s="38"/>
      <c r="Z609" s="38"/>
      <c r="AA609" s="38"/>
      <c r="AB609" s="38"/>
      <c r="AC609" s="38"/>
      <c r="AD609" s="38"/>
      <c r="AE609" s="38"/>
      <c r="AF609" s="38"/>
      <c r="AG609" s="38"/>
      <c r="AH609" s="38"/>
    </row>
    <row r="610" spans="3:34" ht="20.100000000000001" customHeight="1">
      <c r="C610" s="113"/>
      <c r="D610" s="114"/>
      <c r="P610" s="82"/>
      <c r="Q610" s="82"/>
      <c r="R610" s="38"/>
      <c r="S610" s="38"/>
      <c r="T610" s="38"/>
      <c r="U610" s="38"/>
      <c r="V610" s="38"/>
      <c r="W610" s="38"/>
      <c r="X610" s="38"/>
      <c r="Y610" s="38"/>
      <c r="Z610" s="38"/>
      <c r="AA610" s="38"/>
      <c r="AB610" s="38"/>
      <c r="AC610" s="38"/>
      <c r="AD610" s="38"/>
      <c r="AE610" s="38"/>
      <c r="AF610" s="38"/>
      <c r="AG610" s="38"/>
      <c r="AH610" s="38"/>
    </row>
    <row r="611" spans="3:34" ht="20.100000000000001" customHeight="1">
      <c r="C611" s="113"/>
      <c r="D611" s="114"/>
      <c r="P611" s="82"/>
      <c r="Q611" s="82"/>
      <c r="R611" s="38"/>
      <c r="S611" s="38"/>
      <c r="T611" s="38"/>
      <c r="U611" s="38"/>
      <c r="V611" s="38"/>
      <c r="W611" s="38"/>
      <c r="X611" s="38"/>
      <c r="Y611" s="38"/>
      <c r="Z611" s="38"/>
      <c r="AA611" s="38"/>
      <c r="AB611" s="38"/>
      <c r="AC611" s="38"/>
      <c r="AD611" s="38"/>
      <c r="AE611" s="38"/>
      <c r="AF611" s="38"/>
      <c r="AG611" s="38"/>
      <c r="AH611" s="38"/>
    </row>
    <row r="612" spans="3:34" ht="20.100000000000001" customHeight="1">
      <c r="C612" s="113"/>
      <c r="D612" s="114"/>
      <c r="P612" s="82"/>
      <c r="Q612" s="82"/>
      <c r="R612" s="38"/>
      <c r="S612" s="38"/>
      <c r="T612" s="38"/>
      <c r="U612" s="38"/>
      <c r="V612" s="38"/>
      <c r="W612" s="38"/>
      <c r="X612" s="38"/>
      <c r="Y612" s="38"/>
      <c r="Z612" s="38"/>
      <c r="AA612" s="38"/>
      <c r="AB612" s="38"/>
      <c r="AC612" s="38"/>
      <c r="AD612" s="38"/>
      <c r="AE612" s="38"/>
      <c r="AF612" s="38"/>
      <c r="AG612" s="38"/>
      <c r="AH612" s="38"/>
    </row>
    <row r="613" spans="3:34" ht="20.100000000000001" customHeight="1">
      <c r="C613" s="113"/>
      <c r="D613" s="114"/>
      <c r="P613" s="82"/>
      <c r="Q613" s="82"/>
      <c r="R613" s="38"/>
      <c r="S613" s="38"/>
      <c r="T613" s="38"/>
      <c r="U613" s="38"/>
      <c r="V613" s="38"/>
      <c r="W613" s="38"/>
      <c r="X613" s="38"/>
      <c r="Y613" s="38"/>
      <c r="Z613" s="38"/>
      <c r="AA613" s="38"/>
      <c r="AB613" s="38"/>
      <c r="AC613" s="38"/>
      <c r="AD613" s="38"/>
      <c r="AE613" s="38"/>
      <c r="AF613" s="38"/>
      <c r="AG613" s="38"/>
      <c r="AH613" s="38"/>
    </row>
    <row r="614" spans="3:34" ht="20.100000000000001" customHeight="1">
      <c r="C614" s="113"/>
      <c r="D614" s="114"/>
      <c r="P614" s="82"/>
      <c r="Q614" s="82"/>
      <c r="R614" s="38"/>
      <c r="S614" s="38"/>
      <c r="T614" s="38"/>
      <c r="U614" s="38"/>
      <c r="V614" s="38"/>
      <c r="W614" s="38"/>
      <c r="X614" s="38"/>
      <c r="Y614" s="38"/>
      <c r="Z614" s="38"/>
      <c r="AA614" s="38"/>
      <c r="AB614" s="38"/>
      <c r="AC614" s="38"/>
      <c r="AD614" s="38"/>
      <c r="AE614" s="38"/>
      <c r="AF614" s="38"/>
      <c r="AG614" s="38"/>
      <c r="AH614" s="38"/>
    </row>
    <row r="615" spans="3:34" ht="20.100000000000001" customHeight="1">
      <c r="C615" s="113"/>
      <c r="D615" s="114"/>
      <c r="P615" s="82"/>
      <c r="Q615" s="82"/>
      <c r="R615" s="38"/>
      <c r="S615" s="38"/>
      <c r="T615" s="38"/>
      <c r="U615" s="38"/>
      <c r="V615" s="38"/>
      <c r="W615" s="38"/>
      <c r="X615" s="38"/>
      <c r="Y615" s="38"/>
      <c r="Z615" s="38"/>
      <c r="AA615" s="38"/>
      <c r="AB615" s="38"/>
      <c r="AC615" s="38"/>
      <c r="AD615" s="38"/>
      <c r="AE615" s="38"/>
      <c r="AF615" s="38"/>
      <c r="AG615" s="38"/>
      <c r="AH615" s="38"/>
    </row>
    <row r="616" spans="3:34" ht="20.100000000000001" customHeight="1">
      <c r="C616" s="113"/>
      <c r="D616" s="114"/>
      <c r="P616" s="82"/>
      <c r="Q616" s="82"/>
      <c r="R616" s="38"/>
      <c r="S616" s="38"/>
      <c r="T616" s="38"/>
      <c r="U616" s="38"/>
      <c r="V616" s="38"/>
      <c r="W616" s="38"/>
      <c r="X616" s="38"/>
      <c r="Y616" s="38"/>
      <c r="Z616" s="38"/>
      <c r="AA616" s="38"/>
      <c r="AB616" s="38"/>
      <c r="AC616" s="38"/>
      <c r="AD616" s="38"/>
      <c r="AE616" s="38"/>
      <c r="AF616" s="38"/>
      <c r="AG616" s="38"/>
      <c r="AH616" s="38"/>
    </row>
    <row r="617" spans="3:34" ht="20.100000000000001" customHeight="1">
      <c r="C617" s="113"/>
      <c r="D617" s="114"/>
      <c r="P617" s="82"/>
      <c r="Q617" s="82"/>
      <c r="R617" s="38"/>
      <c r="S617" s="38"/>
      <c r="T617" s="38"/>
      <c r="U617" s="38"/>
      <c r="V617" s="38"/>
      <c r="W617" s="38"/>
      <c r="X617" s="38"/>
      <c r="Y617" s="38"/>
      <c r="Z617" s="38"/>
      <c r="AA617" s="38"/>
      <c r="AB617" s="38"/>
      <c r="AC617" s="38"/>
      <c r="AD617" s="38"/>
      <c r="AE617" s="38"/>
      <c r="AF617" s="38"/>
      <c r="AG617" s="38"/>
      <c r="AH617" s="38"/>
    </row>
    <row r="618" spans="3:34" ht="20.100000000000001" customHeight="1">
      <c r="C618" s="113"/>
      <c r="D618" s="114"/>
      <c r="P618" s="82"/>
      <c r="Q618" s="82"/>
      <c r="R618" s="38"/>
      <c r="S618" s="38"/>
      <c r="T618" s="38"/>
      <c r="U618" s="38"/>
      <c r="V618" s="38"/>
      <c r="W618" s="38"/>
      <c r="X618" s="38"/>
      <c r="Y618" s="38"/>
      <c r="Z618" s="38"/>
      <c r="AA618" s="38"/>
      <c r="AB618" s="38"/>
      <c r="AC618" s="38"/>
      <c r="AD618" s="38"/>
      <c r="AE618" s="38"/>
      <c r="AF618" s="38"/>
      <c r="AG618" s="38"/>
      <c r="AH618" s="38"/>
    </row>
    <row r="619" spans="3:34" ht="20.100000000000001" customHeight="1">
      <c r="C619" s="113"/>
      <c r="D619" s="114"/>
      <c r="P619" s="82"/>
      <c r="Q619" s="82"/>
      <c r="R619" s="38"/>
      <c r="S619" s="38"/>
      <c r="T619" s="38"/>
      <c r="U619" s="38"/>
      <c r="V619" s="38"/>
      <c r="W619" s="38"/>
      <c r="X619" s="38"/>
      <c r="Y619" s="38"/>
      <c r="Z619" s="38"/>
      <c r="AA619" s="38"/>
      <c r="AB619" s="38"/>
      <c r="AC619" s="38"/>
      <c r="AD619" s="38"/>
      <c r="AE619" s="38"/>
      <c r="AF619" s="38"/>
      <c r="AG619" s="38"/>
      <c r="AH619" s="38"/>
    </row>
    <row r="620" spans="3:34" ht="20.100000000000001" customHeight="1">
      <c r="C620" s="113"/>
      <c r="D620" s="114"/>
      <c r="P620" s="82"/>
      <c r="Q620" s="82"/>
      <c r="R620" s="38"/>
      <c r="S620" s="38"/>
      <c r="T620" s="38"/>
      <c r="U620" s="38"/>
      <c r="V620" s="38"/>
      <c r="W620" s="38"/>
      <c r="X620" s="38"/>
      <c r="Y620" s="38"/>
      <c r="Z620" s="38"/>
      <c r="AA620" s="38"/>
      <c r="AB620" s="38"/>
      <c r="AC620" s="38"/>
      <c r="AD620" s="38"/>
      <c r="AE620" s="38"/>
      <c r="AF620" s="38"/>
      <c r="AG620" s="38"/>
      <c r="AH620" s="38"/>
    </row>
    <row r="621" spans="3:34" ht="20.100000000000001" customHeight="1">
      <c r="C621" s="113"/>
      <c r="D621" s="114"/>
      <c r="P621" s="82"/>
      <c r="Q621" s="82"/>
      <c r="R621" s="38"/>
      <c r="S621" s="38"/>
      <c r="T621" s="38"/>
      <c r="U621" s="38"/>
      <c r="V621" s="38"/>
      <c r="W621" s="38"/>
      <c r="X621" s="38"/>
      <c r="Y621" s="38"/>
      <c r="Z621" s="38"/>
      <c r="AA621" s="38"/>
      <c r="AB621" s="38"/>
      <c r="AC621" s="38"/>
      <c r="AD621" s="38"/>
      <c r="AE621" s="38"/>
      <c r="AF621" s="38"/>
      <c r="AG621" s="38"/>
      <c r="AH621" s="38"/>
    </row>
    <row r="622" spans="3:34" ht="20.100000000000001" customHeight="1">
      <c r="C622" s="113"/>
      <c r="D622" s="114"/>
      <c r="P622" s="82"/>
      <c r="Q622" s="82"/>
      <c r="R622" s="38"/>
      <c r="S622" s="38"/>
      <c r="T622" s="38"/>
      <c r="U622" s="38"/>
      <c r="V622" s="38"/>
      <c r="W622" s="38"/>
      <c r="X622" s="38"/>
      <c r="Y622" s="38"/>
      <c r="Z622" s="38"/>
      <c r="AA622" s="38"/>
      <c r="AB622" s="38"/>
      <c r="AC622" s="38"/>
      <c r="AD622" s="38"/>
      <c r="AE622" s="38"/>
      <c r="AF622" s="38"/>
      <c r="AG622" s="38"/>
      <c r="AH622" s="38"/>
    </row>
    <row r="623" spans="3:34" ht="20.100000000000001" customHeight="1">
      <c r="C623" s="113"/>
      <c r="D623" s="114"/>
      <c r="P623" s="82"/>
      <c r="Q623" s="82"/>
      <c r="R623" s="38"/>
      <c r="S623" s="38"/>
      <c r="T623" s="38"/>
      <c r="U623" s="38"/>
      <c r="V623" s="38"/>
      <c r="W623" s="38"/>
      <c r="X623" s="38"/>
      <c r="Y623" s="38"/>
      <c r="Z623" s="38"/>
      <c r="AA623" s="38"/>
      <c r="AB623" s="38"/>
      <c r="AC623" s="38"/>
      <c r="AD623" s="38"/>
      <c r="AE623" s="38"/>
      <c r="AF623" s="38"/>
      <c r="AG623" s="38"/>
      <c r="AH623" s="38"/>
    </row>
    <row r="624" spans="3:34" ht="20.100000000000001" customHeight="1">
      <c r="C624" s="113"/>
      <c r="D624" s="114"/>
      <c r="P624" s="82"/>
      <c r="Q624" s="82"/>
      <c r="R624" s="38"/>
      <c r="S624" s="38"/>
      <c r="T624" s="38"/>
      <c r="U624" s="38"/>
      <c r="V624" s="38"/>
      <c r="W624" s="38"/>
      <c r="X624" s="38"/>
      <c r="Y624" s="38"/>
      <c r="Z624" s="38"/>
      <c r="AA624" s="38"/>
      <c r="AB624" s="38"/>
      <c r="AC624" s="38"/>
      <c r="AD624" s="38"/>
      <c r="AE624" s="38"/>
      <c r="AF624" s="38"/>
      <c r="AG624" s="38"/>
      <c r="AH624" s="38"/>
    </row>
    <row r="625" spans="3:34" ht="20.100000000000001" customHeight="1">
      <c r="C625" s="113"/>
      <c r="D625" s="114"/>
      <c r="P625" s="82"/>
      <c r="Q625" s="82"/>
      <c r="R625" s="38"/>
      <c r="S625" s="38"/>
      <c r="T625" s="38"/>
      <c r="U625" s="38"/>
      <c r="V625" s="38"/>
      <c r="W625" s="38"/>
      <c r="X625" s="38"/>
      <c r="Y625" s="38"/>
      <c r="Z625" s="38"/>
      <c r="AA625" s="38"/>
      <c r="AB625" s="38"/>
      <c r="AC625" s="38"/>
      <c r="AD625" s="38"/>
      <c r="AE625" s="38"/>
      <c r="AF625" s="38"/>
      <c r="AG625" s="38"/>
      <c r="AH625" s="38"/>
    </row>
    <row r="626" spans="3:34" ht="20.100000000000001" customHeight="1">
      <c r="C626" s="113"/>
      <c r="D626" s="114"/>
      <c r="P626" s="82"/>
      <c r="Q626" s="82"/>
      <c r="R626" s="38"/>
      <c r="S626" s="38"/>
      <c r="T626" s="38"/>
      <c r="U626" s="38"/>
      <c r="V626" s="38"/>
      <c r="W626" s="38"/>
      <c r="X626" s="38"/>
      <c r="Y626" s="38"/>
      <c r="Z626" s="38"/>
      <c r="AA626" s="38"/>
      <c r="AB626" s="38"/>
      <c r="AC626" s="38"/>
      <c r="AD626" s="38"/>
      <c r="AE626" s="38"/>
      <c r="AF626" s="38"/>
      <c r="AG626" s="38"/>
      <c r="AH626" s="38"/>
    </row>
    <row r="627" spans="3:34" ht="20.100000000000001" customHeight="1">
      <c r="C627" s="113"/>
      <c r="D627" s="114"/>
      <c r="P627" s="82"/>
      <c r="Q627" s="82"/>
      <c r="R627" s="38"/>
      <c r="S627" s="38"/>
      <c r="T627" s="38"/>
      <c r="U627" s="38"/>
      <c r="V627" s="38"/>
      <c r="W627" s="38"/>
      <c r="X627" s="38"/>
      <c r="Y627" s="38"/>
      <c r="Z627" s="38"/>
      <c r="AA627" s="38"/>
      <c r="AB627" s="38"/>
      <c r="AC627" s="38"/>
      <c r="AD627" s="38"/>
      <c r="AE627" s="38"/>
      <c r="AF627" s="38"/>
      <c r="AG627" s="38"/>
      <c r="AH627" s="38"/>
    </row>
    <row r="628" spans="3:34" ht="20.100000000000001" customHeight="1">
      <c r="C628" s="113"/>
      <c r="D628" s="114"/>
      <c r="P628" s="82"/>
      <c r="Q628" s="82"/>
      <c r="R628" s="38"/>
      <c r="S628" s="38"/>
      <c r="T628" s="38"/>
      <c r="U628" s="38"/>
      <c r="V628" s="38"/>
      <c r="W628" s="38"/>
      <c r="X628" s="38"/>
      <c r="Y628" s="38"/>
      <c r="Z628" s="38"/>
      <c r="AA628" s="38"/>
      <c r="AB628" s="38"/>
      <c r="AC628" s="38"/>
      <c r="AD628" s="38"/>
      <c r="AE628" s="38"/>
      <c r="AF628" s="38"/>
      <c r="AG628" s="38"/>
      <c r="AH628" s="38"/>
    </row>
    <row r="629" spans="3:34" ht="20.100000000000001" customHeight="1">
      <c r="C629" s="113"/>
      <c r="D629" s="114"/>
      <c r="P629" s="82"/>
      <c r="Q629" s="82"/>
      <c r="R629" s="38"/>
      <c r="S629" s="38"/>
      <c r="T629" s="38"/>
      <c r="U629" s="38"/>
      <c r="V629" s="38"/>
      <c r="W629" s="38"/>
      <c r="X629" s="38"/>
      <c r="Y629" s="38"/>
      <c r="Z629" s="38"/>
      <c r="AA629" s="38"/>
      <c r="AB629" s="38"/>
      <c r="AC629" s="38"/>
      <c r="AD629" s="38"/>
      <c r="AE629" s="38"/>
      <c r="AF629" s="38"/>
      <c r="AG629" s="38"/>
      <c r="AH629" s="38"/>
    </row>
    <row r="630" spans="3:34" ht="20.100000000000001" customHeight="1">
      <c r="C630" s="113"/>
      <c r="D630" s="114"/>
      <c r="P630" s="82"/>
      <c r="Q630" s="82"/>
      <c r="R630" s="38"/>
      <c r="S630" s="38"/>
      <c r="T630" s="38"/>
      <c r="U630" s="38"/>
      <c r="V630" s="38"/>
      <c r="W630" s="38"/>
      <c r="X630" s="38"/>
      <c r="Y630" s="38"/>
      <c r="Z630" s="38"/>
      <c r="AA630" s="38"/>
      <c r="AB630" s="38"/>
      <c r="AC630" s="38"/>
      <c r="AD630" s="38"/>
      <c r="AE630" s="38"/>
      <c r="AF630" s="38"/>
      <c r="AG630" s="38"/>
      <c r="AH630" s="38"/>
    </row>
    <row r="631" spans="3:34" ht="20.100000000000001" customHeight="1">
      <c r="C631" s="113"/>
      <c r="D631" s="114"/>
      <c r="P631" s="82"/>
      <c r="Q631" s="82"/>
      <c r="R631" s="38"/>
      <c r="S631" s="38"/>
      <c r="T631" s="38"/>
      <c r="U631" s="38"/>
      <c r="V631" s="38"/>
      <c r="W631" s="38"/>
      <c r="X631" s="38"/>
      <c r="Y631" s="38"/>
      <c r="Z631" s="38"/>
      <c r="AA631" s="38"/>
      <c r="AB631" s="38"/>
      <c r="AC631" s="38"/>
      <c r="AD631" s="38"/>
      <c r="AE631" s="38"/>
      <c r="AF631" s="38"/>
      <c r="AG631" s="38"/>
      <c r="AH631" s="38"/>
    </row>
    <row r="632" spans="3:34" ht="20.100000000000001" customHeight="1">
      <c r="C632" s="113"/>
      <c r="D632" s="114"/>
      <c r="P632" s="82"/>
      <c r="Q632" s="82"/>
      <c r="R632" s="38"/>
      <c r="S632" s="38"/>
      <c r="T632" s="38"/>
      <c r="U632" s="38"/>
      <c r="V632" s="38"/>
      <c r="W632" s="38"/>
      <c r="X632" s="38"/>
      <c r="Y632" s="38"/>
      <c r="Z632" s="38"/>
      <c r="AA632" s="38"/>
      <c r="AB632" s="38"/>
      <c r="AC632" s="38"/>
      <c r="AD632" s="38"/>
      <c r="AE632" s="38"/>
      <c r="AF632" s="38"/>
      <c r="AG632" s="38"/>
      <c r="AH632" s="38"/>
    </row>
    <row r="633" spans="3:34" ht="20.100000000000001" customHeight="1">
      <c r="C633" s="113"/>
      <c r="D633" s="114"/>
      <c r="P633" s="82"/>
      <c r="Q633" s="82"/>
      <c r="R633" s="38"/>
      <c r="S633" s="38"/>
      <c r="T633" s="38"/>
      <c r="U633" s="38"/>
      <c r="V633" s="38"/>
      <c r="W633" s="38"/>
      <c r="X633" s="38"/>
      <c r="Y633" s="38"/>
      <c r="Z633" s="38"/>
      <c r="AA633" s="38"/>
      <c r="AB633" s="38"/>
      <c r="AC633" s="38"/>
      <c r="AD633" s="38"/>
      <c r="AE633" s="38"/>
      <c r="AF633" s="38"/>
      <c r="AG633" s="38"/>
      <c r="AH633" s="38"/>
    </row>
    <row r="634" spans="3:34" ht="20.100000000000001" customHeight="1">
      <c r="C634" s="113"/>
      <c r="D634" s="114"/>
      <c r="P634" s="82"/>
      <c r="Q634" s="82"/>
      <c r="R634" s="38"/>
      <c r="S634" s="38"/>
      <c r="T634" s="38"/>
      <c r="U634" s="38"/>
      <c r="V634" s="38"/>
      <c r="W634" s="38"/>
      <c r="X634" s="38"/>
      <c r="Y634" s="38"/>
      <c r="Z634" s="38"/>
      <c r="AA634" s="38"/>
      <c r="AB634" s="38"/>
      <c r="AC634" s="38"/>
      <c r="AD634" s="38"/>
      <c r="AE634" s="38"/>
      <c r="AF634" s="38"/>
      <c r="AG634" s="38"/>
      <c r="AH634" s="38"/>
    </row>
    <row r="635" spans="3:34" ht="20.100000000000001" customHeight="1">
      <c r="C635" s="113"/>
      <c r="D635" s="114"/>
      <c r="P635" s="82"/>
      <c r="Q635" s="82"/>
      <c r="R635" s="38"/>
      <c r="S635" s="38"/>
      <c r="T635" s="38"/>
      <c r="U635" s="38"/>
      <c r="V635" s="38"/>
      <c r="W635" s="38"/>
      <c r="X635" s="38"/>
      <c r="Y635" s="38"/>
      <c r="Z635" s="38"/>
      <c r="AA635" s="38"/>
      <c r="AB635" s="38"/>
      <c r="AC635" s="38"/>
      <c r="AD635" s="38"/>
      <c r="AE635" s="38"/>
      <c r="AF635" s="38"/>
      <c r="AG635" s="38"/>
      <c r="AH635" s="38"/>
    </row>
    <row r="636" spans="3:34" ht="20.100000000000001" customHeight="1">
      <c r="C636" s="113"/>
      <c r="D636" s="114"/>
      <c r="P636" s="82"/>
      <c r="Q636" s="82"/>
      <c r="R636" s="38"/>
      <c r="S636" s="38"/>
      <c r="T636" s="38"/>
      <c r="U636" s="38"/>
      <c r="V636" s="38"/>
      <c r="W636" s="38"/>
      <c r="X636" s="38"/>
      <c r="Y636" s="38"/>
      <c r="Z636" s="38"/>
      <c r="AA636" s="38"/>
      <c r="AB636" s="38"/>
      <c r="AC636" s="38"/>
      <c r="AD636" s="38"/>
      <c r="AE636" s="38"/>
      <c r="AF636" s="38"/>
      <c r="AG636" s="38"/>
      <c r="AH636" s="38"/>
    </row>
    <row r="637" spans="3:34" ht="20.100000000000001" customHeight="1">
      <c r="C637" s="113"/>
      <c r="D637" s="114"/>
      <c r="P637" s="82"/>
      <c r="Q637" s="82"/>
      <c r="R637" s="38"/>
      <c r="S637" s="38"/>
      <c r="T637" s="38"/>
      <c r="U637" s="38"/>
      <c r="V637" s="38"/>
      <c r="W637" s="38"/>
      <c r="X637" s="38"/>
      <c r="Y637" s="38"/>
      <c r="Z637" s="38"/>
      <c r="AA637" s="38"/>
      <c r="AB637" s="38"/>
      <c r="AC637" s="38"/>
      <c r="AD637" s="38"/>
      <c r="AE637" s="38"/>
      <c r="AF637" s="38"/>
      <c r="AG637" s="38"/>
      <c r="AH637" s="38"/>
    </row>
    <row r="638" spans="3:34" ht="20.100000000000001" customHeight="1">
      <c r="C638" s="113"/>
      <c r="D638" s="114"/>
      <c r="P638" s="82"/>
      <c r="Q638" s="82"/>
      <c r="R638" s="38"/>
      <c r="S638" s="38"/>
      <c r="T638" s="38"/>
      <c r="U638" s="38"/>
      <c r="V638" s="38"/>
      <c r="W638" s="38"/>
      <c r="X638" s="38"/>
      <c r="Y638" s="38"/>
      <c r="Z638" s="38"/>
      <c r="AA638" s="38"/>
      <c r="AB638" s="38"/>
      <c r="AC638" s="38"/>
      <c r="AD638" s="38"/>
      <c r="AE638" s="38"/>
      <c r="AF638" s="38"/>
      <c r="AG638" s="38"/>
      <c r="AH638" s="38"/>
    </row>
    <row r="639" spans="3:34" ht="20.100000000000001" customHeight="1">
      <c r="C639" s="113"/>
      <c r="D639" s="114"/>
      <c r="P639" s="82"/>
      <c r="Q639" s="82"/>
      <c r="R639" s="38"/>
      <c r="S639" s="38"/>
      <c r="T639" s="38"/>
      <c r="U639" s="38"/>
      <c r="V639" s="38"/>
      <c r="W639" s="38"/>
      <c r="X639" s="38"/>
      <c r="Y639" s="38"/>
      <c r="Z639" s="38"/>
      <c r="AA639" s="38"/>
      <c r="AB639" s="38"/>
      <c r="AC639" s="38"/>
      <c r="AD639" s="38"/>
      <c r="AE639" s="38"/>
      <c r="AF639" s="38"/>
      <c r="AG639" s="38"/>
      <c r="AH639" s="38"/>
    </row>
    <row r="640" spans="3:34" ht="20.100000000000001" customHeight="1">
      <c r="C640" s="113"/>
      <c r="D640" s="114"/>
      <c r="P640" s="82"/>
      <c r="Q640" s="82"/>
      <c r="R640" s="38"/>
      <c r="S640" s="38"/>
      <c r="T640" s="38"/>
      <c r="U640" s="38"/>
      <c r="V640" s="38"/>
      <c r="W640" s="38"/>
      <c r="X640" s="38"/>
      <c r="Y640" s="38"/>
      <c r="Z640" s="38"/>
      <c r="AA640" s="38"/>
      <c r="AB640" s="38"/>
      <c r="AC640" s="38"/>
      <c r="AD640" s="38"/>
      <c r="AE640" s="38"/>
      <c r="AF640" s="38"/>
      <c r="AG640" s="38"/>
      <c r="AH640" s="38"/>
    </row>
    <row r="641" spans="3:34" ht="20.100000000000001" customHeight="1">
      <c r="C641" s="113"/>
      <c r="D641" s="114"/>
      <c r="P641" s="82"/>
      <c r="Q641" s="82"/>
      <c r="R641" s="38"/>
      <c r="S641" s="38"/>
      <c r="T641" s="38"/>
      <c r="U641" s="38"/>
      <c r="V641" s="38"/>
      <c r="W641" s="38"/>
      <c r="X641" s="38"/>
      <c r="Y641" s="38"/>
      <c r="Z641" s="38"/>
      <c r="AA641" s="38"/>
      <c r="AB641" s="38"/>
      <c r="AC641" s="38"/>
      <c r="AD641" s="38"/>
      <c r="AE641" s="38"/>
      <c r="AF641" s="38"/>
      <c r="AG641" s="38"/>
      <c r="AH641" s="38"/>
    </row>
    <row r="642" spans="3:34" ht="20.100000000000001" customHeight="1">
      <c r="C642" s="113"/>
      <c r="D642" s="114"/>
      <c r="P642" s="82"/>
      <c r="Q642" s="82"/>
      <c r="R642" s="38"/>
      <c r="S642" s="38"/>
      <c r="T642" s="38"/>
      <c r="U642" s="38"/>
      <c r="V642" s="38"/>
      <c r="W642" s="38"/>
      <c r="X642" s="38"/>
      <c r="Y642" s="38"/>
      <c r="Z642" s="38"/>
      <c r="AA642" s="38"/>
      <c r="AB642" s="38"/>
      <c r="AC642" s="38"/>
      <c r="AD642" s="38"/>
      <c r="AE642" s="38"/>
      <c r="AF642" s="38"/>
      <c r="AG642" s="38"/>
      <c r="AH642" s="38"/>
    </row>
    <row r="643" spans="3:34" ht="20.100000000000001" customHeight="1">
      <c r="C643" s="113"/>
      <c r="D643" s="114"/>
      <c r="P643" s="82"/>
      <c r="Q643" s="82"/>
      <c r="R643" s="38"/>
      <c r="S643" s="38"/>
      <c r="T643" s="38"/>
      <c r="U643" s="38"/>
      <c r="V643" s="38"/>
      <c r="W643" s="38"/>
      <c r="X643" s="38"/>
      <c r="Y643" s="38"/>
      <c r="Z643" s="38"/>
      <c r="AA643" s="38"/>
      <c r="AB643" s="38"/>
      <c r="AC643" s="38"/>
      <c r="AD643" s="38"/>
      <c r="AE643" s="38"/>
      <c r="AF643" s="38"/>
      <c r="AG643" s="38"/>
      <c r="AH643" s="38"/>
    </row>
    <row r="644" spans="3:34" ht="20.100000000000001" customHeight="1">
      <c r="C644" s="113"/>
      <c r="D644" s="114"/>
      <c r="P644" s="82"/>
      <c r="Q644" s="82"/>
      <c r="R644" s="38"/>
      <c r="S644" s="38"/>
      <c r="T644" s="38"/>
      <c r="U644" s="38"/>
      <c r="V644" s="38"/>
      <c r="W644" s="38"/>
      <c r="X644" s="38"/>
      <c r="Y644" s="38"/>
      <c r="Z644" s="38"/>
      <c r="AA644" s="38"/>
      <c r="AB644" s="38"/>
      <c r="AC644" s="38"/>
      <c r="AD644" s="38"/>
      <c r="AE644" s="38"/>
      <c r="AF644" s="38"/>
      <c r="AG644" s="38"/>
      <c r="AH644" s="38"/>
    </row>
    <row r="645" spans="3:34" ht="20.100000000000001" customHeight="1">
      <c r="C645" s="113"/>
      <c r="D645" s="114"/>
      <c r="P645" s="82"/>
      <c r="Q645" s="82"/>
      <c r="R645" s="38"/>
      <c r="S645" s="38"/>
      <c r="T645" s="38"/>
      <c r="U645" s="38"/>
      <c r="V645" s="38"/>
      <c r="W645" s="38"/>
      <c r="X645" s="38"/>
      <c r="Y645" s="38"/>
      <c r="Z645" s="38"/>
      <c r="AA645" s="38"/>
      <c r="AB645" s="38"/>
      <c r="AC645" s="38"/>
      <c r="AD645" s="38"/>
      <c r="AE645" s="38"/>
      <c r="AF645" s="38"/>
      <c r="AG645" s="38"/>
      <c r="AH645" s="38"/>
    </row>
    <row r="646" spans="3:34" ht="20.100000000000001" customHeight="1">
      <c r="C646" s="113"/>
      <c r="D646" s="114"/>
      <c r="P646" s="82"/>
      <c r="Q646" s="82"/>
      <c r="R646" s="38"/>
      <c r="S646" s="38"/>
      <c r="T646" s="38"/>
      <c r="U646" s="38"/>
      <c r="V646" s="38"/>
      <c r="W646" s="38"/>
      <c r="X646" s="38"/>
      <c r="Y646" s="38"/>
      <c r="Z646" s="38"/>
      <c r="AA646" s="38"/>
      <c r="AB646" s="38"/>
      <c r="AC646" s="38"/>
      <c r="AD646" s="38"/>
      <c r="AE646" s="38"/>
      <c r="AF646" s="38"/>
      <c r="AG646" s="38"/>
      <c r="AH646" s="38"/>
    </row>
    <row r="647" spans="3:34" ht="20.100000000000001" customHeight="1">
      <c r="C647" s="113"/>
      <c r="D647" s="114"/>
      <c r="P647" s="82"/>
      <c r="Q647" s="82"/>
      <c r="R647" s="38"/>
      <c r="S647" s="38"/>
      <c r="T647" s="38"/>
      <c r="U647" s="38"/>
      <c r="V647" s="38"/>
      <c r="W647" s="38"/>
      <c r="X647" s="38"/>
      <c r="Y647" s="38"/>
      <c r="Z647" s="38"/>
      <c r="AA647" s="38"/>
      <c r="AB647" s="38"/>
      <c r="AC647" s="38"/>
      <c r="AD647" s="38"/>
      <c r="AE647" s="38"/>
      <c r="AF647" s="38"/>
      <c r="AG647" s="38"/>
      <c r="AH647" s="38"/>
    </row>
    <row r="648" spans="3:34" ht="20.100000000000001" customHeight="1">
      <c r="C648" s="113"/>
      <c r="D648" s="114"/>
      <c r="P648" s="82"/>
      <c r="Q648" s="82"/>
      <c r="R648" s="38"/>
      <c r="S648" s="38"/>
      <c r="T648" s="38"/>
      <c r="U648" s="38"/>
      <c r="V648" s="38"/>
      <c r="W648" s="38"/>
      <c r="X648" s="38"/>
      <c r="Y648" s="38"/>
      <c r="Z648" s="38"/>
      <c r="AA648" s="38"/>
      <c r="AB648" s="38"/>
      <c r="AC648" s="38"/>
      <c r="AD648" s="38"/>
      <c r="AE648" s="38"/>
      <c r="AF648" s="38"/>
      <c r="AG648" s="38"/>
      <c r="AH648" s="38"/>
    </row>
    <row r="649" spans="3:34" ht="20.100000000000001" customHeight="1">
      <c r="C649" s="113"/>
      <c r="D649" s="114"/>
      <c r="P649" s="82"/>
      <c r="Q649" s="82"/>
      <c r="R649" s="38"/>
      <c r="S649" s="38"/>
      <c r="T649" s="38"/>
      <c r="U649" s="38"/>
      <c r="V649" s="38"/>
      <c r="W649" s="38"/>
      <c r="X649" s="38"/>
      <c r="Y649" s="38"/>
      <c r="Z649" s="38"/>
      <c r="AA649" s="38"/>
      <c r="AB649" s="38"/>
      <c r="AC649" s="38"/>
      <c r="AD649" s="38"/>
      <c r="AE649" s="38"/>
      <c r="AF649" s="38"/>
      <c r="AG649" s="38"/>
      <c r="AH649" s="38"/>
    </row>
    <row r="650" spans="3:34" ht="20.100000000000001" customHeight="1">
      <c r="C650" s="113"/>
      <c r="D650" s="114"/>
      <c r="P650" s="82"/>
      <c r="Q650" s="82"/>
      <c r="R650" s="38"/>
      <c r="S650" s="38"/>
      <c r="T650" s="38"/>
      <c r="U650" s="38"/>
      <c r="V650" s="38"/>
      <c r="W650" s="38"/>
      <c r="X650" s="38"/>
      <c r="Y650" s="38"/>
      <c r="Z650" s="38"/>
      <c r="AA650" s="38"/>
      <c r="AB650" s="38"/>
      <c r="AC650" s="38"/>
      <c r="AD650" s="38"/>
      <c r="AE650" s="38"/>
      <c r="AF650" s="38"/>
      <c r="AG650" s="38"/>
      <c r="AH650" s="38"/>
    </row>
    <row r="651" spans="3:34" ht="20.100000000000001" customHeight="1">
      <c r="C651" s="113"/>
      <c r="D651" s="114"/>
      <c r="P651" s="82"/>
      <c r="Q651" s="82"/>
      <c r="R651" s="38"/>
      <c r="S651" s="38"/>
      <c r="T651" s="38"/>
      <c r="U651" s="38"/>
      <c r="V651" s="38"/>
      <c r="W651" s="38"/>
      <c r="X651" s="38"/>
      <c r="Y651" s="38"/>
      <c r="Z651" s="38"/>
      <c r="AA651" s="38"/>
      <c r="AB651" s="38"/>
      <c r="AC651" s="38"/>
      <c r="AD651" s="38"/>
      <c r="AE651" s="38"/>
      <c r="AF651" s="38"/>
      <c r="AG651" s="38"/>
      <c r="AH651" s="38"/>
    </row>
    <row r="652" spans="3:34" ht="20.100000000000001" customHeight="1">
      <c r="C652" s="113"/>
      <c r="D652" s="114"/>
      <c r="P652" s="82"/>
      <c r="Q652" s="82"/>
      <c r="R652" s="38"/>
      <c r="S652" s="38"/>
      <c r="T652" s="38"/>
      <c r="U652" s="38"/>
      <c r="V652" s="38"/>
      <c r="W652" s="38"/>
      <c r="X652" s="38"/>
      <c r="Y652" s="38"/>
      <c r="Z652" s="38"/>
      <c r="AA652" s="38"/>
      <c r="AB652" s="38"/>
      <c r="AC652" s="38"/>
      <c r="AD652" s="38"/>
      <c r="AE652" s="38"/>
      <c r="AF652" s="38"/>
      <c r="AG652" s="38"/>
      <c r="AH652" s="38"/>
    </row>
    <row r="653" spans="3:34" ht="20.100000000000001" customHeight="1">
      <c r="C653" s="113"/>
      <c r="D653" s="114"/>
      <c r="P653" s="82"/>
      <c r="Q653" s="82"/>
      <c r="R653" s="38"/>
      <c r="S653" s="38"/>
      <c r="T653" s="38"/>
      <c r="U653" s="38"/>
      <c r="V653" s="38"/>
      <c r="W653" s="38"/>
      <c r="X653" s="38"/>
      <c r="Y653" s="38"/>
      <c r="Z653" s="38"/>
      <c r="AA653" s="38"/>
      <c r="AB653" s="38"/>
      <c r="AC653" s="38"/>
      <c r="AD653" s="38"/>
      <c r="AE653" s="38"/>
      <c r="AF653" s="38"/>
      <c r="AG653" s="38"/>
      <c r="AH653" s="38"/>
    </row>
    <row r="654" spans="3:34" ht="20.100000000000001" customHeight="1">
      <c r="C654" s="113"/>
      <c r="D654" s="114"/>
      <c r="P654" s="82"/>
      <c r="Q654" s="82"/>
      <c r="R654" s="38"/>
      <c r="S654" s="38"/>
      <c r="T654" s="38"/>
      <c r="U654" s="38"/>
      <c r="V654" s="38"/>
      <c r="W654" s="38"/>
      <c r="X654" s="38"/>
      <c r="Y654" s="38"/>
      <c r="Z654" s="38"/>
      <c r="AA654" s="38"/>
      <c r="AB654" s="38"/>
      <c r="AC654" s="38"/>
      <c r="AD654" s="38"/>
      <c r="AE654" s="38"/>
      <c r="AF654" s="38"/>
      <c r="AG654" s="38"/>
      <c r="AH654" s="38"/>
    </row>
    <row r="655" spans="3:34" ht="20.100000000000001" customHeight="1">
      <c r="C655" s="113"/>
      <c r="D655" s="114"/>
      <c r="P655" s="82"/>
      <c r="Q655" s="82"/>
      <c r="R655" s="38"/>
      <c r="S655" s="38"/>
      <c r="T655" s="38"/>
      <c r="U655" s="38"/>
      <c r="V655" s="38"/>
      <c r="W655" s="38"/>
      <c r="X655" s="38"/>
      <c r="Y655" s="38"/>
      <c r="Z655" s="38"/>
      <c r="AA655" s="38"/>
      <c r="AB655" s="38"/>
      <c r="AC655" s="38"/>
      <c r="AD655" s="38"/>
      <c r="AE655" s="38"/>
      <c r="AF655" s="38"/>
      <c r="AG655" s="38"/>
      <c r="AH655" s="38"/>
    </row>
    <row r="656" spans="3:34" ht="20.100000000000001" customHeight="1">
      <c r="C656" s="113"/>
      <c r="D656" s="114"/>
      <c r="P656" s="82"/>
      <c r="Q656" s="82"/>
      <c r="R656" s="38"/>
      <c r="S656" s="38"/>
      <c r="T656" s="38"/>
      <c r="U656" s="38"/>
      <c r="V656" s="38"/>
      <c r="W656" s="38"/>
      <c r="X656" s="38"/>
      <c r="Y656" s="38"/>
      <c r="Z656" s="38"/>
      <c r="AA656" s="38"/>
      <c r="AB656" s="38"/>
      <c r="AC656" s="38"/>
      <c r="AD656" s="38"/>
      <c r="AE656" s="38"/>
      <c r="AF656" s="38"/>
      <c r="AG656" s="38"/>
      <c r="AH656" s="38"/>
    </row>
    <row r="657" spans="3:34" ht="20.100000000000001" customHeight="1">
      <c r="C657" s="113"/>
      <c r="D657" s="114"/>
      <c r="P657" s="82"/>
      <c r="Q657" s="82"/>
      <c r="R657" s="38"/>
      <c r="S657" s="38"/>
      <c r="T657" s="38"/>
      <c r="U657" s="38"/>
      <c r="V657" s="38"/>
      <c r="W657" s="38"/>
      <c r="X657" s="38"/>
      <c r="Y657" s="38"/>
      <c r="Z657" s="38"/>
      <c r="AA657" s="38"/>
      <c r="AB657" s="38"/>
      <c r="AC657" s="38"/>
      <c r="AD657" s="38"/>
      <c r="AE657" s="38"/>
      <c r="AF657" s="38"/>
      <c r="AG657" s="38"/>
      <c r="AH657" s="38"/>
    </row>
    <row r="658" spans="3:34" ht="20.100000000000001" customHeight="1">
      <c r="C658" s="113"/>
      <c r="D658" s="114"/>
      <c r="P658" s="82"/>
      <c r="Q658" s="82"/>
      <c r="R658" s="38"/>
      <c r="S658" s="38"/>
      <c r="T658" s="38"/>
      <c r="U658" s="38"/>
      <c r="V658" s="38"/>
      <c r="W658" s="38"/>
      <c r="X658" s="38"/>
      <c r="Y658" s="38"/>
      <c r="Z658" s="38"/>
      <c r="AA658" s="38"/>
      <c r="AB658" s="38"/>
      <c r="AC658" s="38"/>
      <c r="AD658" s="38"/>
      <c r="AE658" s="38"/>
      <c r="AF658" s="38"/>
      <c r="AG658" s="38"/>
      <c r="AH658" s="38"/>
    </row>
    <row r="659" spans="3:34" ht="20.100000000000001" customHeight="1">
      <c r="C659" s="113"/>
      <c r="D659" s="114"/>
      <c r="P659" s="82"/>
      <c r="Q659" s="82"/>
      <c r="R659" s="38"/>
      <c r="S659" s="38"/>
      <c r="T659" s="38"/>
      <c r="U659" s="38"/>
      <c r="V659" s="38"/>
      <c r="W659" s="38"/>
      <c r="X659" s="38"/>
      <c r="Y659" s="38"/>
      <c r="Z659" s="38"/>
      <c r="AA659" s="38"/>
      <c r="AB659" s="38"/>
      <c r="AC659" s="38"/>
      <c r="AD659" s="38"/>
      <c r="AE659" s="38"/>
      <c r="AF659" s="38"/>
      <c r="AG659" s="38"/>
      <c r="AH659" s="38"/>
    </row>
    <row r="660" spans="3:34" ht="20.100000000000001" customHeight="1">
      <c r="C660" s="113"/>
      <c r="D660" s="114"/>
      <c r="P660" s="82"/>
      <c r="Q660" s="82"/>
      <c r="R660" s="38"/>
      <c r="S660" s="38"/>
      <c r="T660" s="38"/>
      <c r="U660" s="38"/>
      <c r="V660" s="38"/>
      <c r="W660" s="38"/>
      <c r="X660" s="38"/>
      <c r="Y660" s="38"/>
      <c r="Z660" s="38"/>
      <c r="AA660" s="38"/>
      <c r="AB660" s="38"/>
      <c r="AC660" s="38"/>
      <c r="AD660" s="38"/>
      <c r="AE660" s="38"/>
      <c r="AF660" s="38"/>
      <c r="AG660" s="38"/>
      <c r="AH660" s="38"/>
    </row>
    <row r="661" spans="3:34" ht="20.100000000000001" customHeight="1">
      <c r="C661" s="113"/>
      <c r="D661" s="114"/>
      <c r="P661" s="82"/>
      <c r="Q661" s="82"/>
      <c r="R661" s="38"/>
      <c r="S661" s="38"/>
      <c r="T661" s="38"/>
      <c r="U661" s="38"/>
      <c r="V661" s="38"/>
      <c r="W661" s="38"/>
      <c r="X661" s="38"/>
      <c r="Y661" s="38"/>
      <c r="Z661" s="38"/>
      <c r="AA661" s="38"/>
      <c r="AB661" s="38"/>
      <c r="AC661" s="38"/>
      <c r="AD661" s="38"/>
      <c r="AE661" s="38"/>
      <c r="AF661" s="38"/>
      <c r="AG661" s="38"/>
      <c r="AH661" s="38"/>
    </row>
    <row r="662" spans="3:34" ht="20.100000000000001" customHeight="1">
      <c r="C662" s="113"/>
      <c r="D662" s="114"/>
      <c r="P662" s="82"/>
      <c r="Q662" s="82"/>
      <c r="R662" s="38"/>
      <c r="S662" s="38"/>
      <c r="T662" s="38"/>
      <c r="U662" s="38"/>
      <c r="V662" s="38"/>
      <c r="W662" s="38"/>
      <c r="X662" s="38"/>
      <c r="Y662" s="38"/>
      <c r="Z662" s="38"/>
      <c r="AA662" s="38"/>
      <c r="AB662" s="38"/>
      <c r="AC662" s="38"/>
      <c r="AD662" s="38"/>
      <c r="AE662" s="38"/>
      <c r="AF662" s="38"/>
      <c r="AG662" s="38"/>
      <c r="AH662" s="38"/>
    </row>
    <row r="663" spans="3:34" ht="20.100000000000001" customHeight="1">
      <c r="C663" s="113"/>
      <c r="D663" s="114"/>
      <c r="P663" s="82"/>
      <c r="Q663" s="82"/>
      <c r="R663" s="38"/>
      <c r="S663" s="38"/>
      <c r="T663" s="38"/>
      <c r="U663" s="38"/>
      <c r="V663" s="38"/>
      <c r="W663" s="38"/>
      <c r="X663" s="38"/>
      <c r="Y663" s="38"/>
      <c r="Z663" s="38"/>
      <c r="AA663" s="38"/>
      <c r="AB663" s="38"/>
      <c r="AC663" s="38"/>
      <c r="AD663" s="38"/>
      <c r="AE663" s="38"/>
      <c r="AF663" s="38"/>
      <c r="AG663" s="38"/>
      <c r="AH663" s="38"/>
    </row>
    <row r="664" spans="3:34" ht="20.100000000000001" customHeight="1">
      <c r="C664" s="113"/>
      <c r="D664" s="114"/>
      <c r="P664" s="82"/>
      <c r="Q664" s="82"/>
      <c r="R664" s="38"/>
      <c r="S664" s="38"/>
      <c r="T664" s="38"/>
      <c r="U664" s="38"/>
      <c r="V664" s="38"/>
      <c r="W664" s="38"/>
      <c r="X664" s="38"/>
      <c r="Y664" s="38"/>
      <c r="Z664" s="38"/>
      <c r="AA664" s="38"/>
      <c r="AB664" s="38"/>
      <c r="AC664" s="38"/>
      <c r="AD664" s="38"/>
      <c r="AE664" s="38"/>
      <c r="AF664" s="38"/>
      <c r="AG664" s="38"/>
      <c r="AH664" s="38"/>
    </row>
    <row r="665" spans="3:34" ht="20.100000000000001" customHeight="1">
      <c r="C665" s="113"/>
      <c r="D665" s="114"/>
      <c r="P665" s="82"/>
      <c r="Q665" s="82"/>
      <c r="R665" s="38"/>
      <c r="S665" s="38"/>
      <c r="T665" s="38"/>
      <c r="U665" s="38"/>
      <c r="V665" s="38"/>
      <c r="W665" s="38"/>
      <c r="X665" s="38"/>
      <c r="Y665" s="38"/>
      <c r="Z665" s="38"/>
      <c r="AA665" s="38"/>
      <c r="AB665" s="38"/>
      <c r="AC665" s="38"/>
      <c r="AD665" s="38"/>
      <c r="AE665" s="38"/>
      <c r="AF665" s="38"/>
      <c r="AG665" s="38"/>
      <c r="AH665" s="38"/>
    </row>
    <row r="666" spans="3:34" ht="20.100000000000001" customHeight="1">
      <c r="C666" s="113"/>
      <c r="D666" s="114"/>
      <c r="P666" s="82"/>
      <c r="Q666" s="82"/>
      <c r="R666" s="38"/>
      <c r="S666" s="38"/>
      <c r="T666" s="38"/>
      <c r="U666" s="38"/>
      <c r="V666" s="38"/>
      <c r="W666" s="38"/>
      <c r="X666" s="38"/>
      <c r="Y666" s="38"/>
      <c r="Z666" s="38"/>
      <c r="AA666" s="38"/>
      <c r="AB666" s="38"/>
      <c r="AC666" s="38"/>
      <c r="AD666" s="38"/>
      <c r="AE666" s="38"/>
      <c r="AF666" s="38"/>
      <c r="AG666" s="38"/>
      <c r="AH666" s="38"/>
    </row>
    <row r="667" spans="3:34" ht="20.100000000000001" customHeight="1">
      <c r="C667" s="113"/>
      <c r="D667" s="114"/>
      <c r="P667" s="82"/>
      <c r="Q667" s="82"/>
      <c r="R667" s="38"/>
      <c r="S667" s="38"/>
      <c r="T667" s="38"/>
      <c r="U667" s="38"/>
      <c r="V667" s="38"/>
      <c r="W667" s="38"/>
      <c r="X667" s="38"/>
      <c r="Y667" s="38"/>
      <c r="Z667" s="38"/>
      <c r="AA667" s="38"/>
      <c r="AB667" s="38"/>
      <c r="AC667" s="38"/>
      <c r="AD667" s="38"/>
      <c r="AE667" s="38"/>
      <c r="AF667" s="38"/>
      <c r="AG667" s="38"/>
      <c r="AH667" s="38"/>
    </row>
    <row r="668" spans="3:34" ht="20.100000000000001" customHeight="1">
      <c r="C668" s="113"/>
      <c r="D668" s="114"/>
      <c r="P668" s="82"/>
      <c r="Q668" s="82"/>
      <c r="R668" s="38"/>
      <c r="S668" s="38"/>
      <c r="T668" s="38"/>
      <c r="U668" s="38"/>
      <c r="V668" s="38"/>
      <c r="W668" s="38"/>
      <c r="X668" s="38"/>
      <c r="Y668" s="38"/>
      <c r="Z668" s="38"/>
      <c r="AA668" s="38"/>
      <c r="AB668" s="38"/>
      <c r="AC668" s="38"/>
      <c r="AD668" s="38"/>
      <c r="AE668" s="38"/>
      <c r="AF668" s="38"/>
      <c r="AG668" s="38"/>
      <c r="AH668" s="38"/>
    </row>
    <row r="669" spans="3:34" ht="20.100000000000001" customHeight="1">
      <c r="C669" s="113"/>
      <c r="D669" s="114"/>
      <c r="P669" s="82"/>
      <c r="Q669" s="82"/>
      <c r="R669" s="38"/>
      <c r="S669" s="38"/>
      <c r="T669" s="38"/>
      <c r="U669" s="38"/>
      <c r="V669" s="38"/>
      <c r="W669" s="38"/>
      <c r="X669" s="38"/>
      <c r="Y669" s="38"/>
      <c r="Z669" s="38"/>
      <c r="AA669" s="38"/>
      <c r="AB669" s="38"/>
      <c r="AC669" s="38"/>
      <c r="AD669" s="38"/>
      <c r="AE669" s="38"/>
      <c r="AF669" s="38"/>
      <c r="AG669" s="38"/>
      <c r="AH669" s="38"/>
    </row>
    <row r="670" spans="3:34" ht="20.100000000000001" customHeight="1">
      <c r="C670" s="113"/>
      <c r="D670" s="114"/>
      <c r="P670" s="82"/>
      <c r="Q670" s="82"/>
      <c r="R670" s="38"/>
      <c r="S670" s="38"/>
      <c r="T670" s="38"/>
      <c r="U670" s="38"/>
      <c r="V670" s="38"/>
      <c r="W670" s="38"/>
      <c r="X670" s="38"/>
      <c r="Y670" s="38"/>
      <c r="Z670" s="38"/>
      <c r="AA670" s="38"/>
      <c r="AB670" s="38"/>
      <c r="AC670" s="38"/>
      <c r="AD670" s="38"/>
      <c r="AE670" s="38"/>
      <c r="AF670" s="38"/>
      <c r="AG670" s="38"/>
      <c r="AH670" s="38"/>
    </row>
    <row r="671" spans="3:34" ht="20.100000000000001" customHeight="1">
      <c r="C671" s="113"/>
      <c r="D671" s="114"/>
      <c r="P671" s="82"/>
      <c r="Q671" s="82"/>
      <c r="R671" s="38"/>
      <c r="S671" s="38"/>
      <c r="T671" s="38"/>
      <c r="U671" s="38"/>
      <c r="V671" s="38"/>
      <c r="W671" s="38"/>
      <c r="X671" s="38"/>
      <c r="Y671" s="38"/>
      <c r="Z671" s="38"/>
      <c r="AA671" s="38"/>
      <c r="AB671" s="38"/>
      <c r="AC671" s="38"/>
      <c r="AD671" s="38"/>
      <c r="AE671" s="38"/>
      <c r="AF671" s="38"/>
      <c r="AG671" s="38"/>
      <c r="AH671" s="38"/>
    </row>
    <row r="672" spans="3:34" ht="20.100000000000001" customHeight="1">
      <c r="C672" s="113"/>
      <c r="D672" s="114"/>
      <c r="P672" s="82"/>
      <c r="Q672" s="82"/>
      <c r="R672" s="38"/>
      <c r="S672" s="38"/>
      <c r="T672" s="38"/>
      <c r="U672" s="38"/>
      <c r="V672" s="38"/>
      <c r="W672" s="38"/>
      <c r="X672" s="38"/>
      <c r="Y672" s="38"/>
      <c r="Z672" s="38"/>
      <c r="AA672" s="38"/>
      <c r="AB672" s="38"/>
      <c r="AC672" s="38"/>
      <c r="AD672" s="38"/>
      <c r="AE672" s="38"/>
      <c r="AF672" s="38"/>
      <c r="AG672" s="38"/>
      <c r="AH672" s="38"/>
    </row>
    <row r="673" spans="3:34" ht="20.100000000000001" customHeight="1">
      <c r="C673" s="113"/>
      <c r="D673" s="114"/>
      <c r="P673" s="82"/>
      <c r="Q673" s="82"/>
      <c r="R673" s="38"/>
      <c r="S673" s="38"/>
      <c r="T673" s="38"/>
      <c r="U673" s="38"/>
      <c r="V673" s="38"/>
      <c r="W673" s="38"/>
      <c r="X673" s="38"/>
      <c r="Y673" s="38"/>
      <c r="Z673" s="38"/>
      <c r="AA673" s="38"/>
      <c r="AB673" s="38"/>
      <c r="AC673" s="38"/>
      <c r="AD673" s="38"/>
      <c r="AE673" s="38"/>
      <c r="AF673" s="38"/>
      <c r="AG673" s="38"/>
      <c r="AH673" s="38"/>
    </row>
    <row r="674" spans="3:34" ht="20.100000000000001" customHeight="1">
      <c r="C674" s="113"/>
      <c r="D674" s="114"/>
      <c r="P674" s="82"/>
      <c r="Q674" s="82"/>
      <c r="R674" s="38"/>
      <c r="S674" s="38"/>
      <c r="T674" s="38"/>
      <c r="U674" s="38"/>
      <c r="V674" s="38"/>
      <c r="W674" s="38"/>
      <c r="X674" s="38"/>
      <c r="Y674" s="38"/>
      <c r="Z674" s="38"/>
      <c r="AA674" s="38"/>
      <c r="AB674" s="38"/>
      <c r="AC674" s="38"/>
      <c r="AD674" s="38"/>
      <c r="AE674" s="38"/>
      <c r="AF674" s="38"/>
      <c r="AG674" s="38"/>
      <c r="AH674" s="38"/>
    </row>
    <row r="675" spans="3:34" ht="20.100000000000001" customHeight="1">
      <c r="C675" s="113"/>
      <c r="D675" s="114"/>
      <c r="P675" s="82"/>
      <c r="Q675" s="82"/>
      <c r="R675" s="38"/>
      <c r="S675" s="38"/>
      <c r="T675" s="38"/>
      <c r="U675" s="38"/>
      <c r="V675" s="38"/>
      <c r="W675" s="38"/>
      <c r="X675" s="38"/>
      <c r="Y675" s="38"/>
      <c r="Z675" s="38"/>
      <c r="AA675" s="38"/>
      <c r="AB675" s="38"/>
      <c r="AC675" s="38"/>
      <c r="AD675" s="38"/>
      <c r="AE675" s="38"/>
      <c r="AF675" s="38"/>
      <c r="AG675" s="38"/>
      <c r="AH675" s="38"/>
    </row>
    <row r="676" spans="3:34" ht="20.100000000000001" customHeight="1">
      <c r="C676" s="113"/>
      <c r="D676" s="114"/>
      <c r="P676" s="82"/>
      <c r="Q676" s="82"/>
      <c r="R676" s="38"/>
      <c r="S676" s="38"/>
      <c r="T676" s="38"/>
      <c r="U676" s="38"/>
      <c r="V676" s="38"/>
      <c r="W676" s="38"/>
      <c r="X676" s="38"/>
      <c r="Y676" s="38"/>
      <c r="Z676" s="38"/>
      <c r="AA676" s="38"/>
      <c r="AB676" s="38"/>
      <c r="AC676" s="38"/>
      <c r="AD676" s="38"/>
      <c r="AE676" s="38"/>
      <c r="AF676" s="38"/>
      <c r="AG676" s="38"/>
      <c r="AH676" s="38"/>
    </row>
    <row r="677" spans="3:34" ht="20.100000000000001" customHeight="1">
      <c r="C677" s="113"/>
      <c r="D677" s="114"/>
      <c r="P677" s="82"/>
      <c r="Q677" s="82"/>
      <c r="R677" s="38"/>
      <c r="S677" s="38"/>
      <c r="T677" s="38"/>
      <c r="U677" s="38"/>
      <c r="V677" s="38"/>
      <c r="W677" s="38"/>
      <c r="X677" s="38"/>
      <c r="Y677" s="38"/>
      <c r="Z677" s="38"/>
      <c r="AA677" s="38"/>
      <c r="AB677" s="38"/>
      <c r="AC677" s="38"/>
      <c r="AD677" s="38"/>
      <c r="AE677" s="38"/>
      <c r="AF677" s="38"/>
      <c r="AG677" s="38"/>
      <c r="AH677" s="38"/>
    </row>
    <row r="678" spans="3:34" ht="20.100000000000001" customHeight="1">
      <c r="C678" s="113"/>
      <c r="D678" s="114"/>
      <c r="P678" s="82"/>
      <c r="Q678" s="82"/>
      <c r="R678" s="38"/>
      <c r="S678" s="38"/>
      <c r="T678" s="38"/>
      <c r="U678" s="38"/>
      <c r="V678" s="38"/>
      <c r="W678" s="38"/>
      <c r="X678" s="38"/>
      <c r="Y678" s="38"/>
      <c r="Z678" s="38"/>
      <c r="AA678" s="38"/>
      <c r="AB678" s="38"/>
      <c r="AC678" s="38"/>
      <c r="AD678" s="38"/>
      <c r="AE678" s="38"/>
      <c r="AF678" s="38"/>
      <c r="AG678" s="38"/>
      <c r="AH678" s="38"/>
    </row>
    <row r="679" spans="3:34" ht="20.100000000000001" customHeight="1">
      <c r="C679" s="113"/>
      <c r="D679" s="114"/>
      <c r="P679" s="82"/>
      <c r="Q679" s="82"/>
      <c r="R679" s="38"/>
      <c r="S679" s="38"/>
      <c r="T679" s="38"/>
      <c r="U679" s="38"/>
      <c r="V679" s="38"/>
      <c r="W679" s="38"/>
      <c r="X679" s="38"/>
      <c r="Y679" s="38"/>
      <c r="Z679" s="38"/>
      <c r="AA679" s="38"/>
      <c r="AB679" s="38"/>
      <c r="AC679" s="38"/>
      <c r="AD679" s="38"/>
      <c r="AE679" s="38"/>
      <c r="AF679" s="38"/>
      <c r="AG679" s="38"/>
      <c r="AH679" s="38"/>
    </row>
    <row r="680" spans="3:34" ht="20.100000000000001" customHeight="1">
      <c r="C680" s="113"/>
      <c r="D680" s="114"/>
      <c r="P680" s="82"/>
      <c r="Q680" s="82"/>
      <c r="R680" s="38"/>
      <c r="S680" s="38"/>
      <c r="T680" s="38"/>
      <c r="U680" s="38"/>
      <c r="V680" s="38"/>
      <c r="W680" s="38"/>
      <c r="X680" s="38"/>
      <c r="Y680" s="38"/>
      <c r="Z680" s="38"/>
      <c r="AA680" s="38"/>
      <c r="AB680" s="38"/>
      <c r="AC680" s="38"/>
      <c r="AD680" s="38"/>
      <c r="AE680" s="38"/>
      <c r="AF680" s="38"/>
      <c r="AG680" s="38"/>
      <c r="AH680" s="38"/>
    </row>
    <row r="681" spans="3:34" ht="20.100000000000001" customHeight="1">
      <c r="C681" s="113"/>
      <c r="D681" s="114"/>
      <c r="P681" s="82"/>
      <c r="Q681" s="82"/>
      <c r="R681" s="38"/>
      <c r="S681" s="38"/>
      <c r="T681" s="38"/>
      <c r="U681" s="38"/>
      <c r="V681" s="38"/>
      <c r="W681" s="38"/>
      <c r="X681" s="38"/>
      <c r="Y681" s="38"/>
      <c r="Z681" s="38"/>
      <c r="AA681" s="38"/>
      <c r="AB681" s="38"/>
      <c r="AC681" s="38"/>
      <c r="AD681" s="38"/>
      <c r="AE681" s="38"/>
      <c r="AF681" s="38"/>
      <c r="AG681" s="38"/>
      <c r="AH681" s="38"/>
    </row>
    <row r="682" spans="3:34" ht="20.100000000000001" customHeight="1">
      <c r="C682" s="113"/>
      <c r="D682" s="114"/>
      <c r="P682" s="82"/>
      <c r="Q682" s="82"/>
      <c r="R682" s="38"/>
      <c r="S682" s="38"/>
      <c r="T682" s="38"/>
      <c r="U682" s="38"/>
      <c r="V682" s="38"/>
      <c r="W682" s="38"/>
      <c r="X682" s="38"/>
      <c r="Y682" s="38"/>
      <c r="Z682" s="38"/>
      <c r="AA682" s="38"/>
      <c r="AB682" s="38"/>
      <c r="AC682" s="38"/>
      <c r="AD682" s="38"/>
      <c r="AE682" s="38"/>
      <c r="AF682" s="38"/>
      <c r="AG682" s="38"/>
      <c r="AH682" s="38"/>
    </row>
    <row r="683" spans="3:34" ht="20.100000000000001" customHeight="1">
      <c r="C683" s="113"/>
      <c r="D683" s="114"/>
      <c r="P683" s="82"/>
      <c r="Q683" s="82"/>
      <c r="R683" s="38"/>
      <c r="S683" s="38"/>
      <c r="T683" s="38"/>
      <c r="U683" s="38"/>
      <c r="V683" s="38"/>
      <c r="W683" s="38"/>
      <c r="X683" s="38"/>
      <c r="Y683" s="38"/>
      <c r="Z683" s="38"/>
      <c r="AA683" s="38"/>
      <c r="AB683" s="38"/>
      <c r="AC683" s="38"/>
      <c r="AD683" s="38"/>
      <c r="AE683" s="38"/>
      <c r="AF683" s="38"/>
      <c r="AG683" s="38"/>
      <c r="AH683" s="38"/>
    </row>
    <row r="684" spans="3:34" ht="20.100000000000001" customHeight="1">
      <c r="C684" s="113"/>
      <c r="D684" s="114"/>
      <c r="P684" s="82"/>
      <c r="Q684" s="82"/>
      <c r="R684" s="38"/>
      <c r="S684" s="38"/>
      <c r="T684" s="38"/>
      <c r="U684" s="38"/>
      <c r="V684" s="38"/>
      <c r="W684" s="38"/>
      <c r="X684" s="38"/>
      <c r="Y684" s="38"/>
      <c r="Z684" s="38"/>
      <c r="AA684" s="38"/>
      <c r="AB684" s="38"/>
      <c r="AC684" s="38"/>
      <c r="AD684" s="38"/>
      <c r="AE684" s="38"/>
      <c r="AF684" s="38"/>
      <c r="AG684" s="38"/>
      <c r="AH684" s="38"/>
    </row>
    <row r="685" spans="3:34" ht="20.100000000000001" customHeight="1">
      <c r="C685" s="113"/>
      <c r="D685" s="114"/>
      <c r="P685" s="82"/>
      <c r="Q685" s="82"/>
      <c r="R685" s="38"/>
      <c r="S685" s="38"/>
      <c r="T685" s="38"/>
      <c r="U685" s="38"/>
      <c r="V685" s="38"/>
      <c r="W685" s="38"/>
      <c r="X685" s="38"/>
      <c r="Y685" s="38"/>
      <c r="Z685" s="38"/>
      <c r="AA685" s="38"/>
      <c r="AB685" s="38"/>
      <c r="AC685" s="38"/>
      <c r="AD685" s="38"/>
      <c r="AE685" s="38"/>
      <c r="AF685" s="38"/>
      <c r="AG685" s="38"/>
      <c r="AH685" s="38"/>
    </row>
    <row r="686" spans="3:34" ht="20.100000000000001" customHeight="1">
      <c r="C686" s="113"/>
      <c r="D686" s="114"/>
      <c r="P686" s="82"/>
      <c r="Q686" s="82"/>
      <c r="R686" s="38"/>
      <c r="S686" s="38"/>
      <c r="T686" s="38"/>
      <c r="U686" s="38"/>
      <c r="V686" s="38"/>
      <c r="W686" s="38"/>
      <c r="X686" s="38"/>
      <c r="Y686" s="38"/>
      <c r="Z686" s="38"/>
      <c r="AA686" s="38"/>
      <c r="AB686" s="38"/>
      <c r="AC686" s="38"/>
      <c r="AD686" s="38"/>
      <c r="AE686" s="38"/>
      <c r="AF686" s="38"/>
      <c r="AG686" s="38"/>
      <c r="AH686" s="38"/>
    </row>
    <row r="687" spans="3:34" ht="20.100000000000001" customHeight="1">
      <c r="C687" s="113"/>
      <c r="D687" s="114"/>
      <c r="P687" s="82"/>
      <c r="Q687" s="82"/>
      <c r="R687" s="38"/>
      <c r="S687" s="38"/>
      <c r="T687" s="38"/>
      <c r="U687" s="38"/>
      <c r="V687" s="38"/>
      <c r="W687" s="38"/>
      <c r="X687" s="38"/>
      <c r="Y687" s="38"/>
      <c r="Z687" s="38"/>
      <c r="AA687" s="38"/>
      <c r="AB687" s="38"/>
      <c r="AC687" s="38"/>
      <c r="AD687" s="38"/>
      <c r="AE687" s="38"/>
      <c r="AF687" s="38"/>
      <c r="AG687" s="38"/>
      <c r="AH687" s="38"/>
    </row>
    <row r="688" spans="3:34" ht="20.100000000000001" customHeight="1">
      <c r="C688" s="113"/>
      <c r="D688" s="114"/>
      <c r="P688" s="82"/>
      <c r="Q688" s="82"/>
      <c r="R688" s="38"/>
      <c r="S688" s="38"/>
      <c r="T688" s="38"/>
      <c r="U688" s="38"/>
      <c r="V688" s="38"/>
      <c r="W688" s="38"/>
      <c r="X688" s="38"/>
      <c r="Y688" s="38"/>
      <c r="Z688" s="38"/>
      <c r="AA688" s="38"/>
      <c r="AB688" s="38"/>
      <c r="AC688" s="38"/>
      <c r="AD688" s="38"/>
      <c r="AE688" s="38"/>
      <c r="AF688" s="38"/>
      <c r="AG688" s="38"/>
      <c r="AH688" s="38"/>
    </row>
    <row r="689" spans="3:34" ht="20.100000000000001" customHeight="1">
      <c r="C689" s="113"/>
      <c r="D689" s="114"/>
      <c r="P689" s="82"/>
      <c r="Q689" s="82"/>
      <c r="R689" s="38"/>
      <c r="S689" s="38"/>
      <c r="T689" s="38"/>
      <c r="U689" s="38"/>
      <c r="V689" s="38"/>
      <c r="W689" s="38"/>
      <c r="X689" s="38"/>
      <c r="Y689" s="38"/>
      <c r="Z689" s="38"/>
      <c r="AA689" s="38"/>
      <c r="AB689" s="38"/>
      <c r="AC689" s="38"/>
      <c r="AD689" s="38"/>
      <c r="AE689" s="38"/>
      <c r="AF689" s="38"/>
      <c r="AG689" s="38"/>
      <c r="AH689" s="38"/>
    </row>
    <row r="690" spans="3:34" ht="20.100000000000001" customHeight="1">
      <c r="C690" s="113"/>
      <c r="D690" s="114"/>
      <c r="P690" s="82"/>
      <c r="Q690" s="82"/>
      <c r="R690" s="38"/>
      <c r="S690" s="38"/>
      <c r="T690" s="38"/>
      <c r="U690" s="38"/>
      <c r="V690" s="38"/>
      <c r="W690" s="38"/>
      <c r="X690" s="38"/>
      <c r="Y690" s="38"/>
      <c r="Z690" s="38"/>
      <c r="AA690" s="38"/>
      <c r="AB690" s="38"/>
      <c r="AC690" s="38"/>
      <c r="AD690" s="38"/>
      <c r="AE690" s="38"/>
      <c r="AF690" s="38"/>
      <c r="AG690" s="38"/>
      <c r="AH690" s="38"/>
    </row>
    <row r="691" spans="3:34" ht="20.100000000000001" customHeight="1">
      <c r="C691" s="113"/>
      <c r="D691" s="114"/>
      <c r="P691" s="82"/>
      <c r="Q691" s="82"/>
      <c r="R691" s="38"/>
      <c r="S691" s="38"/>
      <c r="T691" s="38"/>
      <c r="U691" s="38"/>
      <c r="V691" s="38"/>
      <c r="W691" s="38"/>
      <c r="X691" s="38"/>
      <c r="Y691" s="38"/>
      <c r="Z691" s="38"/>
      <c r="AA691" s="38"/>
      <c r="AB691" s="38"/>
      <c r="AC691" s="38"/>
      <c r="AD691" s="38"/>
      <c r="AE691" s="38"/>
      <c r="AF691" s="38"/>
      <c r="AG691" s="38"/>
      <c r="AH691" s="38"/>
    </row>
    <row r="692" spans="3:34" ht="20.100000000000001" customHeight="1">
      <c r="C692" s="113"/>
      <c r="D692" s="114"/>
      <c r="P692" s="82"/>
      <c r="Q692" s="82"/>
      <c r="R692" s="38"/>
      <c r="S692" s="38"/>
      <c r="T692" s="38"/>
      <c r="U692" s="38"/>
      <c r="V692" s="38"/>
      <c r="W692" s="38"/>
      <c r="X692" s="38"/>
      <c r="Y692" s="38"/>
      <c r="Z692" s="38"/>
      <c r="AA692" s="38"/>
      <c r="AB692" s="38"/>
      <c r="AC692" s="38"/>
      <c r="AD692" s="38"/>
      <c r="AE692" s="38"/>
      <c r="AF692" s="38"/>
      <c r="AG692" s="38"/>
      <c r="AH692" s="38"/>
    </row>
    <row r="693" spans="3:34" ht="20.100000000000001" customHeight="1">
      <c r="C693" s="113"/>
      <c r="D693" s="114"/>
      <c r="P693" s="82"/>
      <c r="Q693" s="82"/>
      <c r="R693" s="38"/>
      <c r="S693" s="38"/>
      <c r="T693" s="38"/>
      <c r="U693" s="38"/>
      <c r="V693" s="38"/>
      <c r="W693" s="38"/>
      <c r="X693" s="38"/>
      <c r="Y693" s="38"/>
      <c r="Z693" s="38"/>
      <c r="AA693" s="38"/>
      <c r="AB693" s="38"/>
      <c r="AC693" s="38"/>
      <c r="AD693" s="38"/>
      <c r="AE693" s="38"/>
      <c r="AF693" s="38"/>
      <c r="AG693" s="38"/>
      <c r="AH693" s="38"/>
    </row>
    <row r="694" spans="3:34" ht="20.100000000000001" customHeight="1">
      <c r="C694" s="113"/>
      <c r="D694" s="114"/>
      <c r="P694" s="82"/>
      <c r="Q694" s="82"/>
      <c r="R694" s="38"/>
      <c r="S694" s="38"/>
      <c r="T694" s="38"/>
      <c r="U694" s="38"/>
      <c r="V694" s="38"/>
      <c r="W694" s="38"/>
      <c r="X694" s="38"/>
      <c r="Y694" s="38"/>
      <c r="Z694" s="38"/>
      <c r="AA694" s="38"/>
      <c r="AB694" s="38"/>
      <c r="AC694" s="38"/>
      <c r="AD694" s="38"/>
      <c r="AE694" s="38"/>
      <c r="AF694" s="38"/>
      <c r="AG694" s="38"/>
      <c r="AH694" s="38"/>
    </row>
    <row r="695" spans="3:34" ht="20.100000000000001" customHeight="1">
      <c r="C695" s="113"/>
      <c r="D695" s="114"/>
      <c r="P695" s="82"/>
      <c r="Q695" s="82"/>
      <c r="R695" s="38"/>
      <c r="S695" s="38"/>
      <c r="T695" s="38"/>
      <c r="U695" s="38"/>
      <c r="V695" s="38"/>
      <c r="W695" s="38"/>
      <c r="X695" s="38"/>
      <c r="Y695" s="38"/>
      <c r="Z695" s="38"/>
      <c r="AA695" s="38"/>
      <c r="AB695" s="38"/>
      <c r="AC695" s="38"/>
      <c r="AD695" s="38"/>
      <c r="AE695" s="38"/>
      <c r="AF695" s="38"/>
      <c r="AG695" s="38"/>
      <c r="AH695" s="38"/>
    </row>
    <row r="696" spans="3:34" ht="20.100000000000001" customHeight="1">
      <c r="C696" s="113"/>
      <c r="D696" s="114"/>
      <c r="P696" s="82"/>
      <c r="Q696" s="82"/>
      <c r="R696" s="38"/>
      <c r="S696" s="38"/>
      <c r="T696" s="38"/>
      <c r="U696" s="38"/>
      <c r="V696" s="38"/>
      <c r="W696" s="38"/>
      <c r="X696" s="38"/>
      <c r="Y696" s="38"/>
      <c r="Z696" s="38"/>
      <c r="AA696" s="38"/>
      <c r="AB696" s="38"/>
      <c r="AC696" s="38"/>
      <c r="AD696" s="38"/>
      <c r="AE696" s="38"/>
      <c r="AF696" s="38"/>
      <c r="AG696" s="38"/>
      <c r="AH696" s="38"/>
    </row>
    <row r="697" spans="3:34" ht="20.100000000000001" customHeight="1">
      <c r="C697" s="113"/>
      <c r="D697" s="114"/>
      <c r="P697" s="82"/>
      <c r="Q697" s="82"/>
      <c r="R697" s="38"/>
      <c r="S697" s="38"/>
      <c r="T697" s="38"/>
      <c r="U697" s="38"/>
      <c r="V697" s="38"/>
      <c r="W697" s="38"/>
      <c r="X697" s="38"/>
      <c r="Y697" s="38"/>
      <c r="Z697" s="38"/>
      <c r="AA697" s="38"/>
      <c r="AB697" s="38"/>
      <c r="AC697" s="38"/>
      <c r="AD697" s="38"/>
      <c r="AE697" s="38"/>
      <c r="AF697" s="38"/>
      <c r="AG697" s="38"/>
      <c r="AH697" s="38"/>
    </row>
    <row r="698" spans="3:34" ht="20.100000000000001" customHeight="1">
      <c r="C698" s="113"/>
      <c r="D698" s="114"/>
      <c r="P698" s="82"/>
      <c r="Q698" s="82"/>
      <c r="R698" s="38"/>
      <c r="S698" s="38"/>
      <c r="T698" s="38"/>
      <c r="U698" s="38"/>
      <c r="V698" s="38"/>
      <c r="W698" s="38"/>
      <c r="X698" s="38"/>
      <c r="Y698" s="38"/>
      <c r="Z698" s="38"/>
      <c r="AA698" s="38"/>
      <c r="AB698" s="38"/>
      <c r="AC698" s="38"/>
      <c r="AD698" s="38"/>
      <c r="AE698" s="38"/>
      <c r="AF698" s="38"/>
      <c r="AG698" s="38"/>
      <c r="AH698" s="38"/>
    </row>
    <row r="699" spans="3:34" ht="20.100000000000001" customHeight="1">
      <c r="C699" s="113"/>
      <c r="D699" s="114"/>
      <c r="P699" s="82"/>
      <c r="Q699" s="82"/>
      <c r="R699" s="38"/>
      <c r="S699" s="38"/>
      <c r="T699" s="38"/>
      <c r="U699" s="38"/>
      <c r="V699" s="38"/>
      <c r="W699" s="38"/>
      <c r="X699" s="38"/>
      <c r="Y699" s="38"/>
      <c r="Z699" s="38"/>
      <c r="AA699" s="38"/>
      <c r="AB699" s="38"/>
      <c r="AC699" s="38"/>
      <c r="AD699" s="38"/>
      <c r="AE699" s="38"/>
      <c r="AF699" s="38"/>
      <c r="AG699" s="38"/>
      <c r="AH699" s="38"/>
    </row>
    <row r="700" spans="3:34" ht="20.100000000000001" customHeight="1">
      <c r="C700" s="113"/>
      <c r="D700" s="114"/>
      <c r="P700" s="82"/>
      <c r="Q700" s="82"/>
      <c r="R700" s="38"/>
      <c r="S700" s="38"/>
      <c r="T700" s="38"/>
      <c r="U700" s="38"/>
      <c r="V700" s="38"/>
      <c r="W700" s="38"/>
      <c r="X700" s="38"/>
      <c r="Y700" s="38"/>
      <c r="Z700" s="38"/>
      <c r="AA700" s="38"/>
      <c r="AB700" s="38"/>
      <c r="AC700" s="38"/>
      <c r="AD700" s="38"/>
      <c r="AE700" s="38"/>
      <c r="AF700" s="38"/>
      <c r="AG700" s="38"/>
      <c r="AH700" s="38"/>
    </row>
    <row r="701" spans="3:34" ht="20.100000000000001" customHeight="1">
      <c r="C701" s="113"/>
      <c r="D701" s="114"/>
      <c r="P701" s="82"/>
      <c r="Q701" s="82"/>
      <c r="R701" s="38"/>
      <c r="S701" s="38"/>
      <c r="T701" s="38"/>
      <c r="U701" s="38"/>
      <c r="V701" s="38"/>
      <c r="W701" s="38"/>
      <c r="X701" s="38"/>
      <c r="Y701" s="38"/>
      <c r="Z701" s="38"/>
      <c r="AA701" s="38"/>
      <c r="AB701" s="38"/>
      <c r="AC701" s="38"/>
      <c r="AD701" s="38"/>
      <c r="AE701" s="38"/>
      <c r="AF701" s="38"/>
      <c r="AG701" s="38"/>
      <c r="AH701" s="38"/>
    </row>
    <row r="702" spans="3:34" ht="20.100000000000001" customHeight="1">
      <c r="C702" s="113"/>
      <c r="D702" s="114"/>
      <c r="P702" s="82"/>
      <c r="Q702" s="82"/>
      <c r="R702" s="38"/>
      <c r="S702" s="38"/>
      <c r="T702" s="38"/>
      <c r="U702" s="38"/>
      <c r="V702" s="38"/>
      <c r="W702" s="38"/>
      <c r="X702" s="38"/>
      <c r="Y702" s="38"/>
      <c r="Z702" s="38"/>
      <c r="AA702" s="38"/>
      <c r="AB702" s="38"/>
      <c r="AC702" s="38"/>
      <c r="AD702" s="38"/>
      <c r="AE702" s="38"/>
      <c r="AF702" s="38"/>
      <c r="AG702" s="38"/>
      <c r="AH702" s="38"/>
    </row>
    <row r="703" spans="3:34" ht="20.100000000000001" customHeight="1">
      <c r="C703" s="113"/>
      <c r="D703" s="114"/>
      <c r="P703" s="82"/>
      <c r="Q703" s="82"/>
      <c r="R703" s="38"/>
      <c r="S703" s="38"/>
      <c r="T703" s="38"/>
      <c r="U703" s="38"/>
      <c r="V703" s="38"/>
      <c r="W703" s="38"/>
      <c r="X703" s="38"/>
      <c r="Y703" s="38"/>
      <c r="Z703" s="38"/>
      <c r="AA703" s="38"/>
      <c r="AB703" s="38"/>
      <c r="AC703" s="38"/>
      <c r="AD703" s="38"/>
      <c r="AE703" s="38"/>
      <c r="AF703" s="38"/>
      <c r="AG703" s="38"/>
      <c r="AH703" s="38"/>
    </row>
    <row r="704" spans="3:34" ht="20.100000000000001" customHeight="1">
      <c r="C704" s="113"/>
      <c r="D704" s="114"/>
      <c r="P704" s="82"/>
      <c r="Q704" s="82"/>
      <c r="R704" s="38"/>
      <c r="S704" s="38"/>
      <c r="T704" s="38"/>
      <c r="U704" s="38"/>
      <c r="V704" s="38"/>
      <c r="W704" s="38"/>
      <c r="X704" s="38"/>
      <c r="Y704" s="38"/>
      <c r="Z704" s="38"/>
      <c r="AA704" s="38"/>
      <c r="AB704" s="38"/>
      <c r="AC704" s="38"/>
      <c r="AD704" s="38"/>
      <c r="AE704" s="38"/>
      <c r="AF704" s="38"/>
      <c r="AG704" s="38"/>
      <c r="AH704" s="38"/>
    </row>
    <row r="705" spans="3:34" ht="20.100000000000001" customHeight="1">
      <c r="C705" s="113"/>
      <c r="D705" s="114"/>
      <c r="P705" s="82"/>
      <c r="Q705" s="82"/>
      <c r="R705" s="38"/>
      <c r="S705" s="38"/>
      <c r="T705" s="38"/>
      <c r="U705" s="38"/>
      <c r="V705" s="38"/>
      <c r="W705" s="38"/>
      <c r="X705" s="38"/>
      <c r="Y705" s="38"/>
      <c r="Z705" s="38"/>
      <c r="AA705" s="38"/>
      <c r="AB705" s="38"/>
      <c r="AC705" s="38"/>
      <c r="AD705" s="38"/>
      <c r="AE705" s="38"/>
      <c r="AF705" s="38"/>
      <c r="AG705" s="38"/>
      <c r="AH705" s="38"/>
    </row>
    <row r="706" spans="3:34" ht="20.100000000000001" customHeight="1">
      <c r="C706" s="113"/>
      <c r="D706" s="114"/>
      <c r="P706" s="82"/>
      <c r="Q706" s="82"/>
      <c r="R706" s="38"/>
      <c r="S706" s="38"/>
      <c r="T706" s="38"/>
      <c r="U706" s="38"/>
      <c r="V706" s="38"/>
      <c r="W706" s="38"/>
      <c r="X706" s="38"/>
      <c r="Y706" s="38"/>
      <c r="Z706" s="38"/>
      <c r="AA706" s="38"/>
      <c r="AB706" s="38"/>
      <c r="AC706" s="38"/>
      <c r="AD706" s="38"/>
      <c r="AE706" s="38"/>
      <c r="AF706" s="38"/>
      <c r="AG706" s="38"/>
      <c r="AH706" s="38"/>
    </row>
    <row r="707" spans="3:34" ht="20.100000000000001" customHeight="1">
      <c r="C707" s="113"/>
      <c r="D707" s="114"/>
      <c r="P707" s="82"/>
      <c r="Q707" s="82"/>
      <c r="R707" s="38"/>
      <c r="S707" s="38"/>
      <c r="T707" s="38"/>
      <c r="U707" s="38"/>
      <c r="V707" s="38"/>
      <c r="W707" s="38"/>
      <c r="X707" s="38"/>
      <c r="Y707" s="38"/>
      <c r="Z707" s="38"/>
      <c r="AA707" s="38"/>
      <c r="AB707" s="38"/>
      <c r="AC707" s="38"/>
      <c r="AD707" s="38"/>
      <c r="AE707" s="38"/>
      <c r="AF707" s="38"/>
      <c r="AG707" s="38"/>
      <c r="AH707" s="38"/>
    </row>
    <row r="708" spans="3:34" ht="20.100000000000001" customHeight="1">
      <c r="C708" s="113"/>
      <c r="D708" s="114"/>
      <c r="P708" s="82"/>
      <c r="Q708" s="82"/>
      <c r="R708" s="38"/>
      <c r="S708" s="38"/>
      <c r="T708" s="38"/>
      <c r="U708" s="38"/>
      <c r="V708" s="38"/>
      <c r="W708" s="38"/>
      <c r="X708" s="38"/>
      <c r="Y708" s="38"/>
      <c r="Z708" s="38"/>
      <c r="AA708" s="38"/>
      <c r="AB708" s="38"/>
      <c r="AC708" s="38"/>
      <c r="AD708" s="38"/>
      <c r="AE708" s="38"/>
      <c r="AF708" s="38"/>
      <c r="AG708" s="38"/>
      <c r="AH708" s="38"/>
    </row>
    <row r="709" spans="3:34" ht="20.100000000000001" customHeight="1">
      <c r="C709" s="113"/>
      <c r="D709" s="114"/>
      <c r="P709" s="82"/>
      <c r="Q709" s="82"/>
      <c r="R709" s="38"/>
      <c r="S709" s="38"/>
      <c r="T709" s="38"/>
      <c r="U709" s="38"/>
      <c r="V709" s="38"/>
      <c r="W709" s="38"/>
      <c r="X709" s="38"/>
      <c r="Y709" s="38"/>
      <c r="Z709" s="38"/>
      <c r="AA709" s="38"/>
      <c r="AB709" s="38"/>
      <c r="AC709" s="38"/>
      <c r="AD709" s="38"/>
      <c r="AE709" s="38"/>
      <c r="AF709" s="38"/>
      <c r="AG709" s="38"/>
      <c r="AH709" s="38"/>
    </row>
    <row r="710" spans="3:34" ht="20.100000000000001" customHeight="1">
      <c r="C710" s="113"/>
      <c r="D710" s="114"/>
      <c r="P710" s="82"/>
      <c r="Q710" s="82"/>
      <c r="R710" s="38"/>
      <c r="S710" s="38"/>
      <c r="T710" s="38"/>
      <c r="U710" s="38"/>
      <c r="V710" s="38"/>
      <c r="W710" s="38"/>
      <c r="X710" s="38"/>
      <c r="Y710" s="38"/>
      <c r="Z710" s="38"/>
      <c r="AA710" s="38"/>
      <c r="AB710" s="38"/>
      <c r="AC710" s="38"/>
      <c r="AD710" s="38"/>
      <c r="AE710" s="38"/>
      <c r="AF710" s="38"/>
      <c r="AG710" s="38"/>
      <c r="AH710" s="38"/>
    </row>
    <row r="711" spans="3:34" ht="20.100000000000001" customHeight="1">
      <c r="C711" s="113"/>
      <c r="D711" s="114"/>
      <c r="P711" s="82"/>
      <c r="Q711" s="82"/>
      <c r="R711" s="38"/>
      <c r="S711" s="38"/>
      <c r="T711" s="38"/>
      <c r="U711" s="38"/>
      <c r="V711" s="38"/>
      <c r="W711" s="38"/>
      <c r="X711" s="38"/>
      <c r="Y711" s="38"/>
      <c r="Z711" s="38"/>
      <c r="AA711" s="38"/>
      <c r="AB711" s="38"/>
      <c r="AC711" s="38"/>
      <c r="AD711" s="38"/>
      <c r="AE711" s="38"/>
      <c r="AF711" s="38"/>
      <c r="AG711" s="38"/>
      <c r="AH711" s="38"/>
    </row>
    <row r="712" spans="3:34" ht="20.100000000000001" customHeight="1">
      <c r="C712" s="113"/>
      <c r="D712" s="114"/>
      <c r="P712" s="82"/>
      <c r="Q712" s="82"/>
      <c r="R712" s="38"/>
      <c r="S712" s="38"/>
      <c r="T712" s="38"/>
      <c r="U712" s="38"/>
      <c r="V712" s="38"/>
      <c r="W712" s="38"/>
      <c r="X712" s="38"/>
      <c r="Y712" s="38"/>
      <c r="Z712" s="38"/>
      <c r="AA712" s="38"/>
      <c r="AB712" s="38"/>
      <c r="AC712" s="38"/>
      <c r="AD712" s="38"/>
      <c r="AE712" s="38"/>
      <c r="AF712" s="38"/>
      <c r="AG712" s="38"/>
      <c r="AH712" s="38"/>
    </row>
    <row r="713" spans="3:34" ht="20.100000000000001" customHeight="1">
      <c r="C713" s="113"/>
      <c r="D713" s="114"/>
      <c r="P713" s="82"/>
      <c r="Q713" s="82"/>
      <c r="R713" s="38"/>
      <c r="S713" s="38"/>
      <c r="T713" s="38"/>
      <c r="U713" s="38"/>
      <c r="V713" s="38"/>
      <c r="W713" s="38"/>
      <c r="X713" s="38"/>
      <c r="Y713" s="38"/>
      <c r="Z713" s="38"/>
      <c r="AA713" s="38"/>
      <c r="AB713" s="38"/>
      <c r="AC713" s="38"/>
      <c r="AD713" s="38"/>
      <c r="AE713" s="38"/>
      <c r="AF713" s="38"/>
      <c r="AG713" s="38"/>
      <c r="AH713" s="38"/>
    </row>
    <row r="714" spans="3:34" ht="20.100000000000001" customHeight="1">
      <c r="C714" s="113"/>
      <c r="D714" s="114"/>
      <c r="P714" s="82"/>
      <c r="Q714" s="82"/>
      <c r="R714" s="38"/>
      <c r="S714" s="38"/>
      <c r="T714" s="38"/>
      <c r="U714" s="38"/>
      <c r="V714" s="38"/>
      <c r="W714" s="38"/>
      <c r="X714" s="38"/>
      <c r="Y714" s="38"/>
      <c r="Z714" s="38"/>
      <c r="AA714" s="38"/>
      <c r="AB714" s="38"/>
      <c r="AC714" s="38"/>
      <c r="AD714" s="38"/>
      <c r="AE714" s="38"/>
      <c r="AF714" s="38"/>
      <c r="AG714" s="38"/>
      <c r="AH714" s="38"/>
    </row>
    <row r="715" spans="3:34" ht="20.100000000000001" customHeight="1">
      <c r="C715" s="113"/>
      <c r="D715" s="114"/>
      <c r="P715" s="82"/>
      <c r="Q715" s="82"/>
      <c r="R715" s="38"/>
      <c r="S715" s="38"/>
      <c r="T715" s="38"/>
      <c r="U715" s="38"/>
      <c r="V715" s="38"/>
      <c r="W715" s="38"/>
      <c r="X715" s="38"/>
      <c r="Y715" s="38"/>
      <c r="Z715" s="38"/>
      <c r="AA715" s="38"/>
      <c r="AB715" s="38"/>
      <c r="AC715" s="38"/>
      <c r="AD715" s="38"/>
      <c r="AE715" s="38"/>
      <c r="AF715" s="38"/>
      <c r="AG715" s="38"/>
      <c r="AH715" s="38"/>
    </row>
    <row r="716" spans="3:34" ht="20.100000000000001" customHeight="1">
      <c r="C716" s="113"/>
      <c r="D716" s="114"/>
      <c r="P716" s="82"/>
      <c r="Q716" s="82"/>
      <c r="R716" s="38"/>
      <c r="S716" s="38"/>
      <c r="T716" s="38"/>
      <c r="U716" s="38"/>
      <c r="V716" s="38"/>
      <c r="W716" s="38"/>
      <c r="X716" s="38"/>
      <c r="Y716" s="38"/>
      <c r="Z716" s="38"/>
      <c r="AA716" s="38"/>
      <c r="AB716" s="38"/>
      <c r="AC716" s="38"/>
      <c r="AD716" s="38"/>
      <c r="AE716" s="38"/>
      <c r="AF716" s="38"/>
      <c r="AG716" s="38"/>
      <c r="AH716" s="38"/>
    </row>
    <row r="717" spans="3:34" ht="20.100000000000001" customHeight="1">
      <c r="C717" s="113"/>
      <c r="D717" s="114"/>
      <c r="P717" s="82"/>
      <c r="Q717" s="82"/>
      <c r="R717" s="38"/>
      <c r="S717" s="38"/>
      <c r="T717" s="38"/>
      <c r="U717" s="38"/>
      <c r="V717" s="38"/>
      <c r="W717" s="38"/>
      <c r="X717" s="38"/>
      <c r="Y717" s="38"/>
      <c r="Z717" s="38"/>
      <c r="AA717" s="38"/>
      <c r="AB717" s="38"/>
      <c r="AC717" s="38"/>
      <c r="AD717" s="38"/>
      <c r="AE717" s="38"/>
      <c r="AF717" s="38"/>
      <c r="AG717" s="38"/>
      <c r="AH717" s="38"/>
    </row>
    <row r="718" spans="3:34" ht="20.100000000000001" customHeight="1">
      <c r="C718" s="113"/>
      <c r="D718" s="114"/>
      <c r="P718" s="82"/>
      <c r="Q718" s="82"/>
      <c r="R718" s="38"/>
      <c r="S718" s="38"/>
      <c r="T718" s="38"/>
      <c r="U718" s="38"/>
      <c r="V718" s="38"/>
      <c r="W718" s="38"/>
      <c r="X718" s="38"/>
      <c r="Y718" s="38"/>
      <c r="Z718" s="38"/>
      <c r="AA718" s="38"/>
      <c r="AB718" s="38"/>
      <c r="AC718" s="38"/>
      <c r="AD718" s="38"/>
      <c r="AE718" s="38"/>
      <c r="AF718" s="38"/>
      <c r="AG718" s="38"/>
      <c r="AH718" s="38"/>
    </row>
    <row r="719" spans="3:34" ht="20.100000000000001" customHeight="1">
      <c r="C719" s="113"/>
      <c r="D719" s="114"/>
      <c r="P719" s="82"/>
      <c r="Q719" s="82"/>
      <c r="R719" s="38"/>
      <c r="S719" s="38"/>
      <c r="T719" s="38"/>
      <c r="U719" s="38"/>
      <c r="V719" s="38"/>
      <c r="W719" s="38"/>
      <c r="X719" s="38"/>
      <c r="Y719" s="38"/>
      <c r="Z719" s="38"/>
      <c r="AA719" s="38"/>
      <c r="AB719" s="38"/>
      <c r="AC719" s="38"/>
      <c r="AD719" s="38"/>
      <c r="AE719" s="38"/>
      <c r="AF719" s="38"/>
      <c r="AG719" s="38"/>
      <c r="AH719" s="38"/>
    </row>
    <row r="720" spans="3:34" ht="20.100000000000001" customHeight="1">
      <c r="C720" s="113"/>
      <c r="D720" s="114"/>
      <c r="P720" s="82"/>
      <c r="Q720" s="82"/>
      <c r="R720" s="38"/>
      <c r="S720" s="38"/>
      <c r="T720" s="38"/>
      <c r="U720" s="38"/>
      <c r="V720" s="38"/>
      <c r="W720" s="38"/>
      <c r="X720" s="38"/>
      <c r="Y720" s="38"/>
      <c r="Z720" s="38"/>
      <c r="AA720" s="38"/>
      <c r="AB720" s="38"/>
      <c r="AC720" s="38"/>
      <c r="AD720" s="38"/>
      <c r="AE720" s="38"/>
      <c r="AF720" s="38"/>
      <c r="AG720" s="38"/>
      <c r="AH720" s="38"/>
    </row>
    <row r="721" spans="3:34" ht="20.100000000000001" customHeight="1">
      <c r="C721" s="113"/>
      <c r="D721" s="114"/>
      <c r="P721" s="82"/>
      <c r="Q721" s="82"/>
      <c r="R721" s="38"/>
      <c r="S721" s="38"/>
      <c r="T721" s="38"/>
      <c r="U721" s="38"/>
      <c r="V721" s="38"/>
      <c r="W721" s="38"/>
      <c r="X721" s="38"/>
      <c r="Y721" s="38"/>
      <c r="Z721" s="38"/>
      <c r="AA721" s="38"/>
      <c r="AB721" s="38"/>
      <c r="AC721" s="38"/>
      <c r="AD721" s="38"/>
      <c r="AE721" s="38"/>
      <c r="AF721" s="38"/>
      <c r="AG721" s="38"/>
      <c r="AH721" s="38"/>
    </row>
    <row r="722" spans="3:34" ht="20.100000000000001" customHeight="1">
      <c r="C722" s="113"/>
      <c r="D722" s="114"/>
      <c r="P722" s="82"/>
      <c r="Q722" s="82"/>
      <c r="R722" s="38"/>
      <c r="S722" s="38"/>
      <c r="T722" s="38"/>
      <c r="U722" s="38"/>
      <c r="V722" s="38"/>
      <c r="W722" s="38"/>
      <c r="X722" s="38"/>
      <c r="Y722" s="38"/>
      <c r="Z722" s="38"/>
      <c r="AA722" s="38"/>
      <c r="AB722" s="38"/>
      <c r="AC722" s="38"/>
      <c r="AD722" s="38"/>
      <c r="AE722" s="38"/>
      <c r="AF722" s="38"/>
      <c r="AG722" s="38"/>
      <c r="AH722" s="38"/>
    </row>
    <row r="723" spans="3:34" ht="20.100000000000001" customHeight="1">
      <c r="C723" s="113"/>
      <c r="D723" s="114"/>
      <c r="P723" s="82"/>
      <c r="Q723" s="82"/>
      <c r="R723" s="38"/>
      <c r="S723" s="38"/>
      <c r="T723" s="38"/>
      <c r="U723" s="38"/>
      <c r="V723" s="38"/>
      <c r="W723" s="38"/>
      <c r="X723" s="38"/>
      <c r="Y723" s="38"/>
      <c r="Z723" s="38"/>
      <c r="AA723" s="38"/>
      <c r="AB723" s="38"/>
      <c r="AC723" s="38"/>
      <c r="AD723" s="38"/>
      <c r="AE723" s="38"/>
      <c r="AF723" s="38"/>
      <c r="AG723" s="38"/>
      <c r="AH723" s="38"/>
    </row>
    <row r="724" spans="3:34" ht="20.100000000000001" customHeight="1">
      <c r="C724" s="113"/>
      <c r="D724" s="114"/>
      <c r="P724" s="82"/>
      <c r="Q724" s="82"/>
      <c r="R724" s="38"/>
      <c r="S724" s="38"/>
      <c r="T724" s="38"/>
      <c r="U724" s="38"/>
      <c r="V724" s="38"/>
      <c r="W724" s="38"/>
      <c r="X724" s="38"/>
      <c r="Y724" s="38"/>
      <c r="Z724" s="38"/>
      <c r="AA724" s="38"/>
      <c r="AB724" s="38"/>
      <c r="AC724" s="38"/>
      <c r="AD724" s="38"/>
      <c r="AE724" s="38"/>
      <c r="AF724" s="38"/>
      <c r="AG724" s="38"/>
      <c r="AH724" s="38"/>
    </row>
    <row r="725" spans="3:34" ht="20.100000000000001" customHeight="1">
      <c r="C725" s="113"/>
      <c r="D725" s="114"/>
      <c r="P725" s="82"/>
      <c r="Q725" s="82"/>
      <c r="R725" s="38"/>
      <c r="S725" s="38"/>
      <c r="T725" s="38"/>
      <c r="U725" s="38"/>
      <c r="V725" s="38"/>
      <c r="W725" s="38"/>
      <c r="X725" s="38"/>
      <c r="Y725" s="38"/>
      <c r="Z725" s="38"/>
      <c r="AA725" s="38"/>
      <c r="AB725" s="38"/>
      <c r="AC725" s="38"/>
      <c r="AD725" s="38"/>
      <c r="AE725" s="38"/>
      <c r="AF725" s="38"/>
      <c r="AG725" s="38"/>
      <c r="AH725" s="38"/>
    </row>
    <row r="726" spans="3:34" ht="20.100000000000001" customHeight="1">
      <c r="C726" s="113"/>
      <c r="D726" s="114"/>
      <c r="P726" s="82"/>
      <c r="Q726" s="82"/>
      <c r="R726" s="38"/>
      <c r="S726" s="38"/>
      <c r="T726" s="38"/>
      <c r="U726" s="38"/>
      <c r="V726" s="38"/>
      <c r="W726" s="38"/>
      <c r="X726" s="38"/>
      <c r="Y726" s="38"/>
      <c r="Z726" s="38"/>
      <c r="AA726" s="38"/>
      <c r="AB726" s="38"/>
      <c r="AC726" s="38"/>
      <c r="AD726" s="38"/>
      <c r="AE726" s="38"/>
      <c r="AF726" s="38"/>
      <c r="AG726" s="38"/>
      <c r="AH726" s="38"/>
    </row>
    <row r="727" spans="3:34" ht="20.100000000000001" customHeight="1">
      <c r="C727" s="113"/>
      <c r="D727" s="114"/>
      <c r="P727" s="82"/>
      <c r="Q727" s="82"/>
      <c r="R727" s="38"/>
      <c r="S727" s="38"/>
      <c r="T727" s="38"/>
      <c r="U727" s="38"/>
      <c r="V727" s="38"/>
      <c r="W727" s="38"/>
      <c r="X727" s="38"/>
      <c r="Y727" s="38"/>
      <c r="Z727" s="38"/>
      <c r="AA727" s="38"/>
      <c r="AB727" s="38"/>
      <c r="AC727" s="38"/>
      <c r="AD727" s="38"/>
      <c r="AE727" s="38"/>
      <c r="AF727" s="38"/>
      <c r="AG727" s="38"/>
      <c r="AH727" s="38"/>
    </row>
    <row r="728" spans="3:34" ht="20.100000000000001" customHeight="1">
      <c r="C728" s="113"/>
      <c r="D728" s="114"/>
      <c r="P728" s="82"/>
      <c r="Q728" s="82"/>
      <c r="R728" s="38"/>
      <c r="S728" s="38"/>
      <c r="T728" s="38"/>
      <c r="U728" s="38"/>
      <c r="V728" s="38"/>
      <c r="W728" s="38"/>
      <c r="X728" s="38"/>
      <c r="Y728" s="38"/>
      <c r="Z728" s="38"/>
      <c r="AA728" s="38"/>
      <c r="AB728" s="38"/>
      <c r="AC728" s="38"/>
      <c r="AD728" s="38"/>
      <c r="AE728" s="38"/>
      <c r="AF728" s="38"/>
      <c r="AG728" s="38"/>
      <c r="AH728" s="38"/>
    </row>
    <row r="729" spans="3:34" ht="20.100000000000001" customHeight="1">
      <c r="C729" s="113"/>
      <c r="D729" s="114"/>
      <c r="P729" s="82"/>
      <c r="Q729" s="82"/>
      <c r="R729" s="38"/>
      <c r="S729" s="38"/>
      <c r="T729" s="38"/>
      <c r="U729" s="38"/>
      <c r="V729" s="38"/>
      <c r="W729" s="38"/>
      <c r="X729" s="38"/>
      <c r="Y729" s="38"/>
      <c r="Z729" s="38"/>
      <c r="AA729" s="38"/>
      <c r="AB729" s="38"/>
      <c r="AC729" s="38"/>
      <c r="AD729" s="38"/>
      <c r="AE729" s="38"/>
      <c r="AF729" s="38"/>
      <c r="AG729" s="38"/>
      <c r="AH729" s="38"/>
    </row>
    <row r="730" spans="3:34" ht="20.100000000000001" customHeight="1">
      <c r="C730" s="113"/>
      <c r="D730" s="114"/>
      <c r="P730" s="82"/>
      <c r="Q730" s="82"/>
      <c r="R730" s="38"/>
      <c r="S730" s="38"/>
      <c r="T730" s="38"/>
      <c r="U730" s="38"/>
      <c r="V730" s="38"/>
      <c r="W730" s="38"/>
      <c r="X730" s="38"/>
      <c r="Y730" s="38"/>
      <c r="Z730" s="38"/>
      <c r="AA730" s="38"/>
      <c r="AB730" s="38"/>
      <c r="AC730" s="38"/>
      <c r="AD730" s="38"/>
      <c r="AE730" s="38"/>
      <c r="AF730" s="38"/>
      <c r="AG730" s="38"/>
      <c r="AH730" s="38"/>
    </row>
    <row r="731" spans="3:34" ht="20.100000000000001" customHeight="1">
      <c r="C731" s="113"/>
      <c r="D731" s="114"/>
      <c r="P731" s="82"/>
      <c r="Q731" s="82"/>
      <c r="R731" s="38"/>
      <c r="S731" s="38"/>
      <c r="T731" s="38"/>
      <c r="U731" s="38"/>
      <c r="V731" s="38"/>
      <c r="W731" s="38"/>
      <c r="X731" s="38"/>
      <c r="Y731" s="38"/>
      <c r="Z731" s="38"/>
      <c r="AA731" s="38"/>
      <c r="AB731" s="38"/>
      <c r="AC731" s="38"/>
      <c r="AD731" s="38"/>
      <c r="AE731" s="38"/>
      <c r="AF731" s="38"/>
      <c r="AG731" s="38"/>
      <c r="AH731" s="38"/>
    </row>
    <row r="732" spans="3:34" ht="20.100000000000001" customHeight="1">
      <c r="C732" s="113"/>
      <c r="D732" s="114"/>
      <c r="P732" s="82"/>
      <c r="Q732" s="82"/>
      <c r="R732" s="38"/>
      <c r="S732" s="38"/>
      <c r="T732" s="38"/>
      <c r="U732" s="38"/>
      <c r="V732" s="38"/>
      <c r="W732" s="38"/>
      <c r="X732" s="38"/>
      <c r="Y732" s="38"/>
      <c r="Z732" s="38"/>
      <c r="AA732" s="38"/>
      <c r="AB732" s="38"/>
      <c r="AC732" s="38"/>
      <c r="AD732" s="38"/>
      <c r="AE732" s="38"/>
      <c r="AF732" s="38"/>
      <c r="AG732" s="38"/>
      <c r="AH732" s="38"/>
    </row>
    <row r="733" spans="3:34" ht="20.100000000000001" customHeight="1">
      <c r="C733" s="113"/>
      <c r="D733" s="114"/>
      <c r="P733" s="82"/>
      <c r="Q733" s="82"/>
      <c r="R733" s="38"/>
      <c r="S733" s="38"/>
      <c r="T733" s="38"/>
      <c r="U733" s="38"/>
      <c r="V733" s="38"/>
      <c r="W733" s="38"/>
      <c r="X733" s="38"/>
      <c r="Y733" s="38"/>
      <c r="Z733" s="38"/>
      <c r="AA733" s="38"/>
      <c r="AB733" s="38"/>
      <c r="AC733" s="38"/>
      <c r="AD733" s="38"/>
      <c r="AE733" s="38"/>
      <c r="AF733" s="38"/>
      <c r="AG733" s="38"/>
      <c r="AH733" s="38"/>
    </row>
    <row r="734" spans="3:34" ht="20.100000000000001" customHeight="1">
      <c r="C734" s="113"/>
      <c r="D734" s="114"/>
      <c r="P734" s="82"/>
      <c r="Q734" s="82"/>
      <c r="R734" s="38"/>
      <c r="S734" s="38"/>
      <c r="T734" s="38"/>
      <c r="U734" s="38"/>
      <c r="V734" s="38"/>
      <c r="W734" s="38"/>
      <c r="X734" s="38"/>
      <c r="Y734" s="38"/>
      <c r="Z734" s="38"/>
      <c r="AA734" s="38"/>
      <c r="AB734" s="38"/>
      <c r="AC734" s="38"/>
      <c r="AD734" s="38"/>
      <c r="AE734" s="38"/>
      <c r="AF734" s="38"/>
      <c r="AG734" s="38"/>
      <c r="AH734" s="38"/>
    </row>
    <row r="735" spans="3:34" ht="20.100000000000001" customHeight="1">
      <c r="C735" s="113"/>
      <c r="D735" s="114"/>
      <c r="P735" s="82"/>
      <c r="Q735" s="82"/>
      <c r="R735" s="38"/>
      <c r="S735" s="38"/>
      <c r="T735" s="38"/>
      <c r="U735" s="38"/>
      <c r="V735" s="38"/>
      <c r="W735" s="38"/>
      <c r="X735" s="38"/>
      <c r="Y735" s="38"/>
      <c r="Z735" s="38"/>
      <c r="AA735" s="38"/>
      <c r="AB735" s="38"/>
      <c r="AC735" s="38"/>
      <c r="AD735" s="38"/>
      <c r="AE735" s="38"/>
      <c r="AF735" s="38"/>
      <c r="AG735" s="38"/>
      <c r="AH735" s="38"/>
    </row>
    <row r="736" spans="3:34" ht="20.100000000000001" customHeight="1">
      <c r="C736" s="113"/>
      <c r="D736" s="114"/>
      <c r="P736" s="82"/>
      <c r="Q736" s="82"/>
      <c r="R736" s="38"/>
      <c r="S736" s="38"/>
      <c r="T736" s="38"/>
      <c r="U736" s="38"/>
      <c r="V736" s="38"/>
      <c r="W736" s="38"/>
      <c r="X736" s="38"/>
      <c r="Y736" s="38"/>
      <c r="Z736" s="38"/>
      <c r="AA736" s="38"/>
      <c r="AB736" s="38"/>
      <c r="AC736" s="38"/>
      <c r="AD736" s="38"/>
      <c r="AE736" s="38"/>
      <c r="AF736" s="38"/>
      <c r="AG736" s="38"/>
      <c r="AH736" s="38"/>
    </row>
    <row r="737" spans="3:34" ht="20.100000000000001" customHeight="1">
      <c r="C737" s="113"/>
      <c r="D737" s="114"/>
      <c r="P737" s="82"/>
      <c r="Q737" s="82"/>
      <c r="R737" s="38"/>
      <c r="S737" s="38"/>
      <c r="T737" s="38"/>
      <c r="U737" s="38"/>
      <c r="V737" s="38"/>
      <c r="W737" s="38"/>
      <c r="X737" s="38"/>
      <c r="Y737" s="38"/>
      <c r="Z737" s="38"/>
      <c r="AA737" s="38"/>
      <c r="AB737" s="38"/>
      <c r="AC737" s="38"/>
      <c r="AD737" s="38"/>
      <c r="AE737" s="38"/>
      <c r="AF737" s="38"/>
      <c r="AG737" s="38"/>
      <c r="AH737" s="38"/>
    </row>
    <row r="738" spans="3:34" ht="20.100000000000001" customHeight="1">
      <c r="C738" s="113"/>
      <c r="D738" s="114"/>
      <c r="P738" s="82"/>
      <c r="Q738" s="82"/>
      <c r="R738" s="38"/>
      <c r="S738" s="38"/>
      <c r="T738" s="38"/>
      <c r="U738" s="38"/>
      <c r="V738" s="38"/>
      <c r="W738" s="38"/>
      <c r="X738" s="38"/>
      <c r="Y738" s="38"/>
      <c r="Z738" s="38"/>
      <c r="AA738" s="38"/>
      <c r="AB738" s="38"/>
      <c r="AC738" s="38"/>
      <c r="AD738" s="38"/>
      <c r="AE738" s="38"/>
      <c r="AF738" s="38"/>
      <c r="AG738" s="38"/>
      <c r="AH738" s="38"/>
    </row>
    <row r="739" spans="3:34" ht="20.100000000000001" customHeight="1">
      <c r="C739" s="113"/>
      <c r="D739" s="114"/>
      <c r="P739" s="82"/>
      <c r="Q739" s="82"/>
      <c r="R739" s="38"/>
      <c r="S739" s="38"/>
      <c r="T739" s="38"/>
      <c r="U739" s="38"/>
      <c r="V739" s="38"/>
      <c r="W739" s="38"/>
      <c r="X739" s="38"/>
      <c r="Y739" s="38"/>
      <c r="Z739" s="38"/>
      <c r="AA739" s="38"/>
      <c r="AB739" s="38"/>
      <c r="AC739" s="38"/>
      <c r="AD739" s="38"/>
      <c r="AE739" s="38"/>
      <c r="AF739" s="38"/>
      <c r="AG739" s="38"/>
      <c r="AH739" s="38"/>
    </row>
    <row r="740" spans="3:34" ht="20.100000000000001" customHeight="1">
      <c r="C740" s="113"/>
      <c r="D740" s="114"/>
      <c r="P740" s="82"/>
      <c r="Q740" s="82"/>
      <c r="R740" s="38"/>
      <c r="S740" s="38"/>
      <c r="T740" s="38"/>
      <c r="U740" s="38"/>
      <c r="V740" s="38"/>
      <c r="W740" s="38"/>
      <c r="X740" s="38"/>
      <c r="Y740" s="38"/>
      <c r="Z740" s="38"/>
      <c r="AA740" s="38"/>
      <c r="AB740" s="38"/>
      <c r="AC740" s="38"/>
      <c r="AD740" s="38"/>
      <c r="AE740" s="38"/>
      <c r="AF740" s="38"/>
      <c r="AG740" s="38"/>
      <c r="AH740" s="38"/>
    </row>
    <row r="741" spans="3:34" ht="20.100000000000001" customHeight="1">
      <c r="C741" s="113"/>
      <c r="D741" s="114"/>
      <c r="P741" s="82"/>
      <c r="Q741" s="82"/>
      <c r="R741" s="38"/>
      <c r="S741" s="38"/>
      <c r="T741" s="38"/>
      <c r="U741" s="38"/>
      <c r="V741" s="38"/>
      <c r="W741" s="38"/>
      <c r="X741" s="38"/>
      <c r="Y741" s="38"/>
      <c r="Z741" s="38"/>
      <c r="AA741" s="38"/>
      <c r="AB741" s="38"/>
      <c r="AC741" s="38"/>
      <c r="AD741" s="38"/>
      <c r="AE741" s="38"/>
      <c r="AF741" s="38"/>
      <c r="AG741" s="38"/>
      <c r="AH741" s="38"/>
    </row>
    <row r="742" spans="3:34" ht="20.100000000000001" customHeight="1">
      <c r="C742" s="113"/>
      <c r="D742" s="114"/>
      <c r="P742" s="82"/>
      <c r="Q742" s="82"/>
      <c r="R742" s="38"/>
      <c r="S742" s="38"/>
      <c r="T742" s="38"/>
      <c r="U742" s="38"/>
      <c r="V742" s="38"/>
      <c r="W742" s="38"/>
      <c r="X742" s="38"/>
      <c r="Y742" s="38"/>
      <c r="Z742" s="38"/>
      <c r="AA742" s="38"/>
      <c r="AB742" s="38"/>
      <c r="AC742" s="38"/>
      <c r="AD742" s="38"/>
      <c r="AE742" s="38"/>
      <c r="AF742" s="38"/>
      <c r="AG742" s="38"/>
      <c r="AH742" s="38"/>
    </row>
    <row r="743" spans="3:34" ht="20.100000000000001" customHeight="1">
      <c r="C743" s="113"/>
      <c r="D743" s="114"/>
      <c r="P743" s="82"/>
      <c r="Q743" s="82"/>
      <c r="R743" s="38"/>
      <c r="S743" s="38"/>
      <c r="T743" s="38"/>
      <c r="U743" s="38"/>
      <c r="V743" s="38"/>
      <c r="W743" s="38"/>
      <c r="X743" s="38"/>
      <c r="Y743" s="38"/>
      <c r="Z743" s="38"/>
      <c r="AA743" s="38"/>
      <c r="AB743" s="38"/>
      <c r="AC743" s="38"/>
      <c r="AD743" s="38"/>
      <c r="AE743" s="38"/>
      <c r="AF743" s="38"/>
      <c r="AG743" s="38"/>
      <c r="AH743" s="38"/>
    </row>
    <row r="744" spans="3:34" ht="20.100000000000001" customHeight="1">
      <c r="C744" s="113"/>
      <c r="D744" s="114"/>
      <c r="P744" s="82"/>
      <c r="Q744" s="82"/>
      <c r="R744" s="38"/>
      <c r="S744" s="38"/>
      <c r="T744" s="38"/>
      <c r="U744" s="38"/>
      <c r="V744" s="38"/>
      <c r="W744" s="38"/>
      <c r="X744" s="38"/>
      <c r="Y744" s="38"/>
      <c r="Z744" s="38"/>
      <c r="AA744" s="38"/>
      <c r="AB744" s="38"/>
      <c r="AC744" s="38"/>
      <c r="AD744" s="38"/>
      <c r="AE744" s="38"/>
      <c r="AF744" s="38"/>
      <c r="AG744" s="38"/>
      <c r="AH744" s="38"/>
    </row>
    <row r="745" spans="3:34" ht="20.100000000000001" customHeight="1">
      <c r="C745" s="113"/>
      <c r="D745" s="114"/>
      <c r="P745" s="82"/>
      <c r="Q745" s="82"/>
      <c r="R745" s="38"/>
      <c r="S745" s="38"/>
      <c r="T745" s="38"/>
      <c r="U745" s="38"/>
      <c r="V745" s="38"/>
      <c r="W745" s="38"/>
      <c r="X745" s="38"/>
      <c r="Y745" s="38"/>
      <c r="Z745" s="38"/>
      <c r="AA745" s="38"/>
      <c r="AB745" s="38"/>
      <c r="AC745" s="38"/>
      <c r="AD745" s="38"/>
      <c r="AE745" s="38"/>
      <c r="AF745" s="38"/>
      <c r="AG745" s="38"/>
      <c r="AH745" s="38"/>
    </row>
    <row r="746" spans="3:34" ht="20.100000000000001" customHeight="1">
      <c r="C746" s="113"/>
      <c r="D746" s="114"/>
      <c r="P746" s="82"/>
      <c r="Q746" s="82"/>
      <c r="R746" s="38"/>
      <c r="S746" s="38"/>
      <c r="T746" s="38"/>
      <c r="U746" s="38"/>
      <c r="V746" s="38"/>
      <c r="W746" s="38"/>
      <c r="X746" s="38"/>
      <c r="Y746" s="38"/>
      <c r="Z746" s="38"/>
      <c r="AA746" s="38"/>
      <c r="AB746" s="38"/>
      <c r="AC746" s="38"/>
      <c r="AD746" s="38"/>
      <c r="AE746" s="38"/>
      <c r="AF746" s="38"/>
      <c r="AG746" s="38"/>
      <c r="AH746" s="38"/>
    </row>
    <row r="747" spans="3:34" ht="20.100000000000001" customHeight="1">
      <c r="C747" s="113"/>
      <c r="D747" s="114"/>
      <c r="P747" s="82"/>
      <c r="Q747" s="82"/>
      <c r="R747" s="38"/>
      <c r="S747" s="38"/>
      <c r="T747" s="38"/>
      <c r="U747" s="38"/>
      <c r="V747" s="38"/>
      <c r="W747" s="38"/>
      <c r="X747" s="38"/>
      <c r="Y747" s="38"/>
      <c r="Z747" s="38"/>
      <c r="AA747" s="38"/>
      <c r="AB747" s="38"/>
      <c r="AC747" s="38"/>
      <c r="AD747" s="38"/>
      <c r="AE747" s="38"/>
      <c r="AF747" s="38"/>
      <c r="AG747" s="38"/>
      <c r="AH747" s="38"/>
    </row>
    <row r="748" spans="3:34" ht="20.100000000000001" customHeight="1">
      <c r="C748" s="113"/>
      <c r="D748" s="114"/>
      <c r="P748" s="82"/>
      <c r="Q748" s="82"/>
      <c r="R748" s="38"/>
      <c r="S748" s="38"/>
      <c r="T748" s="38"/>
      <c r="U748" s="38"/>
      <c r="V748" s="38"/>
      <c r="W748" s="38"/>
      <c r="X748" s="38"/>
      <c r="Y748" s="38"/>
      <c r="Z748" s="38"/>
      <c r="AA748" s="38"/>
      <c r="AB748" s="38"/>
      <c r="AC748" s="38"/>
      <c r="AD748" s="38"/>
      <c r="AE748" s="38"/>
      <c r="AF748" s="38"/>
      <c r="AG748" s="38"/>
      <c r="AH748" s="38"/>
    </row>
    <row r="749" spans="3:34" ht="20.100000000000001" customHeight="1">
      <c r="C749" s="113"/>
      <c r="D749" s="114"/>
      <c r="P749" s="82"/>
      <c r="Q749" s="82"/>
      <c r="R749" s="38"/>
      <c r="S749" s="38"/>
      <c r="T749" s="38"/>
      <c r="U749" s="38"/>
      <c r="V749" s="38"/>
      <c r="W749" s="38"/>
      <c r="X749" s="38"/>
      <c r="Y749" s="38"/>
      <c r="Z749" s="38"/>
      <c r="AA749" s="38"/>
      <c r="AB749" s="38"/>
      <c r="AC749" s="38"/>
      <c r="AD749" s="38"/>
      <c r="AE749" s="38"/>
      <c r="AF749" s="38"/>
      <c r="AG749" s="38"/>
      <c r="AH749" s="38"/>
    </row>
    <row r="750" spans="3:34" ht="20.100000000000001" customHeight="1">
      <c r="C750" s="113"/>
      <c r="D750" s="114"/>
      <c r="P750" s="82"/>
      <c r="Q750" s="82"/>
      <c r="R750" s="38"/>
      <c r="S750" s="38"/>
      <c r="T750" s="38"/>
      <c r="U750" s="38"/>
      <c r="V750" s="38"/>
      <c r="W750" s="38"/>
      <c r="X750" s="38"/>
      <c r="Y750" s="38"/>
      <c r="Z750" s="38"/>
      <c r="AA750" s="38"/>
      <c r="AB750" s="38"/>
      <c r="AC750" s="38"/>
      <c r="AD750" s="38"/>
      <c r="AE750" s="38"/>
      <c r="AF750" s="38"/>
      <c r="AG750" s="38"/>
      <c r="AH750" s="38"/>
    </row>
    <row r="751" spans="3:34" ht="20.100000000000001" customHeight="1">
      <c r="C751" s="113"/>
      <c r="D751" s="114"/>
      <c r="P751" s="82"/>
      <c r="Q751" s="82"/>
      <c r="R751" s="38"/>
      <c r="S751" s="38"/>
      <c r="T751" s="38"/>
      <c r="U751" s="38"/>
      <c r="V751" s="38"/>
      <c r="W751" s="38"/>
      <c r="X751" s="38"/>
      <c r="Y751" s="38"/>
      <c r="Z751" s="38"/>
      <c r="AA751" s="38"/>
      <c r="AB751" s="38"/>
      <c r="AC751" s="38"/>
      <c r="AD751" s="38"/>
      <c r="AE751" s="38"/>
      <c r="AF751" s="38"/>
      <c r="AG751" s="38"/>
      <c r="AH751" s="38"/>
    </row>
    <row r="752" spans="3:34" ht="20.100000000000001" customHeight="1">
      <c r="C752" s="113"/>
      <c r="D752" s="114"/>
      <c r="P752" s="82"/>
      <c r="Q752" s="82"/>
      <c r="R752" s="38"/>
      <c r="S752" s="38"/>
      <c r="T752" s="38"/>
      <c r="U752" s="38"/>
      <c r="V752" s="38"/>
      <c r="W752" s="38"/>
      <c r="X752" s="38"/>
      <c r="Y752" s="38"/>
      <c r="Z752" s="38"/>
      <c r="AA752" s="38"/>
      <c r="AB752" s="38"/>
      <c r="AC752" s="38"/>
      <c r="AD752" s="38"/>
      <c r="AE752" s="38"/>
      <c r="AF752" s="38"/>
      <c r="AG752" s="38"/>
      <c r="AH752" s="38"/>
    </row>
    <row r="753" spans="3:34" ht="20.100000000000001" customHeight="1">
      <c r="C753" s="113"/>
      <c r="D753" s="114"/>
      <c r="P753" s="82"/>
      <c r="Q753" s="82"/>
      <c r="R753" s="38"/>
      <c r="S753" s="38"/>
      <c r="T753" s="38"/>
      <c r="U753" s="38"/>
      <c r="V753" s="38"/>
      <c r="W753" s="38"/>
      <c r="X753" s="38"/>
      <c r="Y753" s="38"/>
      <c r="Z753" s="38"/>
      <c r="AA753" s="38"/>
      <c r="AB753" s="38"/>
      <c r="AC753" s="38"/>
      <c r="AD753" s="38"/>
      <c r="AE753" s="38"/>
      <c r="AF753" s="38"/>
      <c r="AG753" s="38"/>
      <c r="AH753" s="38"/>
    </row>
    <row r="754" spans="3:34" ht="20.100000000000001" customHeight="1">
      <c r="C754" s="113"/>
      <c r="D754" s="114"/>
      <c r="P754" s="82"/>
      <c r="Q754" s="82"/>
      <c r="R754" s="38"/>
      <c r="S754" s="38"/>
      <c r="T754" s="38"/>
      <c r="U754" s="38"/>
      <c r="V754" s="38"/>
      <c r="W754" s="38"/>
      <c r="X754" s="38"/>
      <c r="Y754" s="38"/>
      <c r="Z754" s="38"/>
      <c r="AA754" s="38"/>
      <c r="AB754" s="38"/>
      <c r="AC754" s="38"/>
      <c r="AD754" s="38"/>
      <c r="AE754" s="38"/>
      <c r="AF754" s="38"/>
      <c r="AG754" s="38"/>
      <c r="AH754" s="38"/>
    </row>
    <row r="755" spans="3:34" ht="20.100000000000001" customHeight="1">
      <c r="C755" s="113"/>
      <c r="D755" s="114"/>
      <c r="P755" s="82"/>
      <c r="Q755" s="82"/>
      <c r="R755" s="38"/>
      <c r="S755" s="38"/>
      <c r="T755" s="38"/>
      <c r="U755" s="38"/>
      <c r="V755" s="38"/>
      <c r="W755" s="38"/>
      <c r="X755" s="38"/>
      <c r="Y755" s="38"/>
      <c r="Z755" s="38"/>
      <c r="AA755" s="38"/>
      <c r="AB755" s="38"/>
      <c r="AC755" s="38"/>
      <c r="AD755" s="38"/>
      <c r="AE755" s="38"/>
      <c r="AF755" s="38"/>
      <c r="AG755" s="38"/>
      <c r="AH755" s="38"/>
    </row>
    <row r="756" spans="3:34" ht="20.100000000000001" customHeight="1">
      <c r="C756" s="113"/>
      <c r="D756" s="114"/>
      <c r="P756" s="82"/>
      <c r="Q756" s="82"/>
      <c r="R756" s="38"/>
      <c r="S756" s="38"/>
      <c r="T756" s="38"/>
      <c r="U756" s="38"/>
      <c r="V756" s="38"/>
      <c r="W756" s="38"/>
      <c r="X756" s="38"/>
      <c r="Y756" s="38"/>
      <c r="Z756" s="38"/>
      <c r="AA756" s="38"/>
      <c r="AB756" s="38"/>
      <c r="AC756" s="38"/>
      <c r="AD756" s="38"/>
      <c r="AE756" s="38"/>
      <c r="AF756" s="38"/>
      <c r="AG756" s="38"/>
      <c r="AH756" s="38"/>
    </row>
    <row r="757" spans="3:34" ht="20.100000000000001" customHeight="1">
      <c r="C757" s="113"/>
      <c r="D757" s="114"/>
      <c r="P757" s="82"/>
      <c r="Q757" s="82"/>
      <c r="R757" s="38"/>
      <c r="S757" s="38"/>
      <c r="T757" s="38"/>
      <c r="U757" s="38"/>
      <c r="V757" s="38"/>
      <c r="W757" s="38"/>
      <c r="X757" s="38"/>
      <c r="Y757" s="38"/>
      <c r="Z757" s="38"/>
      <c r="AA757" s="38"/>
      <c r="AB757" s="38"/>
      <c r="AC757" s="38"/>
      <c r="AD757" s="38"/>
      <c r="AE757" s="38"/>
      <c r="AF757" s="38"/>
      <c r="AG757" s="38"/>
      <c r="AH757" s="38"/>
    </row>
    <row r="758" spans="3:34" ht="20.100000000000001" customHeight="1">
      <c r="C758" s="113"/>
      <c r="D758" s="114"/>
      <c r="P758" s="82"/>
      <c r="Q758" s="82"/>
      <c r="R758" s="38"/>
      <c r="S758" s="38"/>
      <c r="T758" s="38"/>
      <c r="U758" s="38"/>
      <c r="V758" s="38"/>
      <c r="W758" s="38"/>
      <c r="X758" s="38"/>
      <c r="Y758" s="38"/>
      <c r="Z758" s="38"/>
      <c r="AA758" s="38"/>
      <c r="AB758" s="38"/>
      <c r="AC758" s="38"/>
      <c r="AD758" s="38"/>
      <c r="AE758" s="38"/>
      <c r="AF758" s="38"/>
      <c r="AG758" s="38"/>
      <c r="AH758" s="38"/>
    </row>
    <row r="759" spans="3:34" ht="20.100000000000001" customHeight="1">
      <c r="C759" s="113"/>
      <c r="D759" s="114"/>
      <c r="P759" s="82"/>
      <c r="Q759" s="82"/>
      <c r="R759" s="38"/>
      <c r="S759" s="38"/>
      <c r="T759" s="38"/>
      <c r="U759" s="38"/>
      <c r="V759" s="38"/>
      <c r="W759" s="38"/>
      <c r="X759" s="38"/>
      <c r="Y759" s="38"/>
      <c r="Z759" s="38"/>
      <c r="AA759" s="38"/>
      <c r="AB759" s="38"/>
      <c r="AC759" s="38"/>
      <c r="AD759" s="38"/>
      <c r="AE759" s="38"/>
      <c r="AF759" s="38"/>
      <c r="AG759" s="38"/>
      <c r="AH759" s="38"/>
    </row>
    <row r="760" spans="3:34" ht="20.100000000000001" customHeight="1">
      <c r="C760" s="113"/>
      <c r="D760" s="114"/>
      <c r="P760" s="82"/>
      <c r="Q760" s="82"/>
      <c r="R760" s="38"/>
      <c r="S760" s="38"/>
      <c r="T760" s="38"/>
      <c r="U760" s="38"/>
      <c r="V760" s="38"/>
      <c r="W760" s="38"/>
      <c r="X760" s="38"/>
      <c r="Y760" s="38"/>
      <c r="Z760" s="38"/>
      <c r="AA760" s="38"/>
      <c r="AB760" s="38"/>
      <c r="AC760" s="38"/>
      <c r="AD760" s="38"/>
      <c r="AE760" s="38"/>
      <c r="AF760" s="38"/>
      <c r="AG760" s="38"/>
      <c r="AH760" s="38"/>
    </row>
    <row r="761" spans="3:34" ht="20.100000000000001" customHeight="1">
      <c r="C761" s="113"/>
      <c r="D761" s="114"/>
      <c r="P761" s="82"/>
      <c r="Q761" s="82"/>
      <c r="R761" s="38"/>
      <c r="S761" s="38"/>
      <c r="T761" s="38"/>
      <c r="U761" s="38"/>
      <c r="V761" s="38"/>
      <c r="W761" s="38"/>
      <c r="X761" s="38"/>
      <c r="Y761" s="38"/>
      <c r="Z761" s="38"/>
      <c r="AA761" s="38"/>
      <c r="AB761" s="38"/>
      <c r="AC761" s="38"/>
      <c r="AD761" s="38"/>
      <c r="AE761" s="38"/>
      <c r="AF761" s="38"/>
      <c r="AG761" s="38"/>
      <c r="AH761" s="38"/>
    </row>
    <row r="762" spans="3:34" ht="20.100000000000001" customHeight="1">
      <c r="C762" s="113"/>
      <c r="D762" s="114"/>
      <c r="P762" s="82"/>
      <c r="Q762" s="82"/>
      <c r="R762" s="38"/>
      <c r="S762" s="38"/>
      <c r="T762" s="38"/>
      <c r="U762" s="38"/>
      <c r="V762" s="38"/>
      <c r="W762" s="38"/>
      <c r="X762" s="38"/>
      <c r="Y762" s="38"/>
      <c r="Z762" s="38"/>
      <c r="AA762" s="38"/>
      <c r="AB762" s="38"/>
      <c r="AC762" s="38"/>
      <c r="AD762" s="38"/>
      <c r="AE762" s="38"/>
      <c r="AF762" s="38"/>
      <c r="AG762" s="38"/>
      <c r="AH762" s="38"/>
    </row>
    <row r="763" spans="3:34" ht="20.100000000000001" customHeight="1">
      <c r="C763" s="113"/>
      <c r="D763" s="114"/>
      <c r="P763" s="82"/>
      <c r="Q763" s="82"/>
      <c r="R763" s="38"/>
      <c r="S763" s="38"/>
      <c r="T763" s="38"/>
      <c r="U763" s="38"/>
      <c r="V763" s="38"/>
      <c r="W763" s="38"/>
      <c r="X763" s="38"/>
      <c r="Y763" s="38"/>
      <c r="Z763" s="38"/>
      <c r="AA763" s="38"/>
      <c r="AB763" s="38"/>
      <c r="AC763" s="38"/>
      <c r="AD763" s="38"/>
      <c r="AE763" s="38"/>
      <c r="AF763" s="38"/>
      <c r="AG763" s="38"/>
      <c r="AH763" s="38"/>
    </row>
    <row r="764" spans="3:34" ht="20.100000000000001" customHeight="1">
      <c r="C764" s="113"/>
      <c r="D764" s="114"/>
      <c r="P764" s="82"/>
      <c r="Q764" s="82"/>
      <c r="R764" s="38"/>
      <c r="S764" s="38"/>
      <c r="T764" s="38"/>
      <c r="U764" s="38"/>
      <c r="V764" s="38"/>
      <c r="W764" s="38"/>
      <c r="X764" s="38"/>
      <c r="Y764" s="38"/>
      <c r="Z764" s="38"/>
      <c r="AA764" s="38"/>
      <c r="AB764" s="38"/>
      <c r="AC764" s="38"/>
      <c r="AD764" s="38"/>
      <c r="AE764" s="38"/>
      <c r="AF764" s="38"/>
      <c r="AG764" s="38"/>
      <c r="AH764" s="38"/>
    </row>
    <row r="765" spans="3:34" ht="20.100000000000001" customHeight="1">
      <c r="C765" s="113"/>
      <c r="D765" s="114"/>
      <c r="P765" s="82"/>
      <c r="Q765" s="82"/>
      <c r="R765" s="38"/>
      <c r="S765" s="38"/>
      <c r="T765" s="38"/>
      <c r="U765" s="38"/>
      <c r="V765" s="38"/>
      <c r="W765" s="38"/>
      <c r="X765" s="38"/>
      <c r="Y765" s="38"/>
      <c r="Z765" s="38"/>
      <c r="AA765" s="38"/>
      <c r="AB765" s="38"/>
      <c r="AC765" s="38"/>
      <c r="AD765" s="38"/>
      <c r="AE765" s="38"/>
      <c r="AF765" s="38"/>
      <c r="AG765" s="38"/>
      <c r="AH765" s="38"/>
    </row>
    <row r="766" spans="3:34" ht="20.100000000000001" customHeight="1">
      <c r="C766" s="113"/>
      <c r="D766" s="114"/>
      <c r="P766" s="82"/>
      <c r="Q766" s="82"/>
      <c r="R766" s="38"/>
      <c r="S766" s="38"/>
      <c r="T766" s="38"/>
      <c r="U766" s="38"/>
      <c r="V766" s="38"/>
      <c r="W766" s="38"/>
      <c r="X766" s="38"/>
      <c r="Y766" s="38"/>
      <c r="Z766" s="38"/>
      <c r="AA766" s="38"/>
      <c r="AB766" s="38"/>
      <c r="AC766" s="38"/>
      <c r="AD766" s="38"/>
      <c r="AE766" s="38"/>
      <c r="AF766" s="38"/>
      <c r="AG766" s="38"/>
      <c r="AH766" s="38"/>
    </row>
    <row r="767" spans="3:34" ht="20.100000000000001" customHeight="1">
      <c r="C767" s="113"/>
      <c r="D767" s="114"/>
      <c r="P767" s="82"/>
      <c r="Q767" s="82"/>
      <c r="R767" s="38"/>
      <c r="S767" s="38"/>
      <c r="T767" s="38"/>
      <c r="U767" s="38"/>
      <c r="V767" s="38"/>
      <c r="W767" s="38"/>
      <c r="X767" s="38"/>
      <c r="Y767" s="38"/>
      <c r="Z767" s="38"/>
      <c r="AA767" s="38"/>
      <c r="AB767" s="38"/>
      <c r="AC767" s="38"/>
      <c r="AD767" s="38"/>
      <c r="AE767" s="38"/>
      <c r="AF767" s="38"/>
      <c r="AG767" s="38"/>
      <c r="AH767" s="38"/>
    </row>
    <row r="768" spans="3:34" ht="20.100000000000001" customHeight="1">
      <c r="C768" s="113"/>
      <c r="D768" s="114"/>
      <c r="P768" s="82"/>
      <c r="Q768" s="82"/>
      <c r="R768" s="38"/>
      <c r="S768" s="38"/>
      <c r="T768" s="38"/>
      <c r="U768" s="38"/>
      <c r="V768" s="38"/>
      <c r="W768" s="38"/>
      <c r="X768" s="38"/>
      <c r="Y768" s="38"/>
      <c r="Z768" s="38"/>
      <c r="AA768" s="38"/>
      <c r="AB768" s="38"/>
      <c r="AC768" s="38"/>
      <c r="AD768" s="38"/>
      <c r="AE768" s="38"/>
      <c r="AF768" s="38"/>
      <c r="AG768" s="38"/>
      <c r="AH768" s="38"/>
    </row>
    <row r="769" spans="3:34" ht="20.100000000000001" customHeight="1">
      <c r="C769" s="113"/>
      <c r="D769" s="114"/>
      <c r="P769" s="82"/>
      <c r="Q769" s="82"/>
      <c r="R769" s="38"/>
      <c r="S769" s="38"/>
      <c r="T769" s="38"/>
      <c r="U769" s="38"/>
      <c r="V769" s="38"/>
      <c r="W769" s="38"/>
      <c r="X769" s="38"/>
      <c r="Y769" s="38"/>
      <c r="Z769" s="38"/>
      <c r="AA769" s="38"/>
      <c r="AB769" s="38"/>
      <c r="AC769" s="38"/>
      <c r="AD769" s="38"/>
      <c r="AE769" s="38"/>
      <c r="AF769" s="38"/>
      <c r="AG769" s="38"/>
      <c r="AH769" s="38"/>
    </row>
    <row r="770" spans="3:34" ht="20.100000000000001" customHeight="1">
      <c r="C770" s="113"/>
      <c r="D770" s="114"/>
      <c r="P770" s="82"/>
      <c r="Q770" s="82"/>
      <c r="R770" s="38"/>
      <c r="S770" s="38"/>
      <c r="T770" s="38"/>
      <c r="U770" s="38"/>
      <c r="V770" s="38"/>
      <c r="W770" s="38"/>
      <c r="X770" s="38"/>
      <c r="Y770" s="38"/>
      <c r="Z770" s="38"/>
      <c r="AA770" s="38"/>
      <c r="AB770" s="38"/>
      <c r="AC770" s="38"/>
      <c r="AD770" s="38"/>
      <c r="AE770" s="38"/>
      <c r="AF770" s="38"/>
      <c r="AG770" s="38"/>
      <c r="AH770" s="38"/>
    </row>
    <row r="771" spans="3:34" ht="20.100000000000001" customHeight="1">
      <c r="C771" s="113"/>
      <c r="D771" s="114"/>
      <c r="P771" s="82"/>
      <c r="Q771" s="82"/>
      <c r="R771" s="38"/>
      <c r="S771" s="38"/>
      <c r="T771" s="38"/>
      <c r="U771" s="38"/>
      <c r="V771" s="38"/>
      <c r="W771" s="38"/>
      <c r="X771" s="38"/>
      <c r="Y771" s="38"/>
      <c r="Z771" s="38"/>
      <c r="AA771" s="38"/>
      <c r="AB771" s="38"/>
      <c r="AC771" s="38"/>
      <c r="AD771" s="38"/>
      <c r="AE771" s="38"/>
      <c r="AF771" s="38"/>
      <c r="AG771" s="38"/>
      <c r="AH771" s="38"/>
    </row>
    <row r="772" spans="3:34" ht="20.100000000000001" customHeight="1">
      <c r="C772" s="113"/>
      <c r="D772" s="114"/>
      <c r="P772" s="82"/>
      <c r="Q772" s="82"/>
      <c r="R772" s="38"/>
      <c r="S772" s="38"/>
      <c r="T772" s="38"/>
      <c r="U772" s="38"/>
      <c r="V772" s="38"/>
      <c r="W772" s="38"/>
      <c r="X772" s="38"/>
      <c r="Y772" s="38"/>
      <c r="Z772" s="38"/>
      <c r="AA772" s="38"/>
      <c r="AB772" s="38"/>
      <c r="AC772" s="38"/>
      <c r="AD772" s="38"/>
      <c r="AE772" s="38"/>
      <c r="AF772" s="38"/>
      <c r="AG772" s="38"/>
      <c r="AH772" s="38"/>
    </row>
    <row r="773" spans="3:34" ht="20.100000000000001" customHeight="1">
      <c r="C773" s="113"/>
      <c r="D773" s="114"/>
      <c r="P773" s="82"/>
      <c r="Q773" s="82"/>
      <c r="R773" s="38"/>
      <c r="S773" s="38"/>
      <c r="T773" s="38"/>
      <c r="U773" s="38"/>
      <c r="V773" s="38"/>
      <c r="W773" s="38"/>
      <c r="X773" s="38"/>
      <c r="Y773" s="38"/>
      <c r="Z773" s="38"/>
      <c r="AA773" s="38"/>
      <c r="AB773" s="38"/>
      <c r="AC773" s="38"/>
      <c r="AD773" s="38"/>
      <c r="AE773" s="38"/>
      <c r="AF773" s="38"/>
      <c r="AG773" s="38"/>
      <c r="AH773" s="38"/>
    </row>
    <row r="774" spans="3:34" ht="20.100000000000001" customHeight="1">
      <c r="C774" s="113"/>
      <c r="D774" s="114"/>
      <c r="P774" s="82"/>
      <c r="Q774" s="82"/>
      <c r="R774" s="38"/>
      <c r="S774" s="38"/>
      <c r="T774" s="38"/>
      <c r="U774" s="38"/>
      <c r="V774" s="38"/>
      <c r="W774" s="38"/>
      <c r="X774" s="38"/>
      <c r="Y774" s="38"/>
      <c r="Z774" s="38"/>
      <c r="AA774" s="38"/>
      <c r="AB774" s="38"/>
      <c r="AC774" s="38"/>
      <c r="AD774" s="38"/>
      <c r="AE774" s="38"/>
      <c r="AF774" s="38"/>
      <c r="AG774" s="38"/>
      <c r="AH774" s="38"/>
    </row>
    <row r="775" spans="3:34" ht="20.100000000000001" customHeight="1">
      <c r="C775" s="113"/>
      <c r="D775" s="114"/>
      <c r="P775" s="82"/>
      <c r="Q775" s="82"/>
      <c r="R775" s="38"/>
      <c r="S775" s="38"/>
      <c r="T775" s="38"/>
      <c r="U775" s="38"/>
      <c r="V775" s="38"/>
      <c r="W775" s="38"/>
      <c r="X775" s="38"/>
      <c r="Y775" s="38"/>
      <c r="Z775" s="38"/>
      <c r="AA775" s="38"/>
      <c r="AB775" s="38"/>
      <c r="AC775" s="38"/>
      <c r="AD775" s="38"/>
      <c r="AE775" s="38"/>
      <c r="AF775" s="38"/>
      <c r="AG775" s="38"/>
      <c r="AH775" s="38"/>
    </row>
    <row r="776" spans="3:34" ht="20.100000000000001" customHeight="1">
      <c r="C776" s="113"/>
      <c r="D776" s="114"/>
      <c r="P776" s="82"/>
      <c r="Q776" s="82"/>
      <c r="R776" s="38"/>
      <c r="S776" s="38"/>
      <c r="T776" s="38"/>
      <c r="U776" s="38"/>
      <c r="V776" s="38"/>
      <c r="W776" s="38"/>
      <c r="X776" s="38"/>
      <c r="Y776" s="38"/>
      <c r="Z776" s="38"/>
      <c r="AA776" s="38"/>
      <c r="AB776" s="38"/>
      <c r="AC776" s="38"/>
      <c r="AD776" s="38"/>
      <c r="AE776" s="38"/>
      <c r="AF776" s="38"/>
      <c r="AG776" s="38"/>
      <c r="AH776" s="38"/>
    </row>
    <row r="777" spans="3:34" ht="20.100000000000001" customHeight="1">
      <c r="C777" s="113"/>
      <c r="D777" s="114"/>
      <c r="P777" s="82"/>
      <c r="Q777" s="82"/>
      <c r="R777" s="38"/>
      <c r="S777" s="38"/>
      <c r="T777" s="38"/>
      <c r="U777" s="38"/>
      <c r="V777" s="38"/>
      <c r="W777" s="38"/>
      <c r="X777" s="38"/>
      <c r="Y777" s="38"/>
      <c r="Z777" s="38"/>
      <c r="AA777" s="38"/>
      <c r="AB777" s="38"/>
      <c r="AC777" s="38"/>
      <c r="AD777" s="38"/>
      <c r="AE777" s="38"/>
      <c r="AF777" s="38"/>
      <c r="AG777" s="38"/>
      <c r="AH777" s="38"/>
    </row>
    <row r="778" spans="3:34" ht="20.100000000000001" customHeight="1">
      <c r="C778" s="113"/>
      <c r="D778" s="114"/>
      <c r="P778" s="82"/>
      <c r="Q778" s="82"/>
      <c r="R778" s="38"/>
      <c r="S778" s="38"/>
      <c r="T778" s="38"/>
      <c r="U778" s="38"/>
      <c r="V778" s="38"/>
      <c r="W778" s="38"/>
      <c r="X778" s="38"/>
      <c r="Y778" s="38"/>
      <c r="Z778" s="38"/>
      <c r="AA778" s="38"/>
      <c r="AB778" s="38"/>
      <c r="AC778" s="38"/>
      <c r="AD778" s="38"/>
      <c r="AE778" s="38"/>
      <c r="AF778" s="38"/>
      <c r="AG778" s="38"/>
      <c r="AH778" s="38"/>
    </row>
    <row r="779" spans="3:34" ht="20.100000000000001" customHeight="1">
      <c r="C779" s="113"/>
      <c r="D779" s="114"/>
      <c r="P779" s="82"/>
      <c r="Q779" s="82"/>
      <c r="R779" s="38"/>
      <c r="S779" s="38"/>
      <c r="T779" s="38"/>
      <c r="U779" s="38"/>
      <c r="V779" s="38"/>
      <c r="W779" s="38"/>
      <c r="X779" s="38"/>
      <c r="Y779" s="38"/>
      <c r="Z779" s="38"/>
      <c r="AA779" s="38"/>
      <c r="AB779" s="38"/>
      <c r="AC779" s="38"/>
      <c r="AD779" s="38"/>
      <c r="AE779" s="38"/>
      <c r="AF779" s="38"/>
      <c r="AG779" s="38"/>
      <c r="AH779" s="38"/>
    </row>
    <row r="780" spans="3:34" ht="20.100000000000001" customHeight="1">
      <c r="C780" s="113"/>
      <c r="D780" s="114"/>
      <c r="P780" s="82"/>
      <c r="Q780" s="82"/>
      <c r="R780" s="38"/>
      <c r="S780" s="38"/>
      <c r="T780" s="38"/>
      <c r="U780" s="38"/>
      <c r="V780" s="38"/>
      <c r="W780" s="38"/>
      <c r="X780" s="38"/>
      <c r="Y780" s="38"/>
      <c r="Z780" s="38"/>
      <c r="AA780" s="38"/>
      <c r="AB780" s="38"/>
      <c r="AC780" s="38"/>
      <c r="AD780" s="38"/>
      <c r="AE780" s="38"/>
      <c r="AF780" s="38"/>
      <c r="AG780" s="38"/>
      <c r="AH780" s="38"/>
    </row>
    <row r="781" spans="3:34" ht="20.100000000000001" customHeight="1">
      <c r="C781" s="113"/>
      <c r="D781" s="114"/>
      <c r="P781" s="82"/>
      <c r="Q781" s="82"/>
      <c r="R781" s="38"/>
      <c r="S781" s="38"/>
      <c r="T781" s="38"/>
      <c r="U781" s="38"/>
      <c r="V781" s="38"/>
      <c r="W781" s="38"/>
      <c r="X781" s="38"/>
      <c r="Y781" s="38"/>
      <c r="Z781" s="38"/>
      <c r="AA781" s="38"/>
      <c r="AB781" s="38"/>
      <c r="AC781" s="38"/>
      <c r="AD781" s="38"/>
      <c r="AE781" s="38"/>
      <c r="AF781" s="38"/>
      <c r="AG781" s="38"/>
      <c r="AH781" s="38"/>
    </row>
    <row r="782" spans="3:34" ht="20.100000000000001" customHeight="1">
      <c r="C782" s="113"/>
      <c r="D782" s="114"/>
      <c r="P782" s="82"/>
      <c r="Q782" s="82"/>
      <c r="R782" s="38"/>
      <c r="S782" s="38"/>
      <c r="T782" s="38"/>
      <c r="U782" s="38"/>
      <c r="V782" s="38"/>
      <c r="W782" s="38"/>
      <c r="X782" s="38"/>
      <c r="Y782" s="38"/>
      <c r="Z782" s="38"/>
      <c r="AA782" s="38"/>
      <c r="AB782" s="38"/>
      <c r="AC782" s="38"/>
      <c r="AD782" s="38"/>
      <c r="AE782" s="38"/>
      <c r="AF782" s="38"/>
      <c r="AG782" s="38"/>
      <c r="AH782" s="38"/>
    </row>
    <row r="783" spans="3:34" ht="20.100000000000001" customHeight="1">
      <c r="C783" s="113"/>
      <c r="D783" s="114"/>
      <c r="P783" s="82"/>
      <c r="Q783" s="82"/>
      <c r="R783" s="38"/>
      <c r="S783" s="38"/>
      <c r="T783" s="38"/>
      <c r="U783" s="38"/>
      <c r="V783" s="38"/>
      <c r="W783" s="38"/>
      <c r="X783" s="38"/>
      <c r="Y783" s="38"/>
      <c r="Z783" s="38"/>
      <c r="AA783" s="38"/>
      <c r="AB783" s="38"/>
      <c r="AC783" s="38"/>
      <c r="AD783" s="38"/>
      <c r="AE783" s="38"/>
      <c r="AF783" s="38"/>
      <c r="AG783" s="38"/>
      <c r="AH783" s="38"/>
    </row>
    <row r="784" spans="3:34" ht="20.100000000000001" customHeight="1">
      <c r="C784" s="113"/>
      <c r="D784" s="114"/>
      <c r="P784" s="82"/>
      <c r="Q784" s="82"/>
      <c r="R784" s="38"/>
      <c r="S784" s="38"/>
      <c r="T784" s="38"/>
      <c r="U784" s="38"/>
      <c r="V784" s="38"/>
      <c r="W784" s="38"/>
      <c r="X784" s="38"/>
      <c r="Y784" s="38"/>
      <c r="Z784" s="38"/>
      <c r="AA784" s="38"/>
      <c r="AB784" s="38"/>
      <c r="AC784" s="38"/>
      <c r="AD784" s="38"/>
      <c r="AE784" s="38"/>
      <c r="AF784" s="38"/>
      <c r="AG784" s="38"/>
      <c r="AH784" s="38"/>
    </row>
    <row r="785" spans="3:34" ht="20.100000000000001" customHeight="1">
      <c r="C785" s="113"/>
      <c r="D785" s="114"/>
      <c r="P785" s="82"/>
      <c r="Q785" s="82"/>
      <c r="R785" s="38"/>
      <c r="S785" s="38"/>
      <c r="T785" s="38"/>
      <c r="U785" s="38"/>
      <c r="V785" s="38"/>
      <c r="W785" s="38"/>
      <c r="X785" s="38"/>
      <c r="Y785" s="38"/>
      <c r="Z785" s="38"/>
      <c r="AA785" s="38"/>
      <c r="AB785" s="38"/>
      <c r="AC785" s="38"/>
      <c r="AD785" s="38"/>
      <c r="AE785" s="38"/>
      <c r="AF785" s="38"/>
      <c r="AG785" s="38"/>
      <c r="AH785" s="38"/>
    </row>
    <row r="786" spans="3:34" ht="20.100000000000001" customHeight="1">
      <c r="C786" s="113"/>
      <c r="D786" s="114"/>
      <c r="P786" s="82"/>
      <c r="Q786" s="82"/>
      <c r="R786" s="38"/>
      <c r="S786" s="38"/>
      <c r="T786" s="38"/>
      <c r="U786" s="38"/>
      <c r="V786" s="38"/>
      <c r="W786" s="38"/>
      <c r="X786" s="38"/>
      <c r="Y786" s="38"/>
      <c r="Z786" s="38"/>
      <c r="AA786" s="38"/>
      <c r="AB786" s="38"/>
      <c r="AC786" s="38"/>
      <c r="AD786" s="38"/>
      <c r="AE786" s="38"/>
      <c r="AF786" s="38"/>
      <c r="AG786" s="38"/>
      <c r="AH786" s="38"/>
    </row>
    <row r="787" spans="3:34" ht="20.100000000000001" customHeight="1">
      <c r="C787" s="113"/>
      <c r="D787" s="114"/>
      <c r="P787" s="82"/>
      <c r="Q787" s="82"/>
      <c r="R787" s="38"/>
      <c r="S787" s="38"/>
      <c r="T787" s="38"/>
      <c r="U787" s="38"/>
      <c r="V787" s="38"/>
      <c r="W787" s="38"/>
      <c r="X787" s="38"/>
      <c r="Y787" s="38"/>
      <c r="Z787" s="38"/>
      <c r="AA787" s="38"/>
      <c r="AB787" s="38"/>
      <c r="AC787" s="38"/>
      <c r="AD787" s="38"/>
      <c r="AE787" s="38"/>
      <c r="AF787" s="38"/>
      <c r="AG787" s="38"/>
      <c r="AH787" s="38"/>
    </row>
    <row r="788" spans="3:34" ht="20.100000000000001" customHeight="1">
      <c r="C788" s="113"/>
      <c r="D788" s="114"/>
      <c r="P788" s="82"/>
      <c r="Q788" s="82"/>
      <c r="R788" s="38"/>
      <c r="S788" s="38"/>
      <c r="T788" s="38"/>
      <c r="U788" s="38"/>
      <c r="V788" s="38"/>
      <c r="W788" s="38"/>
      <c r="X788" s="38"/>
      <c r="Y788" s="38"/>
      <c r="Z788" s="38"/>
      <c r="AA788" s="38"/>
      <c r="AB788" s="38"/>
      <c r="AC788" s="38"/>
      <c r="AD788" s="38"/>
      <c r="AE788" s="38"/>
      <c r="AF788" s="38"/>
      <c r="AG788" s="38"/>
      <c r="AH788" s="38"/>
    </row>
    <row r="789" spans="3:34" ht="20.100000000000001" customHeight="1">
      <c r="C789" s="113"/>
      <c r="D789" s="114"/>
      <c r="P789" s="82"/>
      <c r="Q789" s="82"/>
      <c r="R789" s="38"/>
      <c r="S789" s="38"/>
      <c r="T789" s="38"/>
      <c r="U789" s="38"/>
      <c r="V789" s="38"/>
      <c r="W789" s="38"/>
      <c r="X789" s="38"/>
      <c r="Y789" s="38"/>
      <c r="Z789" s="38"/>
      <c r="AA789" s="38"/>
      <c r="AB789" s="38"/>
      <c r="AC789" s="38"/>
      <c r="AD789" s="38"/>
      <c r="AE789" s="38"/>
      <c r="AF789" s="38"/>
      <c r="AG789" s="38"/>
      <c r="AH789" s="38"/>
    </row>
    <row r="790" spans="3:34" ht="20.100000000000001" customHeight="1">
      <c r="C790" s="113"/>
      <c r="D790" s="114"/>
      <c r="P790" s="82"/>
      <c r="Q790" s="82"/>
      <c r="R790" s="38"/>
      <c r="S790" s="38"/>
      <c r="T790" s="38"/>
      <c r="U790" s="38"/>
      <c r="V790" s="38"/>
      <c r="W790" s="38"/>
      <c r="X790" s="38"/>
      <c r="Y790" s="38"/>
      <c r="Z790" s="38"/>
      <c r="AA790" s="38"/>
      <c r="AB790" s="38"/>
      <c r="AC790" s="38"/>
      <c r="AD790" s="38"/>
      <c r="AE790" s="38"/>
      <c r="AF790" s="38"/>
      <c r="AG790" s="38"/>
      <c r="AH790" s="38"/>
    </row>
    <row r="791" spans="3:34" ht="20.100000000000001" customHeight="1">
      <c r="C791" s="113"/>
      <c r="D791" s="114"/>
      <c r="P791" s="82"/>
      <c r="Q791" s="82"/>
      <c r="R791" s="38"/>
      <c r="S791" s="38"/>
      <c r="T791" s="38"/>
      <c r="U791" s="38"/>
      <c r="V791" s="38"/>
      <c r="W791" s="38"/>
      <c r="X791" s="38"/>
      <c r="Y791" s="38"/>
      <c r="Z791" s="38"/>
      <c r="AA791" s="38"/>
      <c r="AB791" s="38"/>
      <c r="AC791" s="38"/>
      <c r="AD791" s="38"/>
      <c r="AE791" s="38"/>
      <c r="AF791" s="38"/>
      <c r="AG791" s="38"/>
      <c r="AH791" s="38"/>
    </row>
    <row r="792" spans="3:34" ht="20.100000000000001" customHeight="1">
      <c r="C792" s="113"/>
      <c r="D792" s="114"/>
      <c r="P792" s="82"/>
      <c r="Q792" s="82"/>
      <c r="R792" s="38"/>
      <c r="S792" s="38"/>
      <c r="T792" s="38"/>
      <c r="U792" s="38"/>
      <c r="V792" s="38"/>
      <c r="W792" s="38"/>
      <c r="X792" s="38"/>
      <c r="Y792" s="38"/>
      <c r="Z792" s="38"/>
      <c r="AA792" s="38"/>
      <c r="AB792" s="38"/>
      <c r="AC792" s="38"/>
      <c r="AD792" s="38"/>
      <c r="AE792" s="38"/>
      <c r="AF792" s="38"/>
      <c r="AG792" s="38"/>
      <c r="AH792" s="38"/>
    </row>
    <row r="793" spans="3:34" ht="20.100000000000001" customHeight="1">
      <c r="C793" s="113"/>
      <c r="D793" s="114"/>
      <c r="P793" s="82"/>
      <c r="Q793" s="82"/>
      <c r="R793" s="38"/>
      <c r="S793" s="38"/>
      <c r="T793" s="38"/>
      <c r="U793" s="38"/>
      <c r="V793" s="38"/>
      <c r="W793" s="38"/>
      <c r="X793" s="38"/>
      <c r="Y793" s="38"/>
      <c r="Z793" s="38"/>
      <c r="AA793" s="38"/>
      <c r="AB793" s="38"/>
      <c r="AC793" s="38"/>
      <c r="AD793" s="38"/>
      <c r="AE793" s="38"/>
      <c r="AF793" s="38"/>
      <c r="AG793" s="38"/>
      <c r="AH793" s="38"/>
    </row>
    <row r="794" spans="3:34" ht="20.100000000000001" customHeight="1">
      <c r="C794" s="113"/>
      <c r="D794" s="114"/>
      <c r="P794" s="82"/>
      <c r="Q794" s="82"/>
      <c r="R794" s="38"/>
      <c r="S794" s="38"/>
      <c r="T794" s="38"/>
      <c r="U794" s="38"/>
      <c r="V794" s="38"/>
      <c r="W794" s="38"/>
      <c r="X794" s="38"/>
      <c r="Y794" s="38"/>
      <c r="Z794" s="38"/>
      <c r="AA794" s="38"/>
      <c r="AB794" s="38"/>
      <c r="AC794" s="38"/>
      <c r="AD794" s="38"/>
      <c r="AE794" s="38"/>
      <c r="AF794" s="38"/>
      <c r="AG794" s="38"/>
      <c r="AH794" s="38"/>
    </row>
    <row r="795" spans="3:34" ht="20.100000000000001" customHeight="1">
      <c r="C795" s="113"/>
      <c r="D795" s="114"/>
      <c r="P795" s="82"/>
      <c r="Q795" s="82"/>
      <c r="R795" s="38"/>
      <c r="S795" s="38"/>
      <c r="T795" s="38"/>
      <c r="U795" s="38"/>
      <c r="V795" s="38"/>
      <c r="W795" s="38"/>
      <c r="X795" s="38"/>
      <c r="Y795" s="38"/>
      <c r="Z795" s="38"/>
      <c r="AA795" s="38"/>
      <c r="AB795" s="38"/>
      <c r="AC795" s="38"/>
      <c r="AD795" s="38"/>
      <c r="AE795" s="38"/>
      <c r="AF795" s="38"/>
      <c r="AG795" s="38"/>
      <c r="AH795" s="38"/>
    </row>
    <row r="796" spans="3:34" ht="20.100000000000001" customHeight="1">
      <c r="C796" s="113"/>
      <c r="D796" s="114"/>
      <c r="P796" s="82"/>
      <c r="Q796" s="82"/>
      <c r="R796" s="38"/>
      <c r="S796" s="38"/>
      <c r="T796" s="38"/>
      <c r="U796" s="38"/>
      <c r="V796" s="38"/>
      <c r="W796" s="38"/>
      <c r="X796" s="38"/>
      <c r="Y796" s="38"/>
      <c r="Z796" s="38"/>
      <c r="AA796" s="38"/>
      <c r="AB796" s="38"/>
      <c r="AC796" s="38"/>
      <c r="AD796" s="38"/>
      <c r="AE796" s="38"/>
      <c r="AF796" s="38"/>
      <c r="AG796" s="38"/>
      <c r="AH796" s="38"/>
    </row>
    <row r="797" spans="3:34" ht="20.100000000000001" customHeight="1">
      <c r="C797" s="113"/>
      <c r="D797" s="114"/>
      <c r="P797" s="82"/>
      <c r="Q797" s="82"/>
      <c r="R797" s="38"/>
      <c r="S797" s="38"/>
      <c r="T797" s="38"/>
      <c r="U797" s="38"/>
      <c r="V797" s="38"/>
      <c r="W797" s="38"/>
      <c r="X797" s="38"/>
      <c r="Y797" s="38"/>
      <c r="Z797" s="38"/>
      <c r="AA797" s="38"/>
      <c r="AB797" s="38"/>
      <c r="AC797" s="38"/>
      <c r="AD797" s="38"/>
      <c r="AE797" s="38"/>
      <c r="AF797" s="38"/>
      <c r="AG797" s="38"/>
      <c r="AH797" s="38"/>
    </row>
    <row r="798" spans="3:34" ht="20.100000000000001" customHeight="1">
      <c r="C798" s="113"/>
      <c r="D798" s="114"/>
      <c r="P798" s="82"/>
      <c r="Q798" s="82"/>
      <c r="R798" s="38"/>
      <c r="S798" s="38"/>
      <c r="T798" s="38"/>
      <c r="U798" s="38"/>
      <c r="V798" s="38"/>
      <c r="W798" s="38"/>
      <c r="X798" s="38"/>
      <c r="Y798" s="38"/>
      <c r="Z798" s="38"/>
      <c r="AA798" s="38"/>
      <c r="AB798" s="38"/>
      <c r="AC798" s="38"/>
      <c r="AD798" s="38"/>
      <c r="AE798" s="38"/>
      <c r="AF798" s="38"/>
      <c r="AG798" s="38"/>
      <c r="AH798" s="38"/>
    </row>
    <row r="799" spans="3:34" ht="20.100000000000001" customHeight="1">
      <c r="C799" s="113"/>
      <c r="D799" s="114"/>
      <c r="P799" s="82"/>
      <c r="Q799" s="82"/>
      <c r="R799" s="38"/>
      <c r="S799" s="38"/>
      <c r="T799" s="38"/>
      <c r="U799" s="38"/>
      <c r="V799" s="38"/>
      <c r="W799" s="38"/>
      <c r="X799" s="38"/>
      <c r="Y799" s="38"/>
      <c r="Z799" s="38"/>
      <c r="AA799" s="38"/>
      <c r="AB799" s="38"/>
      <c r="AC799" s="38"/>
      <c r="AD799" s="38"/>
      <c r="AE799" s="38"/>
      <c r="AF799" s="38"/>
      <c r="AG799" s="38"/>
      <c r="AH799" s="38"/>
    </row>
    <row r="800" spans="3:34" ht="20.100000000000001" customHeight="1">
      <c r="C800" s="113"/>
      <c r="D800" s="114"/>
      <c r="P800" s="82"/>
      <c r="Q800" s="82"/>
      <c r="R800" s="38"/>
      <c r="S800" s="38"/>
      <c r="T800" s="38"/>
      <c r="U800" s="38"/>
      <c r="V800" s="38"/>
      <c r="W800" s="38"/>
      <c r="X800" s="38"/>
      <c r="Y800" s="38"/>
      <c r="Z800" s="38"/>
      <c r="AA800" s="38"/>
      <c r="AB800" s="38"/>
      <c r="AC800" s="38"/>
      <c r="AD800" s="38"/>
      <c r="AE800" s="38"/>
      <c r="AF800" s="38"/>
      <c r="AG800" s="38"/>
      <c r="AH800" s="38"/>
    </row>
    <row r="801" spans="3:34" ht="20.100000000000001" customHeight="1">
      <c r="C801" s="113"/>
      <c r="D801" s="114"/>
      <c r="P801" s="82"/>
      <c r="Q801" s="82"/>
      <c r="R801" s="38"/>
      <c r="S801" s="38"/>
      <c r="T801" s="38"/>
      <c r="U801" s="38"/>
      <c r="V801" s="38"/>
      <c r="W801" s="38"/>
      <c r="X801" s="38"/>
      <c r="Y801" s="38"/>
      <c r="Z801" s="38"/>
      <c r="AA801" s="38"/>
      <c r="AB801" s="38"/>
      <c r="AC801" s="38"/>
      <c r="AD801" s="38"/>
      <c r="AE801" s="38"/>
      <c r="AF801" s="38"/>
      <c r="AG801" s="38"/>
      <c r="AH801" s="38"/>
    </row>
    <row r="802" spans="3:34" ht="20.100000000000001" customHeight="1">
      <c r="C802" s="113"/>
      <c r="D802" s="114"/>
      <c r="P802" s="82"/>
      <c r="Q802" s="82"/>
      <c r="R802" s="38"/>
      <c r="S802" s="38"/>
      <c r="T802" s="38"/>
      <c r="U802" s="38"/>
      <c r="V802" s="38"/>
      <c r="W802" s="38"/>
      <c r="X802" s="38"/>
      <c r="Y802" s="38"/>
      <c r="Z802" s="38"/>
      <c r="AA802" s="38"/>
      <c r="AB802" s="38"/>
      <c r="AC802" s="38"/>
      <c r="AD802" s="38"/>
      <c r="AE802" s="38"/>
      <c r="AF802" s="38"/>
      <c r="AG802" s="38"/>
      <c r="AH802" s="38"/>
    </row>
    <row r="803" spans="3:34" ht="20.100000000000001" customHeight="1">
      <c r="C803" s="113"/>
      <c r="D803" s="114"/>
      <c r="P803" s="82"/>
      <c r="Q803" s="82"/>
      <c r="R803" s="38"/>
      <c r="S803" s="38"/>
      <c r="T803" s="38"/>
      <c r="U803" s="38"/>
      <c r="V803" s="38"/>
      <c r="W803" s="38"/>
      <c r="X803" s="38"/>
      <c r="Y803" s="38"/>
      <c r="Z803" s="38"/>
      <c r="AA803" s="38"/>
      <c r="AB803" s="38"/>
      <c r="AC803" s="38"/>
      <c r="AD803" s="38"/>
      <c r="AE803" s="38"/>
      <c r="AF803" s="38"/>
      <c r="AG803" s="38"/>
      <c r="AH803" s="38"/>
    </row>
    <row r="804" spans="3:34" ht="20.100000000000001" customHeight="1">
      <c r="C804" s="113"/>
      <c r="D804" s="114"/>
      <c r="P804" s="82"/>
      <c r="Q804" s="82"/>
      <c r="R804" s="38"/>
      <c r="S804" s="38"/>
      <c r="T804" s="38"/>
      <c r="U804" s="38"/>
      <c r="V804" s="38"/>
      <c r="W804" s="38"/>
      <c r="X804" s="38"/>
      <c r="Y804" s="38"/>
      <c r="Z804" s="38"/>
      <c r="AA804" s="38"/>
      <c r="AB804" s="38"/>
      <c r="AC804" s="38"/>
      <c r="AD804" s="38"/>
      <c r="AE804" s="38"/>
      <c r="AF804" s="38"/>
      <c r="AG804" s="38"/>
      <c r="AH804" s="38"/>
    </row>
    <row r="805" spans="3:34" ht="20.100000000000001" customHeight="1">
      <c r="C805" s="113"/>
      <c r="D805" s="114"/>
      <c r="P805" s="82"/>
      <c r="Q805" s="82"/>
      <c r="R805" s="38"/>
      <c r="S805" s="38"/>
      <c r="T805" s="38"/>
      <c r="U805" s="38"/>
      <c r="V805" s="38"/>
      <c r="W805" s="38"/>
      <c r="X805" s="38"/>
      <c r="Y805" s="38"/>
      <c r="Z805" s="38"/>
      <c r="AA805" s="38"/>
      <c r="AB805" s="38"/>
      <c r="AC805" s="38"/>
      <c r="AD805" s="38"/>
      <c r="AE805" s="38"/>
      <c r="AF805" s="38"/>
      <c r="AG805" s="38"/>
      <c r="AH805" s="38"/>
    </row>
    <row r="806" spans="3:34" ht="20.100000000000001" customHeight="1">
      <c r="C806" s="113"/>
      <c r="D806" s="114"/>
      <c r="P806" s="82"/>
      <c r="Q806" s="82"/>
      <c r="R806" s="38"/>
      <c r="S806" s="38"/>
      <c r="T806" s="38"/>
      <c r="U806" s="38"/>
      <c r="V806" s="38"/>
      <c r="W806" s="38"/>
      <c r="X806" s="38"/>
      <c r="Y806" s="38"/>
      <c r="Z806" s="38"/>
      <c r="AA806" s="38"/>
      <c r="AB806" s="38"/>
      <c r="AC806" s="38"/>
      <c r="AD806" s="38"/>
      <c r="AE806" s="38"/>
      <c r="AF806" s="38"/>
      <c r="AG806" s="38"/>
      <c r="AH806" s="38"/>
    </row>
    <row r="807" spans="3:34" ht="20.100000000000001" customHeight="1">
      <c r="C807" s="113"/>
      <c r="D807" s="114"/>
      <c r="P807" s="82"/>
      <c r="Q807" s="82"/>
      <c r="R807" s="38"/>
      <c r="S807" s="38"/>
      <c r="T807" s="38"/>
      <c r="U807" s="38"/>
      <c r="V807" s="38"/>
      <c r="W807" s="38"/>
      <c r="X807" s="38"/>
      <c r="Y807" s="38"/>
      <c r="Z807" s="38"/>
      <c r="AA807" s="38"/>
      <c r="AB807" s="38"/>
      <c r="AC807" s="38"/>
      <c r="AD807" s="38"/>
      <c r="AE807" s="38"/>
      <c r="AF807" s="38"/>
      <c r="AG807" s="38"/>
      <c r="AH807" s="38"/>
    </row>
    <row r="808" spans="3:34" ht="20.100000000000001" customHeight="1">
      <c r="C808" s="113"/>
      <c r="D808" s="114"/>
      <c r="P808" s="82"/>
      <c r="Q808" s="82"/>
      <c r="R808" s="38"/>
      <c r="S808" s="38"/>
      <c r="T808" s="38"/>
      <c r="U808" s="38"/>
      <c r="V808" s="38"/>
      <c r="W808" s="38"/>
      <c r="X808" s="38"/>
      <c r="Y808" s="38"/>
      <c r="Z808" s="38"/>
      <c r="AA808" s="38"/>
      <c r="AB808" s="38"/>
      <c r="AC808" s="38"/>
      <c r="AD808" s="38"/>
      <c r="AE808" s="38"/>
      <c r="AF808" s="38"/>
      <c r="AG808" s="38"/>
      <c r="AH808" s="38"/>
    </row>
    <row r="809" spans="3:34" ht="20.100000000000001" customHeight="1">
      <c r="C809" s="113"/>
      <c r="D809" s="114"/>
      <c r="P809" s="82"/>
      <c r="Q809" s="82"/>
      <c r="R809" s="38"/>
      <c r="S809" s="38"/>
      <c r="T809" s="38"/>
      <c r="U809" s="38"/>
      <c r="V809" s="38"/>
      <c r="W809" s="38"/>
      <c r="X809" s="38"/>
      <c r="Y809" s="38"/>
      <c r="Z809" s="38"/>
      <c r="AA809" s="38"/>
      <c r="AB809" s="38"/>
      <c r="AC809" s="38"/>
      <c r="AD809" s="38"/>
      <c r="AE809" s="38"/>
      <c r="AF809" s="38"/>
      <c r="AG809" s="38"/>
      <c r="AH809" s="38"/>
    </row>
    <row r="810" spans="3:34" ht="20.100000000000001" customHeight="1">
      <c r="C810" s="113"/>
      <c r="D810" s="114"/>
      <c r="P810" s="82"/>
      <c r="Q810" s="82"/>
      <c r="R810" s="38"/>
      <c r="S810" s="38"/>
      <c r="T810" s="38"/>
      <c r="U810" s="38"/>
      <c r="V810" s="38"/>
      <c r="W810" s="38"/>
      <c r="X810" s="38"/>
      <c r="Y810" s="38"/>
      <c r="Z810" s="38"/>
      <c r="AA810" s="38"/>
      <c r="AB810" s="38"/>
      <c r="AC810" s="38"/>
      <c r="AD810" s="38"/>
      <c r="AE810" s="38"/>
      <c r="AF810" s="38"/>
      <c r="AG810" s="38"/>
      <c r="AH810" s="38"/>
    </row>
    <row r="811" spans="3:34" ht="20.100000000000001" customHeight="1">
      <c r="C811" s="113"/>
      <c r="D811" s="114"/>
      <c r="P811" s="82"/>
      <c r="Q811" s="82"/>
      <c r="R811" s="38"/>
      <c r="S811" s="38"/>
      <c r="T811" s="38"/>
      <c r="U811" s="38"/>
      <c r="V811" s="38"/>
      <c r="W811" s="38"/>
      <c r="X811" s="38"/>
      <c r="Y811" s="38"/>
      <c r="Z811" s="38"/>
      <c r="AA811" s="38"/>
      <c r="AB811" s="38"/>
      <c r="AC811" s="38"/>
      <c r="AD811" s="38"/>
      <c r="AE811" s="38"/>
      <c r="AF811" s="38"/>
      <c r="AG811" s="38"/>
      <c r="AH811" s="38"/>
    </row>
    <row r="812" spans="3:34" ht="20.100000000000001" customHeight="1">
      <c r="C812" s="113"/>
      <c r="D812" s="114"/>
      <c r="P812" s="82"/>
      <c r="Q812" s="82"/>
      <c r="R812" s="38"/>
      <c r="S812" s="38"/>
      <c r="T812" s="38"/>
      <c r="U812" s="38"/>
      <c r="V812" s="38"/>
      <c r="W812" s="38"/>
      <c r="X812" s="38"/>
      <c r="Y812" s="38"/>
      <c r="Z812" s="38"/>
      <c r="AA812" s="38"/>
      <c r="AB812" s="38"/>
      <c r="AC812" s="38"/>
      <c r="AD812" s="38"/>
      <c r="AE812" s="38"/>
      <c r="AF812" s="38"/>
      <c r="AG812" s="38"/>
      <c r="AH812" s="38"/>
    </row>
    <row r="813" spans="3:34" ht="20.100000000000001" customHeight="1">
      <c r="C813" s="113"/>
      <c r="D813" s="114"/>
      <c r="P813" s="82"/>
      <c r="Q813" s="82"/>
      <c r="R813" s="38"/>
      <c r="S813" s="38"/>
      <c r="T813" s="38"/>
      <c r="U813" s="38"/>
      <c r="V813" s="38"/>
      <c r="W813" s="38"/>
      <c r="X813" s="38"/>
      <c r="Y813" s="38"/>
      <c r="Z813" s="38"/>
      <c r="AA813" s="38"/>
      <c r="AB813" s="38"/>
      <c r="AC813" s="38"/>
      <c r="AD813" s="38"/>
      <c r="AE813" s="38"/>
      <c r="AF813" s="38"/>
      <c r="AG813" s="38"/>
      <c r="AH813" s="38"/>
    </row>
    <row r="814" spans="3:34" ht="20.100000000000001" customHeight="1">
      <c r="C814" s="113"/>
      <c r="D814" s="114"/>
      <c r="P814" s="82"/>
      <c r="Q814" s="82"/>
      <c r="R814" s="38"/>
      <c r="S814" s="38"/>
      <c r="T814" s="38"/>
      <c r="U814" s="38"/>
      <c r="V814" s="38"/>
      <c r="W814" s="38"/>
      <c r="X814" s="38"/>
      <c r="Y814" s="38"/>
      <c r="Z814" s="38"/>
      <c r="AA814" s="38"/>
      <c r="AB814" s="38"/>
      <c r="AC814" s="38"/>
      <c r="AD814" s="38"/>
      <c r="AE814" s="38"/>
      <c r="AF814" s="38"/>
      <c r="AG814" s="38"/>
      <c r="AH814" s="38"/>
    </row>
    <row r="815" spans="3:34" ht="20.100000000000001" customHeight="1">
      <c r="C815" s="113"/>
      <c r="D815" s="114"/>
      <c r="P815" s="82"/>
      <c r="Q815" s="82"/>
      <c r="R815" s="38"/>
      <c r="S815" s="38"/>
      <c r="T815" s="38"/>
      <c r="U815" s="38"/>
      <c r="V815" s="38"/>
      <c r="W815" s="38"/>
      <c r="X815" s="38"/>
      <c r="Y815" s="38"/>
      <c r="Z815" s="38"/>
      <c r="AA815" s="38"/>
      <c r="AB815" s="38"/>
      <c r="AC815" s="38"/>
      <c r="AD815" s="38"/>
      <c r="AE815" s="38"/>
      <c r="AF815" s="38"/>
      <c r="AG815" s="38"/>
      <c r="AH815" s="38"/>
    </row>
    <row r="816" spans="3:34" ht="20.100000000000001" customHeight="1">
      <c r="C816" s="113"/>
      <c r="D816" s="114"/>
      <c r="P816" s="82"/>
      <c r="Q816" s="82"/>
      <c r="R816" s="38"/>
      <c r="S816" s="38"/>
      <c r="T816" s="38"/>
      <c r="U816" s="38"/>
      <c r="V816" s="38"/>
      <c r="W816" s="38"/>
      <c r="X816" s="38"/>
      <c r="Y816" s="38"/>
      <c r="Z816" s="38"/>
      <c r="AA816" s="38"/>
      <c r="AB816" s="38"/>
      <c r="AC816" s="38"/>
      <c r="AD816" s="38"/>
      <c r="AE816" s="38"/>
      <c r="AF816" s="38"/>
      <c r="AG816" s="38"/>
      <c r="AH816" s="38"/>
    </row>
    <row r="817" spans="3:34" ht="20.100000000000001" customHeight="1">
      <c r="C817" s="113"/>
      <c r="D817" s="114"/>
      <c r="P817" s="82"/>
      <c r="Q817" s="82"/>
      <c r="R817" s="38"/>
      <c r="S817" s="38"/>
      <c r="T817" s="38"/>
      <c r="U817" s="38"/>
      <c r="V817" s="38"/>
      <c r="W817" s="38"/>
      <c r="X817" s="38"/>
      <c r="Y817" s="38"/>
      <c r="Z817" s="38"/>
      <c r="AA817" s="38"/>
      <c r="AB817" s="38"/>
      <c r="AC817" s="38"/>
      <c r="AD817" s="38"/>
      <c r="AE817" s="38"/>
      <c r="AF817" s="38"/>
      <c r="AG817" s="38"/>
      <c r="AH817" s="38"/>
    </row>
    <row r="818" spans="3:34" ht="20.100000000000001" customHeight="1">
      <c r="C818" s="113"/>
      <c r="D818" s="114"/>
      <c r="P818" s="82"/>
      <c r="Q818" s="82"/>
      <c r="R818" s="38"/>
      <c r="S818" s="38"/>
      <c r="T818" s="38"/>
      <c r="U818" s="38"/>
      <c r="V818" s="38"/>
      <c r="W818" s="38"/>
      <c r="X818" s="38"/>
      <c r="Y818" s="38"/>
      <c r="Z818" s="38"/>
      <c r="AA818" s="38"/>
      <c r="AB818" s="38"/>
      <c r="AC818" s="38"/>
      <c r="AD818" s="38"/>
      <c r="AE818" s="38"/>
      <c r="AF818" s="38"/>
      <c r="AG818" s="38"/>
      <c r="AH818" s="38"/>
    </row>
    <row r="819" spans="3:34" ht="20.100000000000001" customHeight="1">
      <c r="C819" s="113"/>
      <c r="D819" s="114"/>
      <c r="P819" s="82"/>
      <c r="Q819" s="82"/>
      <c r="R819" s="38"/>
      <c r="S819" s="38"/>
      <c r="T819" s="38"/>
      <c r="U819" s="38"/>
      <c r="V819" s="38"/>
      <c r="W819" s="38"/>
      <c r="X819" s="38"/>
      <c r="Y819" s="38"/>
      <c r="Z819" s="38"/>
      <c r="AA819" s="38"/>
      <c r="AB819" s="38"/>
      <c r="AC819" s="38"/>
      <c r="AD819" s="38"/>
      <c r="AE819" s="38"/>
      <c r="AF819" s="38"/>
      <c r="AG819" s="38"/>
      <c r="AH819" s="38"/>
    </row>
    <row r="820" spans="3:34" ht="20.100000000000001" customHeight="1">
      <c r="C820" s="113"/>
      <c r="D820" s="114"/>
      <c r="P820" s="82"/>
      <c r="Q820" s="82"/>
      <c r="R820" s="38"/>
      <c r="S820" s="38"/>
      <c r="T820" s="38"/>
      <c r="U820" s="38"/>
      <c r="V820" s="38"/>
      <c r="W820" s="38"/>
      <c r="X820" s="38"/>
      <c r="Y820" s="38"/>
      <c r="Z820" s="38"/>
      <c r="AA820" s="38"/>
      <c r="AB820" s="38"/>
      <c r="AC820" s="38"/>
      <c r="AD820" s="38"/>
      <c r="AE820" s="38"/>
      <c r="AF820" s="38"/>
      <c r="AG820" s="38"/>
      <c r="AH820" s="38"/>
    </row>
    <row r="821" spans="3:34" ht="20.100000000000001" customHeight="1">
      <c r="C821" s="113"/>
      <c r="D821" s="114"/>
      <c r="P821" s="82"/>
      <c r="Q821" s="82"/>
      <c r="R821" s="38"/>
      <c r="S821" s="38"/>
      <c r="T821" s="38"/>
      <c r="U821" s="38"/>
      <c r="V821" s="38"/>
      <c r="W821" s="38"/>
      <c r="X821" s="38"/>
      <c r="Y821" s="38"/>
      <c r="Z821" s="38"/>
      <c r="AA821" s="38"/>
      <c r="AB821" s="38"/>
      <c r="AC821" s="38"/>
      <c r="AD821" s="38"/>
      <c r="AE821" s="38"/>
      <c r="AF821" s="38"/>
      <c r="AG821" s="38"/>
      <c r="AH821" s="38"/>
    </row>
    <row r="822" spans="3:34" ht="20.100000000000001" customHeight="1">
      <c r="C822" s="113"/>
      <c r="D822" s="114"/>
      <c r="P822" s="82"/>
      <c r="Q822" s="82"/>
      <c r="R822" s="38"/>
      <c r="S822" s="38"/>
      <c r="T822" s="38"/>
      <c r="U822" s="38"/>
      <c r="V822" s="38"/>
      <c r="W822" s="38"/>
      <c r="X822" s="38"/>
      <c r="Y822" s="38"/>
      <c r="Z822" s="38"/>
      <c r="AA822" s="38"/>
      <c r="AB822" s="38"/>
      <c r="AC822" s="38"/>
      <c r="AD822" s="38"/>
      <c r="AE822" s="38"/>
      <c r="AF822" s="38"/>
      <c r="AG822" s="38"/>
      <c r="AH822" s="38"/>
    </row>
    <row r="823" spans="3:34" ht="20.100000000000001" customHeight="1">
      <c r="C823" s="113"/>
      <c r="D823" s="114"/>
      <c r="P823" s="82"/>
      <c r="Q823" s="82"/>
      <c r="R823" s="38"/>
      <c r="S823" s="38"/>
      <c r="T823" s="38"/>
      <c r="U823" s="38"/>
      <c r="V823" s="38"/>
      <c r="W823" s="38"/>
      <c r="X823" s="38"/>
      <c r="Y823" s="38"/>
      <c r="Z823" s="38"/>
      <c r="AA823" s="38"/>
      <c r="AB823" s="38"/>
      <c r="AC823" s="38"/>
      <c r="AD823" s="38"/>
      <c r="AE823" s="38"/>
      <c r="AF823" s="38"/>
      <c r="AG823" s="38"/>
      <c r="AH823" s="38"/>
    </row>
    <row r="824" spans="3:34" ht="20.100000000000001" customHeight="1">
      <c r="C824" s="113"/>
      <c r="D824" s="114"/>
      <c r="P824" s="82"/>
      <c r="Q824" s="82"/>
      <c r="R824" s="38"/>
      <c r="S824" s="38"/>
      <c r="T824" s="38"/>
      <c r="U824" s="38"/>
      <c r="V824" s="38"/>
      <c r="W824" s="38"/>
      <c r="X824" s="38"/>
      <c r="Y824" s="38"/>
      <c r="Z824" s="38"/>
      <c r="AA824" s="38"/>
      <c r="AB824" s="38"/>
      <c r="AC824" s="38"/>
      <c r="AD824" s="38"/>
      <c r="AE824" s="38"/>
      <c r="AF824" s="38"/>
      <c r="AG824" s="38"/>
      <c r="AH824" s="38"/>
    </row>
    <row r="825" spans="3:34" ht="20.100000000000001" customHeight="1">
      <c r="C825" s="113"/>
      <c r="D825" s="114"/>
      <c r="P825" s="82"/>
      <c r="Q825" s="82"/>
      <c r="R825" s="38"/>
      <c r="S825" s="38"/>
      <c r="T825" s="38"/>
      <c r="U825" s="38"/>
      <c r="V825" s="38"/>
      <c r="W825" s="38"/>
      <c r="X825" s="38"/>
      <c r="Y825" s="38"/>
      <c r="Z825" s="38"/>
      <c r="AA825" s="38"/>
      <c r="AB825" s="38"/>
      <c r="AC825" s="38"/>
      <c r="AD825" s="38"/>
      <c r="AE825" s="38"/>
      <c r="AF825" s="38"/>
      <c r="AG825" s="38"/>
      <c r="AH825" s="38"/>
    </row>
    <row r="826" spans="3:34" ht="20.100000000000001" customHeight="1">
      <c r="C826" s="113"/>
      <c r="D826" s="114"/>
      <c r="P826" s="82"/>
      <c r="Q826" s="82"/>
      <c r="R826" s="38"/>
      <c r="S826" s="38"/>
      <c r="T826" s="38"/>
      <c r="U826" s="38"/>
      <c r="V826" s="38"/>
      <c r="W826" s="38"/>
      <c r="X826" s="38"/>
      <c r="Y826" s="38"/>
      <c r="Z826" s="38"/>
      <c r="AA826" s="38"/>
      <c r="AB826" s="38"/>
      <c r="AC826" s="38"/>
      <c r="AD826" s="38"/>
      <c r="AE826" s="38"/>
      <c r="AF826" s="38"/>
      <c r="AG826" s="38"/>
      <c r="AH826" s="38"/>
    </row>
    <row r="827" spans="3:34" ht="20.100000000000001" customHeight="1">
      <c r="C827" s="113"/>
      <c r="D827" s="114"/>
      <c r="P827" s="82"/>
      <c r="Q827" s="82"/>
      <c r="R827" s="38"/>
      <c r="S827" s="38"/>
      <c r="T827" s="38"/>
      <c r="U827" s="38"/>
      <c r="V827" s="38"/>
      <c r="W827" s="38"/>
      <c r="X827" s="38"/>
      <c r="Y827" s="38"/>
      <c r="Z827" s="38"/>
      <c r="AA827" s="38"/>
      <c r="AB827" s="38"/>
      <c r="AC827" s="38"/>
      <c r="AD827" s="38"/>
      <c r="AE827" s="38"/>
      <c r="AF827" s="38"/>
      <c r="AG827" s="38"/>
      <c r="AH827" s="38"/>
    </row>
    <row r="828" spans="3:34" ht="20.100000000000001" customHeight="1">
      <c r="C828" s="113"/>
      <c r="D828" s="114"/>
      <c r="P828" s="82"/>
      <c r="Q828" s="82"/>
      <c r="R828" s="38"/>
      <c r="S828" s="38"/>
      <c r="T828" s="38"/>
      <c r="U828" s="38"/>
      <c r="V828" s="38"/>
      <c r="W828" s="38"/>
      <c r="X828" s="38"/>
      <c r="Y828" s="38"/>
      <c r="Z828" s="38"/>
      <c r="AA828" s="38"/>
      <c r="AB828" s="38"/>
      <c r="AC828" s="38"/>
      <c r="AD828" s="38"/>
      <c r="AE828" s="38"/>
      <c r="AF828" s="38"/>
      <c r="AG828" s="38"/>
      <c r="AH828" s="38"/>
    </row>
    <row r="829" spans="3:34" ht="20.100000000000001" customHeight="1">
      <c r="C829" s="113"/>
      <c r="D829" s="114"/>
      <c r="P829" s="82"/>
      <c r="Q829" s="82"/>
      <c r="R829" s="38"/>
      <c r="S829" s="38"/>
      <c r="T829" s="38"/>
      <c r="U829" s="38"/>
      <c r="V829" s="38"/>
      <c r="W829" s="38"/>
      <c r="X829" s="38"/>
      <c r="Y829" s="38"/>
      <c r="Z829" s="38"/>
      <c r="AA829" s="38"/>
      <c r="AB829" s="38"/>
      <c r="AC829" s="38"/>
      <c r="AD829" s="38"/>
      <c r="AE829" s="38"/>
      <c r="AF829" s="38"/>
      <c r="AG829" s="38"/>
      <c r="AH829" s="38"/>
    </row>
    <row r="830" spans="3:34" ht="20.100000000000001" customHeight="1">
      <c r="C830" s="113"/>
      <c r="D830" s="114"/>
      <c r="P830" s="82"/>
      <c r="Q830" s="82"/>
      <c r="R830" s="38"/>
      <c r="S830" s="38"/>
      <c r="T830" s="38"/>
      <c r="U830" s="38"/>
      <c r="V830" s="38"/>
      <c r="W830" s="38"/>
      <c r="X830" s="38"/>
      <c r="Y830" s="38"/>
      <c r="Z830" s="38"/>
      <c r="AA830" s="38"/>
      <c r="AB830" s="38"/>
      <c r="AC830" s="38"/>
      <c r="AD830" s="38"/>
      <c r="AE830" s="38"/>
      <c r="AF830" s="38"/>
      <c r="AG830" s="38"/>
      <c r="AH830" s="38"/>
    </row>
    <row r="831" spans="3:34" ht="20.100000000000001" customHeight="1">
      <c r="C831" s="113"/>
      <c r="D831" s="114"/>
      <c r="P831" s="82"/>
      <c r="Q831" s="82"/>
      <c r="R831" s="38"/>
      <c r="S831" s="38"/>
      <c r="T831" s="38"/>
      <c r="U831" s="38"/>
      <c r="V831" s="38"/>
      <c r="W831" s="38"/>
      <c r="X831" s="38"/>
      <c r="Y831" s="38"/>
      <c r="Z831" s="38"/>
      <c r="AA831" s="38"/>
      <c r="AB831" s="38"/>
      <c r="AC831" s="38"/>
      <c r="AD831" s="38"/>
      <c r="AE831" s="38"/>
      <c r="AF831" s="38"/>
      <c r="AG831" s="38"/>
      <c r="AH831" s="38"/>
    </row>
    <row r="832" spans="3:34" ht="20.100000000000001" customHeight="1">
      <c r="C832" s="113"/>
      <c r="D832" s="114"/>
      <c r="P832" s="82"/>
      <c r="Q832" s="82"/>
      <c r="R832" s="38"/>
      <c r="S832" s="38"/>
      <c r="T832" s="38"/>
      <c r="U832" s="38"/>
      <c r="V832" s="38"/>
      <c r="W832" s="38"/>
      <c r="X832" s="38"/>
      <c r="Y832" s="38"/>
      <c r="Z832" s="38"/>
      <c r="AA832" s="38"/>
      <c r="AB832" s="38"/>
      <c r="AC832" s="38"/>
      <c r="AD832" s="38"/>
      <c r="AE832" s="38"/>
      <c r="AF832" s="38"/>
      <c r="AG832" s="38"/>
      <c r="AH832" s="38"/>
    </row>
    <row r="833" spans="3:34" ht="20.100000000000001" customHeight="1">
      <c r="C833" s="113"/>
      <c r="D833" s="114"/>
      <c r="P833" s="82"/>
      <c r="Q833" s="82"/>
      <c r="R833" s="38"/>
      <c r="S833" s="38"/>
      <c r="T833" s="38"/>
      <c r="U833" s="38"/>
      <c r="V833" s="38"/>
      <c r="W833" s="38"/>
      <c r="X833" s="38"/>
      <c r="Y833" s="38"/>
      <c r="Z833" s="38"/>
      <c r="AA833" s="38"/>
      <c r="AB833" s="38"/>
      <c r="AC833" s="38"/>
      <c r="AD833" s="38"/>
      <c r="AE833" s="38"/>
      <c r="AF833" s="38"/>
      <c r="AG833" s="38"/>
      <c r="AH833" s="38"/>
    </row>
    <row r="834" spans="3:34" ht="20.100000000000001" customHeight="1">
      <c r="C834" s="113"/>
      <c r="D834" s="114"/>
      <c r="P834" s="82"/>
      <c r="Q834" s="82"/>
      <c r="R834" s="38"/>
      <c r="S834" s="38"/>
      <c r="T834" s="38"/>
      <c r="U834" s="38"/>
      <c r="V834" s="38"/>
      <c r="W834" s="38"/>
      <c r="X834" s="38"/>
      <c r="Y834" s="38"/>
      <c r="Z834" s="38"/>
      <c r="AA834" s="38"/>
      <c r="AB834" s="38"/>
      <c r="AC834" s="38"/>
      <c r="AD834" s="38"/>
      <c r="AE834" s="38"/>
      <c r="AF834" s="38"/>
      <c r="AG834" s="38"/>
      <c r="AH834" s="38"/>
    </row>
    <row r="835" spans="3:34" ht="20.100000000000001" customHeight="1">
      <c r="C835" s="113"/>
      <c r="D835" s="114"/>
      <c r="P835" s="82"/>
      <c r="Q835" s="82"/>
      <c r="R835" s="38"/>
      <c r="S835" s="38"/>
      <c r="T835" s="38"/>
      <c r="U835" s="38"/>
      <c r="V835" s="38"/>
      <c r="W835" s="38"/>
      <c r="X835" s="38"/>
      <c r="Y835" s="38"/>
      <c r="Z835" s="38"/>
      <c r="AA835" s="38"/>
      <c r="AB835" s="38"/>
      <c r="AC835" s="38"/>
      <c r="AD835" s="38"/>
      <c r="AE835" s="38"/>
      <c r="AF835" s="38"/>
      <c r="AG835" s="38"/>
      <c r="AH835" s="38"/>
    </row>
    <row r="836" spans="3:34" ht="20.100000000000001" customHeight="1">
      <c r="C836" s="113"/>
      <c r="D836" s="114"/>
      <c r="P836" s="82"/>
      <c r="Q836" s="82"/>
      <c r="R836" s="38"/>
      <c r="S836" s="38"/>
      <c r="T836" s="38"/>
      <c r="U836" s="38"/>
      <c r="V836" s="38"/>
      <c r="W836" s="38"/>
      <c r="X836" s="38"/>
      <c r="Y836" s="38"/>
      <c r="Z836" s="38"/>
      <c r="AA836" s="38"/>
      <c r="AB836" s="38"/>
      <c r="AC836" s="38"/>
      <c r="AD836" s="38"/>
      <c r="AE836" s="38"/>
      <c r="AF836" s="38"/>
      <c r="AG836" s="38"/>
      <c r="AH836" s="38"/>
    </row>
    <row r="837" spans="3:34" ht="20.100000000000001" customHeight="1">
      <c r="C837" s="113"/>
      <c r="D837" s="114"/>
      <c r="P837" s="82"/>
      <c r="Q837" s="82"/>
      <c r="R837" s="38"/>
      <c r="S837" s="38"/>
      <c r="T837" s="38"/>
      <c r="U837" s="38"/>
      <c r="V837" s="38"/>
      <c r="W837" s="38"/>
      <c r="X837" s="38"/>
      <c r="Y837" s="38"/>
      <c r="Z837" s="38"/>
      <c r="AA837" s="38"/>
      <c r="AB837" s="38"/>
      <c r="AC837" s="38"/>
      <c r="AD837" s="38"/>
      <c r="AE837" s="38"/>
      <c r="AF837" s="38"/>
      <c r="AG837" s="38"/>
      <c r="AH837" s="38"/>
    </row>
    <row r="838" spans="3:34" ht="20.100000000000001" customHeight="1">
      <c r="C838" s="113"/>
      <c r="D838" s="114"/>
      <c r="P838" s="82"/>
      <c r="Q838" s="82"/>
      <c r="R838" s="38"/>
      <c r="S838" s="38"/>
      <c r="T838" s="38"/>
      <c r="U838" s="38"/>
      <c r="V838" s="38"/>
      <c r="W838" s="38"/>
      <c r="X838" s="38"/>
      <c r="Y838" s="38"/>
      <c r="Z838" s="38"/>
      <c r="AA838" s="38"/>
      <c r="AB838" s="38"/>
      <c r="AC838" s="38"/>
      <c r="AD838" s="38"/>
      <c r="AE838" s="38"/>
      <c r="AF838" s="38"/>
      <c r="AG838" s="38"/>
      <c r="AH838" s="38"/>
    </row>
    <row r="839" spans="3:34" ht="20.100000000000001" customHeight="1">
      <c r="C839" s="113"/>
      <c r="D839" s="114"/>
      <c r="P839" s="82"/>
      <c r="Q839" s="82"/>
      <c r="R839" s="38"/>
      <c r="S839" s="38"/>
      <c r="T839" s="38"/>
      <c r="U839" s="38"/>
      <c r="V839" s="38"/>
      <c r="W839" s="38"/>
      <c r="X839" s="38"/>
      <c r="Y839" s="38"/>
      <c r="Z839" s="38"/>
      <c r="AA839" s="38"/>
      <c r="AB839" s="38"/>
      <c r="AC839" s="38"/>
      <c r="AD839" s="38"/>
      <c r="AE839" s="38"/>
      <c r="AF839" s="38"/>
      <c r="AG839" s="38"/>
      <c r="AH839" s="38"/>
    </row>
    <row r="840" spans="3:34" ht="20.100000000000001" customHeight="1">
      <c r="C840" s="113"/>
      <c r="D840" s="114"/>
      <c r="P840" s="82"/>
      <c r="Q840" s="82"/>
      <c r="R840" s="38"/>
      <c r="S840" s="38"/>
      <c r="T840" s="38"/>
      <c r="U840" s="38"/>
      <c r="V840" s="38"/>
      <c r="W840" s="38"/>
      <c r="X840" s="38"/>
      <c r="Y840" s="38"/>
      <c r="Z840" s="38"/>
      <c r="AA840" s="38"/>
      <c r="AB840" s="38"/>
      <c r="AC840" s="38"/>
      <c r="AD840" s="38"/>
      <c r="AE840" s="38"/>
      <c r="AF840" s="38"/>
      <c r="AG840" s="38"/>
      <c r="AH840" s="38"/>
    </row>
    <row r="841" spans="3:34" ht="20.100000000000001" customHeight="1">
      <c r="C841" s="113"/>
      <c r="D841" s="114"/>
      <c r="P841" s="82"/>
      <c r="Q841" s="82"/>
      <c r="R841" s="38"/>
      <c r="S841" s="38"/>
      <c r="T841" s="38"/>
      <c r="U841" s="38"/>
      <c r="V841" s="38"/>
      <c r="W841" s="38"/>
      <c r="X841" s="38"/>
      <c r="Y841" s="38"/>
      <c r="Z841" s="38"/>
      <c r="AA841" s="38"/>
      <c r="AB841" s="38"/>
      <c r="AC841" s="38"/>
      <c r="AD841" s="38"/>
      <c r="AE841" s="38"/>
      <c r="AF841" s="38"/>
      <c r="AG841" s="38"/>
      <c r="AH841" s="38"/>
    </row>
    <row r="842" spans="3:34" ht="20.100000000000001" customHeight="1">
      <c r="C842" s="113"/>
      <c r="D842" s="114"/>
      <c r="P842" s="82"/>
      <c r="Q842" s="82"/>
      <c r="R842" s="38"/>
      <c r="S842" s="38"/>
      <c r="T842" s="38"/>
      <c r="U842" s="38"/>
      <c r="V842" s="38"/>
      <c r="W842" s="38"/>
      <c r="X842" s="38"/>
      <c r="Y842" s="38"/>
      <c r="Z842" s="38"/>
      <c r="AA842" s="38"/>
      <c r="AB842" s="38"/>
      <c r="AC842" s="38"/>
      <c r="AD842" s="38"/>
      <c r="AE842" s="38"/>
      <c r="AF842" s="38"/>
      <c r="AG842" s="38"/>
      <c r="AH842" s="38"/>
    </row>
    <row r="843" spans="3:34" ht="20.100000000000001" customHeight="1">
      <c r="C843" s="113"/>
      <c r="D843" s="114"/>
      <c r="P843" s="82"/>
      <c r="Q843" s="82"/>
      <c r="R843" s="38"/>
      <c r="S843" s="38"/>
      <c r="T843" s="38"/>
      <c r="U843" s="38"/>
      <c r="V843" s="38"/>
      <c r="W843" s="38"/>
      <c r="X843" s="38"/>
      <c r="Y843" s="38"/>
      <c r="Z843" s="38"/>
      <c r="AA843" s="38"/>
      <c r="AB843" s="38"/>
      <c r="AC843" s="38"/>
      <c r="AD843" s="38"/>
      <c r="AE843" s="38"/>
      <c r="AF843" s="38"/>
      <c r="AG843" s="38"/>
      <c r="AH843" s="38"/>
    </row>
    <row r="844" spans="3:34" ht="20.100000000000001" customHeight="1">
      <c r="C844" s="113"/>
      <c r="D844" s="114"/>
      <c r="P844" s="82"/>
      <c r="Q844" s="82"/>
      <c r="R844" s="38"/>
      <c r="S844" s="38"/>
      <c r="T844" s="38"/>
      <c r="U844" s="38"/>
      <c r="V844" s="38"/>
      <c r="W844" s="38"/>
      <c r="X844" s="38"/>
      <c r="Y844" s="38"/>
      <c r="Z844" s="38"/>
      <c r="AA844" s="38"/>
      <c r="AB844" s="38"/>
      <c r="AC844" s="38"/>
      <c r="AD844" s="38"/>
      <c r="AE844" s="38"/>
      <c r="AF844" s="38"/>
      <c r="AG844" s="38"/>
      <c r="AH844" s="38"/>
    </row>
    <row r="845" spans="3:34" ht="20.100000000000001" customHeight="1">
      <c r="C845" s="113"/>
      <c r="D845" s="114"/>
      <c r="P845" s="82"/>
      <c r="Q845" s="82"/>
      <c r="R845" s="38"/>
      <c r="S845" s="38"/>
      <c r="T845" s="38"/>
      <c r="U845" s="38"/>
      <c r="V845" s="38"/>
      <c r="W845" s="38"/>
      <c r="X845" s="38"/>
      <c r="Y845" s="38"/>
      <c r="Z845" s="38"/>
      <c r="AA845" s="38"/>
      <c r="AB845" s="38"/>
      <c r="AC845" s="38"/>
      <c r="AD845" s="38"/>
      <c r="AE845" s="38"/>
      <c r="AF845" s="38"/>
      <c r="AG845" s="38"/>
      <c r="AH845" s="38"/>
    </row>
    <row r="846" spans="3:34" ht="20.100000000000001" customHeight="1">
      <c r="C846" s="113"/>
      <c r="D846" s="114"/>
      <c r="P846" s="82"/>
      <c r="Q846" s="82"/>
      <c r="R846" s="38"/>
      <c r="S846" s="38"/>
      <c r="T846" s="38"/>
      <c r="U846" s="38"/>
      <c r="V846" s="38"/>
      <c r="W846" s="38"/>
      <c r="X846" s="38"/>
      <c r="Y846" s="38"/>
      <c r="Z846" s="38"/>
      <c r="AA846" s="38"/>
      <c r="AB846" s="38"/>
      <c r="AC846" s="38"/>
      <c r="AD846" s="38"/>
      <c r="AE846" s="38"/>
      <c r="AF846" s="38"/>
      <c r="AG846" s="38"/>
      <c r="AH846" s="38"/>
    </row>
    <row r="847" spans="3:34" ht="20.100000000000001" customHeight="1">
      <c r="C847" s="113"/>
      <c r="D847" s="114"/>
      <c r="P847" s="82"/>
      <c r="Q847" s="82"/>
      <c r="R847" s="38"/>
      <c r="S847" s="38"/>
      <c r="T847" s="38"/>
      <c r="U847" s="38"/>
      <c r="V847" s="38"/>
      <c r="W847" s="38"/>
      <c r="X847" s="38"/>
      <c r="Y847" s="38"/>
      <c r="Z847" s="38"/>
      <c r="AA847" s="38"/>
      <c r="AB847" s="38"/>
      <c r="AC847" s="38"/>
      <c r="AD847" s="38"/>
      <c r="AE847" s="38"/>
      <c r="AF847" s="38"/>
      <c r="AG847" s="38"/>
      <c r="AH847" s="38"/>
    </row>
    <row r="848" spans="3:34" ht="20.100000000000001" customHeight="1">
      <c r="C848" s="113"/>
      <c r="D848" s="114"/>
      <c r="P848" s="82"/>
      <c r="Q848" s="82"/>
      <c r="R848" s="38"/>
      <c r="S848" s="38"/>
      <c r="T848" s="38"/>
      <c r="U848" s="38"/>
      <c r="V848" s="38"/>
      <c r="W848" s="38"/>
      <c r="X848" s="38"/>
      <c r="Y848" s="38"/>
      <c r="Z848" s="38"/>
      <c r="AA848" s="38"/>
      <c r="AB848" s="38"/>
      <c r="AC848" s="38"/>
      <c r="AD848" s="38"/>
      <c r="AE848" s="38"/>
      <c r="AF848" s="38"/>
      <c r="AG848" s="38"/>
      <c r="AH848" s="38"/>
    </row>
    <row r="849" spans="3:34" ht="20.100000000000001" customHeight="1">
      <c r="C849" s="113"/>
      <c r="D849" s="114"/>
      <c r="P849" s="82"/>
      <c r="Q849" s="82"/>
      <c r="R849" s="38"/>
      <c r="S849" s="38"/>
      <c r="T849" s="38"/>
      <c r="U849" s="38"/>
      <c r="V849" s="38"/>
      <c r="W849" s="38"/>
      <c r="X849" s="38"/>
      <c r="Y849" s="38"/>
      <c r="Z849" s="38"/>
      <c r="AA849" s="38"/>
      <c r="AB849" s="38"/>
      <c r="AC849" s="38"/>
      <c r="AD849" s="38"/>
      <c r="AE849" s="38"/>
      <c r="AF849" s="38"/>
      <c r="AG849" s="38"/>
      <c r="AH849" s="38"/>
    </row>
    <row r="850" spans="3:34" ht="20.100000000000001" customHeight="1">
      <c r="C850" s="113"/>
      <c r="D850" s="114"/>
      <c r="P850" s="82"/>
      <c r="Q850" s="82"/>
      <c r="R850" s="38"/>
      <c r="S850" s="38"/>
      <c r="T850" s="38"/>
      <c r="U850" s="38"/>
      <c r="V850" s="38"/>
      <c r="W850" s="38"/>
      <c r="X850" s="38"/>
      <c r="Y850" s="38"/>
      <c r="Z850" s="38"/>
      <c r="AA850" s="38"/>
      <c r="AB850" s="38"/>
      <c r="AC850" s="38"/>
      <c r="AD850" s="38"/>
      <c r="AE850" s="38"/>
      <c r="AF850" s="38"/>
      <c r="AG850" s="38"/>
      <c r="AH850" s="38"/>
    </row>
    <row r="851" spans="3:34" ht="20.100000000000001" customHeight="1">
      <c r="C851" s="113"/>
      <c r="D851" s="114"/>
      <c r="P851" s="82"/>
      <c r="Q851" s="82"/>
      <c r="R851" s="38"/>
      <c r="S851" s="38"/>
      <c r="T851" s="38"/>
      <c r="U851" s="38"/>
      <c r="V851" s="38"/>
      <c r="W851" s="38"/>
      <c r="X851" s="38"/>
      <c r="Y851" s="38"/>
      <c r="Z851" s="38"/>
      <c r="AA851" s="38"/>
      <c r="AB851" s="38"/>
      <c r="AC851" s="38"/>
      <c r="AD851" s="38"/>
      <c r="AE851" s="38"/>
      <c r="AF851" s="38"/>
      <c r="AG851" s="38"/>
      <c r="AH851" s="38"/>
    </row>
    <row r="852" spans="3:34" ht="20.100000000000001" customHeight="1">
      <c r="C852" s="113"/>
      <c r="D852" s="114"/>
      <c r="P852" s="82"/>
      <c r="Q852" s="82"/>
      <c r="R852" s="38"/>
      <c r="S852" s="38"/>
      <c r="T852" s="38"/>
      <c r="U852" s="38"/>
      <c r="V852" s="38"/>
      <c r="W852" s="38"/>
      <c r="X852" s="38"/>
      <c r="Y852" s="38"/>
      <c r="Z852" s="38"/>
      <c r="AA852" s="38"/>
      <c r="AB852" s="38"/>
      <c r="AC852" s="38"/>
      <c r="AD852" s="38"/>
      <c r="AE852" s="38"/>
      <c r="AF852" s="38"/>
      <c r="AG852" s="38"/>
      <c r="AH852" s="38"/>
    </row>
    <row r="853" spans="3:34" ht="20.100000000000001" customHeight="1">
      <c r="C853" s="113"/>
      <c r="D853" s="114"/>
      <c r="P853" s="82"/>
      <c r="Q853" s="82"/>
      <c r="R853" s="38"/>
      <c r="S853" s="38"/>
      <c r="T853" s="38"/>
      <c r="U853" s="38"/>
      <c r="V853" s="38"/>
      <c r="W853" s="38"/>
      <c r="X853" s="38"/>
      <c r="Y853" s="38"/>
      <c r="Z853" s="38"/>
      <c r="AA853" s="38"/>
      <c r="AB853" s="38"/>
      <c r="AC853" s="38"/>
      <c r="AD853" s="38"/>
      <c r="AE853" s="38"/>
      <c r="AF853" s="38"/>
      <c r="AG853" s="38"/>
      <c r="AH853" s="38"/>
    </row>
    <row r="854" spans="3:34" ht="20.100000000000001" customHeight="1">
      <c r="C854" s="113"/>
      <c r="D854" s="114"/>
      <c r="P854" s="82"/>
      <c r="Q854" s="82"/>
      <c r="R854" s="38"/>
      <c r="S854" s="38"/>
      <c r="T854" s="38"/>
      <c r="U854" s="38"/>
      <c r="V854" s="38"/>
      <c r="W854" s="38"/>
      <c r="X854" s="38"/>
      <c r="Y854" s="38"/>
      <c r="Z854" s="38"/>
      <c r="AA854" s="38"/>
      <c r="AB854" s="38"/>
      <c r="AC854" s="38"/>
      <c r="AD854" s="38"/>
      <c r="AE854" s="38"/>
      <c r="AF854" s="38"/>
      <c r="AG854" s="38"/>
      <c r="AH854" s="38"/>
    </row>
    <row r="855" spans="3:34" ht="20.100000000000001" customHeight="1">
      <c r="C855" s="113"/>
      <c r="D855" s="114"/>
      <c r="P855" s="82"/>
      <c r="Q855" s="82"/>
      <c r="R855" s="38"/>
      <c r="S855" s="38"/>
      <c r="T855" s="38"/>
      <c r="U855" s="38"/>
      <c r="V855" s="38"/>
      <c r="W855" s="38"/>
      <c r="X855" s="38"/>
      <c r="Y855" s="38"/>
      <c r="Z855" s="38"/>
      <c r="AA855" s="38"/>
      <c r="AB855" s="38"/>
      <c r="AC855" s="38"/>
      <c r="AD855" s="38"/>
      <c r="AE855" s="38"/>
      <c r="AF855" s="38"/>
      <c r="AG855" s="38"/>
      <c r="AH855" s="38"/>
    </row>
    <row r="856" spans="3:34" ht="20.100000000000001" customHeight="1">
      <c r="C856" s="113"/>
      <c r="D856" s="114"/>
      <c r="P856" s="82"/>
      <c r="Q856" s="82"/>
      <c r="R856" s="38"/>
      <c r="S856" s="38"/>
      <c r="T856" s="38"/>
      <c r="U856" s="38"/>
      <c r="V856" s="38"/>
      <c r="W856" s="38"/>
      <c r="X856" s="38"/>
      <c r="Y856" s="38"/>
      <c r="Z856" s="38"/>
      <c r="AA856" s="38"/>
      <c r="AB856" s="38"/>
      <c r="AC856" s="38"/>
      <c r="AD856" s="38"/>
      <c r="AE856" s="38"/>
      <c r="AF856" s="38"/>
      <c r="AG856" s="38"/>
      <c r="AH856" s="38"/>
    </row>
    <row r="857" spans="3:34" ht="20.100000000000001" customHeight="1">
      <c r="C857" s="113"/>
      <c r="D857" s="114"/>
      <c r="P857" s="82"/>
      <c r="Q857" s="82"/>
      <c r="R857" s="38"/>
      <c r="S857" s="38"/>
      <c r="T857" s="38"/>
      <c r="U857" s="38"/>
      <c r="V857" s="38"/>
      <c r="W857" s="38"/>
      <c r="X857" s="38"/>
      <c r="Y857" s="38"/>
      <c r="Z857" s="38"/>
      <c r="AA857" s="38"/>
      <c r="AB857" s="38"/>
      <c r="AC857" s="38"/>
      <c r="AD857" s="38"/>
      <c r="AE857" s="38"/>
      <c r="AF857" s="38"/>
      <c r="AG857" s="38"/>
      <c r="AH857" s="38"/>
    </row>
    <row r="858" spans="3:34" ht="20.100000000000001" customHeight="1">
      <c r="C858" s="113"/>
      <c r="D858" s="114"/>
      <c r="P858" s="82"/>
      <c r="Q858" s="82"/>
      <c r="R858" s="38"/>
      <c r="S858" s="38"/>
      <c r="T858" s="38"/>
      <c r="U858" s="38"/>
      <c r="V858" s="38"/>
      <c r="W858" s="38"/>
      <c r="X858" s="38"/>
      <c r="Y858" s="38"/>
      <c r="Z858" s="38"/>
      <c r="AA858" s="38"/>
      <c r="AB858" s="38"/>
      <c r="AC858" s="38"/>
      <c r="AD858" s="38"/>
      <c r="AE858" s="38"/>
      <c r="AF858" s="38"/>
      <c r="AG858" s="38"/>
      <c r="AH858" s="38"/>
    </row>
    <row r="859" spans="3:34" ht="20.100000000000001" customHeight="1">
      <c r="C859" s="113"/>
      <c r="D859" s="114"/>
      <c r="P859" s="82"/>
      <c r="Q859" s="82"/>
      <c r="R859" s="38"/>
      <c r="S859" s="38"/>
      <c r="T859" s="38"/>
      <c r="U859" s="38"/>
      <c r="V859" s="38"/>
      <c r="W859" s="38"/>
      <c r="X859" s="38"/>
      <c r="Y859" s="38"/>
      <c r="Z859" s="38"/>
      <c r="AA859" s="38"/>
      <c r="AB859" s="38"/>
      <c r="AC859" s="38"/>
      <c r="AD859" s="38"/>
      <c r="AE859" s="38"/>
      <c r="AF859" s="38"/>
      <c r="AG859" s="38"/>
      <c r="AH859" s="38"/>
    </row>
    <row r="860" spans="3:34" ht="20.100000000000001" customHeight="1">
      <c r="C860" s="113"/>
      <c r="D860" s="114"/>
      <c r="P860" s="82"/>
      <c r="Q860" s="82"/>
      <c r="R860" s="38"/>
      <c r="S860" s="38"/>
      <c r="T860" s="38"/>
      <c r="U860" s="38"/>
      <c r="V860" s="38"/>
      <c r="W860" s="38"/>
      <c r="X860" s="38"/>
      <c r="Y860" s="38"/>
      <c r="Z860" s="38"/>
      <c r="AA860" s="38"/>
      <c r="AB860" s="38"/>
      <c r="AC860" s="38"/>
      <c r="AD860" s="38"/>
      <c r="AE860" s="38"/>
      <c r="AF860" s="38"/>
      <c r="AG860" s="38"/>
      <c r="AH860" s="38"/>
    </row>
    <row r="861" spans="3:34" ht="20.100000000000001" customHeight="1">
      <c r="C861" s="113"/>
      <c r="D861" s="114"/>
      <c r="P861" s="82"/>
      <c r="Q861" s="82"/>
      <c r="R861" s="38"/>
      <c r="S861" s="38"/>
      <c r="T861" s="38"/>
      <c r="U861" s="38"/>
      <c r="V861" s="38"/>
      <c r="W861" s="38"/>
      <c r="X861" s="38"/>
      <c r="Y861" s="38"/>
      <c r="Z861" s="38"/>
      <c r="AA861" s="38"/>
      <c r="AB861" s="38"/>
      <c r="AC861" s="38"/>
      <c r="AD861" s="38"/>
      <c r="AE861" s="38"/>
      <c r="AF861" s="38"/>
      <c r="AG861" s="38"/>
      <c r="AH861" s="38"/>
    </row>
    <row r="862" spans="3:34" ht="20.100000000000001" customHeight="1">
      <c r="C862" s="113"/>
      <c r="D862" s="114"/>
      <c r="P862" s="82"/>
      <c r="Q862" s="82"/>
      <c r="R862" s="38"/>
      <c r="S862" s="38"/>
      <c r="T862" s="38"/>
      <c r="U862" s="38"/>
      <c r="V862" s="38"/>
      <c r="W862" s="38"/>
      <c r="X862" s="38"/>
      <c r="Y862" s="38"/>
      <c r="Z862" s="38"/>
      <c r="AA862" s="38"/>
      <c r="AB862" s="38"/>
      <c r="AC862" s="38"/>
      <c r="AD862" s="38"/>
      <c r="AE862" s="38"/>
      <c r="AF862" s="38"/>
      <c r="AG862" s="38"/>
      <c r="AH862" s="38"/>
    </row>
    <row r="863" spans="3:34" ht="20.100000000000001" customHeight="1">
      <c r="C863" s="113"/>
      <c r="D863" s="114"/>
      <c r="P863" s="82"/>
      <c r="Q863" s="82"/>
      <c r="R863" s="38"/>
      <c r="S863" s="38"/>
      <c r="T863" s="38"/>
      <c r="U863" s="38"/>
      <c r="V863" s="38"/>
      <c r="W863" s="38"/>
      <c r="X863" s="38"/>
      <c r="Y863" s="38"/>
      <c r="Z863" s="38"/>
      <c r="AA863" s="38"/>
      <c r="AB863" s="38"/>
      <c r="AC863" s="38"/>
      <c r="AD863" s="38"/>
      <c r="AE863" s="38"/>
      <c r="AF863" s="38"/>
      <c r="AG863" s="38"/>
      <c r="AH863" s="38"/>
    </row>
    <row r="864" spans="3:34" ht="20.100000000000001" customHeight="1">
      <c r="C864" s="113"/>
      <c r="D864" s="114"/>
      <c r="P864" s="82"/>
      <c r="Q864" s="82"/>
      <c r="R864" s="38"/>
      <c r="S864" s="38"/>
      <c r="T864" s="38"/>
      <c r="U864" s="38"/>
      <c r="V864" s="38"/>
      <c r="W864" s="38"/>
      <c r="X864" s="38"/>
      <c r="Y864" s="38"/>
      <c r="Z864" s="38"/>
      <c r="AA864" s="38"/>
      <c r="AB864" s="38"/>
      <c r="AC864" s="38"/>
      <c r="AD864" s="38"/>
      <c r="AE864" s="38"/>
      <c r="AF864" s="38"/>
      <c r="AG864" s="38"/>
      <c r="AH864" s="38"/>
    </row>
    <row r="865" spans="3:34" ht="20.100000000000001" customHeight="1">
      <c r="C865" s="113"/>
      <c r="D865" s="114"/>
      <c r="P865" s="82"/>
      <c r="Q865" s="82"/>
      <c r="R865" s="38"/>
      <c r="S865" s="38"/>
      <c r="T865" s="38"/>
      <c r="U865" s="38"/>
      <c r="V865" s="38"/>
      <c r="W865" s="38"/>
      <c r="X865" s="38"/>
      <c r="Y865" s="38"/>
      <c r="Z865" s="38"/>
      <c r="AA865" s="38"/>
      <c r="AB865" s="38"/>
      <c r="AC865" s="38"/>
      <c r="AD865" s="38"/>
      <c r="AE865" s="38"/>
      <c r="AF865" s="38"/>
      <c r="AG865" s="38"/>
      <c r="AH865" s="38"/>
    </row>
    <row r="866" spans="3:34" ht="20.100000000000001" customHeight="1">
      <c r="C866" s="113"/>
      <c r="D866" s="114"/>
      <c r="P866" s="82"/>
      <c r="Q866" s="82"/>
      <c r="R866" s="38"/>
      <c r="S866" s="38"/>
      <c r="T866" s="38"/>
      <c r="U866" s="38"/>
      <c r="V866" s="38"/>
      <c r="W866" s="38"/>
      <c r="X866" s="38"/>
      <c r="Y866" s="38"/>
      <c r="Z866" s="38"/>
      <c r="AA866" s="38"/>
      <c r="AB866" s="38"/>
      <c r="AC866" s="38"/>
      <c r="AD866" s="38"/>
      <c r="AE866" s="38"/>
      <c r="AF866" s="38"/>
      <c r="AG866" s="38"/>
      <c r="AH866" s="38"/>
    </row>
    <row r="867" spans="3:34" ht="20.100000000000001" customHeight="1">
      <c r="C867" s="113"/>
      <c r="D867" s="114"/>
      <c r="P867" s="82"/>
      <c r="Q867" s="82"/>
      <c r="R867" s="38"/>
      <c r="S867" s="38"/>
      <c r="T867" s="38"/>
      <c r="U867" s="38"/>
      <c r="V867" s="38"/>
      <c r="W867" s="38"/>
      <c r="X867" s="38"/>
      <c r="Y867" s="38"/>
      <c r="Z867" s="38"/>
      <c r="AA867" s="38"/>
      <c r="AB867" s="38"/>
      <c r="AC867" s="38"/>
      <c r="AD867" s="38"/>
      <c r="AE867" s="38"/>
      <c r="AF867" s="38"/>
      <c r="AG867" s="38"/>
      <c r="AH867" s="38"/>
    </row>
    <row r="868" spans="3:34" ht="20.100000000000001" customHeight="1">
      <c r="C868" s="113"/>
      <c r="D868" s="114"/>
      <c r="P868" s="82"/>
      <c r="Q868" s="82"/>
      <c r="R868" s="38"/>
      <c r="S868" s="38"/>
      <c r="T868" s="38"/>
      <c r="U868" s="38"/>
      <c r="V868" s="38"/>
      <c r="W868" s="38"/>
      <c r="X868" s="38"/>
      <c r="Y868" s="38"/>
      <c r="Z868" s="38"/>
      <c r="AA868" s="38"/>
      <c r="AB868" s="38"/>
      <c r="AC868" s="38"/>
      <c r="AD868" s="38"/>
      <c r="AE868" s="38"/>
      <c r="AF868" s="38"/>
      <c r="AG868" s="38"/>
      <c r="AH868" s="38"/>
    </row>
    <row r="869" spans="3:34" ht="20.100000000000001" customHeight="1">
      <c r="C869" s="113"/>
      <c r="D869" s="114"/>
      <c r="P869" s="82"/>
      <c r="Q869" s="82"/>
      <c r="R869" s="38"/>
      <c r="S869" s="38"/>
      <c r="T869" s="38"/>
      <c r="U869" s="38"/>
      <c r="V869" s="38"/>
      <c r="W869" s="38"/>
      <c r="X869" s="38"/>
      <c r="Y869" s="38"/>
      <c r="Z869" s="38"/>
      <c r="AA869" s="38"/>
      <c r="AB869" s="38"/>
      <c r="AC869" s="38"/>
      <c r="AD869" s="38"/>
      <c r="AE869" s="38"/>
      <c r="AF869" s="38"/>
      <c r="AG869" s="38"/>
      <c r="AH869" s="38"/>
    </row>
    <row r="870" spans="3:34" ht="20.100000000000001" customHeight="1">
      <c r="C870" s="113"/>
      <c r="D870" s="114"/>
      <c r="P870" s="82"/>
      <c r="Q870" s="82"/>
      <c r="R870" s="38"/>
      <c r="S870" s="38"/>
      <c r="T870" s="38"/>
      <c r="U870" s="38"/>
      <c r="V870" s="38"/>
      <c r="W870" s="38"/>
      <c r="X870" s="38"/>
      <c r="Y870" s="38"/>
      <c r="Z870" s="38"/>
      <c r="AA870" s="38"/>
      <c r="AB870" s="38"/>
      <c r="AC870" s="38"/>
      <c r="AD870" s="38"/>
      <c r="AE870" s="38"/>
      <c r="AF870" s="38"/>
      <c r="AG870" s="38"/>
      <c r="AH870" s="38"/>
    </row>
    <row r="871" spans="3:34" ht="20.100000000000001" customHeight="1">
      <c r="C871" s="113"/>
      <c r="D871" s="114"/>
      <c r="P871" s="82"/>
      <c r="Q871" s="82"/>
      <c r="R871" s="38"/>
      <c r="S871" s="38"/>
      <c r="T871" s="38"/>
      <c r="U871" s="38"/>
      <c r="V871" s="38"/>
      <c r="W871" s="38"/>
      <c r="X871" s="38"/>
      <c r="Y871" s="38"/>
      <c r="Z871" s="38"/>
      <c r="AA871" s="38"/>
      <c r="AB871" s="38"/>
      <c r="AC871" s="38"/>
      <c r="AD871" s="38"/>
      <c r="AE871" s="38"/>
      <c r="AF871" s="38"/>
      <c r="AG871" s="38"/>
      <c r="AH871" s="38"/>
    </row>
    <row r="872" spans="3:34" ht="20.100000000000001" customHeight="1">
      <c r="C872" s="113"/>
      <c r="D872" s="114"/>
      <c r="P872" s="82"/>
      <c r="Q872" s="82"/>
      <c r="R872" s="38"/>
      <c r="S872" s="38"/>
      <c r="T872" s="38"/>
      <c r="U872" s="38"/>
      <c r="V872" s="38"/>
      <c r="W872" s="38"/>
      <c r="X872" s="38"/>
      <c r="Y872" s="38"/>
      <c r="Z872" s="38"/>
      <c r="AA872" s="38"/>
      <c r="AB872" s="38"/>
      <c r="AC872" s="38"/>
      <c r="AD872" s="38"/>
      <c r="AE872" s="38"/>
      <c r="AF872" s="38"/>
      <c r="AG872" s="38"/>
      <c r="AH872" s="38"/>
    </row>
    <row r="873" spans="3:34" ht="20.100000000000001" customHeight="1">
      <c r="C873" s="113"/>
      <c r="D873" s="114"/>
      <c r="P873" s="82"/>
      <c r="Q873" s="82"/>
      <c r="R873" s="38"/>
      <c r="S873" s="38"/>
      <c r="T873" s="38"/>
      <c r="U873" s="38"/>
      <c r="V873" s="38"/>
      <c r="W873" s="38"/>
      <c r="X873" s="38"/>
      <c r="Y873" s="38"/>
      <c r="Z873" s="38"/>
      <c r="AA873" s="38"/>
      <c r="AB873" s="38"/>
      <c r="AC873" s="38"/>
      <c r="AD873" s="38"/>
      <c r="AE873" s="38"/>
      <c r="AF873" s="38"/>
      <c r="AG873" s="38"/>
      <c r="AH873" s="38"/>
    </row>
    <row r="874" spans="3:34" ht="20.100000000000001" customHeight="1">
      <c r="C874" s="113"/>
      <c r="D874" s="114"/>
      <c r="P874" s="82"/>
      <c r="Q874" s="82"/>
      <c r="R874" s="38"/>
      <c r="S874" s="38"/>
      <c r="T874" s="38"/>
      <c r="U874" s="38"/>
      <c r="V874" s="38"/>
      <c r="W874" s="38"/>
      <c r="X874" s="38"/>
      <c r="Y874" s="38"/>
      <c r="Z874" s="38"/>
      <c r="AA874" s="38"/>
      <c r="AB874" s="38"/>
      <c r="AC874" s="38"/>
      <c r="AD874" s="38"/>
      <c r="AE874" s="38"/>
      <c r="AF874" s="38"/>
      <c r="AG874" s="38"/>
      <c r="AH874" s="38"/>
    </row>
    <row r="875" spans="3:34" ht="20.100000000000001" customHeight="1">
      <c r="C875" s="113"/>
      <c r="D875" s="114"/>
      <c r="P875" s="82"/>
      <c r="Q875" s="82"/>
      <c r="R875" s="38"/>
      <c r="S875" s="38"/>
      <c r="T875" s="38"/>
      <c r="U875" s="38"/>
      <c r="V875" s="38"/>
      <c r="W875" s="38"/>
      <c r="X875" s="38"/>
      <c r="Y875" s="38"/>
      <c r="Z875" s="38"/>
      <c r="AA875" s="38"/>
      <c r="AB875" s="38"/>
      <c r="AC875" s="38"/>
      <c r="AD875" s="38"/>
      <c r="AE875" s="38"/>
      <c r="AF875" s="38"/>
      <c r="AG875" s="38"/>
      <c r="AH875" s="38"/>
    </row>
    <row r="876" spans="3:34" ht="20.100000000000001" customHeight="1">
      <c r="C876" s="113"/>
      <c r="D876" s="114"/>
      <c r="P876" s="82"/>
      <c r="Q876" s="82"/>
      <c r="R876" s="38"/>
      <c r="S876" s="38"/>
      <c r="T876" s="38"/>
      <c r="U876" s="38"/>
      <c r="V876" s="38"/>
      <c r="W876" s="38"/>
      <c r="X876" s="38"/>
      <c r="Y876" s="38"/>
      <c r="Z876" s="38"/>
      <c r="AA876" s="38"/>
      <c r="AB876" s="38"/>
      <c r="AC876" s="38"/>
      <c r="AD876" s="38"/>
      <c r="AE876" s="38"/>
      <c r="AF876" s="38"/>
      <c r="AG876" s="38"/>
      <c r="AH876" s="38"/>
    </row>
    <row r="877" spans="3:34" ht="20.100000000000001" customHeight="1">
      <c r="C877" s="113"/>
      <c r="D877" s="114"/>
      <c r="P877" s="82"/>
      <c r="Q877" s="82"/>
      <c r="R877" s="38"/>
      <c r="S877" s="38"/>
      <c r="T877" s="38"/>
      <c r="U877" s="38"/>
      <c r="V877" s="38"/>
      <c r="W877" s="38"/>
      <c r="X877" s="38"/>
      <c r="Y877" s="38"/>
      <c r="Z877" s="38"/>
      <c r="AA877" s="38"/>
      <c r="AB877" s="38"/>
      <c r="AC877" s="38"/>
      <c r="AD877" s="38"/>
      <c r="AE877" s="38"/>
      <c r="AF877" s="38"/>
      <c r="AG877" s="38"/>
      <c r="AH877" s="38"/>
    </row>
    <row r="878" spans="3:34" ht="20.100000000000001" customHeight="1">
      <c r="C878" s="113"/>
      <c r="D878" s="114"/>
      <c r="P878" s="82"/>
      <c r="Q878" s="82"/>
      <c r="R878" s="38"/>
      <c r="S878" s="38"/>
      <c r="T878" s="38"/>
      <c r="U878" s="38"/>
      <c r="V878" s="38"/>
      <c r="W878" s="38"/>
      <c r="X878" s="38"/>
      <c r="Y878" s="38"/>
      <c r="Z878" s="38"/>
      <c r="AA878" s="38"/>
      <c r="AB878" s="38"/>
      <c r="AC878" s="38"/>
      <c r="AD878" s="38"/>
      <c r="AE878" s="38"/>
      <c r="AF878" s="38"/>
      <c r="AG878" s="38"/>
      <c r="AH878" s="38"/>
    </row>
    <row r="879" spans="3:34" ht="20.100000000000001" customHeight="1">
      <c r="C879" s="113"/>
      <c r="D879" s="114"/>
      <c r="P879" s="82"/>
      <c r="Q879" s="82"/>
      <c r="R879" s="38"/>
      <c r="S879" s="38"/>
      <c r="T879" s="38"/>
      <c r="U879" s="38"/>
      <c r="V879" s="38"/>
      <c r="W879" s="38"/>
      <c r="X879" s="38"/>
      <c r="Y879" s="38"/>
      <c r="Z879" s="38"/>
      <c r="AA879" s="38"/>
      <c r="AB879" s="38"/>
      <c r="AC879" s="38"/>
      <c r="AD879" s="38"/>
      <c r="AE879" s="38"/>
      <c r="AF879" s="38"/>
      <c r="AG879" s="38"/>
      <c r="AH879" s="38"/>
    </row>
    <row r="880" spans="3:34" ht="20.100000000000001" customHeight="1">
      <c r="C880" s="113"/>
      <c r="D880" s="114"/>
      <c r="P880" s="82"/>
      <c r="Q880" s="82"/>
      <c r="R880" s="38"/>
      <c r="S880" s="38"/>
      <c r="T880" s="38"/>
      <c r="U880" s="38"/>
      <c r="V880" s="38"/>
      <c r="W880" s="38"/>
      <c r="X880" s="38"/>
      <c r="Y880" s="38"/>
      <c r="Z880" s="38"/>
      <c r="AA880" s="38"/>
      <c r="AB880" s="38"/>
      <c r="AC880" s="38"/>
      <c r="AD880" s="38"/>
      <c r="AE880" s="38"/>
      <c r="AF880" s="38"/>
      <c r="AG880" s="38"/>
      <c r="AH880" s="38"/>
    </row>
    <row r="881" spans="3:34" ht="20.100000000000001" customHeight="1">
      <c r="C881" s="113"/>
      <c r="D881" s="114"/>
      <c r="P881" s="82"/>
      <c r="Q881" s="82"/>
      <c r="R881" s="38"/>
      <c r="S881" s="38"/>
      <c r="T881" s="38"/>
      <c r="U881" s="38"/>
      <c r="V881" s="38"/>
      <c r="W881" s="38"/>
      <c r="X881" s="38"/>
      <c r="Y881" s="38"/>
      <c r="Z881" s="38"/>
      <c r="AA881" s="38"/>
      <c r="AB881" s="38"/>
      <c r="AC881" s="38"/>
      <c r="AD881" s="38"/>
      <c r="AE881" s="38"/>
      <c r="AF881" s="38"/>
      <c r="AG881" s="38"/>
      <c r="AH881" s="38"/>
    </row>
    <row r="882" spans="3:34" ht="20.100000000000001" customHeight="1">
      <c r="C882" s="113"/>
      <c r="D882" s="114"/>
      <c r="P882" s="82"/>
      <c r="Q882" s="82"/>
      <c r="R882" s="38"/>
      <c r="S882" s="38"/>
      <c r="T882" s="38"/>
      <c r="U882" s="38"/>
      <c r="V882" s="38"/>
      <c r="W882" s="38"/>
      <c r="X882" s="38"/>
      <c r="Y882" s="38"/>
      <c r="Z882" s="38"/>
      <c r="AA882" s="38"/>
      <c r="AB882" s="38"/>
      <c r="AC882" s="38"/>
      <c r="AD882" s="38"/>
      <c r="AE882" s="38"/>
      <c r="AF882" s="38"/>
      <c r="AG882" s="38"/>
      <c r="AH882" s="38"/>
    </row>
    <row r="883" spans="3:34" ht="20.100000000000001" customHeight="1">
      <c r="C883" s="113"/>
      <c r="D883" s="114"/>
      <c r="P883" s="82"/>
      <c r="Q883" s="82"/>
      <c r="R883" s="38"/>
      <c r="S883" s="38"/>
      <c r="T883" s="38"/>
      <c r="U883" s="38"/>
      <c r="V883" s="38"/>
      <c r="W883" s="38"/>
      <c r="X883" s="38"/>
      <c r="Y883" s="38"/>
      <c r="Z883" s="38"/>
      <c r="AA883" s="38"/>
      <c r="AB883" s="38"/>
      <c r="AC883" s="38"/>
      <c r="AD883" s="38"/>
      <c r="AE883" s="38"/>
      <c r="AF883" s="38"/>
      <c r="AG883" s="38"/>
      <c r="AH883" s="38"/>
    </row>
    <row r="884" spans="3:34" ht="20.100000000000001" customHeight="1">
      <c r="C884" s="113"/>
      <c r="D884" s="114"/>
      <c r="P884" s="82"/>
      <c r="Q884" s="82"/>
      <c r="R884" s="38"/>
      <c r="S884" s="38"/>
      <c r="T884" s="38"/>
      <c r="U884" s="38"/>
      <c r="V884" s="38"/>
      <c r="W884" s="38"/>
      <c r="X884" s="38"/>
      <c r="Y884" s="38"/>
      <c r="Z884" s="38"/>
      <c r="AA884" s="38"/>
      <c r="AB884" s="38"/>
      <c r="AC884" s="38"/>
      <c r="AD884" s="38"/>
      <c r="AE884" s="38"/>
      <c r="AF884" s="38"/>
      <c r="AG884" s="38"/>
      <c r="AH884" s="38"/>
    </row>
    <row r="885" spans="3:34" ht="20.100000000000001" customHeight="1">
      <c r="C885" s="113"/>
      <c r="D885" s="114"/>
      <c r="P885" s="82"/>
      <c r="Q885" s="82"/>
      <c r="R885" s="38"/>
      <c r="S885" s="38"/>
      <c r="T885" s="38"/>
      <c r="U885" s="38"/>
      <c r="V885" s="38"/>
      <c r="W885" s="38"/>
      <c r="X885" s="38"/>
      <c r="Y885" s="38"/>
      <c r="Z885" s="38"/>
      <c r="AA885" s="38"/>
      <c r="AB885" s="38"/>
      <c r="AC885" s="38"/>
      <c r="AD885" s="38"/>
      <c r="AE885" s="38"/>
      <c r="AF885" s="38"/>
      <c r="AG885" s="38"/>
      <c r="AH885" s="38"/>
    </row>
    <row r="886" spans="3:34" ht="20.100000000000001" customHeight="1">
      <c r="C886" s="113"/>
      <c r="D886" s="114"/>
      <c r="P886" s="82"/>
      <c r="Q886" s="82"/>
      <c r="R886" s="38"/>
      <c r="S886" s="38"/>
      <c r="T886" s="38"/>
      <c r="U886" s="38"/>
      <c r="V886" s="38"/>
      <c r="W886" s="38"/>
      <c r="X886" s="38"/>
      <c r="Y886" s="38"/>
      <c r="Z886" s="38"/>
      <c r="AA886" s="38"/>
      <c r="AB886" s="38"/>
      <c r="AC886" s="38"/>
      <c r="AD886" s="38"/>
      <c r="AE886" s="38"/>
      <c r="AF886" s="38"/>
      <c r="AG886" s="38"/>
      <c r="AH886" s="38"/>
    </row>
    <row r="887" spans="3:34" ht="20.100000000000001" customHeight="1">
      <c r="C887" s="113"/>
      <c r="D887" s="114"/>
      <c r="P887" s="82"/>
      <c r="Q887" s="82"/>
      <c r="R887" s="38"/>
      <c r="S887" s="38"/>
      <c r="T887" s="38"/>
      <c r="U887" s="38"/>
      <c r="V887" s="38"/>
      <c r="W887" s="38"/>
      <c r="X887" s="38"/>
      <c r="Y887" s="38"/>
      <c r="Z887" s="38"/>
      <c r="AA887" s="38"/>
      <c r="AB887" s="38"/>
      <c r="AC887" s="38"/>
      <c r="AD887" s="38"/>
      <c r="AE887" s="38"/>
      <c r="AF887" s="38"/>
      <c r="AG887" s="38"/>
      <c r="AH887" s="38"/>
    </row>
    <row r="888" spans="3:34" ht="20.100000000000001" customHeight="1">
      <c r="C888" s="113"/>
      <c r="D888" s="114"/>
      <c r="P888" s="82"/>
      <c r="Q888" s="82"/>
      <c r="R888" s="38"/>
      <c r="S888" s="38"/>
      <c r="T888" s="38"/>
      <c r="U888" s="38"/>
      <c r="V888" s="38"/>
      <c r="W888" s="38"/>
      <c r="X888" s="38"/>
      <c r="Y888" s="38"/>
      <c r="Z888" s="38"/>
      <c r="AA888" s="38"/>
      <c r="AB888" s="38"/>
      <c r="AC888" s="38"/>
      <c r="AD888" s="38"/>
      <c r="AE888" s="38"/>
      <c r="AF888" s="38"/>
      <c r="AG888" s="38"/>
      <c r="AH888" s="38"/>
    </row>
    <row r="889" spans="3:34" ht="20.100000000000001" customHeight="1">
      <c r="C889" s="113"/>
      <c r="D889" s="114"/>
      <c r="P889" s="82"/>
      <c r="Q889" s="82"/>
      <c r="R889" s="38"/>
      <c r="S889" s="38"/>
      <c r="T889" s="38"/>
      <c r="U889" s="38"/>
      <c r="V889" s="38"/>
      <c r="W889" s="38"/>
      <c r="X889" s="38"/>
      <c r="Y889" s="38"/>
      <c r="Z889" s="38"/>
      <c r="AA889" s="38"/>
      <c r="AB889" s="38"/>
      <c r="AC889" s="38"/>
      <c r="AD889" s="38"/>
      <c r="AE889" s="38"/>
      <c r="AF889" s="38"/>
      <c r="AG889" s="38"/>
      <c r="AH889" s="38"/>
    </row>
    <row r="890" spans="3:34" ht="20.100000000000001" customHeight="1">
      <c r="C890" s="113"/>
      <c r="D890" s="114"/>
      <c r="P890" s="82"/>
      <c r="Q890" s="82"/>
      <c r="R890" s="38"/>
      <c r="S890" s="38"/>
      <c r="T890" s="38"/>
      <c r="U890" s="38"/>
      <c r="V890" s="38"/>
      <c r="W890" s="38"/>
      <c r="X890" s="38"/>
      <c r="Y890" s="38"/>
      <c r="Z890" s="38"/>
      <c r="AA890" s="38"/>
      <c r="AB890" s="38"/>
      <c r="AC890" s="38"/>
      <c r="AD890" s="38"/>
      <c r="AE890" s="38"/>
      <c r="AF890" s="38"/>
      <c r="AG890" s="38"/>
      <c r="AH890" s="38"/>
    </row>
    <row r="891" spans="3:34" ht="20.100000000000001" customHeight="1">
      <c r="C891" s="113"/>
      <c r="D891" s="114"/>
      <c r="P891" s="82"/>
      <c r="Q891" s="82"/>
      <c r="R891" s="38"/>
      <c r="S891" s="38"/>
      <c r="T891" s="38"/>
      <c r="U891" s="38"/>
      <c r="V891" s="38"/>
      <c r="W891" s="38"/>
      <c r="X891" s="38"/>
      <c r="Y891" s="38"/>
      <c r="Z891" s="38"/>
      <c r="AA891" s="38"/>
      <c r="AB891" s="38"/>
      <c r="AC891" s="38"/>
      <c r="AD891" s="38"/>
      <c r="AE891" s="38"/>
      <c r="AF891" s="38"/>
      <c r="AG891" s="38"/>
      <c r="AH891" s="38"/>
    </row>
    <row r="892" spans="3:34" ht="20.100000000000001" customHeight="1">
      <c r="C892" s="113"/>
      <c r="D892" s="114"/>
      <c r="P892" s="82"/>
      <c r="Q892" s="82"/>
      <c r="R892" s="38"/>
      <c r="S892" s="38"/>
      <c r="T892" s="38"/>
      <c r="U892" s="38"/>
      <c r="V892" s="38"/>
      <c r="W892" s="38"/>
      <c r="X892" s="38"/>
      <c r="Y892" s="38"/>
      <c r="Z892" s="38"/>
      <c r="AA892" s="38"/>
      <c r="AB892" s="38"/>
      <c r="AC892" s="38"/>
      <c r="AD892" s="38"/>
      <c r="AE892" s="38"/>
      <c r="AF892" s="38"/>
      <c r="AG892" s="38"/>
      <c r="AH892" s="38"/>
    </row>
    <row r="893" spans="3:34" ht="20.100000000000001" customHeight="1">
      <c r="C893" s="113"/>
      <c r="D893" s="114"/>
      <c r="P893" s="82"/>
      <c r="Q893" s="82"/>
      <c r="R893" s="38"/>
      <c r="S893" s="38"/>
      <c r="T893" s="38"/>
      <c r="U893" s="38"/>
      <c r="V893" s="38"/>
      <c r="W893" s="38"/>
      <c r="X893" s="38"/>
      <c r="Y893" s="38"/>
      <c r="Z893" s="38"/>
      <c r="AA893" s="38"/>
      <c r="AB893" s="38"/>
      <c r="AC893" s="38"/>
      <c r="AD893" s="38"/>
      <c r="AE893" s="38"/>
      <c r="AF893" s="38"/>
      <c r="AG893" s="38"/>
      <c r="AH893" s="38"/>
    </row>
    <row r="894" spans="3:34" ht="20.100000000000001" customHeight="1">
      <c r="C894" s="113"/>
      <c r="D894" s="114"/>
      <c r="P894" s="82"/>
      <c r="Q894" s="82"/>
      <c r="R894" s="38"/>
      <c r="S894" s="38"/>
      <c r="T894" s="38"/>
      <c r="U894" s="38"/>
      <c r="V894" s="38"/>
      <c r="W894" s="38"/>
      <c r="X894" s="38"/>
      <c r="Y894" s="38"/>
      <c r="Z894" s="38"/>
      <c r="AA894" s="38"/>
      <c r="AB894" s="38"/>
      <c r="AC894" s="38"/>
      <c r="AD894" s="38"/>
      <c r="AE894" s="38"/>
      <c r="AF894" s="38"/>
      <c r="AG894" s="38"/>
      <c r="AH894" s="38"/>
    </row>
    <row r="895" spans="3:34" ht="20.100000000000001" customHeight="1">
      <c r="C895" s="113"/>
      <c r="D895" s="114"/>
      <c r="P895" s="82"/>
      <c r="Q895" s="82"/>
      <c r="R895" s="38"/>
      <c r="S895" s="38"/>
      <c r="T895" s="38"/>
      <c r="U895" s="38"/>
      <c r="V895" s="38"/>
      <c r="W895" s="38"/>
      <c r="X895" s="38"/>
      <c r="Y895" s="38"/>
      <c r="Z895" s="38"/>
      <c r="AA895" s="38"/>
      <c r="AB895" s="38"/>
      <c r="AC895" s="38"/>
      <c r="AD895" s="38"/>
      <c r="AE895" s="38"/>
      <c r="AF895" s="38"/>
      <c r="AG895" s="38"/>
      <c r="AH895" s="38"/>
    </row>
    <row r="896" spans="3:34" ht="20.100000000000001" customHeight="1">
      <c r="C896" s="113"/>
      <c r="D896" s="114"/>
      <c r="P896" s="82"/>
      <c r="Q896" s="82"/>
      <c r="R896" s="38"/>
      <c r="S896" s="38"/>
      <c r="T896" s="38"/>
      <c r="U896" s="38"/>
      <c r="V896" s="38"/>
      <c r="W896" s="38"/>
      <c r="X896" s="38"/>
      <c r="Y896" s="38"/>
      <c r="Z896" s="38"/>
      <c r="AA896" s="38"/>
      <c r="AB896" s="38"/>
      <c r="AC896" s="38"/>
      <c r="AD896" s="38"/>
      <c r="AE896" s="38"/>
      <c r="AF896" s="38"/>
      <c r="AG896" s="38"/>
      <c r="AH896" s="38"/>
    </row>
    <row r="897" spans="3:34" ht="20.100000000000001" customHeight="1">
      <c r="C897" s="113"/>
      <c r="D897" s="114"/>
      <c r="P897" s="82"/>
      <c r="Q897" s="82"/>
      <c r="R897" s="38"/>
      <c r="S897" s="38"/>
      <c r="T897" s="38"/>
      <c r="U897" s="38"/>
      <c r="V897" s="38"/>
      <c r="W897" s="38"/>
      <c r="X897" s="38"/>
      <c r="Y897" s="38"/>
      <c r="Z897" s="38"/>
      <c r="AA897" s="38"/>
      <c r="AB897" s="38"/>
      <c r="AC897" s="38"/>
      <c r="AD897" s="38"/>
      <c r="AE897" s="38"/>
      <c r="AF897" s="38"/>
      <c r="AG897" s="38"/>
      <c r="AH897" s="38"/>
    </row>
    <row r="898" spans="3:34" ht="20.100000000000001" customHeight="1">
      <c r="C898" s="113"/>
      <c r="D898" s="114"/>
      <c r="P898" s="82"/>
      <c r="Q898" s="82"/>
      <c r="R898" s="38"/>
      <c r="S898" s="38"/>
      <c r="T898" s="38"/>
      <c r="U898" s="38"/>
      <c r="V898" s="38"/>
      <c r="W898" s="38"/>
      <c r="X898" s="38"/>
      <c r="Y898" s="38"/>
      <c r="Z898" s="38"/>
      <c r="AA898" s="38"/>
      <c r="AB898" s="38"/>
      <c r="AC898" s="38"/>
      <c r="AD898" s="38"/>
      <c r="AE898" s="38"/>
      <c r="AF898" s="38"/>
      <c r="AG898" s="38"/>
      <c r="AH898" s="38"/>
    </row>
    <row r="899" spans="3:34" ht="20.100000000000001" customHeight="1">
      <c r="C899" s="113"/>
      <c r="D899" s="114"/>
      <c r="P899" s="82"/>
      <c r="Q899" s="82"/>
      <c r="R899" s="38"/>
      <c r="S899" s="38"/>
      <c r="T899" s="38"/>
      <c r="U899" s="38"/>
      <c r="V899" s="38"/>
      <c r="W899" s="38"/>
      <c r="X899" s="38"/>
      <c r="Y899" s="38"/>
      <c r="Z899" s="38"/>
      <c r="AA899" s="38"/>
      <c r="AB899" s="38"/>
      <c r="AC899" s="38"/>
      <c r="AD899" s="38"/>
      <c r="AE899" s="38"/>
      <c r="AF899" s="38"/>
      <c r="AG899" s="38"/>
      <c r="AH899" s="38"/>
    </row>
    <row r="900" spans="3:34" ht="20.100000000000001" customHeight="1">
      <c r="C900" s="113"/>
      <c r="D900" s="114"/>
      <c r="P900" s="82"/>
      <c r="Q900" s="82"/>
      <c r="R900" s="38"/>
      <c r="S900" s="38"/>
      <c r="T900" s="38"/>
      <c r="U900" s="38"/>
      <c r="V900" s="38"/>
      <c r="W900" s="38"/>
      <c r="X900" s="38"/>
      <c r="Y900" s="38"/>
      <c r="Z900" s="38"/>
      <c r="AA900" s="38"/>
      <c r="AB900" s="38"/>
      <c r="AC900" s="38"/>
      <c r="AD900" s="38"/>
      <c r="AE900" s="38"/>
      <c r="AF900" s="38"/>
      <c r="AG900" s="38"/>
      <c r="AH900" s="38"/>
    </row>
    <row r="901" spans="3:34" ht="20.100000000000001" customHeight="1">
      <c r="C901" s="113"/>
      <c r="D901" s="114"/>
      <c r="P901" s="82"/>
      <c r="Q901" s="82"/>
      <c r="R901" s="38"/>
      <c r="S901" s="38"/>
      <c r="T901" s="38"/>
      <c r="U901" s="38"/>
      <c r="V901" s="38"/>
      <c r="W901" s="38"/>
      <c r="X901" s="38"/>
      <c r="Y901" s="38"/>
      <c r="Z901" s="38"/>
      <c r="AA901" s="38"/>
      <c r="AB901" s="38"/>
      <c r="AC901" s="38"/>
      <c r="AD901" s="38"/>
      <c r="AE901" s="38"/>
      <c r="AF901" s="38"/>
      <c r="AG901" s="38"/>
      <c r="AH901" s="38"/>
    </row>
    <row r="902" spans="3:34" ht="20.100000000000001" customHeight="1">
      <c r="C902" s="113"/>
      <c r="D902" s="114"/>
      <c r="P902" s="82"/>
      <c r="Q902" s="82"/>
      <c r="R902" s="38"/>
      <c r="S902" s="38"/>
      <c r="T902" s="38"/>
      <c r="U902" s="38"/>
      <c r="V902" s="38"/>
      <c r="W902" s="38"/>
      <c r="X902" s="38"/>
      <c r="Y902" s="38"/>
      <c r="Z902" s="38"/>
      <c r="AA902" s="38"/>
      <c r="AB902" s="38"/>
      <c r="AC902" s="38"/>
      <c r="AD902" s="38"/>
      <c r="AE902" s="38"/>
      <c r="AF902" s="38"/>
      <c r="AG902" s="38"/>
      <c r="AH902" s="38"/>
    </row>
    <row r="903" spans="3:34" ht="20.100000000000001" customHeight="1">
      <c r="C903" s="113"/>
      <c r="D903" s="114"/>
      <c r="P903" s="82"/>
      <c r="Q903" s="82"/>
      <c r="R903" s="38"/>
      <c r="S903" s="38"/>
      <c r="T903" s="38"/>
      <c r="U903" s="38"/>
      <c r="V903" s="38"/>
      <c r="W903" s="38"/>
      <c r="X903" s="38"/>
      <c r="Y903" s="38"/>
      <c r="Z903" s="38"/>
      <c r="AA903" s="38"/>
      <c r="AB903" s="38"/>
      <c r="AC903" s="38"/>
      <c r="AD903" s="38"/>
      <c r="AE903" s="38"/>
      <c r="AF903" s="38"/>
      <c r="AG903" s="38"/>
      <c r="AH903" s="38"/>
    </row>
    <row r="904" spans="3:34" ht="20.100000000000001" customHeight="1">
      <c r="C904" s="113"/>
      <c r="D904" s="114"/>
      <c r="P904" s="82"/>
      <c r="Q904" s="82"/>
      <c r="R904" s="38"/>
      <c r="S904" s="38"/>
      <c r="T904" s="38"/>
      <c r="U904" s="38"/>
      <c r="V904" s="38"/>
      <c r="W904" s="38"/>
      <c r="X904" s="38"/>
      <c r="Y904" s="38"/>
      <c r="Z904" s="38"/>
      <c r="AA904" s="38"/>
      <c r="AB904" s="38"/>
      <c r="AC904" s="38"/>
      <c r="AD904" s="38"/>
      <c r="AE904" s="38"/>
      <c r="AF904" s="38"/>
      <c r="AG904" s="38"/>
      <c r="AH904" s="38"/>
    </row>
    <row r="905" spans="3:34" ht="20.100000000000001" customHeight="1">
      <c r="C905" s="113"/>
      <c r="D905" s="114"/>
      <c r="P905" s="82"/>
      <c r="Q905" s="82"/>
      <c r="R905" s="38"/>
      <c r="S905" s="38"/>
      <c r="T905" s="38"/>
      <c r="U905" s="38"/>
      <c r="V905" s="38"/>
      <c r="W905" s="38"/>
      <c r="X905" s="38"/>
      <c r="Y905" s="38"/>
      <c r="Z905" s="38"/>
      <c r="AA905" s="38"/>
      <c r="AB905" s="38"/>
      <c r="AC905" s="38"/>
      <c r="AD905" s="38"/>
      <c r="AE905" s="38"/>
      <c r="AF905" s="38"/>
      <c r="AG905" s="38"/>
      <c r="AH905" s="38"/>
    </row>
    <row r="906" spans="3:34" ht="20.100000000000001" customHeight="1">
      <c r="C906" s="113"/>
      <c r="D906" s="114"/>
      <c r="P906" s="82"/>
      <c r="Q906" s="82"/>
      <c r="R906" s="38"/>
      <c r="S906" s="38"/>
      <c r="T906" s="38"/>
      <c r="U906" s="38"/>
      <c r="V906" s="38"/>
      <c r="W906" s="38"/>
      <c r="X906" s="38"/>
      <c r="Y906" s="38"/>
      <c r="Z906" s="38"/>
      <c r="AA906" s="38"/>
      <c r="AB906" s="38"/>
      <c r="AC906" s="38"/>
      <c r="AD906" s="38"/>
      <c r="AE906" s="38"/>
      <c r="AF906" s="38"/>
      <c r="AG906" s="38"/>
      <c r="AH906" s="38"/>
    </row>
    <row r="907" spans="3:34" ht="20.100000000000001" customHeight="1">
      <c r="C907" s="113"/>
      <c r="D907" s="114"/>
      <c r="P907" s="82"/>
      <c r="Q907" s="82"/>
      <c r="R907" s="38"/>
      <c r="S907" s="38"/>
      <c r="T907" s="38"/>
      <c r="U907" s="38"/>
      <c r="V907" s="38"/>
      <c r="W907" s="38"/>
      <c r="X907" s="38"/>
      <c r="Y907" s="38"/>
      <c r="Z907" s="38"/>
      <c r="AA907" s="38"/>
      <c r="AB907" s="38"/>
      <c r="AC907" s="38"/>
      <c r="AD907" s="38"/>
      <c r="AE907" s="38"/>
      <c r="AF907" s="38"/>
      <c r="AG907" s="38"/>
      <c r="AH907" s="38"/>
    </row>
    <row r="908" spans="3:34" ht="20.100000000000001" customHeight="1">
      <c r="C908" s="113"/>
      <c r="D908" s="114"/>
      <c r="P908" s="82"/>
      <c r="Q908" s="82"/>
      <c r="R908" s="38"/>
      <c r="S908" s="38"/>
      <c r="T908" s="38"/>
      <c r="U908" s="38"/>
      <c r="V908" s="38"/>
      <c r="W908" s="38"/>
      <c r="X908" s="38"/>
      <c r="Y908" s="38"/>
      <c r="Z908" s="38"/>
      <c r="AA908" s="38"/>
      <c r="AB908" s="38"/>
      <c r="AC908" s="38"/>
      <c r="AD908" s="38"/>
      <c r="AE908" s="38"/>
      <c r="AF908" s="38"/>
      <c r="AG908" s="38"/>
      <c r="AH908" s="38"/>
    </row>
    <row r="909" spans="3:34" ht="20.100000000000001" customHeight="1">
      <c r="C909" s="113"/>
      <c r="D909" s="114"/>
      <c r="P909" s="82"/>
      <c r="Q909" s="82"/>
      <c r="R909" s="38"/>
      <c r="S909" s="38"/>
      <c r="T909" s="38"/>
      <c r="U909" s="38"/>
      <c r="V909" s="38"/>
      <c r="W909" s="38"/>
      <c r="X909" s="38"/>
      <c r="Y909" s="38"/>
      <c r="Z909" s="38"/>
      <c r="AA909" s="38"/>
      <c r="AB909" s="38"/>
      <c r="AC909" s="38"/>
      <c r="AD909" s="38"/>
      <c r="AE909" s="38"/>
      <c r="AF909" s="38"/>
      <c r="AG909" s="38"/>
      <c r="AH909" s="38"/>
    </row>
    <row r="910" spans="3:34" ht="20.100000000000001" customHeight="1">
      <c r="C910" s="113"/>
      <c r="D910" s="114"/>
      <c r="P910" s="82"/>
      <c r="Q910" s="82"/>
      <c r="R910" s="38"/>
      <c r="S910" s="38"/>
      <c r="T910" s="38"/>
      <c r="U910" s="38"/>
      <c r="V910" s="38"/>
      <c r="W910" s="38"/>
      <c r="X910" s="38"/>
      <c r="Y910" s="38"/>
      <c r="Z910" s="38"/>
      <c r="AA910" s="38"/>
      <c r="AB910" s="38"/>
      <c r="AC910" s="38"/>
      <c r="AD910" s="38"/>
      <c r="AE910" s="38"/>
      <c r="AF910" s="38"/>
      <c r="AG910" s="38"/>
      <c r="AH910" s="38"/>
    </row>
    <row r="911" spans="3:34" ht="20.100000000000001" customHeight="1">
      <c r="C911" s="113"/>
      <c r="D911" s="114"/>
      <c r="P911" s="82"/>
      <c r="Q911" s="82"/>
      <c r="R911" s="38"/>
      <c r="S911" s="38"/>
      <c r="T911" s="38"/>
      <c r="U911" s="38"/>
      <c r="V911" s="38"/>
      <c r="W911" s="38"/>
      <c r="X911" s="38"/>
      <c r="Y911" s="38"/>
      <c r="Z911" s="38"/>
      <c r="AA911" s="38"/>
      <c r="AB911" s="38"/>
      <c r="AC911" s="38"/>
      <c r="AD911" s="38"/>
      <c r="AE911" s="38"/>
      <c r="AF911" s="38"/>
      <c r="AG911" s="38"/>
      <c r="AH911" s="38"/>
    </row>
    <row r="912" spans="3:34" ht="20.100000000000001" customHeight="1">
      <c r="C912" s="113"/>
      <c r="D912" s="114"/>
      <c r="P912" s="82"/>
      <c r="Q912" s="82"/>
      <c r="R912" s="38"/>
      <c r="S912" s="38"/>
      <c r="T912" s="38"/>
      <c r="U912" s="38"/>
      <c r="V912" s="38"/>
      <c r="W912" s="38"/>
      <c r="X912" s="38"/>
      <c r="Y912" s="38"/>
      <c r="Z912" s="38"/>
      <c r="AA912" s="38"/>
      <c r="AB912" s="38"/>
      <c r="AC912" s="38"/>
      <c r="AD912" s="38"/>
      <c r="AE912" s="38"/>
      <c r="AF912" s="38"/>
      <c r="AG912" s="38"/>
      <c r="AH912" s="38"/>
    </row>
    <row r="913" spans="3:34" ht="20.100000000000001" customHeight="1">
      <c r="C913" s="113"/>
      <c r="D913" s="114"/>
      <c r="P913" s="82"/>
      <c r="Q913" s="82"/>
      <c r="R913" s="38"/>
      <c r="S913" s="38"/>
      <c r="T913" s="38"/>
      <c r="U913" s="38"/>
      <c r="V913" s="38"/>
      <c r="W913" s="38"/>
      <c r="X913" s="38"/>
      <c r="Y913" s="38"/>
      <c r="Z913" s="38"/>
      <c r="AA913" s="38"/>
      <c r="AB913" s="38"/>
      <c r="AC913" s="38"/>
      <c r="AD913" s="38"/>
      <c r="AE913" s="38"/>
      <c r="AF913" s="38"/>
      <c r="AG913" s="38"/>
      <c r="AH913" s="38"/>
    </row>
    <row r="914" spans="3:34" ht="20.100000000000001" customHeight="1">
      <c r="C914" s="113"/>
      <c r="D914" s="114"/>
      <c r="P914" s="82"/>
      <c r="Q914" s="82"/>
      <c r="R914" s="38"/>
      <c r="S914" s="38"/>
      <c r="T914" s="38"/>
      <c r="U914" s="38"/>
      <c r="V914" s="38"/>
      <c r="W914" s="38"/>
      <c r="X914" s="38"/>
      <c r="Y914" s="38"/>
      <c r="Z914" s="38"/>
      <c r="AA914" s="38"/>
      <c r="AB914" s="38"/>
      <c r="AC914" s="38"/>
      <c r="AD914" s="38"/>
      <c r="AE914" s="38"/>
      <c r="AF914" s="38"/>
      <c r="AG914" s="38"/>
      <c r="AH914" s="38"/>
    </row>
    <row r="915" spans="3:34" ht="20.100000000000001" customHeight="1">
      <c r="C915" s="113"/>
      <c r="D915" s="114"/>
      <c r="P915" s="82"/>
      <c r="Q915" s="82"/>
      <c r="R915" s="38"/>
      <c r="S915" s="38"/>
      <c r="T915" s="38"/>
      <c r="U915" s="38"/>
      <c r="V915" s="38"/>
      <c r="W915" s="38"/>
      <c r="X915" s="38"/>
      <c r="Y915" s="38"/>
      <c r="Z915" s="38"/>
      <c r="AA915" s="38"/>
      <c r="AB915" s="38"/>
      <c r="AC915" s="38"/>
      <c r="AD915" s="38"/>
      <c r="AE915" s="38"/>
      <c r="AF915" s="38"/>
      <c r="AG915" s="38"/>
      <c r="AH915" s="38"/>
    </row>
    <row r="916" spans="3:34" ht="20.100000000000001" customHeight="1">
      <c r="C916" s="113"/>
      <c r="D916" s="114"/>
      <c r="P916" s="82"/>
      <c r="Q916" s="82"/>
      <c r="R916" s="38"/>
      <c r="S916" s="38"/>
      <c r="T916" s="38"/>
      <c r="U916" s="38"/>
      <c r="V916" s="38"/>
      <c r="W916" s="38"/>
      <c r="X916" s="38"/>
      <c r="Y916" s="38"/>
      <c r="Z916" s="38"/>
      <c r="AA916" s="38"/>
      <c r="AB916" s="38"/>
      <c r="AC916" s="38"/>
      <c r="AD916" s="38"/>
      <c r="AE916" s="38"/>
      <c r="AF916" s="38"/>
      <c r="AG916" s="38"/>
      <c r="AH916" s="38"/>
    </row>
    <row r="917" spans="3:34" ht="20.100000000000001" customHeight="1">
      <c r="C917" s="113"/>
      <c r="D917" s="114"/>
      <c r="P917" s="82"/>
      <c r="Q917" s="82"/>
      <c r="R917" s="38"/>
      <c r="S917" s="38"/>
      <c r="T917" s="38"/>
      <c r="U917" s="38"/>
      <c r="V917" s="38"/>
      <c r="W917" s="38"/>
      <c r="X917" s="38"/>
      <c r="Y917" s="38"/>
      <c r="Z917" s="38"/>
      <c r="AA917" s="38"/>
      <c r="AB917" s="38"/>
      <c r="AC917" s="38"/>
      <c r="AD917" s="38"/>
      <c r="AE917" s="38"/>
      <c r="AF917" s="38"/>
      <c r="AG917" s="38"/>
      <c r="AH917" s="38"/>
    </row>
    <row r="918" spans="3:34" ht="20.100000000000001" customHeight="1">
      <c r="C918" s="113"/>
      <c r="D918" s="114"/>
      <c r="P918" s="82"/>
      <c r="Q918" s="82"/>
      <c r="R918" s="38"/>
      <c r="S918" s="38"/>
      <c r="T918" s="38"/>
      <c r="U918" s="38"/>
      <c r="V918" s="38"/>
      <c r="W918" s="38"/>
      <c r="X918" s="38"/>
      <c r="Y918" s="38"/>
      <c r="Z918" s="38"/>
      <c r="AA918" s="38"/>
      <c r="AB918" s="38"/>
      <c r="AC918" s="38"/>
      <c r="AD918" s="38"/>
      <c r="AE918" s="38"/>
      <c r="AF918" s="38"/>
      <c r="AG918" s="38"/>
      <c r="AH918" s="38"/>
    </row>
    <row r="919" spans="3:34" ht="20.100000000000001" customHeight="1">
      <c r="C919" s="113"/>
      <c r="D919" s="114"/>
      <c r="P919" s="82"/>
      <c r="Q919" s="82"/>
      <c r="R919" s="38"/>
      <c r="S919" s="38"/>
      <c r="T919" s="38"/>
      <c r="U919" s="38"/>
      <c r="V919" s="38"/>
      <c r="W919" s="38"/>
      <c r="X919" s="38"/>
      <c r="Y919" s="38"/>
      <c r="Z919" s="38"/>
      <c r="AA919" s="38"/>
      <c r="AB919" s="38"/>
      <c r="AC919" s="38"/>
      <c r="AD919" s="38"/>
      <c r="AE919" s="38"/>
      <c r="AF919" s="38"/>
      <c r="AG919" s="38"/>
      <c r="AH919" s="38"/>
    </row>
    <row r="920" spans="3:34" ht="20.100000000000001" customHeight="1">
      <c r="C920" s="113"/>
      <c r="D920" s="114"/>
      <c r="P920" s="82"/>
      <c r="Q920" s="82"/>
      <c r="R920" s="38"/>
      <c r="S920" s="38"/>
      <c r="T920" s="38"/>
      <c r="U920" s="38"/>
      <c r="V920" s="38"/>
      <c r="W920" s="38"/>
      <c r="X920" s="38"/>
      <c r="Y920" s="38"/>
      <c r="Z920" s="38"/>
      <c r="AA920" s="38"/>
      <c r="AB920" s="38"/>
      <c r="AC920" s="38"/>
      <c r="AD920" s="38"/>
      <c r="AE920" s="38"/>
      <c r="AF920" s="38"/>
      <c r="AG920" s="38"/>
      <c r="AH920" s="38"/>
    </row>
    <row r="921" spans="3:34" ht="20.100000000000001" customHeight="1">
      <c r="C921" s="113"/>
      <c r="D921" s="114"/>
      <c r="P921" s="82"/>
      <c r="Q921" s="82"/>
      <c r="R921" s="38"/>
      <c r="S921" s="38"/>
      <c r="T921" s="38"/>
      <c r="U921" s="38"/>
      <c r="V921" s="38"/>
      <c r="W921" s="38"/>
      <c r="X921" s="38"/>
      <c r="Y921" s="38"/>
      <c r="Z921" s="38"/>
      <c r="AA921" s="38"/>
      <c r="AB921" s="38"/>
      <c r="AC921" s="38"/>
      <c r="AD921" s="38"/>
      <c r="AE921" s="38"/>
      <c r="AF921" s="38"/>
      <c r="AG921" s="38"/>
      <c r="AH921" s="38"/>
    </row>
    <row r="922" spans="3:34" ht="20.100000000000001" customHeight="1">
      <c r="C922" s="113"/>
      <c r="D922" s="114"/>
      <c r="P922" s="82"/>
      <c r="Q922" s="82"/>
      <c r="R922" s="38"/>
      <c r="S922" s="38"/>
      <c r="T922" s="38"/>
      <c r="U922" s="38"/>
      <c r="V922" s="38"/>
      <c r="W922" s="38"/>
      <c r="X922" s="38"/>
      <c r="Y922" s="38"/>
      <c r="Z922" s="38"/>
      <c r="AA922" s="38"/>
      <c r="AB922" s="38"/>
      <c r="AC922" s="38"/>
      <c r="AD922" s="38"/>
      <c r="AE922" s="38"/>
      <c r="AF922" s="38"/>
      <c r="AG922" s="38"/>
      <c r="AH922" s="38"/>
    </row>
    <row r="923" spans="3:34" ht="20.100000000000001" customHeight="1">
      <c r="C923" s="113"/>
      <c r="D923" s="114"/>
      <c r="P923" s="82"/>
      <c r="Q923" s="82"/>
      <c r="R923" s="38"/>
      <c r="S923" s="38"/>
      <c r="T923" s="38"/>
      <c r="U923" s="38"/>
      <c r="V923" s="38"/>
      <c r="W923" s="38"/>
      <c r="X923" s="38"/>
      <c r="Y923" s="38"/>
      <c r="Z923" s="38"/>
      <c r="AA923" s="38"/>
      <c r="AB923" s="38"/>
      <c r="AC923" s="38"/>
      <c r="AD923" s="38"/>
      <c r="AE923" s="38"/>
      <c r="AF923" s="38"/>
      <c r="AG923" s="38"/>
      <c r="AH923" s="38"/>
    </row>
    <row r="924" spans="3:34" ht="20.100000000000001" customHeight="1">
      <c r="C924" s="113"/>
      <c r="D924" s="114"/>
      <c r="P924" s="82"/>
      <c r="Q924" s="82"/>
      <c r="R924" s="38"/>
      <c r="S924" s="38"/>
      <c r="T924" s="38"/>
      <c r="U924" s="38"/>
      <c r="V924" s="38"/>
      <c r="W924" s="38"/>
      <c r="X924" s="38"/>
      <c r="Y924" s="38"/>
      <c r="Z924" s="38"/>
      <c r="AA924" s="38"/>
      <c r="AB924" s="38"/>
      <c r="AC924" s="38"/>
      <c r="AD924" s="38"/>
      <c r="AE924" s="38"/>
      <c r="AF924" s="38"/>
      <c r="AG924" s="38"/>
      <c r="AH924" s="38"/>
    </row>
    <row r="925" spans="3:34" ht="20.100000000000001" customHeight="1">
      <c r="C925" s="113"/>
      <c r="D925" s="114"/>
      <c r="P925" s="82"/>
      <c r="Q925" s="82"/>
      <c r="R925" s="38"/>
      <c r="S925" s="38"/>
      <c r="T925" s="38"/>
      <c r="U925" s="38"/>
      <c r="V925" s="38"/>
      <c r="W925" s="38"/>
      <c r="X925" s="38"/>
      <c r="Y925" s="38"/>
      <c r="Z925" s="38"/>
      <c r="AA925" s="38"/>
      <c r="AB925" s="38"/>
      <c r="AC925" s="38"/>
      <c r="AD925" s="38"/>
      <c r="AE925" s="38"/>
      <c r="AF925" s="38"/>
      <c r="AG925" s="38"/>
      <c r="AH925" s="38"/>
    </row>
    <row r="926" spans="3:34" ht="20.100000000000001" customHeight="1">
      <c r="C926" s="113"/>
      <c r="D926" s="114"/>
      <c r="P926" s="82"/>
      <c r="Q926" s="82"/>
      <c r="R926" s="38"/>
      <c r="S926" s="38"/>
      <c r="T926" s="38"/>
      <c r="U926" s="38"/>
      <c r="V926" s="38"/>
      <c r="W926" s="38"/>
      <c r="X926" s="38"/>
      <c r="Y926" s="38"/>
      <c r="Z926" s="38"/>
      <c r="AA926" s="38"/>
      <c r="AB926" s="38"/>
      <c r="AC926" s="38"/>
      <c r="AD926" s="38"/>
      <c r="AE926" s="38"/>
      <c r="AF926" s="38"/>
      <c r="AG926" s="38"/>
      <c r="AH926" s="38"/>
    </row>
    <row r="927" spans="3:34" ht="20.100000000000001" customHeight="1">
      <c r="C927" s="113"/>
      <c r="D927" s="114"/>
      <c r="P927" s="82"/>
      <c r="Q927" s="82"/>
      <c r="R927" s="38"/>
      <c r="S927" s="38"/>
      <c r="T927" s="38"/>
      <c r="U927" s="38"/>
      <c r="V927" s="38"/>
      <c r="W927" s="38"/>
      <c r="X927" s="38"/>
      <c r="Y927" s="38"/>
      <c r="Z927" s="38"/>
      <c r="AA927" s="38"/>
      <c r="AB927" s="38"/>
      <c r="AC927" s="38"/>
      <c r="AD927" s="38"/>
      <c r="AE927" s="38"/>
      <c r="AF927" s="38"/>
      <c r="AG927" s="38"/>
      <c r="AH927" s="38"/>
    </row>
    <row r="928" spans="3:34" ht="20.100000000000001" customHeight="1">
      <c r="C928" s="113"/>
      <c r="D928" s="114"/>
      <c r="P928" s="82"/>
      <c r="Q928" s="82"/>
      <c r="R928" s="38"/>
      <c r="S928" s="38"/>
      <c r="T928" s="38"/>
      <c r="U928" s="38"/>
      <c r="V928" s="38"/>
      <c r="W928" s="38"/>
      <c r="X928" s="38"/>
      <c r="Y928" s="38"/>
      <c r="Z928" s="38"/>
      <c r="AA928" s="38"/>
      <c r="AB928" s="38"/>
      <c r="AC928" s="38"/>
      <c r="AD928" s="38"/>
      <c r="AE928" s="38"/>
      <c r="AF928" s="38"/>
      <c r="AG928" s="38"/>
      <c r="AH928" s="38"/>
    </row>
    <row r="929" spans="3:34" ht="20.100000000000001" customHeight="1">
      <c r="C929" s="113"/>
      <c r="D929" s="114"/>
      <c r="P929" s="82"/>
      <c r="Q929" s="82"/>
      <c r="R929" s="38"/>
      <c r="S929" s="38"/>
      <c r="T929" s="38"/>
      <c r="U929" s="38"/>
      <c r="V929" s="38"/>
      <c r="W929" s="38"/>
      <c r="X929" s="38"/>
      <c r="Y929" s="38"/>
      <c r="Z929" s="38"/>
      <c r="AA929" s="38"/>
      <c r="AB929" s="38"/>
      <c r="AC929" s="38"/>
      <c r="AD929" s="38"/>
      <c r="AE929" s="38"/>
      <c r="AF929" s="38"/>
      <c r="AG929" s="38"/>
      <c r="AH929" s="38"/>
    </row>
    <row r="930" spans="3:34" ht="20.100000000000001" customHeight="1">
      <c r="C930" s="113"/>
      <c r="D930" s="114"/>
      <c r="P930" s="82"/>
      <c r="Q930" s="82"/>
      <c r="R930" s="38"/>
      <c r="S930" s="38"/>
      <c r="T930" s="38"/>
      <c r="U930" s="38"/>
      <c r="V930" s="38"/>
      <c r="W930" s="38"/>
      <c r="X930" s="38"/>
      <c r="Y930" s="38"/>
      <c r="Z930" s="38"/>
      <c r="AA930" s="38"/>
      <c r="AB930" s="38"/>
      <c r="AC930" s="38"/>
      <c r="AD930" s="38"/>
      <c r="AE930" s="38"/>
      <c r="AF930" s="38"/>
      <c r="AG930" s="38"/>
      <c r="AH930" s="38"/>
    </row>
    <row r="931" spans="3:34" ht="20.100000000000001" customHeight="1">
      <c r="C931" s="113"/>
      <c r="D931" s="114"/>
      <c r="P931" s="82"/>
      <c r="Q931" s="82"/>
      <c r="R931" s="38"/>
      <c r="S931" s="38"/>
      <c r="T931" s="38"/>
      <c r="U931" s="38"/>
      <c r="V931" s="38"/>
      <c r="W931" s="38"/>
      <c r="X931" s="38"/>
      <c r="Y931" s="38"/>
      <c r="Z931" s="38"/>
      <c r="AA931" s="38"/>
      <c r="AB931" s="38"/>
      <c r="AC931" s="38"/>
      <c r="AD931" s="38"/>
      <c r="AE931" s="38"/>
      <c r="AF931" s="38"/>
      <c r="AG931" s="38"/>
      <c r="AH931" s="38"/>
    </row>
    <row r="932" spans="3:34" ht="20.100000000000001" customHeight="1">
      <c r="C932" s="113"/>
      <c r="D932" s="114"/>
      <c r="P932" s="82"/>
      <c r="Q932" s="82"/>
      <c r="R932" s="38"/>
      <c r="S932" s="38"/>
      <c r="T932" s="38"/>
      <c r="U932" s="38"/>
      <c r="V932" s="38"/>
      <c r="W932" s="38"/>
      <c r="X932" s="38"/>
      <c r="Y932" s="38"/>
      <c r="Z932" s="38"/>
      <c r="AA932" s="38"/>
      <c r="AB932" s="38"/>
      <c r="AC932" s="38"/>
      <c r="AD932" s="38"/>
      <c r="AE932" s="38"/>
      <c r="AF932" s="38"/>
      <c r="AG932" s="38"/>
      <c r="AH932" s="38"/>
    </row>
    <row r="933" spans="3:34" ht="20.100000000000001" customHeight="1">
      <c r="C933" s="113"/>
      <c r="D933" s="114"/>
      <c r="P933" s="82"/>
      <c r="Q933" s="82"/>
      <c r="R933" s="38"/>
      <c r="S933" s="38"/>
      <c r="T933" s="38"/>
      <c r="U933" s="38"/>
      <c r="V933" s="38"/>
      <c r="W933" s="38"/>
      <c r="X933" s="38"/>
      <c r="Y933" s="38"/>
      <c r="Z933" s="38"/>
      <c r="AA933" s="38"/>
      <c r="AB933" s="38"/>
      <c r="AC933" s="38"/>
      <c r="AD933" s="38"/>
      <c r="AE933" s="38"/>
      <c r="AF933" s="38"/>
      <c r="AG933" s="38"/>
      <c r="AH933" s="38"/>
    </row>
    <row r="934" spans="3:34" ht="20.100000000000001" customHeight="1">
      <c r="C934" s="113"/>
      <c r="D934" s="114"/>
      <c r="P934" s="82"/>
      <c r="Q934" s="82"/>
      <c r="R934" s="38"/>
      <c r="S934" s="38"/>
      <c r="T934" s="38"/>
      <c r="U934" s="38"/>
      <c r="V934" s="38"/>
      <c r="W934" s="38"/>
      <c r="X934" s="38"/>
      <c r="Y934" s="38"/>
      <c r="Z934" s="38"/>
      <c r="AA934" s="38"/>
      <c r="AB934" s="38"/>
      <c r="AC934" s="38"/>
      <c r="AD934" s="38"/>
      <c r="AE934" s="38"/>
      <c r="AF934" s="38"/>
      <c r="AG934" s="38"/>
      <c r="AH934" s="38"/>
    </row>
    <row r="935" spans="3:34" ht="20.100000000000001" customHeight="1">
      <c r="C935" s="113"/>
      <c r="D935" s="114"/>
      <c r="P935" s="82"/>
      <c r="Q935" s="82"/>
      <c r="R935" s="38"/>
      <c r="S935" s="38"/>
      <c r="T935" s="38"/>
      <c r="U935" s="38"/>
      <c r="V935" s="38"/>
      <c r="W935" s="38"/>
      <c r="X935" s="38"/>
      <c r="Y935" s="38"/>
      <c r="Z935" s="38"/>
      <c r="AA935" s="38"/>
      <c r="AB935" s="38"/>
      <c r="AC935" s="38"/>
      <c r="AD935" s="38"/>
      <c r="AE935" s="38"/>
      <c r="AF935" s="38"/>
      <c r="AG935" s="38"/>
      <c r="AH935" s="38"/>
    </row>
    <row r="936" spans="3:34" ht="20.100000000000001" customHeight="1">
      <c r="C936" s="113"/>
      <c r="D936" s="114"/>
      <c r="P936" s="82"/>
      <c r="Q936" s="82"/>
      <c r="R936" s="38"/>
      <c r="S936" s="38"/>
      <c r="T936" s="38"/>
      <c r="U936" s="38"/>
      <c r="V936" s="38"/>
      <c r="W936" s="38"/>
      <c r="X936" s="38"/>
      <c r="Y936" s="38"/>
      <c r="Z936" s="38"/>
      <c r="AA936" s="38"/>
      <c r="AB936" s="38"/>
      <c r="AC936" s="38"/>
      <c r="AD936" s="38"/>
      <c r="AE936" s="38"/>
      <c r="AF936" s="38"/>
      <c r="AG936" s="38"/>
      <c r="AH936" s="38"/>
    </row>
    <row r="937" spans="3:34" ht="20.100000000000001" customHeight="1">
      <c r="C937" s="113"/>
      <c r="D937" s="114"/>
      <c r="P937" s="82"/>
      <c r="Q937" s="82"/>
      <c r="R937" s="38"/>
      <c r="S937" s="38"/>
      <c r="T937" s="38"/>
      <c r="U937" s="38"/>
      <c r="V937" s="38"/>
      <c r="W937" s="38"/>
      <c r="X937" s="38"/>
      <c r="Y937" s="38"/>
      <c r="Z937" s="38"/>
      <c r="AA937" s="38"/>
      <c r="AB937" s="38"/>
      <c r="AC937" s="38"/>
      <c r="AD937" s="38"/>
      <c r="AE937" s="38"/>
      <c r="AF937" s="38"/>
      <c r="AG937" s="38"/>
      <c r="AH937" s="38"/>
    </row>
    <row r="938" spans="3:34" ht="20.100000000000001" customHeight="1">
      <c r="C938" s="113"/>
      <c r="D938" s="114"/>
      <c r="P938" s="82"/>
      <c r="Q938" s="82"/>
      <c r="R938" s="38"/>
      <c r="S938" s="38"/>
      <c r="T938" s="38"/>
      <c r="U938" s="38"/>
      <c r="V938" s="38"/>
      <c r="W938" s="38"/>
      <c r="X938" s="38"/>
      <c r="Y938" s="38"/>
      <c r="Z938" s="38"/>
      <c r="AA938" s="38"/>
      <c r="AB938" s="38"/>
      <c r="AC938" s="38"/>
      <c r="AD938" s="38"/>
      <c r="AE938" s="38"/>
      <c r="AF938" s="38"/>
      <c r="AG938" s="38"/>
      <c r="AH938" s="38"/>
    </row>
    <row r="939" spans="3:34" ht="20.100000000000001" customHeight="1">
      <c r="C939" s="113"/>
      <c r="D939" s="114"/>
      <c r="P939" s="82"/>
      <c r="Q939" s="82"/>
      <c r="R939" s="38"/>
      <c r="S939" s="38"/>
      <c r="T939" s="38"/>
      <c r="U939" s="38"/>
      <c r="V939" s="38"/>
      <c r="W939" s="38"/>
      <c r="X939" s="38"/>
      <c r="Y939" s="38"/>
      <c r="Z939" s="38"/>
      <c r="AA939" s="38"/>
      <c r="AB939" s="38"/>
      <c r="AC939" s="38"/>
      <c r="AD939" s="38"/>
      <c r="AE939" s="38"/>
      <c r="AF939" s="38"/>
      <c r="AG939" s="38"/>
      <c r="AH939" s="38"/>
    </row>
    <row r="940" spans="3:34" ht="20.100000000000001" customHeight="1">
      <c r="C940" s="113"/>
      <c r="D940" s="114"/>
      <c r="P940" s="82"/>
      <c r="Q940" s="82"/>
      <c r="R940" s="38"/>
      <c r="S940" s="38"/>
      <c r="T940" s="38"/>
      <c r="U940" s="38"/>
      <c r="V940" s="38"/>
      <c r="W940" s="38"/>
      <c r="X940" s="38"/>
      <c r="Y940" s="38"/>
      <c r="Z940" s="38"/>
      <c r="AA940" s="38"/>
      <c r="AB940" s="38"/>
      <c r="AC940" s="38"/>
      <c r="AD940" s="38"/>
      <c r="AE940" s="38"/>
      <c r="AF940" s="38"/>
      <c r="AG940" s="38"/>
      <c r="AH940" s="38"/>
    </row>
    <row r="941" spans="3:34" ht="20.100000000000001" customHeight="1">
      <c r="C941" s="113"/>
      <c r="D941" s="114"/>
      <c r="P941" s="82"/>
      <c r="Q941" s="82"/>
      <c r="R941" s="38"/>
      <c r="S941" s="38"/>
      <c r="T941" s="38"/>
      <c r="U941" s="38"/>
      <c r="V941" s="38"/>
      <c r="W941" s="38"/>
      <c r="X941" s="38"/>
      <c r="Y941" s="38"/>
      <c r="Z941" s="38"/>
      <c r="AA941" s="38"/>
      <c r="AB941" s="38"/>
      <c r="AC941" s="38"/>
      <c r="AD941" s="38"/>
      <c r="AE941" s="38"/>
      <c r="AF941" s="38"/>
      <c r="AG941" s="38"/>
      <c r="AH941" s="38"/>
    </row>
    <row r="942" spans="3:34" ht="20.100000000000001" customHeight="1">
      <c r="C942" s="113"/>
      <c r="D942" s="114"/>
      <c r="P942" s="82"/>
      <c r="Q942" s="82"/>
      <c r="R942" s="38"/>
      <c r="S942" s="38"/>
      <c r="T942" s="38"/>
      <c r="U942" s="38"/>
      <c r="V942" s="38"/>
      <c r="W942" s="38"/>
      <c r="X942" s="38"/>
      <c r="Y942" s="38"/>
      <c r="Z942" s="38"/>
      <c r="AA942" s="38"/>
      <c r="AB942" s="38"/>
      <c r="AC942" s="38"/>
      <c r="AD942" s="38"/>
      <c r="AE942" s="38"/>
      <c r="AF942" s="38"/>
      <c r="AG942" s="38"/>
      <c r="AH942" s="38"/>
    </row>
    <row r="943" spans="3:34" ht="20.100000000000001" customHeight="1">
      <c r="C943" s="113"/>
      <c r="D943" s="114"/>
      <c r="P943" s="82"/>
      <c r="Q943" s="82"/>
      <c r="R943" s="38"/>
      <c r="S943" s="38"/>
      <c r="T943" s="38"/>
      <c r="U943" s="38"/>
      <c r="V943" s="38"/>
      <c r="W943" s="38"/>
      <c r="X943" s="38"/>
      <c r="Y943" s="38"/>
      <c r="Z943" s="38"/>
      <c r="AA943" s="38"/>
      <c r="AB943" s="38"/>
      <c r="AC943" s="38"/>
      <c r="AD943" s="38"/>
      <c r="AE943" s="38"/>
      <c r="AF943" s="38"/>
      <c r="AG943" s="38"/>
      <c r="AH943" s="38"/>
    </row>
    <row r="944" spans="3:34" ht="20.100000000000001" customHeight="1">
      <c r="C944" s="113"/>
      <c r="D944" s="114"/>
      <c r="P944" s="82"/>
      <c r="Q944" s="82"/>
      <c r="R944" s="38"/>
      <c r="S944" s="38"/>
      <c r="T944" s="38"/>
      <c r="U944" s="38"/>
      <c r="V944" s="38"/>
      <c r="W944" s="38"/>
      <c r="X944" s="38"/>
      <c r="Y944" s="38"/>
      <c r="Z944" s="38"/>
      <c r="AA944" s="38"/>
      <c r="AB944" s="38"/>
      <c r="AC944" s="38"/>
      <c r="AD944" s="38"/>
      <c r="AE944" s="38"/>
      <c r="AF944" s="38"/>
      <c r="AG944" s="38"/>
      <c r="AH944" s="38"/>
    </row>
    <row r="945" spans="3:34" ht="20.100000000000001" customHeight="1">
      <c r="C945" s="113"/>
      <c r="D945" s="114"/>
      <c r="P945" s="82"/>
      <c r="Q945" s="82"/>
      <c r="R945" s="38"/>
      <c r="S945" s="38"/>
      <c r="T945" s="38"/>
      <c r="U945" s="38"/>
      <c r="V945" s="38"/>
      <c r="W945" s="38"/>
      <c r="X945" s="38"/>
      <c r="Y945" s="38"/>
      <c r="Z945" s="38"/>
      <c r="AA945" s="38"/>
      <c r="AB945" s="38"/>
      <c r="AC945" s="38"/>
      <c r="AD945" s="38"/>
      <c r="AE945" s="38"/>
      <c r="AF945" s="38"/>
      <c r="AG945" s="38"/>
      <c r="AH945" s="38"/>
    </row>
    <row r="946" spans="3:34" ht="20.100000000000001" customHeight="1">
      <c r="C946" s="113"/>
      <c r="D946" s="114"/>
      <c r="P946" s="82"/>
      <c r="Q946" s="82"/>
      <c r="R946" s="38"/>
      <c r="S946" s="38"/>
      <c r="T946" s="38"/>
      <c r="U946" s="38"/>
      <c r="V946" s="38"/>
      <c r="W946" s="38"/>
      <c r="X946" s="38"/>
      <c r="Y946" s="38"/>
      <c r="Z946" s="38"/>
      <c r="AA946" s="38"/>
      <c r="AB946" s="38"/>
      <c r="AC946" s="38"/>
      <c r="AD946" s="38"/>
      <c r="AE946" s="38"/>
      <c r="AF946" s="38"/>
      <c r="AG946" s="38"/>
      <c r="AH946" s="38"/>
    </row>
    <row r="947" spans="3:34" ht="20.100000000000001" customHeight="1">
      <c r="C947" s="113"/>
      <c r="D947" s="114"/>
      <c r="P947" s="82"/>
      <c r="Q947" s="82"/>
      <c r="R947" s="38"/>
      <c r="S947" s="38"/>
      <c r="T947" s="38"/>
      <c r="U947" s="38"/>
      <c r="V947" s="38"/>
      <c r="W947" s="38"/>
      <c r="X947" s="38"/>
      <c r="Y947" s="38"/>
      <c r="Z947" s="38"/>
      <c r="AA947" s="38"/>
      <c r="AB947" s="38"/>
      <c r="AC947" s="38"/>
      <c r="AD947" s="38"/>
      <c r="AE947" s="38"/>
      <c r="AF947" s="38"/>
      <c r="AG947" s="38"/>
      <c r="AH947" s="38"/>
    </row>
    <row r="948" spans="3:34" ht="20.100000000000001" customHeight="1">
      <c r="C948" s="113"/>
      <c r="D948" s="114"/>
      <c r="P948" s="82"/>
      <c r="Q948" s="82"/>
      <c r="R948" s="38"/>
      <c r="S948" s="38"/>
      <c r="T948" s="38"/>
      <c r="U948" s="38"/>
      <c r="V948" s="38"/>
      <c r="W948" s="38"/>
      <c r="X948" s="38"/>
      <c r="Y948" s="38"/>
      <c r="Z948" s="38"/>
      <c r="AA948" s="38"/>
      <c r="AB948" s="38"/>
      <c r="AC948" s="38"/>
      <c r="AD948" s="38"/>
      <c r="AE948" s="38"/>
      <c r="AF948" s="38"/>
      <c r="AG948" s="38"/>
      <c r="AH948" s="38"/>
    </row>
    <row r="949" spans="3:34" ht="20.100000000000001" customHeight="1">
      <c r="C949" s="113"/>
      <c r="D949" s="114"/>
      <c r="P949" s="82"/>
      <c r="Q949" s="82"/>
      <c r="R949" s="38"/>
      <c r="S949" s="38"/>
      <c r="T949" s="38"/>
      <c r="U949" s="38"/>
      <c r="V949" s="38"/>
      <c r="W949" s="38"/>
      <c r="X949" s="38"/>
      <c r="Y949" s="38"/>
      <c r="Z949" s="38"/>
      <c r="AA949" s="38"/>
      <c r="AB949" s="38"/>
      <c r="AC949" s="38"/>
      <c r="AD949" s="38"/>
      <c r="AE949" s="38"/>
      <c r="AF949" s="38"/>
      <c r="AG949" s="38"/>
      <c r="AH949" s="38"/>
    </row>
    <row r="950" spans="3:34" ht="20.100000000000001" customHeight="1">
      <c r="C950" s="113"/>
      <c r="D950" s="114"/>
      <c r="P950" s="82"/>
      <c r="Q950" s="82"/>
      <c r="R950" s="38"/>
      <c r="S950" s="38"/>
      <c r="T950" s="38"/>
      <c r="U950" s="38"/>
      <c r="V950" s="38"/>
      <c r="W950" s="38"/>
      <c r="X950" s="38"/>
      <c r="Y950" s="38"/>
      <c r="Z950" s="38"/>
      <c r="AA950" s="38"/>
      <c r="AB950" s="38"/>
      <c r="AC950" s="38"/>
      <c r="AD950" s="38"/>
      <c r="AE950" s="38"/>
      <c r="AF950" s="38"/>
      <c r="AG950" s="38"/>
      <c r="AH950" s="38"/>
    </row>
    <row r="951" spans="3:34" ht="20.100000000000001" customHeight="1">
      <c r="C951" s="113"/>
      <c r="D951" s="114"/>
      <c r="P951" s="82"/>
      <c r="Q951" s="82"/>
      <c r="R951" s="38"/>
      <c r="S951" s="38"/>
      <c r="T951" s="38"/>
      <c r="U951" s="38"/>
      <c r="V951" s="38"/>
      <c r="W951" s="38"/>
      <c r="X951" s="38"/>
      <c r="Y951" s="38"/>
      <c r="Z951" s="38"/>
      <c r="AA951" s="38"/>
      <c r="AB951" s="38"/>
      <c r="AC951" s="38"/>
      <c r="AD951" s="38"/>
      <c r="AE951" s="38"/>
      <c r="AF951" s="38"/>
      <c r="AG951" s="38"/>
      <c r="AH951" s="38"/>
    </row>
    <row r="952" spans="3:34" ht="20.100000000000001" customHeight="1">
      <c r="C952" s="113"/>
      <c r="D952" s="114"/>
      <c r="P952" s="82"/>
      <c r="Q952" s="82"/>
      <c r="R952" s="38"/>
      <c r="S952" s="38"/>
      <c r="T952" s="38"/>
      <c r="U952" s="38"/>
      <c r="V952" s="38"/>
      <c r="W952" s="38"/>
      <c r="X952" s="38"/>
      <c r="Y952" s="38"/>
      <c r="Z952" s="38"/>
      <c r="AA952" s="38"/>
      <c r="AB952" s="38"/>
      <c r="AC952" s="38"/>
      <c r="AD952" s="38"/>
      <c r="AE952" s="38"/>
      <c r="AF952" s="38"/>
      <c r="AG952" s="38"/>
      <c r="AH952" s="38"/>
    </row>
    <row r="953" spans="3:34" ht="20.100000000000001" customHeight="1">
      <c r="C953" s="113"/>
      <c r="D953" s="114"/>
      <c r="P953" s="82"/>
      <c r="Q953" s="82"/>
      <c r="R953" s="38"/>
      <c r="S953" s="38"/>
      <c r="T953" s="38"/>
      <c r="U953" s="38"/>
      <c r="V953" s="38"/>
      <c r="W953" s="38"/>
      <c r="X953" s="38"/>
      <c r="Y953" s="38"/>
      <c r="Z953" s="38"/>
      <c r="AA953" s="38"/>
      <c r="AB953" s="38"/>
      <c r="AC953" s="38"/>
      <c r="AD953" s="38"/>
      <c r="AE953" s="38"/>
      <c r="AF953" s="38"/>
      <c r="AG953" s="38"/>
      <c r="AH953" s="38"/>
    </row>
    <row r="954" spans="3:34" ht="20.100000000000001" customHeight="1">
      <c r="C954" s="113"/>
      <c r="D954" s="114"/>
      <c r="P954" s="82"/>
      <c r="Q954" s="82"/>
      <c r="R954" s="38"/>
      <c r="S954" s="38"/>
      <c r="T954" s="38"/>
      <c r="U954" s="38"/>
      <c r="V954" s="38"/>
      <c r="W954" s="38"/>
      <c r="X954" s="38"/>
      <c r="Y954" s="38"/>
      <c r="Z954" s="38"/>
      <c r="AA954" s="38"/>
      <c r="AB954" s="38"/>
      <c r="AC954" s="38"/>
      <c r="AD954" s="38"/>
      <c r="AE954" s="38"/>
      <c r="AF954" s="38"/>
      <c r="AG954" s="38"/>
      <c r="AH954" s="38"/>
    </row>
    <row r="955" spans="3:34" ht="20.100000000000001" customHeight="1">
      <c r="C955" s="113"/>
      <c r="D955" s="114"/>
      <c r="P955" s="82"/>
      <c r="Q955" s="82"/>
      <c r="R955" s="38"/>
      <c r="S955" s="38"/>
      <c r="T955" s="38"/>
      <c r="U955" s="38"/>
      <c r="V955" s="38"/>
      <c r="W955" s="38"/>
      <c r="X955" s="38"/>
      <c r="Y955" s="38"/>
      <c r="Z955" s="38"/>
      <c r="AA955" s="38"/>
      <c r="AB955" s="38"/>
      <c r="AC955" s="38"/>
      <c r="AD955" s="38"/>
      <c r="AE955" s="38"/>
      <c r="AF955" s="38"/>
      <c r="AG955" s="38"/>
      <c r="AH955" s="38"/>
    </row>
    <row r="956" spans="3:34" ht="20.100000000000001" customHeight="1">
      <c r="C956" s="113"/>
      <c r="D956" s="114"/>
      <c r="P956" s="82"/>
      <c r="Q956" s="82"/>
      <c r="R956" s="38"/>
      <c r="S956" s="38"/>
      <c r="T956" s="38"/>
      <c r="U956" s="38"/>
      <c r="V956" s="38"/>
      <c r="W956" s="38"/>
      <c r="X956" s="38"/>
      <c r="Y956" s="38"/>
      <c r="Z956" s="38"/>
      <c r="AA956" s="38"/>
      <c r="AB956" s="38"/>
      <c r="AC956" s="38"/>
      <c r="AD956" s="38"/>
      <c r="AE956" s="38"/>
      <c r="AF956" s="38"/>
      <c r="AG956" s="38"/>
      <c r="AH956" s="38"/>
    </row>
    <row r="957" spans="3:34" ht="20.100000000000001" customHeight="1">
      <c r="C957" s="113"/>
      <c r="D957" s="114"/>
      <c r="P957" s="82"/>
      <c r="Q957" s="82"/>
      <c r="R957" s="38"/>
      <c r="S957" s="38"/>
      <c r="T957" s="38"/>
      <c r="U957" s="38"/>
      <c r="V957" s="38"/>
      <c r="W957" s="38"/>
      <c r="X957" s="38"/>
      <c r="Y957" s="38"/>
      <c r="Z957" s="38"/>
      <c r="AA957" s="38"/>
      <c r="AB957" s="38"/>
      <c r="AC957" s="38"/>
      <c r="AD957" s="38"/>
      <c r="AE957" s="38"/>
      <c r="AF957" s="38"/>
      <c r="AG957" s="38"/>
      <c r="AH957" s="38"/>
    </row>
    <row r="958" spans="3:34" ht="20.100000000000001" customHeight="1">
      <c r="C958" s="113"/>
      <c r="D958" s="114"/>
      <c r="P958" s="82"/>
      <c r="Q958" s="82"/>
      <c r="R958" s="38"/>
      <c r="S958" s="38"/>
      <c r="T958" s="38"/>
      <c r="U958" s="38"/>
      <c r="V958" s="38"/>
      <c r="W958" s="38"/>
      <c r="X958" s="38"/>
      <c r="Y958" s="38"/>
      <c r="Z958" s="38"/>
      <c r="AA958" s="38"/>
      <c r="AB958" s="38"/>
      <c r="AC958" s="38"/>
      <c r="AD958" s="38"/>
      <c r="AE958" s="38"/>
      <c r="AF958" s="38"/>
      <c r="AG958" s="38"/>
      <c r="AH958" s="38"/>
    </row>
    <row r="959" spans="3:34" ht="20.100000000000001" customHeight="1">
      <c r="C959" s="113"/>
      <c r="D959" s="114"/>
      <c r="P959" s="82"/>
      <c r="Q959" s="82"/>
      <c r="R959" s="38"/>
      <c r="S959" s="38"/>
      <c r="T959" s="38"/>
      <c r="U959" s="38"/>
      <c r="V959" s="38"/>
      <c r="W959" s="38"/>
      <c r="X959" s="38"/>
      <c r="Y959" s="38"/>
      <c r="Z959" s="38"/>
      <c r="AA959" s="38"/>
      <c r="AB959" s="38"/>
      <c r="AC959" s="38"/>
      <c r="AD959" s="38"/>
      <c r="AE959" s="38"/>
      <c r="AF959" s="38"/>
      <c r="AG959" s="38"/>
      <c r="AH959" s="38"/>
    </row>
    <row r="960" spans="3:34" ht="20.100000000000001" customHeight="1">
      <c r="C960" s="113"/>
      <c r="D960" s="114"/>
      <c r="P960" s="82"/>
      <c r="Q960" s="82"/>
      <c r="R960" s="38"/>
      <c r="S960" s="38"/>
      <c r="T960" s="38"/>
      <c r="U960" s="38"/>
      <c r="V960" s="38"/>
      <c r="W960" s="38"/>
      <c r="X960" s="38"/>
      <c r="Y960" s="38"/>
      <c r="Z960" s="38"/>
      <c r="AA960" s="38"/>
      <c r="AB960" s="38"/>
      <c r="AC960" s="38"/>
      <c r="AD960" s="38"/>
      <c r="AE960" s="38"/>
      <c r="AF960" s="38"/>
      <c r="AG960" s="38"/>
      <c r="AH960" s="38"/>
    </row>
    <row r="961" spans="3:34" ht="20.100000000000001" customHeight="1">
      <c r="C961" s="113"/>
      <c r="D961" s="114"/>
      <c r="P961" s="82"/>
      <c r="Q961" s="82"/>
      <c r="R961" s="38"/>
      <c r="S961" s="38"/>
      <c r="T961" s="38"/>
      <c r="U961" s="38"/>
      <c r="V961" s="38"/>
      <c r="W961" s="38"/>
      <c r="X961" s="38"/>
      <c r="Y961" s="38"/>
      <c r="Z961" s="38"/>
      <c r="AA961" s="38"/>
      <c r="AB961" s="38"/>
      <c r="AC961" s="38"/>
      <c r="AD961" s="38"/>
      <c r="AE961" s="38"/>
      <c r="AF961" s="38"/>
      <c r="AG961" s="38"/>
      <c r="AH961" s="38"/>
    </row>
    <row r="962" spans="3:34" ht="20.100000000000001" customHeight="1">
      <c r="C962" s="113"/>
      <c r="D962" s="114"/>
      <c r="P962" s="82"/>
      <c r="Q962" s="82"/>
      <c r="R962" s="38"/>
      <c r="S962" s="38"/>
      <c r="T962" s="38"/>
      <c r="U962" s="38"/>
      <c r="V962" s="38"/>
      <c r="W962" s="38"/>
      <c r="X962" s="38"/>
      <c r="Y962" s="38"/>
      <c r="Z962" s="38"/>
      <c r="AA962" s="38"/>
      <c r="AB962" s="38"/>
      <c r="AC962" s="38"/>
      <c r="AD962" s="38"/>
      <c r="AE962" s="38"/>
      <c r="AF962" s="38"/>
      <c r="AG962" s="38"/>
      <c r="AH962" s="38"/>
    </row>
    <row r="963" spans="3:34" ht="20.100000000000001" customHeight="1">
      <c r="C963" s="113"/>
      <c r="D963" s="114"/>
      <c r="P963" s="82"/>
      <c r="Q963" s="82"/>
      <c r="R963" s="38"/>
      <c r="S963" s="38"/>
      <c r="T963" s="38"/>
      <c r="U963" s="38"/>
      <c r="V963" s="38"/>
      <c r="W963" s="38"/>
      <c r="X963" s="38"/>
      <c r="Y963" s="38"/>
      <c r="Z963" s="38"/>
      <c r="AA963" s="38"/>
      <c r="AB963" s="38"/>
      <c r="AC963" s="38"/>
      <c r="AD963" s="38"/>
      <c r="AE963" s="38"/>
      <c r="AF963" s="38"/>
      <c r="AG963" s="38"/>
      <c r="AH963" s="38"/>
    </row>
    <row r="964" spans="3:34" ht="20.100000000000001" customHeight="1">
      <c r="C964" s="113"/>
      <c r="D964" s="114"/>
      <c r="P964" s="82"/>
      <c r="Q964" s="82"/>
      <c r="R964" s="38"/>
      <c r="S964" s="38"/>
      <c r="T964" s="38"/>
      <c r="U964" s="38"/>
      <c r="V964" s="38"/>
      <c r="W964" s="38"/>
      <c r="X964" s="38"/>
      <c r="Y964" s="38"/>
      <c r="Z964" s="38"/>
      <c r="AA964" s="38"/>
      <c r="AB964" s="38"/>
      <c r="AC964" s="38"/>
      <c r="AD964" s="38"/>
      <c r="AE964" s="38"/>
      <c r="AF964" s="38"/>
      <c r="AG964" s="38"/>
      <c r="AH964" s="38"/>
    </row>
    <row r="965" spans="3:34" ht="20.100000000000001" customHeight="1">
      <c r="C965" s="113"/>
      <c r="D965" s="114"/>
      <c r="P965" s="82"/>
      <c r="Q965" s="82"/>
      <c r="R965" s="38"/>
      <c r="S965" s="38"/>
      <c r="T965" s="38"/>
      <c r="U965" s="38"/>
      <c r="V965" s="38"/>
      <c r="W965" s="38"/>
      <c r="X965" s="38"/>
      <c r="Y965" s="38"/>
      <c r="Z965" s="38"/>
      <c r="AA965" s="38"/>
      <c r="AB965" s="38"/>
      <c r="AC965" s="38"/>
      <c r="AD965" s="38"/>
      <c r="AE965" s="38"/>
      <c r="AF965" s="38"/>
      <c r="AG965" s="38"/>
      <c r="AH965" s="38"/>
    </row>
    <row r="966" spans="3:34" ht="20.100000000000001" customHeight="1">
      <c r="C966" s="113"/>
      <c r="D966" s="114"/>
      <c r="P966" s="82"/>
      <c r="Q966" s="82"/>
      <c r="R966" s="38"/>
      <c r="S966" s="38"/>
      <c r="T966" s="38"/>
      <c r="U966" s="38"/>
      <c r="V966" s="38"/>
      <c r="W966" s="38"/>
      <c r="X966" s="38"/>
      <c r="Y966" s="38"/>
      <c r="Z966" s="38"/>
      <c r="AA966" s="38"/>
      <c r="AB966" s="38"/>
      <c r="AC966" s="38"/>
      <c r="AD966" s="38"/>
      <c r="AE966" s="38"/>
      <c r="AF966" s="38"/>
      <c r="AG966" s="38"/>
      <c r="AH966" s="38"/>
    </row>
    <row r="967" spans="3:34" ht="20.100000000000001" customHeight="1">
      <c r="C967" s="113"/>
      <c r="D967" s="114"/>
      <c r="P967" s="82"/>
      <c r="Q967" s="82"/>
      <c r="R967" s="38"/>
      <c r="S967" s="38"/>
      <c r="T967" s="38"/>
      <c r="U967" s="38"/>
      <c r="V967" s="38"/>
      <c r="W967" s="38"/>
      <c r="X967" s="38"/>
      <c r="Y967" s="38"/>
      <c r="Z967" s="38"/>
      <c r="AA967" s="38"/>
      <c r="AB967" s="38"/>
      <c r="AC967" s="38"/>
      <c r="AD967" s="38"/>
      <c r="AE967" s="38"/>
      <c r="AF967" s="38"/>
      <c r="AG967" s="38"/>
      <c r="AH967" s="38"/>
    </row>
    <row r="968" spans="3:34" ht="20.100000000000001" customHeight="1">
      <c r="C968" s="113"/>
      <c r="D968" s="114"/>
      <c r="P968" s="82"/>
      <c r="Q968" s="82"/>
      <c r="R968" s="38"/>
      <c r="S968" s="38"/>
      <c r="T968" s="38"/>
      <c r="U968" s="38"/>
      <c r="V968" s="38"/>
      <c r="W968" s="38"/>
      <c r="X968" s="38"/>
      <c r="Y968" s="38"/>
      <c r="Z968" s="38"/>
      <c r="AA968" s="38"/>
      <c r="AB968" s="38"/>
      <c r="AC968" s="38"/>
      <c r="AD968" s="38"/>
      <c r="AE968" s="38"/>
      <c r="AF968" s="38"/>
      <c r="AG968" s="38"/>
      <c r="AH968" s="38"/>
    </row>
    <row r="969" spans="3:34" ht="20.100000000000001" customHeight="1">
      <c r="C969" s="113"/>
      <c r="D969" s="114"/>
      <c r="P969" s="82"/>
      <c r="Q969" s="82"/>
      <c r="R969" s="38"/>
      <c r="S969" s="38"/>
      <c r="T969" s="38"/>
      <c r="U969" s="38"/>
      <c r="V969" s="38"/>
      <c r="W969" s="38"/>
      <c r="X969" s="38"/>
      <c r="Y969" s="38"/>
      <c r="Z969" s="38"/>
      <c r="AA969" s="38"/>
      <c r="AB969" s="38"/>
      <c r="AC969" s="38"/>
      <c r="AD969" s="38"/>
      <c r="AE969" s="38"/>
      <c r="AF969" s="38"/>
      <c r="AG969" s="38"/>
      <c r="AH969" s="38"/>
    </row>
    <row r="970" spans="3:34" ht="20.100000000000001" customHeight="1">
      <c r="C970" s="113"/>
      <c r="D970" s="114"/>
      <c r="P970" s="82"/>
      <c r="Q970" s="82"/>
      <c r="R970" s="38"/>
      <c r="S970" s="38"/>
      <c r="T970" s="38"/>
      <c r="U970" s="38"/>
      <c r="V970" s="38"/>
      <c r="W970" s="38"/>
      <c r="X970" s="38"/>
      <c r="Y970" s="38"/>
      <c r="Z970" s="38"/>
      <c r="AA970" s="38"/>
      <c r="AB970" s="38"/>
      <c r="AC970" s="38"/>
      <c r="AD970" s="38"/>
      <c r="AE970" s="38"/>
      <c r="AF970" s="38"/>
      <c r="AG970" s="38"/>
      <c r="AH970" s="38"/>
    </row>
    <row r="971" spans="3:34" ht="20.100000000000001" customHeight="1">
      <c r="C971" s="113"/>
      <c r="D971" s="114"/>
      <c r="P971" s="82"/>
      <c r="Q971" s="82"/>
      <c r="R971" s="38"/>
      <c r="S971" s="38"/>
      <c r="T971" s="38"/>
      <c r="U971" s="38"/>
      <c r="V971" s="38"/>
      <c r="W971" s="38"/>
      <c r="X971" s="38"/>
      <c r="Y971" s="38"/>
      <c r="Z971" s="38"/>
      <c r="AA971" s="38"/>
      <c r="AB971" s="38"/>
      <c r="AC971" s="38"/>
      <c r="AD971" s="38"/>
      <c r="AE971" s="38"/>
      <c r="AF971" s="38"/>
      <c r="AG971" s="38"/>
      <c r="AH971" s="38"/>
    </row>
    <row r="972" spans="3:34" ht="20.100000000000001" customHeight="1">
      <c r="C972" s="113"/>
      <c r="D972" s="114"/>
      <c r="P972" s="82"/>
      <c r="Q972" s="82"/>
      <c r="R972" s="38"/>
      <c r="S972" s="38"/>
      <c r="T972" s="38"/>
      <c r="U972" s="38"/>
      <c r="V972" s="38"/>
      <c r="W972" s="38"/>
      <c r="X972" s="38"/>
      <c r="Y972" s="38"/>
      <c r="Z972" s="38"/>
      <c r="AA972" s="38"/>
      <c r="AB972" s="38"/>
      <c r="AC972" s="38"/>
      <c r="AD972" s="38"/>
      <c r="AE972" s="38"/>
      <c r="AF972" s="38"/>
      <c r="AG972" s="38"/>
      <c r="AH972" s="38"/>
    </row>
    <row r="973" spans="3:34" ht="20.100000000000001" customHeight="1">
      <c r="C973" s="113"/>
      <c r="D973" s="114"/>
      <c r="P973" s="82"/>
      <c r="Q973" s="82"/>
      <c r="R973" s="38"/>
      <c r="S973" s="38"/>
      <c r="T973" s="38"/>
      <c r="U973" s="38"/>
      <c r="V973" s="38"/>
      <c r="W973" s="38"/>
      <c r="X973" s="38"/>
      <c r="Y973" s="38"/>
      <c r="Z973" s="38"/>
      <c r="AA973" s="38"/>
      <c r="AB973" s="38"/>
      <c r="AC973" s="38"/>
      <c r="AD973" s="38"/>
      <c r="AE973" s="38"/>
      <c r="AF973" s="38"/>
      <c r="AG973" s="38"/>
      <c r="AH973" s="38"/>
    </row>
    <row r="974" spans="3:34" ht="20.100000000000001" customHeight="1">
      <c r="C974" s="113"/>
      <c r="D974" s="114"/>
      <c r="P974" s="82"/>
      <c r="Q974" s="82"/>
      <c r="R974" s="38"/>
      <c r="S974" s="38"/>
      <c r="T974" s="38"/>
      <c r="U974" s="38"/>
      <c r="V974" s="38"/>
      <c r="W974" s="38"/>
      <c r="X974" s="38"/>
      <c r="Y974" s="38"/>
      <c r="Z974" s="38"/>
      <c r="AA974" s="38"/>
      <c r="AB974" s="38"/>
      <c r="AC974" s="38"/>
      <c r="AD974" s="38"/>
      <c r="AE974" s="38"/>
      <c r="AF974" s="38"/>
      <c r="AG974" s="38"/>
      <c r="AH974" s="38"/>
    </row>
    <row r="975" spans="3:34" ht="20.100000000000001" customHeight="1">
      <c r="C975" s="113"/>
      <c r="D975" s="114"/>
      <c r="P975" s="82"/>
      <c r="Q975" s="82"/>
      <c r="R975" s="38"/>
      <c r="S975" s="38"/>
      <c r="T975" s="38"/>
      <c r="U975" s="38"/>
      <c r="V975" s="38"/>
      <c r="W975" s="38"/>
      <c r="X975" s="38"/>
      <c r="Y975" s="38"/>
      <c r="Z975" s="38"/>
      <c r="AA975" s="38"/>
      <c r="AB975" s="38"/>
      <c r="AC975" s="38"/>
      <c r="AD975" s="38"/>
      <c r="AE975" s="38"/>
      <c r="AF975" s="38"/>
      <c r="AG975" s="38"/>
      <c r="AH975" s="38"/>
    </row>
    <row r="976" spans="3:34" ht="20.100000000000001" customHeight="1">
      <c r="C976" s="113"/>
      <c r="D976" s="114"/>
      <c r="P976" s="82"/>
      <c r="Q976" s="82"/>
      <c r="R976" s="38"/>
      <c r="S976" s="38"/>
      <c r="T976" s="38"/>
      <c r="U976" s="38"/>
      <c r="V976" s="38"/>
      <c r="W976" s="38"/>
      <c r="X976" s="38"/>
      <c r="Y976" s="38"/>
      <c r="Z976" s="38"/>
      <c r="AA976" s="38"/>
      <c r="AB976" s="38"/>
      <c r="AC976" s="38"/>
      <c r="AD976" s="38"/>
      <c r="AE976" s="38"/>
      <c r="AF976" s="38"/>
      <c r="AG976" s="38"/>
      <c r="AH976" s="38"/>
    </row>
    <row r="977" spans="3:34" ht="20.100000000000001" customHeight="1">
      <c r="C977" s="113"/>
      <c r="D977" s="114"/>
      <c r="P977" s="82"/>
      <c r="Q977" s="82"/>
      <c r="R977" s="38"/>
      <c r="S977" s="38"/>
      <c r="T977" s="38"/>
      <c r="U977" s="38"/>
      <c r="V977" s="38"/>
      <c r="W977" s="38"/>
      <c r="X977" s="38"/>
      <c r="Y977" s="38"/>
      <c r="Z977" s="38"/>
      <c r="AA977" s="38"/>
      <c r="AB977" s="38"/>
      <c r="AC977" s="38"/>
      <c r="AD977" s="38"/>
      <c r="AE977" s="38"/>
      <c r="AF977" s="38"/>
      <c r="AG977" s="38"/>
      <c r="AH977" s="38"/>
    </row>
    <row r="978" spans="3:34" ht="20.100000000000001" customHeight="1">
      <c r="C978" s="113"/>
      <c r="D978" s="114"/>
      <c r="P978" s="82"/>
      <c r="Q978" s="82"/>
      <c r="R978" s="38"/>
      <c r="S978" s="38"/>
      <c r="T978" s="38"/>
      <c r="U978" s="38"/>
      <c r="V978" s="38"/>
      <c r="W978" s="38"/>
      <c r="X978" s="38"/>
      <c r="Y978" s="38"/>
      <c r="Z978" s="38"/>
      <c r="AA978" s="38"/>
      <c r="AB978" s="38"/>
      <c r="AC978" s="38"/>
      <c r="AD978" s="38"/>
      <c r="AE978" s="38"/>
      <c r="AF978" s="38"/>
      <c r="AG978" s="38"/>
      <c r="AH978" s="38"/>
    </row>
    <row r="979" spans="3:34" ht="20.100000000000001" customHeight="1">
      <c r="C979" s="113"/>
      <c r="D979" s="114"/>
      <c r="P979" s="82"/>
      <c r="Q979" s="82"/>
      <c r="R979" s="38"/>
      <c r="S979" s="38"/>
      <c r="T979" s="38"/>
      <c r="U979" s="38"/>
      <c r="V979" s="38"/>
      <c r="W979" s="38"/>
      <c r="X979" s="38"/>
      <c r="Y979" s="38"/>
      <c r="Z979" s="38"/>
      <c r="AA979" s="38"/>
      <c r="AB979" s="38"/>
      <c r="AC979" s="38"/>
      <c r="AD979" s="38"/>
      <c r="AE979" s="38"/>
      <c r="AF979" s="38"/>
      <c r="AG979" s="38"/>
      <c r="AH979" s="38"/>
    </row>
    <row r="980" spans="3:34" ht="20.100000000000001" customHeight="1">
      <c r="C980" s="113"/>
      <c r="D980" s="114"/>
      <c r="P980" s="82"/>
      <c r="Q980" s="82"/>
      <c r="R980" s="38"/>
      <c r="S980" s="38"/>
      <c r="T980" s="38"/>
      <c r="U980" s="38"/>
      <c r="V980" s="38"/>
      <c r="W980" s="38"/>
      <c r="X980" s="38"/>
      <c r="Y980" s="38"/>
      <c r="Z980" s="38"/>
      <c r="AA980" s="38"/>
      <c r="AB980" s="38"/>
      <c r="AC980" s="38"/>
      <c r="AD980" s="38"/>
      <c r="AE980" s="38"/>
      <c r="AF980" s="38"/>
      <c r="AG980" s="38"/>
      <c r="AH980" s="38"/>
    </row>
    <row r="981" spans="3:34" ht="20.100000000000001" customHeight="1">
      <c r="C981" s="113"/>
      <c r="D981" s="114"/>
      <c r="P981" s="82"/>
      <c r="Q981" s="82"/>
      <c r="R981" s="38"/>
      <c r="S981" s="38"/>
      <c r="T981" s="38"/>
      <c r="U981" s="38"/>
      <c r="V981" s="38"/>
      <c r="W981" s="38"/>
      <c r="X981" s="38"/>
      <c r="Y981" s="38"/>
      <c r="Z981" s="38"/>
      <c r="AA981" s="38"/>
      <c r="AB981" s="38"/>
      <c r="AC981" s="38"/>
      <c r="AD981" s="38"/>
      <c r="AE981" s="38"/>
      <c r="AF981" s="38"/>
      <c r="AG981" s="38"/>
      <c r="AH981" s="38"/>
    </row>
    <row r="982" spans="3:34" ht="20.100000000000001" customHeight="1">
      <c r="C982" s="113"/>
      <c r="D982" s="114"/>
      <c r="P982" s="82"/>
      <c r="Q982" s="82"/>
      <c r="R982" s="38"/>
      <c r="S982" s="38"/>
      <c r="T982" s="38"/>
      <c r="U982" s="38"/>
      <c r="V982" s="38"/>
      <c r="W982" s="38"/>
      <c r="X982" s="38"/>
      <c r="Y982" s="38"/>
      <c r="Z982" s="38"/>
      <c r="AA982" s="38"/>
      <c r="AB982" s="38"/>
      <c r="AC982" s="38"/>
      <c r="AD982" s="38"/>
      <c r="AE982" s="38"/>
      <c r="AF982" s="38"/>
      <c r="AG982" s="38"/>
      <c r="AH982" s="38"/>
    </row>
    <row r="983" spans="3:34" ht="20.100000000000001" customHeight="1">
      <c r="C983" s="113"/>
      <c r="D983" s="114"/>
      <c r="P983" s="82"/>
      <c r="Q983" s="82"/>
      <c r="R983" s="38"/>
      <c r="S983" s="38"/>
      <c r="T983" s="38"/>
      <c r="U983" s="38"/>
      <c r="V983" s="38"/>
      <c r="W983" s="38"/>
      <c r="X983" s="38"/>
      <c r="Y983" s="38"/>
      <c r="Z983" s="38"/>
      <c r="AA983" s="38"/>
      <c r="AB983" s="38"/>
      <c r="AC983" s="38"/>
      <c r="AD983" s="38"/>
      <c r="AE983" s="38"/>
      <c r="AF983" s="38"/>
      <c r="AG983" s="38"/>
      <c r="AH983" s="38"/>
    </row>
    <row r="984" spans="3:34" ht="20.100000000000001" customHeight="1">
      <c r="C984" s="113"/>
      <c r="D984" s="114"/>
      <c r="P984" s="82"/>
      <c r="Q984" s="82"/>
      <c r="R984" s="38"/>
      <c r="S984" s="38"/>
      <c r="T984" s="38"/>
      <c r="U984" s="38"/>
      <c r="V984" s="38"/>
      <c r="W984" s="38"/>
      <c r="X984" s="38"/>
      <c r="Y984" s="38"/>
      <c r="Z984" s="38"/>
      <c r="AA984" s="38"/>
      <c r="AB984" s="38"/>
      <c r="AC984" s="38"/>
      <c r="AD984" s="38"/>
      <c r="AE984" s="38"/>
      <c r="AF984" s="38"/>
      <c r="AG984" s="38"/>
      <c r="AH984" s="38"/>
    </row>
    <row r="985" spans="3:34" ht="20.100000000000001" customHeight="1">
      <c r="C985" s="113"/>
      <c r="D985" s="114"/>
      <c r="P985" s="82"/>
      <c r="Q985" s="82"/>
      <c r="R985" s="38"/>
      <c r="S985" s="38"/>
      <c r="T985" s="38"/>
      <c r="U985" s="38"/>
      <c r="V985" s="38"/>
      <c r="W985" s="38"/>
      <c r="X985" s="38"/>
      <c r="Y985" s="38"/>
      <c r="Z985" s="38"/>
      <c r="AA985" s="38"/>
      <c r="AB985" s="38"/>
      <c r="AC985" s="38"/>
      <c r="AD985" s="38"/>
      <c r="AE985" s="38"/>
      <c r="AF985" s="38"/>
      <c r="AG985" s="38"/>
      <c r="AH985" s="38"/>
    </row>
    <row r="986" spans="3:34" ht="20.100000000000001" customHeight="1">
      <c r="C986" s="113"/>
      <c r="D986" s="114"/>
      <c r="P986" s="82"/>
      <c r="Q986" s="82"/>
      <c r="R986" s="38"/>
      <c r="S986" s="38"/>
      <c r="T986" s="38"/>
      <c r="U986" s="38"/>
      <c r="V986" s="38"/>
      <c r="W986" s="38"/>
      <c r="X986" s="38"/>
      <c r="Y986" s="38"/>
      <c r="Z986" s="38"/>
      <c r="AA986" s="38"/>
      <c r="AB986" s="38"/>
      <c r="AC986" s="38"/>
      <c r="AD986" s="38"/>
      <c r="AE986" s="38"/>
      <c r="AF986" s="38"/>
      <c r="AG986" s="38"/>
      <c r="AH986" s="38"/>
    </row>
    <row r="987" spans="3:34" ht="20.100000000000001" customHeight="1">
      <c r="C987" s="113"/>
      <c r="D987" s="114"/>
      <c r="P987" s="82"/>
      <c r="Q987" s="82"/>
      <c r="R987" s="38"/>
      <c r="S987" s="38"/>
      <c r="T987" s="38"/>
      <c r="U987" s="38"/>
      <c r="V987" s="38"/>
      <c r="W987" s="38"/>
      <c r="X987" s="38"/>
      <c r="Y987" s="38"/>
      <c r="Z987" s="38"/>
      <c r="AA987" s="38"/>
      <c r="AB987" s="38"/>
      <c r="AC987" s="38"/>
      <c r="AD987" s="38"/>
      <c r="AE987" s="38"/>
      <c r="AF987" s="38"/>
      <c r="AG987" s="38"/>
      <c r="AH987" s="38"/>
    </row>
    <row r="988" spans="3:34" ht="20.100000000000001" customHeight="1">
      <c r="C988" s="113"/>
      <c r="D988" s="114"/>
      <c r="P988" s="82"/>
      <c r="Q988" s="82"/>
      <c r="R988" s="38"/>
      <c r="S988" s="38"/>
      <c r="T988" s="38"/>
      <c r="U988" s="38"/>
      <c r="V988" s="38"/>
      <c r="W988" s="38"/>
      <c r="X988" s="38"/>
      <c r="Y988" s="38"/>
      <c r="Z988" s="38"/>
      <c r="AA988" s="38"/>
      <c r="AB988" s="38"/>
      <c r="AC988" s="38"/>
      <c r="AD988" s="38"/>
      <c r="AE988" s="38"/>
      <c r="AF988" s="38"/>
      <c r="AG988" s="38"/>
      <c r="AH988" s="38"/>
    </row>
    <row r="989" spans="3:34" ht="20.100000000000001" customHeight="1">
      <c r="C989" s="113"/>
      <c r="D989" s="114"/>
      <c r="P989" s="82"/>
      <c r="Q989" s="82"/>
      <c r="R989" s="38"/>
      <c r="S989" s="38"/>
      <c r="T989" s="38"/>
      <c r="U989" s="38"/>
      <c r="V989" s="38"/>
      <c r="W989" s="38"/>
      <c r="X989" s="38"/>
      <c r="Y989" s="38"/>
      <c r="Z989" s="38"/>
      <c r="AA989" s="38"/>
      <c r="AB989" s="38"/>
      <c r="AC989" s="38"/>
      <c r="AD989" s="38"/>
      <c r="AE989" s="38"/>
      <c r="AF989" s="38"/>
      <c r="AG989" s="38"/>
      <c r="AH989" s="38"/>
    </row>
    <row r="990" spans="3:34" ht="20.100000000000001" customHeight="1">
      <c r="C990" s="113"/>
      <c r="D990" s="114"/>
      <c r="P990" s="82"/>
      <c r="Q990" s="82"/>
      <c r="R990" s="38"/>
      <c r="S990" s="38"/>
      <c r="T990" s="38"/>
      <c r="U990" s="38"/>
      <c r="V990" s="38"/>
      <c r="W990" s="38"/>
      <c r="X990" s="38"/>
      <c r="Y990" s="38"/>
      <c r="Z990" s="38"/>
      <c r="AA990" s="38"/>
      <c r="AB990" s="38"/>
      <c r="AC990" s="38"/>
      <c r="AD990" s="38"/>
      <c r="AE990" s="38"/>
      <c r="AF990" s="38"/>
      <c r="AG990" s="38"/>
      <c r="AH990" s="38"/>
    </row>
    <row r="991" spans="3:34" ht="20.100000000000001" customHeight="1">
      <c r="C991" s="113"/>
      <c r="D991" s="114"/>
      <c r="P991" s="82"/>
      <c r="Q991" s="82"/>
      <c r="R991" s="38"/>
      <c r="S991" s="38"/>
      <c r="T991" s="38"/>
      <c r="U991" s="38"/>
      <c r="V991" s="38"/>
      <c r="W991" s="38"/>
      <c r="X991" s="38"/>
      <c r="Y991" s="38"/>
      <c r="Z991" s="38"/>
      <c r="AA991" s="38"/>
      <c r="AB991" s="38"/>
      <c r="AC991" s="38"/>
      <c r="AD991" s="38"/>
      <c r="AE991" s="38"/>
      <c r="AF991" s="38"/>
      <c r="AG991" s="38"/>
      <c r="AH991" s="38"/>
    </row>
    <row r="992" spans="3:34" ht="20.100000000000001" customHeight="1">
      <c r="C992" s="113"/>
      <c r="D992" s="114"/>
      <c r="P992" s="82"/>
      <c r="Q992" s="82"/>
      <c r="R992" s="38"/>
      <c r="S992" s="38"/>
      <c r="T992" s="38"/>
      <c r="U992" s="38"/>
      <c r="V992" s="38"/>
      <c r="W992" s="38"/>
      <c r="X992" s="38"/>
      <c r="Y992" s="38"/>
      <c r="Z992" s="38"/>
      <c r="AA992" s="38"/>
      <c r="AB992" s="38"/>
      <c r="AC992" s="38"/>
      <c r="AD992" s="38"/>
      <c r="AE992" s="38"/>
      <c r="AF992" s="38"/>
      <c r="AG992" s="38"/>
      <c r="AH992" s="38"/>
    </row>
    <row r="993" spans="3:34" ht="20.100000000000001" customHeight="1">
      <c r="C993" s="113"/>
      <c r="D993" s="114"/>
      <c r="P993" s="82"/>
      <c r="Q993" s="82"/>
      <c r="R993" s="38"/>
      <c r="S993" s="38"/>
      <c r="T993" s="38"/>
      <c r="U993" s="38"/>
      <c r="V993" s="38"/>
      <c r="W993" s="38"/>
      <c r="X993" s="38"/>
      <c r="Y993" s="38"/>
      <c r="Z993" s="38"/>
      <c r="AA993" s="38"/>
      <c r="AB993" s="38"/>
      <c r="AC993" s="38"/>
      <c r="AD993" s="38"/>
      <c r="AE993" s="38"/>
      <c r="AF993" s="38"/>
      <c r="AG993" s="38"/>
      <c r="AH993" s="38"/>
    </row>
    <row r="994" spans="3:34" ht="20.100000000000001" customHeight="1">
      <c r="C994" s="113"/>
      <c r="D994" s="114"/>
      <c r="P994" s="82"/>
      <c r="Q994" s="82"/>
      <c r="R994" s="38"/>
      <c r="S994" s="38"/>
      <c r="T994" s="38"/>
      <c r="U994" s="38"/>
      <c r="V994" s="38"/>
      <c r="W994" s="38"/>
      <c r="X994" s="38"/>
      <c r="Y994" s="38"/>
      <c r="Z994" s="38"/>
      <c r="AA994" s="38"/>
      <c r="AB994" s="38"/>
      <c r="AC994" s="38"/>
      <c r="AD994" s="38"/>
      <c r="AE994" s="38"/>
      <c r="AF994" s="38"/>
      <c r="AG994" s="38"/>
      <c r="AH994" s="38"/>
    </row>
    <row r="995" spans="3:34" ht="20.100000000000001" customHeight="1">
      <c r="C995" s="113"/>
      <c r="D995" s="114"/>
      <c r="P995" s="82"/>
      <c r="Q995" s="82"/>
      <c r="R995" s="38"/>
      <c r="S995" s="38"/>
      <c r="T995" s="38"/>
      <c r="U995" s="38"/>
      <c r="V995" s="38"/>
      <c r="W995" s="38"/>
      <c r="X995" s="38"/>
      <c r="Y995" s="38"/>
      <c r="Z995" s="38"/>
      <c r="AA995" s="38"/>
      <c r="AB995" s="38"/>
      <c r="AC995" s="38"/>
      <c r="AD995" s="38"/>
      <c r="AE995" s="38"/>
      <c r="AF995" s="38"/>
      <c r="AG995" s="38"/>
      <c r="AH995" s="38"/>
    </row>
    <row r="996" spans="3:34" ht="20.100000000000001" customHeight="1">
      <c r="C996" s="113"/>
      <c r="D996" s="114"/>
      <c r="P996" s="82"/>
      <c r="Q996" s="82"/>
      <c r="R996" s="38"/>
      <c r="S996" s="38"/>
      <c r="T996" s="38"/>
      <c r="U996" s="38"/>
      <c r="V996" s="38"/>
      <c r="W996" s="38"/>
      <c r="X996" s="38"/>
      <c r="Y996" s="38"/>
      <c r="Z996" s="38"/>
      <c r="AA996" s="38"/>
      <c r="AB996" s="38"/>
      <c r="AC996" s="38"/>
      <c r="AD996" s="38"/>
      <c r="AE996" s="38"/>
      <c r="AF996" s="38"/>
      <c r="AG996" s="38"/>
      <c r="AH996" s="38"/>
    </row>
    <row r="997" spans="3:34" ht="20.100000000000001" customHeight="1">
      <c r="C997" s="113"/>
      <c r="D997" s="114"/>
      <c r="P997" s="82"/>
      <c r="Q997" s="82"/>
      <c r="R997" s="38"/>
      <c r="S997" s="38"/>
      <c r="T997" s="38"/>
      <c r="U997" s="38"/>
      <c r="V997" s="38"/>
      <c r="W997" s="38"/>
      <c r="X997" s="38"/>
      <c r="Y997" s="38"/>
      <c r="Z997" s="38"/>
      <c r="AA997" s="38"/>
      <c r="AB997" s="38"/>
      <c r="AC997" s="38"/>
      <c r="AD997" s="38"/>
      <c r="AE997" s="38"/>
      <c r="AF997" s="38"/>
      <c r="AG997" s="38"/>
      <c r="AH997" s="38"/>
    </row>
    <row r="998" spans="3:34" ht="20.100000000000001" customHeight="1">
      <c r="C998" s="113"/>
      <c r="D998" s="114"/>
      <c r="P998" s="82"/>
      <c r="Q998" s="82"/>
      <c r="R998" s="38"/>
      <c r="S998" s="38"/>
      <c r="T998" s="38"/>
      <c r="U998" s="38"/>
      <c r="V998" s="38"/>
      <c r="W998" s="38"/>
      <c r="X998" s="38"/>
      <c r="Y998" s="38"/>
      <c r="Z998" s="38"/>
      <c r="AA998" s="38"/>
      <c r="AB998" s="38"/>
      <c r="AC998" s="38"/>
      <c r="AD998" s="38"/>
      <c r="AE998" s="38"/>
      <c r="AF998" s="38"/>
      <c r="AG998" s="38"/>
      <c r="AH998" s="38"/>
    </row>
    <row r="999" spans="3:34" ht="20.100000000000001" customHeight="1">
      <c r="C999" s="113"/>
      <c r="D999" s="114"/>
      <c r="P999" s="82"/>
      <c r="Q999" s="82"/>
      <c r="R999" s="38"/>
      <c r="S999" s="38"/>
      <c r="T999" s="38"/>
      <c r="U999" s="38"/>
      <c r="V999" s="38"/>
      <c r="W999" s="38"/>
      <c r="X999" s="38"/>
      <c r="Y999" s="38"/>
      <c r="Z999" s="38"/>
      <c r="AA999" s="38"/>
      <c r="AB999" s="38"/>
      <c r="AC999" s="38"/>
      <c r="AD999" s="38"/>
      <c r="AE999" s="38"/>
      <c r="AF999" s="38"/>
      <c r="AG999" s="38"/>
      <c r="AH999" s="38"/>
    </row>
    <row r="1000" spans="3:34" ht="20.100000000000001" customHeight="1">
      <c r="C1000" s="113"/>
      <c r="D1000" s="114"/>
      <c r="P1000" s="82"/>
      <c r="Q1000" s="82"/>
      <c r="R1000" s="38"/>
      <c r="S1000" s="38"/>
      <c r="T1000" s="38"/>
      <c r="U1000" s="38"/>
      <c r="V1000" s="38"/>
      <c r="W1000" s="38"/>
      <c r="X1000" s="38"/>
      <c r="Y1000" s="38"/>
      <c r="Z1000" s="38"/>
      <c r="AA1000" s="38"/>
      <c r="AB1000" s="38"/>
      <c r="AC1000" s="38"/>
      <c r="AD1000" s="38"/>
      <c r="AE1000" s="38"/>
      <c r="AF1000" s="38"/>
      <c r="AG1000" s="38"/>
      <c r="AH1000" s="38"/>
    </row>
    <row r="1001" spans="3:34" ht="20.100000000000001" customHeight="1">
      <c r="C1001" s="113"/>
      <c r="D1001" s="114"/>
      <c r="P1001" s="82"/>
      <c r="Q1001" s="82"/>
      <c r="R1001" s="38"/>
      <c r="S1001" s="38"/>
      <c r="T1001" s="38"/>
      <c r="U1001" s="38"/>
      <c r="V1001" s="38"/>
      <c r="W1001" s="38"/>
      <c r="X1001" s="38"/>
      <c r="Y1001" s="38"/>
      <c r="Z1001" s="38"/>
      <c r="AA1001" s="38"/>
      <c r="AB1001" s="38"/>
      <c r="AC1001" s="38"/>
      <c r="AD1001" s="38"/>
      <c r="AE1001" s="38"/>
      <c r="AF1001" s="38"/>
      <c r="AG1001" s="38"/>
      <c r="AH1001" s="38"/>
    </row>
    <row r="1002" spans="3:34" ht="20.100000000000001" customHeight="1">
      <c r="C1002" s="113"/>
      <c r="D1002" s="114"/>
      <c r="P1002" s="82"/>
      <c r="Q1002" s="82"/>
      <c r="R1002" s="38"/>
      <c r="S1002" s="38"/>
      <c r="T1002" s="38"/>
      <c r="U1002" s="38"/>
      <c r="V1002" s="38"/>
      <c r="W1002" s="38"/>
      <c r="X1002" s="38"/>
      <c r="Y1002" s="38"/>
      <c r="Z1002" s="38"/>
      <c r="AA1002" s="38"/>
      <c r="AB1002" s="38"/>
      <c r="AC1002" s="38"/>
      <c r="AD1002" s="38"/>
      <c r="AE1002" s="38"/>
      <c r="AF1002" s="38"/>
      <c r="AG1002" s="38"/>
      <c r="AH1002" s="38"/>
    </row>
    <row r="1003" spans="3:34" ht="20.100000000000001" customHeight="1">
      <c r="C1003" s="113"/>
      <c r="D1003" s="114"/>
      <c r="P1003" s="82"/>
      <c r="Q1003" s="82"/>
      <c r="R1003" s="38"/>
      <c r="S1003" s="38"/>
      <c r="T1003" s="38"/>
      <c r="U1003" s="38"/>
      <c r="V1003" s="38"/>
      <c r="W1003" s="38"/>
      <c r="X1003" s="38"/>
      <c r="Y1003" s="38"/>
      <c r="Z1003" s="38"/>
      <c r="AA1003" s="38"/>
      <c r="AB1003" s="38"/>
      <c r="AC1003" s="38"/>
      <c r="AD1003" s="38"/>
      <c r="AE1003" s="38"/>
      <c r="AF1003" s="38"/>
      <c r="AG1003" s="38"/>
      <c r="AH1003" s="38"/>
    </row>
    <row r="1004" spans="3:34" ht="20.100000000000001" customHeight="1">
      <c r="C1004" s="113"/>
      <c r="D1004" s="114"/>
      <c r="P1004" s="82"/>
      <c r="Q1004" s="82"/>
      <c r="R1004" s="38"/>
      <c r="S1004" s="38"/>
      <c r="T1004" s="38"/>
      <c r="U1004" s="38"/>
      <c r="V1004" s="38"/>
      <c r="W1004" s="38"/>
      <c r="X1004" s="38"/>
      <c r="Y1004" s="38"/>
      <c r="Z1004" s="38"/>
      <c r="AA1004" s="38"/>
      <c r="AB1004" s="38"/>
      <c r="AC1004" s="38"/>
      <c r="AD1004" s="38"/>
      <c r="AE1004" s="38"/>
      <c r="AF1004" s="38"/>
      <c r="AG1004" s="38"/>
      <c r="AH1004" s="38"/>
    </row>
    <row r="1005" spans="3:34" ht="20.100000000000001" customHeight="1">
      <c r="C1005" s="113"/>
      <c r="D1005" s="114"/>
      <c r="P1005" s="82"/>
      <c r="Q1005" s="82"/>
      <c r="R1005" s="38"/>
      <c r="S1005" s="38"/>
      <c r="T1005" s="38"/>
      <c r="U1005" s="38"/>
      <c r="V1005" s="38"/>
      <c r="W1005" s="38"/>
      <c r="X1005" s="38"/>
      <c r="Y1005" s="38"/>
      <c r="Z1005" s="38"/>
      <c r="AA1005" s="38"/>
      <c r="AB1005" s="38"/>
      <c r="AC1005" s="38"/>
      <c r="AD1005" s="38"/>
      <c r="AE1005" s="38"/>
      <c r="AF1005" s="38"/>
      <c r="AG1005" s="38"/>
      <c r="AH1005" s="38"/>
    </row>
    <row r="1006" spans="3:34" ht="20.100000000000001" customHeight="1">
      <c r="C1006" s="113"/>
      <c r="D1006" s="114"/>
      <c r="P1006" s="82"/>
      <c r="Q1006" s="82"/>
      <c r="R1006" s="38"/>
      <c r="S1006" s="38"/>
      <c r="T1006" s="38"/>
      <c r="U1006" s="38"/>
      <c r="V1006" s="38"/>
      <c r="W1006" s="38"/>
      <c r="X1006" s="38"/>
      <c r="Y1006" s="38"/>
      <c r="Z1006" s="38"/>
      <c r="AA1006" s="38"/>
      <c r="AB1006" s="38"/>
      <c r="AC1006" s="38"/>
      <c r="AD1006" s="38"/>
      <c r="AE1006" s="38"/>
      <c r="AF1006" s="38"/>
      <c r="AG1006" s="38"/>
      <c r="AH1006" s="38"/>
    </row>
    <row r="1007" spans="3:34" ht="20.100000000000001" customHeight="1">
      <c r="C1007" s="113"/>
      <c r="D1007" s="114"/>
      <c r="P1007" s="82"/>
      <c r="Q1007" s="82"/>
      <c r="R1007" s="38"/>
      <c r="S1007" s="38"/>
      <c r="T1007" s="38"/>
      <c r="U1007" s="38"/>
      <c r="V1007" s="38"/>
      <c r="W1007" s="38"/>
      <c r="X1007" s="38"/>
      <c r="Y1007" s="38"/>
      <c r="Z1007" s="38"/>
      <c r="AA1007" s="38"/>
      <c r="AB1007" s="38"/>
      <c r="AC1007" s="38"/>
      <c r="AD1007" s="38"/>
      <c r="AE1007" s="38"/>
      <c r="AF1007" s="38"/>
      <c r="AG1007" s="38"/>
      <c r="AH1007" s="38"/>
    </row>
    <row r="1008" spans="3:34" ht="20.100000000000001" customHeight="1">
      <c r="C1008" s="113"/>
      <c r="D1008" s="114"/>
      <c r="P1008" s="82"/>
      <c r="Q1008" s="82"/>
      <c r="R1008" s="38"/>
      <c r="S1008" s="38"/>
      <c r="T1008" s="38"/>
      <c r="U1008" s="38"/>
      <c r="V1008" s="38"/>
      <c r="W1008" s="38"/>
      <c r="X1008" s="38"/>
      <c r="Y1008" s="38"/>
      <c r="Z1008" s="38"/>
      <c r="AA1008" s="38"/>
      <c r="AB1008" s="38"/>
      <c r="AC1008" s="38"/>
      <c r="AD1008" s="38"/>
      <c r="AE1008" s="38"/>
      <c r="AF1008" s="38"/>
      <c r="AG1008" s="38"/>
      <c r="AH1008" s="38"/>
    </row>
    <row r="1009" spans="3:34" ht="20.100000000000001" customHeight="1">
      <c r="C1009" s="113"/>
      <c r="D1009" s="114"/>
      <c r="P1009" s="82"/>
      <c r="Q1009" s="82"/>
      <c r="R1009" s="38"/>
      <c r="S1009" s="38"/>
      <c r="T1009" s="38"/>
      <c r="U1009" s="38"/>
      <c r="V1009" s="38"/>
      <c r="W1009" s="38"/>
      <c r="X1009" s="38"/>
      <c r="Y1009" s="38"/>
      <c r="Z1009" s="38"/>
      <c r="AA1009" s="38"/>
      <c r="AB1009" s="38"/>
      <c r="AC1009" s="38"/>
      <c r="AD1009" s="38"/>
      <c r="AE1009" s="38"/>
      <c r="AF1009" s="38"/>
      <c r="AG1009" s="38"/>
      <c r="AH1009" s="38"/>
    </row>
    <row r="1010" spans="3:34" ht="20.100000000000001" customHeight="1">
      <c r="C1010" s="113"/>
      <c r="D1010" s="114"/>
      <c r="P1010" s="82"/>
      <c r="Q1010" s="82"/>
      <c r="R1010" s="38"/>
      <c r="S1010" s="38"/>
      <c r="T1010" s="38"/>
      <c r="U1010" s="38"/>
      <c r="V1010" s="38"/>
      <c r="W1010" s="38"/>
      <c r="X1010" s="38"/>
      <c r="Y1010" s="38"/>
      <c r="Z1010" s="38"/>
      <c r="AA1010" s="38"/>
      <c r="AB1010" s="38"/>
      <c r="AC1010" s="38"/>
      <c r="AD1010" s="38"/>
      <c r="AE1010" s="38"/>
      <c r="AF1010" s="38"/>
      <c r="AG1010" s="38"/>
      <c r="AH1010" s="38"/>
    </row>
    <row r="1011" spans="3:34" ht="20.100000000000001" customHeight="1">
      <c r="C1011" s="113"/>
      <c r="D1011" s="114"/>
      <c r="P1011" s="82"/>
      <c r="Q1011" s="82"/>
      <c r="R1011" s="38"/>
      <c r="S1011" s="38"/>
      <c r="T1011" s="38"/>
      <c r="U1011" s="38"/>
      <c r="V1011" s="38"/>
      <c r="W1011" s="38"/>
      <c r="X1011" s="38"/>
      <c r="Y1011" s="38"/>
      <c r="Z1011" s="38"/>
      <c r="AA1011" s="38"/>
      <c r="AB1011" s="38"/>
      <c r="AC1011" s="38"/>
      <c r="AD1011" s="38"/>
      <c r="AE1011" s="38"/>
      <c r="AF1011" s="38"/>
      <c r="AG1011" s="38"/>
      <c r="AH1011" s="38"/>
    </row>
    <row r="1012" spans="3:34" ht="20.100000000000001" customHeight="1">
      <c r="C1012" s="113"/>
      <c r="D1012" s="114"/>
      <c r="P1012" s="82"/>
      <c r="Q1012" s="82"/>
      <c r="R1012" s="38"/>
      <c r="S1012" s="38"/>
      <c r="T1012" s="38"/>
      <c r="U1012" s="38"/>
      <c r="V1012" s="38"/>
      <c r="W1012" s="38"/>
      <c r="X1012" s="38"/>
      <c r="Y1012" s="38"/>
      <c r="Z1012" s="38"/>
      <c r="AA1012" s="38"/>
      <c r="AB1012" s="38"/>
      <c r="AC1012" s="38"/>
      <c r="AD1012" s="38"/>
      <c r="AE1012" s="38"/>
      <c r="AF1012" s="38"/>
      <c r="AG1012" s="38"/>
      <c r="AH1012" s="38"/>
    </row>
    <row r="1013" spans="3:34" ht="20.100000000000001" customHeight="1">
      <c r="C1013" s="113"/>
      <c r="D1013" s="114"/>
      <c r="P1013" s="82"/>
      <c r="Q1013" s="82"/>
      <c r="R1013" s="38"/>
      <c r="S1013" s="38"/>
      <c r="T1013" s="38"/>
      <c r="U1013" s="38"/>
      <c r="V1013" s="38"/>
      <c r="W1013" s="38"/>
      <c r="X1013" s="38"/>
      <c r="Y1013" s="38"/>
      <c r="Z1013" s="38"/>
      <c r="AA1013" s="38"/>
      <c r="AB1013" s="38"/>
      <c r="AC1013" s="38"/>
      <c r="AD1013" s="38"/>
      <c r="AE1013" s="38"/>
      <c r="AF1013" s="38"/>
      <c r="AG1013" s="38"/>
      <c r="AH1013" s="38"/>
    </row>
    <row r="1014" spans="3:34" ht="20.100000000000001" customHeight="1">
      <c r="C1014" s="113"/>
      <c r="D1014" s="114"/>
      <c r="P1014" s="82"/>
      <c r="Q1014" s="82"/>
      <c r="R1014" s="38"/>
      <c r="S1014" s="38"/>
      <c r="T1014" s="38"/>
      <c r="U1014" s="38"/>
      <c r="V1014" s="38"/>
      <c r="W1014" s="38"/>
      <c r="X1014" s="38"/>
      <c r="Y1014" s="38"/>
      <c r="Z1014" s="38"/>
      <c r="AA1014" s="38"/>
      <c r="AB1014" s="38"/>
      <c r="AC1014" s="38"/>
      <c r="AD1014" s="38"/>
      <c r="AE1014" s="38"/>
      <c r="AF1014" s="38"/>
      <c r="AG1014" s="38"/>
      <c r="AH1014" s="38"/>
    </row>
    <row r="1015" spans="3:34" ht="20.100000000000001" customHeight="1">
      <c r="C1015" s="113"/>
      <c r="D1015" s="114"/>
      <c r="P1015" s="82"/>
      <c r="Q1015" s="82"/>
      <c r="R1015" s="38"/>
      <c r="S1015" s="38"/>
      <c r="T1015" s="38"/>
      <c r="U1015" s="38"/>
      <c r="V1015" s="38"/>
      <c r="W1015" s="38"/>
      <c r="X1015" s="38"/>
      <c r="Y1015" s="38"/>
      <c r="Z1015" s="38"/>
      <c r="AA1015" s="38"/>
      <c r="AB1015" s="38"/>
      <c r="AC1015" s="38"/>
      <c r="AD1015" s="38"/>
      <c r="AE1015" s="38"/>
      <c r="AF1015" s="38"/>
      <c r="AG1015" s="38"/>
      <c r="AH1015" s="38"/>
    </row>
    <row r="1016" spans="3:34" ht="20.100000000000001" customHeight="1">
      <c r="C1016" s="113"/>
      <c r="D1016" s="114"/>
      <c r="P1016" s="82"/>
      <c r="Q1016" s="82"/>
      <c r="R1016" s="38"/>
      <c r="S1016" s="38"/>
      <c r="T1016" s="38"/>
      <c r="U1016" s="38"/>
      <c r="V1016" s="38"/>
      <c r="W1016" s="38"/>
      <c r="X1016" s="38"/>
      <c r="Y1016" s="38"/>
      <c r="Z1016" s="38"/>
      <c r="AA1016" s="38"/>
      <c r="AB1016" s="38"/>
      <c r="AC1016" s="38"/>
      <c r="AD1016" s="38"/>
      <c r="AE1016" s="38"/>
      <c r="AF1016" s="38"/>
      <c r="AG1016" s="38"/>
      <c r="AH1016" s="38"/>
    </row>
    <row r="1017" spans="3:34" ht="20.100000000000001" customHeight="1">
      <c r="C1017" s="113"/>
      <c r="D1017" s="114"/>
      <c r="P1017" s="82"/>
      <c r="Q1017" s="82"/>
      <c r="R1017" s="38"/>
      <c r="S1017" s="38"/>
      <c r="T1017" s="38"/>
      <c r="U1017" s="38"/>
      <c r="V1017" s="38"/>
      <c r="W1017" s="38"/>
      <c r="X1017" s="38"/>
      <c r="Y1017" s="38"/>
      <c r="Z1017" s="38"/>
      <c r="AA1017" s="38"/>
      <c r="AB1017" s="38"/>
      <c r="AC1017" s="38"/>
      <c r="AD1017" s="38"/>
      <c r="AE1017" s="38"/>
      <c r="AF1017" s="38"/>
      <c r="AG1017" s="38"/>
      <c r="AH1017" s="38"/>
    </row>
    <row r="1018" spans="3:34" ht="20.100000000000001" customHeight="1">
      <c r="C1018" s="113"/>
      <c r="D1018" s="114"/>
      <c r="P1018" s="82"/>
      <c r="Q1018" s="82"/>
      <c r="R1018" s="38"/>
      <c r="S1018" s="38"/>
      <c r="T1018" s="38"/>
      <c r="U1018" s="38"/>
      <c r="V1018" s="38"/>
      <c r="W1018" s="38"/>
      <c r="X1018" s="38"/>
      <c r="Y1018" s="38"/>
      <c r="Z1018" s="38"/>
      <c r="AA1018" s="38"/>
      <c r="AB1018" s="38"/>
      <c r="AC1018" s="38"/>
      <c r="AD1018" s="38"/>
      <c r="AE1018" s="38"/>
      <c r="AF1018" s="38"/>
      <c r="AG1018" s="38"/>
      <c r="AH1018" s="38"/>
    </row>
    <row r="1019" spans="3:34" ht="20.100000000000001" customHeight="1">
      <c r="C1019" s="113"/>
      <c r="D1019" s="114"/>
      <c r="P1019" s="82"/>
      <c r="Q1019" s="82"/>
      <c r="R1019" s="38"/>
      <c r="S1019" s="38"/>
      <c r="T1019" s="38"/>
      <c r="U1019" s="38"/>
      <c r="V1019" s="38"/>
      <c r="W1019" s="38"/>
      <c r="X1019" s="38"/>
      <c r="Y1019" s="38"/>
      <c r="Z1019" s="38"/>
      <c r="AA1019" s="38"/>
      <c r="AB1019" s="38"/>
      <c r="AC1019" s="38"/>
      <c r="AD1019" s="38"/>
      <c r="AE1019" s="38"/>
      <c r="AF1019" s="38"/>
      <c r="AG1019" s="38"/>
      <c r="AH1019" s="38"/>
    </row>
    <row r="1020" spans="3:34" ht="20.100000000000001" customHeight="1">
      <c r="C1020" s="113"/>
      <c r="D1020" s="114"/>
      <c r="P1020" s="82"/>
      <c r="Q1020" s="82"/>
      <c r="R1020" s="38"/>
      <c r="S1020" s="38"/>
      <c r="T1020" s="38"/>
      <c r="U1020" s="38"/>
      <c r="V1020" s="38"/>
      <c r="W1020" s="38"/>
      <c r="X1020" s="38"/>
      <c r="Y1020" s="38"/>
      <c r="Z1020" s="38"/>
      <c r="AA1020" s="38"/>
      <c r="AB1020" s="38"/>
      <c r="AC1020" s="38"/>
      <c r="AD1020" s="38"/>
      <c r="AE1020" s="38"/>
      <c r="AF1020" s="38"/>
      <c r="AG1020" s="38"/>
      <c r="AH1020" s="38"/>
    </row>
    <row r="1021" spans="3:34" ht="20.100000000000001" customHeight="1">
      <c r="C1021" s="113"/>
      <c r="D1021" s="114"/>
      <c r="P1021" s="82"/>
      <c r="Q1021" s="82"/>
      <c r="R1021" s="38"/>
      <c r="S1021" s="38"/>
      <c r="T1021" s="38"/>
      <c r="U1021" s="38"/>
      <c r="V1021" s="38"/>
      <c r="W1021" s="38"/>
      <c r="X1021" s="38"/>
      <c r="Y1021" s="38"/>
      <c r="Z1021" s="38"/>
      <c r="AA1021" s="38"/>
      <c r="AB1021" s="38"/>
      <c r="AC1021" s="38"/>
      <c r="AD1021" s="38"/>
      <c r="AE1021" s="38"/>
      <c r="AF1021" s="38"/>
      <c r="AG1021" s="38"/>
      <c r="AH1021" s="38"/>
    </row>
    <row r="1022" spans="3:34" ht="20.100000000000001" customHeight="1">
      <c r="C1022" s="113"/>
      <c r="D1022" s="114"/>
      <c r="P1022" s="82"/>
      <c r="Q1022" s="82"/>
      <c r="R1022" s="38"/>
      <c r="S1022" s="38"/>
      <c r="T1022" s="38"/>
      <c r="U1022" s="38"/>
      <c r="V1022" s="38"/>
      <c r="W1022" s="38"/>
      <c r="X1022" s="38"/>
      <c r="Y1022" s="38"/>
      <c r="Z1022" s="38"/>
      <c r="AA1022" s="38"/>
      <c r="AB1022" s="38"/>
      <c r="AC1022" s="38"/>
      <c r="AD1022" s="38"/>
      <c r="AE1022" s="38"/>
      <c r="AF1022" s="38"/>
      <c r="AG1022" s="38"/>
      <c r="AH1022" s="38"/>
    </row>
    <row r="1023" spans="3:34" ht="20.100000000000001" customHeight="1">
      <c r="C1023" s="113"/>
      <c r="D1023" s="114"/>
      <c r="P1023" s="82"/>
      <c r="Q1023" s="82"/>
      <c r="R1023" s="38"/>
      <c r="S1023" s="38"/>
      <c r="T1023" s="38"/>
      <c r="U1023" s="38"/>
      <c r="V1023" s="38"/>
      <c r="W1023" s="38"/>
      <c r="X1023" s="38"/>
      <c r="Y1023" s="38"/>
      <c r="Z1023" s="38"/>
      <c r="AA1023" s="38"/>
      <c r="AB1023" s="38"/>
      <c r="AC1023" s="38"/>
      <c r="AD1023" s="38"/>
      <c r="AE1023" s="38"/>
      <c r="AF1023" s="38"/>
      <c r="AG1023" s="38"/>
      <c r="AH1023" s="38"/>
    </row>
    <row r="1024" spans="3:34" ht="20.100000000000001" customHeight="1">
      <c r="C1024" s="113"/>
      <c r="D1024" s="114"/>
      <c r="P1024" s="82"/>
      <c r="Q1024" s="82"/>
      <c r="R1024" s="38"/>
      <c r="S1024" s="38"/>
      <c r="T1024" s="38"/>
      <c r="U1024" s="38"/>
      <c r="V1024" s="38"/>
      <c r="W1024" s="38"/>
      <c r="X1024" s="38"/>
      <c r="Y1024" s="38"/>
      <c r="Z1024" s="38"/>
      <c r="AA1024" s="38"/>
      <c r="AB1024" s="38"/>
      <c r="AC1024" s="38"/>
      <c r="AD1024" s="38"/>
      <c r="AE1024" s="38"/>
      <c r="AF1024" s="38"/>
      <c r="AG1024" s="38"/>
      <c r="AH1024" s="38"/>
    </row>
    <row r="1025" spans="3:34" ht="20.100000000000001" customHeight="1">
      <c r="C1025" s="113"/>
      <c r="D1025" s="114"/>
      <c r="P1025" s="82"/>
      <c r="Q1025" s="82"/>
      <c r="R1025" s="38"/>
      <c r="S1025" s="38"/>
      <c r="T1025" s="38"/>
      <c r="U1025" s="38"/>
      <c r="V1025" s="38"/>
      <c r="W1025" s="38"/>
      <c r="X1025" s="38"/>
      <c r="Y1025" s="38"/>
      <c r="Z1025" s="38"/>
      <c r="AA1025" s="38"/>
      <c r="AB1025" s="38"/>
      <c r="AC1025" s="38"/>
      <c r="AD1025" s="38"/>
      <c r="AE1025" s="38"/>
      <c r="AF1025" s="38"/>
      <c r="AG1025" s="38"/>
      <c r="AH1025" s="38"/>
    </row>
    <row r="1026" spans="3:34" ht="20.100000000000001" customHeight="1">
      <c r="C1026" s="113"/>
      <c r="D1026" s="114"/>
      <c r="P1026" s="82"/>
      <c r="Q1026" s="82"/>
      <c r="R1026" s="38"/>
      <c r="S1026" s="38"/>
      <c r="T1026" s="38"/>
      <c r="U1026" s="38"/>
      <c r="V1026" s="38"/>
      <c r="W1026" s="38"/>
      <c r="X1026" s="38"/>
      <c r="Y1026" s="38"/>
      <c r="Z1026" s="38"/>
      <c r="AA1026" s="38"/>
      <c r="AB1026" s="38"/>
      <c r="AC1026" s="38"/>
      <c r="AD1026" s="38"/>
      <c r="AE1026" s="38"/>
      <c r="AF1026" s="38"/>
      <c r="AG1026" s="38"/>
      <c r="AH1026" s="38"/>
    </row>
    <row r="1027" spans="3:34" ht="20.100000000000001" customHeight="1">
      <c r="C1027" s="113"/>
      <c r="D1027" s="114"/>
      <c r="P1027" s="82"/>
      <c r="Q1027" s="82"/>
      <c r="R1027" s="38"/>
      <c r="S1027" s="38"/>
      <c r="T1027" s="38"/>
      <c r="U1027" s="38"/>
      <c r="V1027" s="38"/>
      <c r="W1027" s="38"/>
      <c r="X1027" s="38"/>
      <c r="Y1027" s="38"/>
      <c r="Z1027" s="38"/>
      <c r="AA1027" s="38"/>
      <c r="AB1027" s="38"/>
      <c r="AC1027" s="38"/>
      <c r="AD1027" s="38"/>
      <c r="AE1027" s="38"/>
      <c r="AF1027" s="38"/>
      <c r="AG1027" s="38"/>
      <c r="AH1027" s="38"/>
    </row>
    <row r="1028" spans="3:34" ht="20.100000000000001" customHeight="1">
      <c r="C1028" s="113"/>
      <c r="D1028" s="114"/>
      <c r="P1028" s="82"/>
      <c r="Q1028" s="82"/>
      <c r="R1028" s="38"/>
      <c r="S1028" s="38"/>
      <c r="T1028" s="38"/>
      <c r="U1028" s="38"/>
      <c r="V1028" s="38"/>
      <c r="W1028" s="38"/>
      <c r="X1028" s="38"/>
      <c r="Y1028" s="38"/>
      <c r="Z1028" s="38"/>
      <c r="AA1028" s="38"/>
      <c r="AB1028" s="38"/>
      <c r="AC1028" s="38"/>
      <c r="AD1028" s="38"/>
      <c r="AE1028" s="38"/>
      <c r="AF1028" s="38"/>
      <c r="AG1028" s="38"/>
      <c r="AH1028" s="38"/>
    </row>
    <row r="1029" spans="3:34" ht="20.100000000000001" customHeight="1">
      <c r="C1029" s="113"/>
      <c r="D1029" s="114"/>
      <c r="P1029" s="82"/>
      <c r="Q1029" s="82"/>
      <c r="R1029" s="38"/>
      <c r="S1029" s="38"/>
      <c r="T1029" s="38"/>
      <c r="U1029" s="38"/>
      <c r="V1029" s="38"/>
      <c r="W1029" s="38"/>
      <c r="X1029" s="38"/>
      <c r="Y1029" s="38"/>
      <c r="Z1029" s="38"/>
      <c r="AA1029" s="38"/>
      <c r="AB1029" s="38"/>
      <c r="AC1029" s="38"/>
      <c r="AD1029" s="38"/>
      <c r="AE1029" s="38"/>
      <c r="AF1029" s="38"/>
      <c r="AG1029" s="38"/>
      <c r="AH1029" s="38"/>
    </row>
    <row r="1030" spans="3:34" ht="20.100000000000001" customHeight="1">
      <c r="C1030" s="113"/>
      <c r="D1030" s="114"/>
      <c r="P1030" s="82"/>
      <c r="Q1030" s="82"/>
      <c r="R1030" s="38"/>
      <c r="S1030" s="38"/>
      <c r="T1030" s="38"/>
      <c r="U1030" s="38"/>
      <c r="V1030" s="38"/>
      <c r="W1030" s="38"/>
      <c r="X1030" s="38"/>
      <c r="Y1030" s="38"/>
      <c r="Z1030" s="38"/>
      <c r="AA1030" s="38"/>
      <c r="AB1030" s="38"/>
      <c r="AC1030" s="38"/>
      <c r="AD1030" s="38"/>
      <c r="AE1030" s="38"/>
      <c r="AF1030" s="38"/>
      <c r="AG1030" s="38"/>
      <c r="AH1030" s="38"/>
    </row>
    <row r="1031" spans="3:34" ht="20.100000000000001" customHeight="1">
      <c r="C1031" s="113"/>
      <c r="D1031" s="114"/>
      <c r="P1031" s="82"/>
      <c r="Q1031" s="82"/>
      <c r="R1031" s="38"/>
      <c r="S1031" s="38"/>
      <c r="T1031" s="38"/>
      <c r="U1031" s="38"/>
      <c r="V1031" s="38"/>
      <c r="W1031" s="38"/>
      <c r="X1031" s="38"/>
      <c r="Y1031" s="38"/>
      <c r="Z1031" s="38"/>
      <c r="AA1031" s="38"/>
      <c r="AB1031" s="38"/>
      <c r="AC1031" s="38"/>
      <c r="AD1031" s="38"/>
      <c r="AE1031" s="38"/>
      <c r="AF1031" s="38"/>
      <c r="AG1031" s="38"/>
      <c r="AH1031" s="38"/>
    </row>
    <row r="1032" spans="3:34" ht="20.100000000000001" customHeight="1">
      <c r="C1032" s="113"/>
      <c r="D1032" s="114"/>
      <c r="P1032" s="82"/>
      <c r="Q1032" s="82"/>
      <c r="R1032" s="38"/>
      <c r="S1032" s="38"/>
      <c r="T1032" s="38"/>
      <c r="U1032" s="38"/>
      <c r="V1032" s="38"/>
      <c r="W1032" s="38"/>
      <c r="X1032" s="38"/>
      <c r="Y1032" s="38"/>
      <c r="Z1032" s="38"/>
      <c r="AA1032" s="38"/>
      <c r="AB1032" s="38"/>
      <c r="AC1032" s="38"/>
      <c r="AD1032" s="38"/>
      <c r="AE1032" s="38"/>
      <c r="AF1032" s="38"/>
      <c r="AG1032" s="38"/>
      <c r="AH1032" s="38"/>
    </row>
    <row r="1033" spans="3:34" ht="20.100000000000001" customHeight="1">
      <c r="C1033" s="113"/>
      <c r="D1033" s="114"/>
      <c r="P1033" s="82"/>
      <c r="Q1033" s="82"/>
      <c r="R1033" s="38"/>
      <c r="S1033" s="38"/>
      <c r="T1033" s="38"/>
      <c r="U1033" s="38"/>
      <c r="V1033" s="38"/>
      <c r="W1033" s="38"/>
      <c r="X1033" s="38"/>
      <c r="Y1033" s="38"/>
      <c r="Z1033" s="38"/>
      <c r="AA1033" s="38"/>
      <c r="AB1033" s="38"/>
      <c r="AC1033" s="38"/>
      <c r="AD1033" s="38"/>
      <c r="AE1033" s="38"/>
      <c r="AF1033" s="38"/>
      <c r="AG1033" s="38"/>
      <c r="AH1033" s="38"/>
    </row>
    <row r="1034" spans="3:34" ht="20.100000000000001" customHeight="1">
      <c r="C1034" s="113"/>
      <c r="D1034" s="114"/>
      <c r="P1034" s="82"/>
      <c r="Q1034" s="82"/>
      <c r="R1034" s="38"/>
      <c r="S1034" s="38"/>
      <c r="T1034" s="38"/>
      <c r="U1034" s="38"/>
      <c r="V1034" s="38"/>
      <c r="W1034" s="38"/>
      <c r="X1034" s="38"/>
      <c r="Y1034" s="38"/>
      <c r="Z1034" s="38"/>
      <c r="AA1034" s="38"/>
      <c r="AB1034" s="38"/>
      <c r="AC1034" s="38"/>
      <c r="AD1034" s="38"/>
      <c r="AE1034" s="38"/>
      <c r="AF1034" s="38"/>
      <c r="AG1034" s="38"/>
      <c r="AH1034" s="38"/>
    </row>
    <row r="1035" spans="3:34" ht="20.100000000000001" customHeight="1">
      <c r="C1035" s="113"/>
      <c r="D1035" s="114"/>
      <c r="P1035" s="82"/>
      <c r="Q1035" s="82"/>
      <c r="R1035" s="38"/>
      <c r="S1035" s="38"/>
      <c r="T1035" s="38"/>
      <c r="U1035" s="38"/>
      <c r="V1035" s="38"/>
      <c r="W1035" s="38"/>
      <c r="X1035" s="38"/>
      <c r="Y1035" s="38"/>
      <c r="Z1035" s="38"/>
      <c r="AA1035" s="38"/>
      <c r="AB1035" s="38"/>
      <c r="AC1035" s="38"/>
      <c r="AD1035" s="38"/>
      <c r="AE1035" s="38"/>
      <c r="AF1035" s="38"/>
      <c r="AG1035" s="38"/>
      <c r="AH1035" s="38"/>
    </row>
    <row r="1036" spans="3:34" ht="20.100000000000001" customHeight="1">
      <c r="C1036" s="113"/>
      <c r="D1036" s="114"/>
      <c r="P1036" s="82"/>
      <c r="Q1036" s="82"/>
      <c r="R1036" s="38"/>
      <c r="S1036" s="38"/>
      <c r="T1036" s="38"/>
      <c r="U1036" s="38"/>
      <c r="V1036" s="38"/>
      <c r="W1036" s="38"/>
      <c r="X1036" s="38"/>
      <c r="Y1036" s="38"/>
      <c r="Z1036" s="38"/>
      <c r="AA1036" s="38"/>
      <c r="AB1036" s="38"/>
      <c r="AC1036" s="38"/>
      <c r="AD1036" s="38"/>
      <c r="AE1036" s="38"/>
      <c r="AF1036" s="38"/>
      <c r="AG1036" s="38"/>
      <c r="AH1036" s="38"/>
    </row>
    <row r="1037" spans="3:34" ht="20.100000000000001" customHeight="1">
      <c r="C1037" s="113"/>
      <c r="D1037" s="114"/>
      <c r="P1037" s="82"/>
      <c r="Q1037" s="82"/>
      <c r="R1037" s="38"/>
      <c r="S1037" s="38"/>
      <c r="T1037" s="38"/>
      <c r="U1037" s="38"/>
      <c r="V1037" s="38"/>
      <c r="W1037" s="38"/>
      <c r="X1037" s="38"/>
      <c r="Y1037" s="38"/>
      <c r="Z1037" s="38"/>
      <c r="AA1037" s="38"/>
      <c r="AB1037" s="38"/>
      <c r="AC1037" s="38"/>
      <c r="AD1037" s="38"/>
      <c r="AE1037" s="38"/>
      <c r="AF1037" s="38"/>
      <c r="AG1037" s="38"/>
      <c r="AH1037" s="38"/>
    </row>
    <row r="1038" spans="3:34" ht="20.100000000000001" customHeight="1">
      <c r="C1038" s="113"/>
      <c r="D1038" s="114"/>
      <c r="P1038" s="82"/>
      <c r="Q1038" s="82"/>
      <c r="R1038" s="38"/>
      <c r="S1038" s="38"/>
      <c r="T1038" s="38"/>
      <c r="U1038" s="38"/>
      <c r="V1038" s="38"/>
      <c r="W1038" s="38"/>
      <c r="X1038" s="38"/>
      <c r="Y1038" s="38"/>
      <c r="Z1038" s="38"/>
      <c r="AA1038" s="38"/>
      <c r="AB1038" s="38"/>
      <c r="AC1038" s="38"/>
      <c r="AD1038" s="38"/>
      <c r="AE1038" s="38"/>
      <c r="AF1038" s="38"/>
      <c r="AG1038" s="38"/>
      <c r="AH1038" s="38"/>
    </row>
    <row r="1039" spans="3:34" ht="20.100000000000001" customHeight="1">
      <c r="C1039" s="113"/>
      <c r="D1039" s="114"/>
      <c r="P1039" s="82"/>
      <c r="Q1039" s="82"/>
      <c r="R1039" s="38"/>
      <c r="S1039" s="38"/>
      <c r="T1039" s="38"/>
      <c r="U1039" s="38"/>
      <c r="V1039" s="38"/>
      <c r="W1039" s="38"/>
      <c r="X1039" s="38"/>
      <c r="Y1039" s="38"/>
      <c r="Z1039" s="38"/>
      <c r="AA1039" s="38"/>
      <c r="AB1039" s="38"/>
      <c r="AC1039" s="38"/>
      <c r="AD1039" s="38"/>
      <c r="AE1039" s="38"/>
      <c r="AF1039" s="38"/>
      <c r="AG1039" s="38"/>
      <c r="AH1039" s="38"/>
    </row>
    <row r="1040" spans="3:34" ht="20.100000000000001" customHeight="1">
      <c r="C1040" s="113"/>
      <c r="D1040" s="114"/>
      <c r="P1040" s="82"/>
      <c r="Q1040" s="82"/>
      <c r="R1040" s="38"/>
      <c r="S1040" s="38"/>
      <c r="T1040" s="38"/>
      <c r="U1040" s="38"/>
      <c r="V1040" s="38"/>
      <c r="W1040" s="38"/>
      <c r="X1040" s="38"/>
      <c r="Y1040" s="38"/>
      <c r="Z1040" s="38"/>
      <c r="AA1040" s="38"/>
      <c r="AB1040" s="38"/>
      <c r="AC1040" s="38"/>
      <c r="AD1040" s="38"/>
      <c r="AE1040" s="38"/>
      <c r="AF1040" s="38"/>
      <c r="AG1040" s="38"/>
      <c r="AH1040" s="38"/>
    </row>
    <row r="1041" spans="3:34" ht="20.100000000000001" customHeight="1">
      <c r="C1041" s="113"/>
      <c r="D1041" s="114"/>
      <c r="P1041" s="82"/>
      <c r="Q1041" s="82"/>
      <c r="R1041" s="38"/>
      <c r="S1041" s="38"/>
      <c r="T1041" s="38"/>
      <c r="U1041" s="38"/>
      <c r="V1041" s="38"/>
      <c r="W1041" s="38"/>
      <c r="X1041" s="38"/>
      <c r="Y1041" s="38"/>
      <c r="Z1041" s="38"/>
      <c r="AA1041" s="38"/>
      <c r="AB1041" s="38"/>
      <c r="AC1041" s="38"/>
      <c r="AD1041" s="38"/>
      <c r="AE1041" s="38"/>
      <c r="AF1041" s="38"/>
      <c r="AG1041" s="38"/>
      <c r="AH1041" s="38"/>
    </row>
    <row r="1042" spans="3:34" ht="20.100000000000001" customHeight="1">
      <c r="C1042" s="113"/>
      <c r="D1042" s="114"/>
      <c r="P1042" s="82"/>
      <c r="Q1042" s="82"/>
      <c r="R1042" s="38"/>
      <c r="S1042" s="38"/>
      <c r="T1042" s="38"/>
      <c r="U1042" s="38"/>
      <c r="V1042" s="38"/>
      <c r="W1042" s="38"/>
      <c r="X1042" s="38"/>
      <c r="Y1042" s="38"/>
      <c r="Z1042" s="38"/>
      <c r="AA1042" s="38"/>
      <c r="AB1042" s="38"/>
      <c r="AC1042" s="38"/>
      <c r="AD1042" s="38"/>
      <c r="AE1042" s="38"/>
      <c r="AF1042" s="38"/>
      <c r="AG1042" s="38"/>
      <c r="AH1042" s="38"/>
    </row>
    <row r="1043" spans="3:34" ht="20.100000000000001" customHeight="1">
      <c r="C1043" s="113"/>
      <c r="D1043" s="114"/>
      <c r="P1043" s="82"/>
      <c r="Q1043" s="82"/>
      <c r="R1043" s="38"/>
      <c r="S1043" s="38"/>
      <c r="T1043" s="38"/>
      <c r="U1043" s="38"/>
      <c r="V1043" s="38"/>
      <c r="W1043" s="38"/>
      <c r="X1043" s="38"/>
      <c r="Y1043" s="38"/>
      <c r="Z1043" s="38"/>
      <c r="AA1043" s="38"/>
      <c r="AB1043" s="38"/>
      <c r="AC1043" s="38"/>
      <c r="AD1043" s="38"/>
      <c r="AE1043" s="38"/>
      <c r="AF1043" s="38"/>
      <c r="AG1043" s="38"/>
      <c r="AH1043" s="38"/>
    </row>
    <row r="1044" spans="3:34" ht="20.100000000000001" customHeight="1">
      <c r="C1044" s="113"/>
      <c r="D1044" s="114"/>
      <c r="P1044" s="82"/>
      <c r="Q1044" s="82"/>
      <c r="R1044" s="38"/>
      <c r="S1044" s="38"/>
      <c r="T1044" s="38"/>
      <c r="U1044" s="38"/>
      <c r="V1044" s="38"/>
      <c r="W1044" s="38"/>
      <c r="X1044" s="38"/>
      <c r="Y1044" s="38"/>
      <c r="Z1044" s="38"/>
      <c r="AA1044" s="38"/>
      <c r="AB1044" s="38"/>
      <c r="AC1044" s="38"/>
      <c r="AD1044" s="38"/>
      <c r="AE1044" s="38"/>
      <c r="AF1044" s="38"/>
      <c r="AG1044" s="38"/>
      <c r="AH1044" s="38"/>
    </row>
    <row r="1045" spans="3:34" ht="20.100000000000001" customHeight="1">
      <c r="C1045" s="113"/>
      <c r="D1045" s="114"/>
      <c r="P1045" s="82"/>
      <c r="Q1045" s="82"/>
      <c r="R1045" s="38"/>
      <c r="S1045" s="38"/>
      <c r="T1045" s="38"/>
      <c r="U1045" s="38"/>
      <c r="V1045" s="38"/>
      <c r="W1045" s="38"/>
      <c r="X1045" s="38"/>
      <c r="Y1045" s="38"/>
      <c r="Z1045" s="38"/>
      <c r="AA1045" s="38"/>
      <c r="AB1045" s="38"/>
      <c r="AC1045" s="38"/>
      <c r="AD1045" s="38"/>
      <c r="AE1045" s="38"/>
      <c r="AF1045" s="38"/>
      <c r="AG1045" s="38"/>
      <c r="AH1045" s="38"/>
    </row>
    <row r="1046" spans="3:34" ht="20.100000000000001" customHeight="1">
      <c r="C1046" s="113"/>
      <c r="D1046" s="114"/>
      <c r="P1046" s="82"/>
      <c r="Q1046" s="82"/>
      <c r="R1046" s="38"/>
      <c r="S1046" s="38"/>
      <c r="T1046" s="38"/>
      <c r="U1046" s="38"/>
      <c r="V1046" s="38"/>
      <c r="W1046" s="38"/>
      <c r="X1046" s="38"/>
      <c r="Y1046" s="38"/>
      <c r="Z1046" s="38"/>
      <c r="AA1046" s="38"/>
      <c r="AB1046" s="38"/>
      <c r="AC1046" s="38"/>
      <c r="AD1046" s="38"/>
      <c r="AE1046" s="38"/>
      <c r="AF1046" s="38"/>
      <c r="AG1046" s="38"/>
      <c r="AH1046" s="38"/>
    </row>
    <row r="1047" spans="3:34" ht="20.100000000000001" customHeight="1">
      <c r="C1047" s="113"/>
      <c r="D1047" s="114"/>
      <c r="P1047" s="82"/>
      <c r="Q1047" s="82"/>
      <c r="R1047" s="38"/>
      <c r="S1047" s="38"/>
      <c r="T1047" s="38"/>
      <c r="U1047" s="38"/>
      <c r="V1047" s="38"/>
      <c r="W1047" s="38"/>
      <c r="X1047" s="38"/>
      <c r="Y1047" s="38"/>
      <c r="Z1047" s="38"/>
      <c r="AA1047" s="38"/>
      <c r="AB1047" s="38"/>
      <c r="AC1047" s="38"/>
      <c r="AD1047" s="38"/>
      <c r="AE1047" s="38"/>
      <c r="AF1047" s="38"/>
      <c r="AG1047" s="38"/>
      <c r="AH1047" s="38"/>
    </row>
    <row r="1048" spans="3:34" ht="20.100000000000001" customHeight="1">
      <c r="C1048" s="113"/>
      <c r="D1048" s="114"/>
      <c r="P1048" s="82"/>
      <c r="Q1048" s="82"/>
      <c r="R1048" s="38"/>
      <c r="S1048" s="38"/>
      <c r="T1048" s="38"/>
      <c r="U1048" s="38"/>
      <c r="V1048" s="38"/>
      <c r="W1048" s="38"/>
      <c r="X1048" s="38"/>
      <c r="Y1048" s="38"/>
      <c r="Z1048" s="38"/>
      <c r="AA1048" s="38"/>
      <c r="AB1048" s="38"/>
      <c r="AC1048" s="38"/>
      <c r="AD1048" s="38"/>
      <c r="AE1048" s="38"/>
      <c r="AF1048" s="38"/>
      <c r="AG1048" s="38"/>
      <c r="AH1048" s="38"/>
    </row>
    <row r="1049" spans="3:34" ht="20.100000000000001" customHeight="1">
      <c r="C1049" s="113"/>
      <c r="D1049" s="114"/>
      <c r="P1049" s="82"/>
      <c r="Q1049" s="82"/>
      <c r="R1049" s="38"/>
      <c r="S1049" s="38"/>
      <c r="T1049" s="38"/>
      <c r="U1049" s="38"/>
      <c r="V1049" s="38"/>
      <c r="W1049" s="38"/>
      <c r="X1049" s="38"/>
      <c r="Y1049" s="38"/>
      <c r="Z1049" s="38"/>
      <c r="AA1049" s="38"/>
      <c r="AB1049" s="38"/>
      <c r="AC1049" s="38"/>
      <c r="AD1049" s="38"/>
      <c r="AE1049" s="38"/>
      <c r="AF1049" s="38"/>
      <c r="AG1049" s="38"/>
      <c r="AH1049" s="38"/>
    </row>
    <row r="1050" spans="3:34" ht="20.100000000000001" customHeight="1">
      <c r="C1050" s="113"/>
      <c r="D1050" s="114"/>
      <c r="P1050" s="82"/>
      <c r="Q1050" s="82"/>
      <c r="R1050" s="38"/>
      <c r="S1050" s="38"/>
      <c r="T1050" s="38"/>
      <c r="U1050" s="38"/>
      <c r="V1050" s="38"/>
      <c r="W1050" s="38"/>
      <c r="X1050" s="38"/>
      <c r="Y1050" s="38"/>
      <c r="Z1050" s="38"/>
      <c r="AA1050" s="38"/>
      <c r="AB1050" s="38"/>
      <c r="AC1050" s="38"/>
      <c r="AD1050" s="38"/>
      <c r="AE1050" s="38"/>
      <c r="AF1050" s="38"/>
      <c r="AG1050" s="38"/>
      <c r="AH1050" s="38"/>
    </row>
    <row r="1051" spans="3:34" ht="20.100000000000001" customHeight="1">
      <c r="C1051" s="113"/>
      <c r="D1051" s="114"/>
      <c r="P1051" s="82"/>
      <c r="Q1051" s="82"/>
      <c r="R1051" s="38"/>
      <c r="S1051" s="38"/>
      <c r="T1051" s="38"/>
      <c r="U1051" s="38"/>
      <c r="V1051" s="38"/>
      <c r="W1051" s="38"/>
      <c r="X1051" s="38"/>
      <c r="Y1051" s="38"/>
      <c r="Z1051" s="38"/>
      <c r="AA1051" s="38"/>
      <c r="AB1051" s="38"/>
      <c r="AC1051" s="38"/>
      <c r="AD1051" s="38"/>
      <c r="AE1051" s="38"/>
      <c r="AF1051" s="38"/>
      <c r="AG1051" s="38"/>
      <c r="AH1051" s="38"/>
    </row>
    <row r="1052" spans="3:34" ht="20.100000000000001" customHeight="1">
      <c r="C1052" s="113"/>
      <c r="D1052" s="114"/>
      <c r="P1052" s="82"/>
      <c r="Q1052" s="82"/>
      <c r="R1052" s="38"/>
      <c r="S1052" s="38"/>
      <c r="T1052" s="38"/>
      <c r="U1052" s="38"/>
      <c r="V1052" s="38"/>
      <c r="W1052" s="38"/>
      <c r="X1052" s="38"/>
      <c r="Y1052" s="38"/>
      <c r="Z1052" s="38"/>
      <c r="AA1052" s="38"/>
      <c r="AB1052" s="38"/>
      <c r="AC1052" s="38"/>
      <c r="AD1052" s="38"/>
      <c r="AE1052" s="38"/>
      <c r="AF1052" s="38"/>
      <c r="AG1052" s="38"/>
      <c r="AH1052" s="38"/>
    </row>
    <row r="1053" spans="3:34" ht="20.100000000000001" customHeight="1">
      <c r="C1053" s="113"/>
      <c r="D1053" s="114"/>
      <c r="P1053" s="82"/>
      <c r="Q1053" s="82"/>
      <c r="R1053" s="38"/>
      <c r="S1053" s="38"/>
      <c r="T1053" s="38"/>
      <c r="U1053" s="38"/>
      <c r="V1053" s="38"/>
      <c r="W1053" s="38"/>
      <c r="X1053" s="38"/>
      <c r="Y1053" s="38"/>
      <c r="Z1053" s="38"/>
      <c r="AA1053" s="38"/>
      <c r="AB1053" s="38"/>
      <c r="AC1053" s="38"/>
      <c r="AD1053" s="38"/>
      <c r="AE1053" s="38"/>
      <c r="AF1053" s="38"/>
      <c r="AG1053" s="38"/>
      <c r="AH1053" s="38"/>
    </row>
    <row r="1054" spans="3:34" ht="20.100000000000001" customHeight="1">
      <c r="C1054" s="113"/>
      <c r="D1054" s="114"/>
      <c r="P1054" s="82"/>
      <c r="Q1054" s="82"/>
      <c r="R1054" s="38"/>
      <c r="S1054" s="38"/>
      <c r="T1054" s="38"/>
      <c r="U1054" s="38"/>
      <c r="V1054" s="38"/>
      <c r="W1054" s="38"/>
      <c r="X1054" s="38"/>
      <c r="Y1054" s="38"/>
      <c r="Z1054" s="38"/>
      <c r="AA1054" s="38"/>
      <c r="AB1054" s="38"/>
      <c r="AC1054" s="38"/>
      <c r="AD1054" s="38"/>
      <c r="AE1054" s="38"/>
      <c r="AF1054" s="38"/>
      <c r="AG1054" s="38"/>
      <c r="AH1054" s="38"/>
    </row>
    <row r="1055" spans="3:34" ht="20.100000000000001" customHeight="1">
      <c r="C1055" s="113"/>
      <c r="D1055" s="114"/>
      <c r="P1055" s="82"/>
      <c r="Q1055" s="82"/>
      <c r="R1055" s="38"/>
      <c r="S1055" s="38"/>
      <c r="T1055" s="38"/>
      <c r="U1055" s="38"/>
      <c r="V1055" s="38"/>
      <c r="W1055" s="38"/>
      <c r="X1055" s="38"/>
      <c r="Y1055" s="38"/>
      <c r="Z1055" s="38"/>
      <c r="AA1055" s="38"/>
      <c r="AB1055" s="38"/>
      <c r="AC1055" s="38"/>
      <c r="AD1055" s="38"/>
      <c r="AE1055" s="38"/>
      <c r="AF1055" s="38"/>
      <c r="AG1055" s="38"/>
      <c r="AH1055" s="38"/>
    </row>
    <row r="1056" spans="3:34" ht="20.100000000000001" customHeight="1">
      <c r="C1056" s="113"/>
      <c r="D1056" s="114"/>
      <c r="P1056" s="82"/>
      <c r="Q1056" s="82"/>
      <c r="R1056" s="38"/>
      <c r="S1056" s="38"/>
      <c r="T1056" s="38"/>
      <c r="U1056" s="38"/>
      <c r="V1056" s="38"/>
      <c r="W1056" s="38"/>
      <c r="X1056" s="38"/>
      <c r="Y1056" s="38"/>
      <c r="Z1056" s="38"/>
      <c r="AA1056" s="38"/>
      <c r="AB1056" s="38"/>
      <c r="AC1056" s="38"/>
      <c r="AD1056" s="38"/>
      <c r="AE1056" s="38"/>
      <c r="AF1056" s="38"/>
      <c r="AG1056" s="38"/>
      <c r="AH1056" s="38"/>
    </row>
    <row r="1057" spans="3:34" ht="20.100000000000001" customHeight="1">
      <c r="C1057" s="113"/>
      <c r="D1057" s="114"/>
      <c r="P1057" s="82"/>
      <c r="Q1057" s="82"/>
      <c r="R1057" s="38"/>
      <c r="S1057" s="38"/>
      <c r="T1057" s="38"/>
      <c r="U1057" s="38"/>
      <c r="V1057" s="38"/>
      <c r="W1057" s="38"/>
      <c r="X1057" s="38"/>
      <c r="Y1057" s="38"/>
      <c r="Z1057" s="38"/>
      <c r="AA1057" s="38"/>
      <c r="AB1057" s="38"/>
      <c r="AC1057" s="38"/>
      <c r="AD1057" s="38"/>
      <c r="AE1057" s="38"/>
      <c r="AF1057" s="38"/>
      <c r="AG1057" s="38"/>
      <c r="AH1057" s="38"/>
    </row>
    <row r="1058" spans="3:34" ht="20.100000000000001" customHeight="1">
      <c r="C1058" s="113"/>
      <c r="D1058" s="114"/>
      <c r="P1058" s="82"/>
      <c r="Q1058" s="82"/>
      <c r="R1058" s="38"/>
      <c r="S1058" s="38"/>
      <c r="T1058" s="38"/>
      <c r="U1058" s="38"/>
      <c r="V1058" s="38"/>
      <c r="W1058" s="38"/>
      <c r="X1058" s="38"/>
      <c r="Y1058" s="38"/>
      <c r="Z1058" s="38"/>
      <c r="AA1058" s="38"/>
      <c r="AB1058" s="38"/>
      <c r="AC1058" s="38"/>
      <c r="AD1058" s="38"/>
      <c r="AE1058" s="38"/>
      <c r="AF1058" s="38"/>
      <c r="AG1058" s="38"/>
      <c r="AH1058" s="38"/>
    </row>
    <row r="1059" spans="3:34" ht="20.100000000000001" customHeight="1">
      <c r="C1059" s="113"/>
      <c r="D1059" s="114"/>
      <c r="P1059" s="82"/>
      <c r="Q1059" s="82"/>
      <c r="R1059" s="38"/>
      <c r="S1059" s="38"/>
      <c r="T1059" s="38"/>
      <c r="U1059" s="38"/>
      <c r="V1059" s="38"/>
      <c r="W1059" s="38"/>
      <c r="X1059" s="38"/>
      <c r="Y1059" s="38"/>
      <c r="Z1059" s="38"/>
      <c r="AA1059" s="38"/>
      <c r="AB1059" s="38"/>
      <c r="AC1059" s="38"/>
      <c r="AD1059" s="38"/>
      <c r="AE1059" s="38"/>
      <c r="AF1059" s="38"/>
      <c r="AG1059" s="38"/>
      <c r="AH1059" s="38"/>
    </row>
    <row r="1060" spans="3:34" ht="20.100000000000001" customHeight="1">
      <c r="C1060" s="113"/>
      <c r="D1060" s="114"/>
      <c r="P1060" s="82"/>
      <c r="Q1060" s="82"/>
      <c r="R1060" s="38"/>
      <c r="S1060" s="38"/>
      <c r="T1060" s="38"/>
      <c r="U1060" s="38"/>
      <c r="V1060" s="38"/>
      <c r="W1060" s="38"/>
      <c r="X1060" s="38"/>
      <c r="Y1060" s="38"/>
      <c r="Z1060" s="38"/>
      <c r="AA1060" s="38"/>
      <c r="AB1060" s="38"/>
      <c r="AC1060" s="38"/>
      <c r="AD1060" s="38"/>
      <c r="AE1060" s="38"/>
      <c r="AF1060" s="38"/>
      <c r="AG1060" s="38"/>
      <c r="AH1060" s="38"/>
    </row>
    <row r="1061" spans="3:34" ht="20.100000000000001" customHeight="1">
      <c r="C1061" s="113"/>
      <c r="D1061" s="114"/>
      <c r="P1061" s="82"/>
      <c r="Q1061" s="82"/>
      <c r="R1061" s="38"/>
      <c r="S1061" s="38"/>
      <c r="T1061" s="38"/>
      <c r="U1061" s="38"/>
      <c r="V1061" s="38"/>
      <c r="W1061" s="38"/>
      <c r="X1061" s="38"/>
      <c r="Y1061" s="38"/>
      <c r="Z1061" s="38"/>
      <c r="AA1061" s="38"/>
      <c r="AB1061" s="38"/>
      <c r="AC1061" s="38"/>
      <c r="AD1061" s="38"/>
      <c r="AE1061" s="38"/>
      <c r="AF1061" s="38"/>
      <c r="AG1061" s="38"/>
      <c r="AH1061" s="38"/>
    </row>
    <row r="1062" spans="3:34" ht="20.100000000000001" customHeight="1">
      <c r="C1062" s="113"/>
      <c r="D1062" s="114"/>
      <c r="P1062" s="82"/>
      <c r="Q1062" s="82"/>
      <c r="R1062" s="38"/>
      <c r="S1062" s="38"/>
      <c r="T1062" s="38"/>
      <c r="U1062" s="38"/>
      <c r="V1062" s="38"/>
      <c r="W1062" s="38"/>
      <c r="X1062" s="38"/>
      <c r="Y1062" s="38"/>
      <c r="Z1062" s="38"/>
      <c r="AA1062" s="38"/>
      <c r="AB1062" s="38"/>
      <c r="AC1062" s="38"/>
      <c r="AD1062" s="38"/>
      <c r="AE1062" s="38"/>
      <c r="AF1062" s="38"/>
      <c r="AG1062" s="38"/>
      <c r="AH1062" s="38"/>
    </row>
    <row r="1063" spans="3:34" ht="20.100000000000001" customHeight="1">
      <c r="C1063" s="113"/>
      <c r="D1063" s="114"/>
      <c r="P1063" s="82"/>
      <c r="Q1063" s="82"/>
      <c r="R1063" s="38"/>
      <c r="S1063" s="38"/>
      <c r="T1063" s="38"/>
      <c r="U1063" s="38"/>
      <c r="V1063" s="38"/>
      <c r="W1063" s="38"/>
      <c r="X1063" s="38"/>
      <c r="Y1063" s="38"/>
      <c r="Z1063" s="38"/>
      <c r="AA1063" s="38"/>
      <c r="AB1063" s="38"/>
      <c r="AC1063" s="38"/>
      <c r="AD1063" s="38"/>
      <c r="AE1063" s="38"/>
      <c r="AF1063" s="38"/>
      <c r="AG1063" s="38"/>
      <c r="AH1063" s="38"/>
    </row>
    <row r="1064" spans="3:34" ht="20.100000000000001" customHeight="1">
      <c r="C1064" s="113"/>
      <c r="D1064" s="114"/>
      <c r="P1064" s="82"/>
      <c r="Q1064" s="82"/>
      <c r="R1064" s="38"/>
      <c r="S1064" s="38"/>
      <c r="T1064" s="38"/>
      <c r="U1064" s="38"/>
      <c r="V1064" s="38"/>
      <c r="W1064" s="38"/>
      <c r="X1064" s="38"/>
      <c r="Y1064" s="38"/>
      <c r="Z1064" s="38"/>
      <c r="AA1064" s="38"/>
      <c r="AB1064" s="38"/>
      <c r="AC1064" s="38"/>
      <c r="AD1064" s="38"/>
      <c r="AE1064" s="38"/>
      <c r="AF1064" s="38"/>
      <c r="AG1064" s="38"/>
      <c r="AH1064" s="38"/>
    </row>
    <row r="1065" spans="3:34" ht="20.100000000000001" customHeight="1">
      <c r="C1065" s="113"/>
      <c r="D1065" s="114"/>
      <c r="P1065" s="82"/>
      <c r="Q1065" s="82"/>
      <c r="R1065" s="38"/>
      <c r="S1065" s="38"/>
      <c r="T1065" s="38"/>
      <c r="U1065" s="38"/>
      <c r="V1065" s="38"/>
      <c r="W1065" s="38"/>
      <c r="X1065" s="38"/>
      <c r="Y1065" s="38"/>
      <c r="Z1065" s="38"/>
      <c r="AA1065" s="38"/>
      <c r="AB1065" s="38"/>
      <c r="AC1065" s="38"/>
      <c r="AD1065" s="38"/>
      <c r="AE1065" s="38"/>
      <c r="AF1065" s="38"/>
      <c r="AG1065" s="38"/>
      <c r="AH1065" s="38"/>
    </row>
    <row r="1066" spans="3:34" ht="20.100000000000001" customHeight="1">
      <c r="C1066" s="113"/>
      <c r="D1066" s="114"/>
      <c r="P1066" s="82"/>
      <c r="Q1066" s="82"/>
      <c r="R1066" s="38"/>
      <c r="S1066" s="38"/>
      <c r="T1066" s="38"/>
      <c r="U1066" s="38"/>
      <c r="V1066" s="38"/>
      <c r="W1066" s="38"/>
      <c r="X1066" s="38"/>
      <c r="Y1066" s="38"/>
      <c r="Z1066" s="38"/>
      <c r="AA1066" s="38"/>
      <c r="AB1066" s="38"/>
      <c r="AC1066" s="38"/>
      <c r="AD1066" s="38"/>
      <c r="AE1066" s="38"/>
      <c r="AF1066" s="38"/>
      <c r="AG1066" s="38"/>
      <c r="AH1066" s="38"/>
    </row>
    <row r="1067" spans="3:34" ht="20.100000000000001" customHeight="1">
      <c r="C1067" s="113"/>
      <c r="D1067" s="114"/>
      <c r="P1067" s="82"/>
      <c r="Q1067" s="82"/>
      <c r="R1067" s="38"/>
      <c r="S1067" s="38"/>
      <c r="T1067" s="38"/>
      <c r="U1067" s="38"/>
      <c r="V1067" s="38"/>
      <c r="W1067" s="38"/>
      <c r="X1067" s="38"/>
      <c r="Y1067" s="38"/>
      <c r="Z1067" s="38"/>
      <c r="AA1067" s="38"/>
      <c r="AB1067" s="38"/>
      <c r="AC1067" s="38"/>
      <c r="AD1067" s="38"/>
      <c r="AE1067" s="38"/>
      <c r="AF1067" s="38"/>
      <c r="AG1067" s="38"/>
      <c r="AH1067" s="38"/>
    </row>
    <row r="1068" spans="3:34" ht="20.100000000000001" customHeight="1">
      <c r="C1068" s="113"/>
      <c r="D1068" s="114"/>
      <c r="P1068" s="82"/>
      <c r="Q1068" s="82"/>
      <c r="R1068" s="38"/>
      <c r="S1068" s="38"/>
      <c r="T1068" s="38"/>
      <c r="U1068" s="38"/>
      <c r="V1068" s="38"/>
      <c r="W1068" s="38"/>
      <c r="X1068" s="38"/>
      <c r="Y1068" s="38"/>
      <c r="Z1068" s="38"/>
      <c r="AA1068" s="38"/>
      <c r="AB1068" s="38"/>
      <c r="AC1068" s="38"/>
      <c r="AD1068" s="38"/>
      <c r="AE1068" s="38"/>
      <c r="AF1068" s="38"/>
      <c r="AG1068" s="38"/>
      <c r="AH1068" s="38"/>
    </row>
    <row r="1069" spans="3:34" ht="20.100000000000001" customHeight="1">
      <c r="C1069" s="113"/>
      <c r="D1069" s="114"/>
      <c r="P1069" s="82"/>
      <c r="Q1069" s="82"/>
      <c r="R1069" s="38"/>
      <c r="S1069" s="38"/>
      <c r="T1069" s="38"/>
      <c r="U1069" s="38"/>
      <c r="V1069" s="38"/>
      <c r="W1069" s="38"/>
      <c r="X1069" s="38"/>
      <c r="Y1069" s="38"/>
      <c r="Z1069" s="38"/>
      <c r="AA1069" s="38"/>
      <c r="AB1069" s="38"/>
      <c r="AC1069" s="38"/>
      <c r="AD1069" s="38"/>
      <c r="AE1069" s="38"/>
      <c r="AF1069" s="38"/>
      <c r="AG1069" s="38"/>
      <c r="AH1069" s="38"/>
    </row>
    <row r="1070" spans="3:34" ht="20.100000000000001" customHeight="1">
      <c r="C1070" s="113"/>
      <c r="D1070" s="114"/>
      <c r="P1070" s="82"/>
      <c r="Q1070" s="82"/>
      <c r="R1070" s="38"/>
      <c r="S1070" s="38"/>
      <c r="T1070" s="38"/>
      <c r="U1070" s="38"/>
      <c r="V1070" s="38"/>
      <c r="W1070" s="38"/>
      <c r="X1070" s="38"/>
      <c r="Y1070" s="38"/>
      <c r="Z1070" s="38"/>
      <c r="AA1070" s="38"/>
      <c r="AB1070" s="38"/>
      <c r="AC1070" s="38"/>
      <c r="AD1070" s="38"/>
      <c r="AE1070" s="38"/>
      <c r="AF1070" s="38"/>
      <c r="AG1070" s="38"/>
      <c r="AH1070" s="38"/>
    </row>
    <row r="1071" spans="3:34" ht="20.100000000000001" customHeight="1">
      <c r="C1071" s="113"/>
      <c r="D1071" s="114"/>
      <c r="P1071" s="82"/>
      <c r="Q1071" s="82"/>
      <c r="R1071" s="38"/>
      <c r="S1071" s="38"/>
      <c r="T1071" s="38"/>
      <c r="U1071" s="38"/>
      <c r="V1071" s="38"/>
      <c r="W1071" s="38"/>
      <c r="X1071" s="38"/>
      <c r="Y1071" s="38"/>
      <c r="Z1071" s="38"/>
      <c r="AA1071" s="38"/>
      <c r="AB1071" s="38"/>
      <c r="AC1071" s="38"/>
      <c r="AD1071" s="38"/>
      <c r="AE1071" s="38"/>
      <c r="AF1071" s="38"/>
      <c r="AG1071" s="38"/>
      <c r="AH1071" s="38"/>
    </row>
    <row r="1072" spans="3:34" ht="20.100000000000001" customHeight="1">
      <c r="C1072" s="113"/>
      <c r="D1072" s="114"/>
      <c r="P1072" s="82"/>
      <c r="Q1072" s="82"/>
      <c r="R1072" s="38"/>
      <c r="S1072" s="38"/>
      <c r="T1072" s="38"/>
      <c r="U1072" s="38"/>
      <c r="V1072" s="38"/>
      <c r="W1072" s="38"/>
      <c r="X1072" s="38"/>
      <c r="Y1072" s="38"/>
      <c r="Z1072" s="38"/>
      <c r="AA1072" s="38"/>
      <c r="AB1072" s="38"/>
      <c r="AC1072" s="38"/>
      <c r="AD1072" s="38"/>
      <c r="AE1072" s="38"/>
      <c r="AF1072" s="38"/>
      <c r="AG1072" s="38"/>
      <c r="AH1072" s="38"/>
    </row>
    <row r="1073" spans="3:34" ht="20.100000000000001" customHeight="1">
      <c r="C1073" s="113"/>
      <c r="D1073" s="114"/>
      <c r="P1073" s="82"/>
      <c r="Q1073" s="82"/>
      <c r="R1073" s="38"/>
      <c r="S1073" s="38"/>
      <c r="T1073" s="38"/>
      <c r="U1073" s="38"/>
      <c r="V1073" s="38"/>
      <c r="W1073" s="38"/>
      <c r="X1073" s="38"/>
      <c r="Y1073" s="38"/>
      <c r="Z1073" s="38"/>
      <c r="AA1073" s="38"/>
      <c r="AB1073" s="38"/>
      <c r="AC1073" s="38"/>
      <c r="AD1073" s="38"/>
      <c r="AE1073" s="38"/>
      <c r="AF1073" s="38"/>
      <c r="AG1073" s="38"/>
      <c r="AH1073" s="38"/>
    </row>
    <row r="1074" spans="3:34" ht="20.100000000000001" customHeight="1">
      <c r="C1074" s="113"/>
      <c r="D1074" s="114"/>
      <c r="P1074" s="82"/>
      <c r="Q1074" s="82"/>
      <c r="R1074" s="38"/>
      <c r="S1074" s="38"/>
      <c r="T1074" s="38"/>
      <c r="U1074" s="38"/>
      <c r="V1074" s="38"/>
      <c r="W1074" s="38"/>
      <c r="X1074" s="38"/>
      <c r="Y1074" s="38"/>
      <c r="Z1074" s="38"/>
      <c r="AA1074" s="38"/>
      <c r="AB1074" s="38"/>
      <c r="AC1074" s="38"/>
      <c r="AD1074" s="38"/>
      <c r="AE1074" s="38"/>
      <c r="AF1074" s="38"/>
      <c r="AG1074" s="38"/>
      <c r="AH1074" s="38"/>
    </row>
    <row r="1075" spans="3:34" ht="20.100000000000001" customHeight="1">
      <c r="C1075" s="113"/>
      <c r="D1075" s="114"/>
      <c r="P1075" s="82"/>
      <c r="Q1075" s="82"/>
      <c r="R1075" s="38"/>
      <c r="S1075" s="38"/>
      <c r="T1075" s="38"/>
      <c r="U1075" s="38"/>
      <c r="V1075" s="38"/>
      <c r="W1075" s="38"/>
      <c r="X1075" s="38"/>
      <c r="Y1075" s="38"/>
      <c r="Z1075" s="38"/>
      <c r="AA1075" s="38"/>
      <c r="AB1075" s="38"/>
      <c r="AC1075" s="38"/>
      <c r="AD1075" s="38"/>
      <c r="AE1075" s="38"/>
      <c r="AF1075" s="38"/>
      <c r="AG1075" s="38"/>
      <c r="AH1075" s="38"/>
    </row>
    <row r="1076" spans="3:34" ht="20.100000000000001" customHeight="1">
      <c r="C1076" s="113"/>
      <c r="D1076" s="114"/>
      <c r="P1076" s="82"/>
      <c r="Q1076" s="82"/>
      <c r="R1076" s="38"/>
      <c r="S1076" s="38"/>
      <c r="T1076" s="38"/>
      <c r="U1076" s="38"/>
      <c r="V1076" s="38"/>
      <c r="W1076" s="38"/>
      <c r="X1076" s="38"/>
      <c r="Y1076" s="38"/>
      <c r="Z1076" s="38"/>
      <c r="AA1076" s="38"/>
      <c r="AB1076" s="38"/>
      <c r="AC1076" s="38"/>
      <c r="AD1076" s="38"/>
      <c r="AE1076" s="38"/>
      <c r="AF1076" s="38"/>
      <c r="AG1076" s="38"/>
      <c r="AH1076" s="38"/>
    </row>
    <row r="1077" spans="3:34" ht="20.100000000000001" customHeight="1">
      <c r="C1077" s="113"/>
      <c r="D1077" s="114"/>
      <c r="P1077" s="82"/>
      <c r="Q1077" s="82"/>
      <c r="R1077" s="38"/>
      <c r="S1077" s="38"/>
      <c r="T1077" s="38"/>
      <c r="U1077" s="38"/>
      <c r="V1077" s="38"/>
      <c r="W1077" s="38"/>
      <c r="X1077" s="38"/>
      <c r="Y1077" s="38"/>
      <c r="Z1077" s="38"/>
      <c r="AA1077" s="38"/>
      <c r="AB1077" s="38"/>
      <c r="AC1077" s="38"/>
      <c r="AD1077" s="38"/>
      <c r="AE1077" s="38"/>
      <c r="AF1077" s="38"/>
      <c r="AG1077" s="38"/>
      <c r="AH1077" s="38"/>
    </row>
    <row r="1078" spans="3:34" ht="20.100000000000001" customHeight="1">
      <c r="C1078" s="113"/>
      <c r="D1078" s="114"/>
      <c r="P1078" s="82"/>
      <c r="Q1078" s="82"/>
      <c r="R1078" s="38"/>
      <c r="S1078" s="38"/>
      <c r="T1078" s="38"/>
      <c r="U1078" s="38"/>
      <c r="V1078" s="38"/>
      <c r="W1078" s="38"/>
      <c r="X1078" s="38"/>
      <c r="Y1078" s="38"/>
      <c r="Z1078" s="38"/>
      <c r="AA1078" s="38"/>
      <c r="AB1078" s="38"/>
      <c r="AC1078" s="38"/>
      <c r="AD1078" s="38"/>
      <c r="AE1078" s="38"/>
      <c r="AF1078" s="38"/>
      <c r="AG1078" s="38"/>
      <c r="AH1078" s="38"/>
    </row>
    <row r="1079" spans="3:34" ht="20.100000000000001" customHeight="1">
      <c r="C1079" s="113"/>
      <c r="D1079" s="114"/>
      <c r="P1079" s="82"/>
      <c r="Q1079" s="82"/>
      <c r="R1079" s="38"/>
      <c r="S1079" s="38"/>
      <c r="T1079" s="38"/>
      <c r="U1079" s="38"/>
      <c r="V1079" s="38"/>
      <c r="W1079" s="38"/>
      <c r="X1079" s="38"/>
      <c r="Y1079" s="38"/>
      <c r="Z1079" s="38"/>
      <c r="AA1079" s="38"/>
      <c r="AB1079" s="38"/>
      <c r="AC1079" s="38"/>
      <c r="AD1079" s="38"/>
      <c r="AE1079" s="38"/>
      <c r="AF1079" s="38"/>
      <c r="AG1079" s="38"/>
      <c r="AH1079" s="38"/>
    </row>
    <row r="1080" spans="3:34" ht="20.100000000000001" customHeight="1">
      <c r="C1080" s="113"/>
      <c r="D1080" s="114"/>
      <c r="P1080" s="82"/>
      <c r="Q1080" s="82"/>
      <c r="R1080" s="38"/>
      <c r="S1080" s="38"/>
      <c r="T1080" s="38"/>
      <c r="U1080" s="38"/>
      <c r="V1080" s="38"/>
      <c r="W1080" s="38"/>
      <c r="X1080" s="38"/>
      <c r="Y1080" s="38"/>
      <c r="Z1080" s="38"/>
      <c r="AA1080" s="38"/>
      <c r="AB1080" s="38"/>
      <c r="AC1080" s="38"/>
      <c r="AD1080" s="38"/>
      <c r="AE1080" s="38"/>
      <c r="AF1080" s="38"/>
      <c r="AG1080" s="38"/>
      <c r="AH1080" s="38"/>
    </row>
    <row r="1081" spans="3:34" ht="20.100000000000001" customHeight="1">
      <c r="C1081" s="113"/>
      <c r="D1081" s="114"/>
      <c r="P1081" s="82"/>
      <c r="Q1081" s="82"/>
      <c r="R1081" s="38"/>
      <c r="S1081" s="38"/>
      <c r="T1081" s="38"/>
      <c r="U1081" s="38"/>
      <c r="V1081" s="38"/>
      <c r="W1081" s="38"/>
      <c r="X1081" s="38"/>
      <c r="Y1081" s="38"/>
      <c r="Z1081" s="38"/>
      <c r="AA1081" s="38"/>
      <c r="AB1081" s="38"/>
      <c r="AC1081" s="38"/>
      <c r="AD1081" s="38"/>
      <c r="AE1081" s="38"/>
      <c r="AF1081" s="38"/>
      <c r="AG1081" s="38"/>
      <c r="AH1081" s="38"/>
    </row>
    <row r="1082" spans="3:34" ht="20.100000000000001" customHeight="1">
      <c r="C1082" s="113"/>
      <c r="D1082" s="114"/>
      <c r="P1082" s="82"/>
      <c r="Q1082" s="82"/>
      <c r="R1082" s="38"/>
      <c r="S1082" s="38"/>
      <c r="T1082" s="38"/>
      <c r="U1082" s="38"/>
      <c r="V1082" s="38"/>
      <c r="W1082" s="38"/>
      <c r="X1082" s="38"/>
      <c r="Y1082" s="38"/>
      <c r="Z1082" s="38"/>
      <c r="AA1082" s="38"/>
      <c r="AB1082" s="38"/>
      <c r="AC1082" s="38"/>
      <c r="AD1082" s="38"/>
      <c r="AE1082" s="38"/>
      <c r="AF1082" s="38"/>
      <c r="AG1082" s="38"/>
      <c r="AH1082" s="38"/>
    </row>
    <row r="1083" spans="3:34" ht="20.100000000000001" customHeight="1">
      <c r="C1083" s="113"/>
      <c r="D1083" s="114"/>
      <c r="P1083" s="82"/>
      <c r="Q1083" s="82"/>
      <c r="R1083" s="38"/>
      <c r="S1083" s="38"/>
      <c r="T1083" s="38"/>
      <c r="U1083" s="38"/>
      <c r="V1083" s="38"/>
      <c r="W1083" s="38"/>
      <c r="X1083" s="38"/>
      <c r="Y1083" s="38"/>
      <c r="Z1083" s="38"/>
      <c r="AA1083" s="38"/>
      <c r="AB1083" s="38"/>
      <c r="AC1083" s="38"/>
      <c r="AD1083" s="38"/>
      <c r="AE1083" s="38"/>
      <c r="AF1083" s="38"/>
      <c r="AG1083" s="38"/>
      <c r="AH1083" s="38"/>
    </row>
    <row r="1084" spans="3:34" ht="20.100000000000001" customHeight="1">
      <c r="C1084" s="113"/>
      <c r="D1084" s="114"/>
      <c r="P1084" s="82"/>
      <c r="Q1084" s="82"/>
      <c r="R1084" s="38"/>
      <c r="S1084" s="38"/>
      <c r="T1084" s="38"/>
      <c r="U1084" s="38"/>
      <c r="V1084" s="38"/>
      <c r="W1084" s="38"/>
      <c r="X1084" s="38"/>
      <c r="Y1084" s="38"/>
      <c r="Z1084" s="38"/>
      <c r="AA1084" s="38"/>
      <c r="AB1084" s="38"/>
      <c r="AC1084" s="38"/>
      <c r="AD1084" s="38"/>
      <c r="AE1084" s="38"/>
      <c r="AF1084" s="38"/>
      <c r="AG1084" s="38"/>
      <c r="AH1084" s="38"/>
    </row>
    <row r="1085" spans="3:34" ht="20.100000000000001" customHeight="1">
      <c r="C1085" s="113"/>
      <c r="D1085" s="114"/>
      <c r="P1085" s="82"/>
      <c r="Q1085" s="82"/>
      <c r="R1085" s="38"/>
      <c r="S1085" s="38"/>
      <c r="T1085" s="38"/>
      <c r="U1085" s="38"/>
      <c r="V1085" s="38"/>
      <c r="W1085" s="38"/>
      <c r="X1085" s="38"/>
      <c r="Y1085" s="38"/>
      <c r="Z1085" s="38"/>
      <c r="AA1085" s="38"/>
      <c r="AB1085" s="38"/>
      <c r="AC1085" s="38"/>
      <c r="AD1085" s="38"/>
      <c r="AE1085" s="38"/>
      <c r="AF1085" s="38"/>
      <c r="AG1085" s="38"/>
      <c r="AH1085" s="38"/>
    </row>
    <row r="1086" spans="3:34" ht="20.100000000000001" customHeight="1">
      <c r="C1086" s="113"/>
      <c r="D1086" s="114"/>
      <c r="P1086" s="82"/>
      <c r="Q1086" s="82"/>
      <c r="R1086" s="38"/>
      <c r="S1086" s="38"/>
      <c r="T1086" s="38"/>
      <c r="U1086" s="38"/>
      <c r="V1086" s="38"/>
      <c r="W1086" s="38"/>
      <c r="X1086" s="38"/>
      <c r="Y1086" s="38"/>
      <c r="Z1086" s="38"/>
      <c r="AA1086" s="38"/>
      <c r="AB1086" s="38"/>
      <c r="AC1086" s="38"/>
      <c r="AD1086" s="38"/>
      <c r="AE1086" s="38"/>
      <c r="AF1086" s="38"/>
      <c r="AG1086" s="38"/>
      <c r="AH1086" s="38"/>
    </row>
    <row r="1087" spans="3:34" ht="20.100000000000001" customHeight="1">
      <c r="C1087" s="113"/>
      <c r="D1087" s="114"/>
      <c r="P1087" s="82"/>
      <c r="Q1087" s="82"/>
      <c r="R1087" s="38"/>
      <c r="S1087" s="38"/>
      <c r="T1087" s="38"/>
      <c r="U1087" s="38"/>
      <c r="V1087" s="38"/>
      <c r="W1087" s="38"/>
      <c r="X1087" s="38"/>
      <c r="Y1087" s="38"/>
      <c r="Z1087" s="38"/>
      <c r="AA1087" s="38"/>
      <c r="AB1087" s="38"/>
      <c r="AC1087" s="38"/>
      <c r="AD1087" s="38"/>
      <c r="AE1087" s="38"/>
      <c r="AF1087" s="38"/>
      <c r="AG1087" s="38"/>
      <c r="AH1087" s="38"/>
    </row>
    <row r="1088" spans="3:34" ht="20.100000000000001" customHeight="1">
      <c r="C1088" s="113"/>
      <c r="D1088" s="114"/>
      <c r="P1088" s="82"/>
      <c r="Q1088" s="82"/>
      <c r="R1088" s="38"/>
      <c r="S1088" s="38"/>
      <c r="T1088" s="38"/>
      <c r="U1088" s="38"/>
      <c r="V1088" s="38"/>
      <c r="W1088" s="38"/>
      <c r="X1088" s="38"/>
      <c r="Y1088" s="38"/>
      <c r="Z1088" s="38"/>
      <c r="AA1088" s="38"/>
      <c r="AB1088" s="38"/>
      <c r="AC1088" s="38"/>
      <c r="AD1088" s="38"/>
      <c r="AE1088" s="38"/>
      <c r="AF1088" s="38"/>
      <c r="AG1088" s="38"/>
      <c r="AH1088" s="38"/>
    </row>
    <row r="1089" spans="3:34" ht="20.100000000000001" customHeight="1">
      <c r="C1089" s="113"/>
      <c r="D1089" s="114"/>
      <c r="P1089" s="82"/>
      <c r="Q1089" s="82"/>
      <c r="R1089" s="38"/>
      <c r="S1089" s="38"/>
      <c r="T1089" s="38"/>
      <c r="U1089" s="38"/>
      <c r="V1089" s="38"/>
      <c r="W1089" s="38"/>
      <c r="X1089" s="38"/>
      <c r="Y1089" s="38"/>
      <c r="Z1089" s="38"/>
      <c r="AA1089" s="38"/>
      <c r="AB1089" s="38"/>
      <c r="AC1089" s="38"/>
      <c r="AD1089" s="38"/>
      <c r="AE1089" s="38"/>
      <c r="AF1089" s="38"/>
      <c r="AG1089" s="38"/>
      <c r="AH1089" s="38"/>
    </row>
    <row r="1090" spans="3:34" ht="20.100000000000001" customHeight="1">
      <c r="C1090" s="113"/>
      <c r="D1090" s="114"/>
      <c r="P1090" s="82"/>
      <c r="Q1090" s="82"/>
      <c r="R1090" s="38"/>
      <c r="S1090" s="38"/>
      <c r="T1090" s="38"/>
      <c r="U1090" s="38"/>
      <c r="V1090" s="38"/>
      <c r="W1090" s="38"/>
      <c r="X1090" s="38"/>
      <c r="Y1090" s="38"/>
      <c r="Z1090" s="38"/>
      <c r="AA1090" s="38"/>
      <c r="AB1090" s="38"/>
      <c r="AC1090" s="38"/>
      <c r="AD1090" s="38"/>
      <c r="AE1090" s="38"/>
      <c r="AF1090" s="38"/>
      <c r="AG1090" s="38"/>
      <c r="AH1090" s="38"/>
    </row>
    <row r="1091" spans="3:34" ht="20.100000000000001" customHeight="1">
      <c r="C1091" s="113"/>
      <c r="D1091" s="114"/>
      <c r="P1091" s="82"/>
      <c r="Q1091" s="82"/>
      <c r="R1091" s="38"/>
      <c r="S1091" s="38"/>
      <c r="T1091" s="38"/>
      <c r="U1091" s="38"/>
      <c r="V1091" s="38"/>
      <c r="W1091" s="38"/>
      <c r="X1091" s="38"/>
      <c r="Y1091" s="38"/>
      <c r="Z1091" s="38"/>
      <c r="AA1091" s="38"/>
      <c r="AB1091" s="38"/>
      <c r="AC1091" s="38"/>
      <c r="AD1091" s="38"/>
      <c r="AE1091" s="38"/>
      <c r="AF1091" s="38"/>
      <c r="AG1091" s="38"/>
      <c r="AH1091" s="38"/>
    </row>
    <row r="1092" spans="3:34" ht="20.100000000000001" customHeight="1">
      <c r="C1092" s="113"/>
      <c r="D1092" s="114"/>
      <c r="P1092" s="82"/>
      <c r="Q1092" s="82"/>
      <c r="R1092" s="38"/>
      <c r="S1092" s="38"/>
      <c r="T1092" s="38"/>
      <c r="U1092" s="38"/>
      <c r="V1092" s="38"/>
      <c r="W1092" s="38"/>
      <c r="X1092" s="38"/>
      <c r="Y1092" s="38"/>
      <c r="Z1092" s="38"/>
      <c r="AA1092" s="38"/>
      <c r="AB1092" s="38"/>
      <c r="AC1092" s="38"/>
      <c r="AD1092" s="38"/>
      <c r="AE1092" s="38"/>
      <c r="AF1092" s="38"/>
      <c r="AG1092" s="38"/>
      <c r="AH1092" s="38"/>
    </row>
    <row r="1093" spans="3:34" ht="20.100000000000001" customHeight="1">
      <c r="C1093" s="113"/>
      <c r="D1093" s="114"/>
      <c r="P1093" s="82"/>
      <c r="Q1093" s="82"/>
      <c r="R1093" s="38"/>
      <c r="S1093" s="38"/>
      <c r="T1093" s="38"/>
      <c r="U1093" s="38"/>
      <c r="V1093" s="38"/>
      <c r="W1093" s="38"/>
      <c r="X1093" s="38"/>
      <c r="Y1093" s="38"/>
      <c r="Z1093" s="38"/>
      <c r="AA1093" s="38"/>
      <c r="AB1093" s="38"/>
      <c r="AC1093" s="38"/>
      <c r="AD1093" s="38"/>
      <c r="AE1093" s="38"/>
      <c r="AF1093" s="38"/>
      <c r="AG1093" s="38"/>
      <c r="AH1093" s="38"/>
    </row>
    <row r="1094" spans="3:34" ht="20.100000000000001" customHeight="1">
      <c r="C1094" s="113"/>
      <c r="D1094" s="114"/>
      <c r="P1094" s="82"/>
      <c r="Q1094" s="82"/>
      <c r="R1094" s="38"/>
      <c r="S1094" s="38"/>
      <c r="T1094" s="38"/>
      <c r="U1094" s="38"/>
      <c r="V1094" s="38"/>
      <c r="W1094" s="38"/>
      <c r="X1094" s="38"/>
      <c r="Y1094" s="38"/>
      <c r="Z1094" s="38"/>
      <c r="AA1094" s="38"/>
      <c r="AB1094" s="38"/>
      <c r="AC1094" s="38"/>
      <c r="AD1094" s="38"/>
      <c r="AE1094" s="38"/>
      <c r="AF1094" s="38"/>
      <c r="AG1094" s="38"/>
      <c r="AH1094" s="38"/>
    </row>
    <row r="1095" spans="3:34" ht="20.100000000000001" customHeight="1">
      <c r="C1095" s="113"/>
      <c r="D1095" s="114"/>
      <c r="P1095" s="82"/>
      <c r="Q1095" s="82"/>
      <c r="R1095" s="38"/>
      <c r="S1095" s="38"/>
      <c r="T1095" s="38"/>
      <c r="U1095" s="38"/>
      <c r="V1095" s="38"/>
      <c r="W1095" s="38"/>
      <c r="X1095" s="38"/>
      <c r="Y1095" s="38"/>
      <c r="Z1095" s="38"/>
      <c r="AA1095" s="38"/>
      <c r="AB1095" s="38"/>
      <c r="AC1095" s="38"/>
      <c r="AD1095" s="38"/>
      <c r="AE1095" s="38"/>
      <c r="AF1095" s="38"/>
      <c r="AG1095" s="38"/>
      <c r="AH1095" s="38"/>
    </row>
    <row r="1096" spans="3:34" ht="20.100000000000001" customHeight="1">
      <c r="C1096" s="113"/>
      <c r="D1096" s="114"/>
      <c r="P1096" s="82"/>
      <c r="Q1096" s="82"/>
      <c r="R1096" s="38"/>
      <c r="S1096" s="38"/>
      <c r="T1096" s="38"/>
      <c r="U1096" s="38"/>
      <c r="V1096" s="38"/>
      <c r="W1096" s="38"/>
      <c r="X1096" s="38"/>
      <c r="Y1096" s="38"/>
      <c r="Z1096" s="38"/>
      <c r="AA1096" s="38"/>
      <c r="AB1096" s="38"/>
      <c r="AC1096" s="38"/>
      <c r="AD1096" s="38"/>
      <c r="AE1096" s="38"/>
      <c r="AF1096" s="38"/>
      <c r="AG1096" s="38"/>
      <c r="AH1096" s="38"/>
    </row>
    <row r="1097" spans="3:34" ht="20.100000000000001" customHeight="1">
      <c r="C1097" s="113"/>
      <c r="D1097" s="114"/>
      <c r="P1097" s="82"/>
      <c r="Q1097" s="82"/>
      <c r="R1097" s="38"/>
      <c r="S1097" s="38"/>
      <c r="T1097" s="38"/>
      <c r="U1097" s="38"/>
      <c r="V1097" s="38"/>
      <c r="W1097" s="38"/>
      <c r="X1097" s="38"/>
      <c r="Y1097" s="38"/>
      <c r="Z1097" s="38"/>
      <c r="AA1097" s="38"/>
      <c r="AB1097" s="38"/>
      <c r="AC1097" s="38"/>
      <c r="AD1097" s="38"/>
      <c r="AE1097" s="38"/>
      <c r="AF1097" s="38"/>
      <c r="AG1097" s="38"/>
      <c r="AH1097" s="38"/>
    </row>
    <row r="1098" spans="3:34" ht="20.100000000000001" customHeight="1">
      <c r="C1098" s="113"/>
      <c r="D1098" s="114"/>
      <c r="P1098" s="82"/>
      <c r="Q1098" s="82"/>
      <c r="R1098" s="38"/>
      <c r="S1098" s="38"/>
      <c r="T1098" s="38"/>
      <c r="U1098" s="38"/>
      <c r="V1098" s="38"/>
      <c r="W1098" s="38"/>
      <c r="X1098" s="38"/>
      <c r="Y1098" s="38"/>
      <c r="Z1098" s="38"/>
      <c r="AA1098" s="38"/>
      <c r="AB1098" s="38"/>
      <c r="AC1098" s="38"/>
      <c r="AD1098" s="38"/>
      <c r="AE1098" s="38"/>
      <c r="AF1098" s="38"/>
      <c r="AG1098" s="38"/>
      <c r="AH1098" s="38"/>
    </row>
    <row r="1099" spans="3:34" ht="20.100000000000001" customHeight="1">
      <c r="C1099" s="113"/>
      <c r="D1099" s="114"/>
      <c r="P1099" s="82"/>
      <c r="Q1099" s="82"/>
      <c r="R1099" s="38"/>
      <c r="S1099" s="38"/>
      <c r="T1099" s="38"/>
      <c r="U1099" s="38"/>
      <c r="V1099" s="38"/>
      <c r="W1099" s="38"/>
      <c r="X1099" s="38"/>
      <c r="Y1099" s="38"/>
      <c r="Z1099" s="38"/>
      <c r="AA1099" s="38"/>
      <c r="AB1099" s="38"/>
      <c r="AC1099" s="38"/>
      <c r="AD1099" s="38"/>
      <c r="AE1099" s="38"/>
      <c r="AF1099" s="38"/>
      <c r="AG1099" s="38"/>
      <c r="AH1099" s="38"/>
    </row>
    <row r="1100" spans="3:34" ht="20.100000000000001" customHeight="1">
      <c r="C1100" s="113"/>
      <c r="D1100" s="114"/>
      <c r="P1100" s="82"/>
      <c r="Q1100" s="82"/>
      <c r="R1100" s="38"/>
      <c r="S1100" s="38"/>
      <c r="T1100" s="38"/>
      <c r="U1100" s="38"/>
      <c r="V1100" s="38"/>
      <c r="W1100" s="38"/>
      <c r="X1100" s="38"/>
      <c r="Y1100" s="38"/>
      <c r="Z1100" s="38"/>
      <c r="AA1100" s="38"/>
      <c r="AB1100" s="38"/>
      <c r="AC1100" s="38"/>
      <c r="AD1100" s="38"/>
      <c r="AE1100" s="38"/>
      <c r="AF1100" s="38"/>
      <c r="AG1100" s="38"/>
      <c r="AH1100" s="38"/>
    </row>
    <row r="1101" spans="3:34" ht="20.100000000000001" customHeight="1">
      <c r="C1101" s="113"/>
      <c r="D1101" s="114"/>
      <c r="P1101" s="82"/>
      <c r="Q1101" s="82"/>
      <c r="R1101" s="38"/>
      <c r="S1101" s="38"/>
      <c r="T1101" s="38"/>
      <c r="U1101" s="38"/>
      <c r="V1101" s="38"/>
      <c r="W1101" s="38"/>
      <c r="X1101" s="38"/>
      <c r="Y1101" s="38"/>
      <c r="Z1101" s="38"/>
      <c r="AA1101" s="38"/>
      <c r="AB1101" s="38"/>
      <c r="AC1101" s="38"/>
      <c r="AD1101" s="38"/>
      <c r="AE1101" s="38"/>
      <c r="AF1101" s="38"/>
      <c r="AG1101" s="38"/>
      <c r="AH1101" s="38"/>
    </row>
    <row r="1102" spans="3:34" ht="20.100000000000001" customHeight="1">
      <c r="C1102" s="113"/>
      <c r="D1102" s="114"/>
      <c r="P1102" s="82"/>
      <c r="Q1102" s="82"/>
      <c r="R1102" s="38"/>
      <c r="S1102" s="38"/>
      <c r="T1102" s="38"/>
      <c r="U1102" s="38"/>
      <c r="V1102" s="38"/>
      <c r="W1102" s="38"/>
      <c r="X1102" s="38"/>
      <c r="Y1102" s="38"/>
      <c r="Z1102" s="38"/>
      <c r="AA1102" s="38"/>
      <c r="AB1102" s="38"/>
      <c r="AC1102" s="38"/>
      <c r="AD1102" s="38"/>
      <c r="AE1102" s="38"/>
      <c r="AF1102" s="38"/>
      <c r="AG1102" s="38"/>
      <c r="AH1102" s="38"/>
    </row>
    <row r="1103" spans="3:34" ht="20.100000000000001" customHeight="1">
      <c r="C1103" s="113"/>
      <c r="D1103" s="114"/>
      <c r="P1103" s="82"/>
      <c r="Q1103" s="82"/>
      <c r="R1103" s="38"/>
      <c r="S1103" s="38"/>
      <c r="T1103" s="38"/>
      <c r="U1103" s="38"/>
      <c r="V1103" s="38"/>
      <c r="W1103" s="38"/>
      <c r="X1103" s="38"/>
      <c r="Y1103" s="38"/>
      <c r="Z1103" s="38"/>
      <c r="AA1103" s="38"/>
      <c r="AB1103" s="38"/>
      <c r="AC1103" s="38"/>
      <c r="AD1103" s="38"/>
      <c r="AE1103" s="38"/>
      <c r="AF1103" s="38"/>
      <c r="AG1103" s="38"/>
      <c r="AH1103" s="38"/>
    </row>
    <row r="1104" spans="3:34" ht="20.100000000000001" customHeight="1">
      <c r="C1104" s="113"/>
      <c r="D1104" s="114"/>
      <c r="P1104" s="82"/>
      <c r="Q1104" s="82"/>
      <c r="R1104" s="38"/>
      <c r="S1104" s="38"/>
      <c r="T1104" s="38"/>
      <c r="U1104" s="38"/>
      <c r="V1104" s="38"/>
      <c r="W1104" s="38"/>
      <c r="X1104" s="38"/>
      <c r="Y1104" s="38"/>
      <c r="Z1104" s="38"/>
      <c r="AA1104" s="38"/>
      <c r="AB1104" s="38"/>
      <c r="AC1104" s="38"/>
      <c r="AD1104" s="38"/>
      <c r="AE1104" s="38"/>
      <c r="AF1104" s="38"/>
      <c r="AG1104" s="38"/>
      <c r="AH1104" s="38"/>
    </row>
    <row r="1105" spans="3:34" ht="20.100000000000001" customHeight="1">
      <c r="C1105" s="113"/>
      <c r="D1105" s="114"/>
      <c r="P1105" s="82"/>
      <c r="Q1105" s="82"/>
      <c r="R1105" s="38"/>
      <c r="S1105" s="38"/>
      <c r="T1105" s="38"/>
      <c r="U1105" s="38"/>
      <c r="V1105" s="38"/>
      <c r="W1105" s="38"/>
      <c r="X1105" s="38"/>
      <c r="Y1105" s="38"/>
      <c r="Z1105" s="38"/>
      <c r="AA1105" s="38"/>
      <c r="AB1105" s="38"/>
      <c r="AC1105" s="38"/>
      <c r="AD1105" s="38"/>
      <c r="AE1105" s="38"/>
      <c r="AF1105" s="38"/>
      <c r="AG1105" s="38"/>
      <c r="AH1105" s="38"/>
    </row>
    <row r="1106" spans="3:34" ht="20.100000000000001" customHeight="1">
      <c r="C1106" s="113"/>
      <c r="D1106" s="114"/>
      <c r="P1106" s="82"/>
      <c r="Q1106" s="82"/>
      <c r="R1106" s="38"/>
      <c r="S1106" s="38"/>
      <c r="T1106" s="38"/>
      <c r="U1106" s="38"/>
      <c r="V1106" s="38"/>
      <c r="W1106" s="38"/>
      <c r="X1106" s="38"/>
      <c r="Y1106" s="38"/>
      <c r="Z1106" s="38"/>
      <c r="AA1106" s="38"/>
      <c r="AB1106" s="38"/>
      <c r="AC1106" s="38"/>
      <c r="AD1106" s="38"/>
      <c r="AE1106" s="38"/>
      <c r="AF1106" s="38"/>
      <c r="AG1106" s="38"/>
      <c r="AH1106" s="38"/>
    </row>
    <row r="1107" spans="3:34" ht="20.100000000000001" customHeight="1">
      <c r="C1107" s="113"/>
      <c r="D1107" s="114"/>
      <c r="P1107" s="82"/>
      <c r="Q1107" s="82"/>
      <c r="R1107" s="38"/>
      <c r="S1107" s="38"/>
      <c r="T1107" s="38"/>
      <c r="U1107" s="38"/>
      <c r="V1107" s="38"/>
      <c r="W1107" s="38"/>
      <c r="X1107" s="38"/>
      <c r="Y1107" s="38"/>
      <c r="Z1107" s="38"/>
      <c r="AA1107" s="38"/>
      <c r="AB1107" s="38"/>
      <c r="AC1107" s="38"/>
      <c r="AD1107" s="38"/>
      <c r="AE1107" s="38"/>
      <c r="AF1107" s="38"/>
      <c r="AG1107" s="38"/>
      <c r="AH1107" s="38"/>
    </row>
    <row r="1108" spans="3:34" ht="20.100000000000001" customHeight="1">
      <c r="C1108" s="113"/>
      <c r="D1108" s="114"/>
      <c r="P1108" s="82"/>
      <c r="Q1108" s="82"/>
      <c r="R1108" s="38"/>
      <c r="S1108" s="38"/>
      <c r="T1108" s="38"/>
      <c r="U1108" s="38"/>
      <c r="V1108" s="38"/>
      <c r="W1108" s="38"/>
      <c r="X1108" s="38"/>
      <c r="Y1108" s="38"/>
      <c r="Z1108" s="38"/>
      <c r="AA1108" s="38"/>
      <c r="AB1108" s="38"/>
      <c r="AC1108" s="38"/>
      <c r="AD1108" s="38"/>
      <c r="AE1108" s="38"/>
      <c r="AF1108" s="38"/>
      <c r="AG1108" s="38"/>
      <c r="AH1108" s="38"/>
    </row>
    <row r="1109" spans="3:34" ht="20.100000000000001" customHeight="1">
      <c r="C1109" s="113"/>
      <c r="D1109" s="114"/>
      <c r="P1109" s="82"/>
      <c r="Q1109" s="82"/>
      <c r="R1109" s="38"/>
      <c r="S1109" s="38"/>
      <c r="T1109" s="38"/>
      <c r="U1109" s="38"/>
      <c r="V1109" s="38"/>
      <c r="W1109" s="38"/>
      <c r="X1109" s="38"/>
      <c r="Y1109" s="38"/>
      <c r="Z1109" s="38"/>
      <c r="AA1109" s="38"/>
      <c r="AB1109" s="38"/>
      <c r="AC1109" s="38"/>
      <c r="AD1109" s="38"/>
      <c r="AE1109" s="38"/>
      <c r="AF1109" s="38"/>
      <c r="AG1109" s="38"/>
      <c r="AH1109" s="38"/>
    </row>
    <row r="1110" spans="3:34" ht="20.100000000000001" customHeight="1">
      <c r="C1110" s="113"/>
      <c r="D1110" s="114"/>
      <c r="P1110" s="82"/>
      <c r="Q1110" s="82"/>
      <c r="R1110" s="38"/>
      <c r="S1110" s="38"/>
      <c r="T1110" s="38"/>
      <c r="U1110" s="38"/>
      <c r="V1110" s="38"/>
      <c r="W1110" s="38"/>
      <c r="X1110" s="38"/>
      <c r="Y1110" s="38"/>
      <c r="Z1110" s="38"/>
      <c r="AA1110" s="38"/>
      <c r="AB1110" s="38"/>
      <c r="AC1110" s="38"/>
      <c r="AD1110" s="38"/>
      <c r="AE1110" s="38"/>
      <c r="AF1110" s="38"/>
      <c r="AG1110" s="38"/>
      <c r="AH1110" s="38"/>
    </row>
    <row r="1111" spans="3:34" ht="20.100000000000001" customHeight="1">
      <c r="C1111" s="113"/>
      <c r="D1111" s="114"/>
      <c r="P1111" s="82"/>
      <c r="Q1111" s="82"/>
      <c r="R1111" s="38"/>
      <c r="S1111" s="38"/>
      <c r="T1111" s="38"/>
      <c r="U1111" s="38"/>
      <c r="V1111" s="38"/>
      <c r="W1111" s="38"/>
      <c r="X1111" s="38"/>
      <c r="Y1111" s="38"/>
      <c r="Z1111" s="38"/>
      <c r="AA1111" s="38"/>
      <c r="AB1111" s="38"/>
      <c r="AC1111" s="38"/>
      <c r="AD1111" s="38"/>
      <c r="AE1111" s="38"/>
      <c r="AF1111" s="38"/>
      <c r="AG1111" s="38"/>
      <c r="AH1111" s="38"/>
    </row>
    <row r="1112" spans="3:34" ht="20.100000000000001" customHeight="1">
      <c r="C1112" s="113"/>
      <c r="D1112" s="114"/>
      <c r="P1112" s="82"/>
      <c r="Q1112" s="82"/>
      <c r="R1112" s="38"/>
      <c r="S1112" s="38"/>
      <c r="T1112" s="38"/>
      <c r="U1112" s="38"/>
      <c r="V1112" s="38"/>
      <c r="W1112" s="38"/>
      <c r="X1112" s="38"/>
      <c r="Y1112" s="38"/>
      <c r="Z1112" s="38"/>
      <c r="AA1112" s="38"/>
      <c r="AB1112" s="38"/>
      <c r="AC1112" s="38"/>
      <c r="AD1112" s="38"/>
      <c r="AE1112" s="38"/>
      <c r="AF1112" s="38"/>
      <c r="AG1112" s="38"/>
      <c r="AH1112" s="38"/>
    </row>
    <row r="1113" spans="3:34" ht="20.100000000000001" customHeight="1">
      <c r="C1113" s="113"/>
      <c r="D1113" s="114"/>
      <c r="P1113" s="82"/>
      <c r="Q1113" s="82"/>
      <c r="R1113" s="38"/>
      <c r="S1113" s="38"/>
      <c r="T1113" s="38"/>
      <c r="U1113" s="38"/>
      <c r="V1113" s="38"/>
      <c r="W1113" s="38"/>
      <c r="X1113" s="38"/>
      <c r="Y1113" s="38"/>
      <c r="Z1113" s="38"/>
      <c r="AA1113" s="38"/>
      <c r="AB1113" s="38"/>
      <c r="AC1113" s="38"/>
      <c r="AD1113" s="38"/>
      <c r="AE1113" s="38"/>
      <c r="AF1113" s="38"/>
      <c r="AG1113" s="38"/>
      <c r="AH1113" s="38"/>
    </row>
    <row r="1114" spans="3:34" ht="20.100000000000001" customHeight="1">
      <c r="C1114" s="113"/>
      <c r="D1114" s="114"/>
      <c r="P1114" s="82"/>
      <c r="Q1114" s="82"/>
      <c r="R1114" s="38"/>
      <c r="S1114" s="38"/>
      <c r="T1114" s="38"/>
      <c r="U1114" s="38"/>
      <c r="V1114" s="38"/>
      <c r="W1114" s="38"/>
      <c r="X1114" s="38"/>
      <c r="Y1114" s="38"/>
      <c r="Z1114" s="38"/>
      <c r="AA1114" s="38"/>
      <c r="AB1114" s="38"/>
      <c r="AC1114" s="38"/>
      <c r="AD1114" s="38"/>
      <c r="AE1114" s="38"/>
      <c r="AF1114" s="38"/>
      <c r="AG1114" s="38"/>
      <c r="AH1114" s="38"/>
    </row>
    <row r="1115" spans="3:34" ht="20.100000000000001" customHeight="1">
      <c r="C1115" s="113"/>
      <c r="D1115" s="114"/>
      <c r="P1115" s="82"/>
      <c r="Q1115" s="82"/>
      <c r="R1115" s="38"/>
      <c r="S1115" s="38"/>
      <c r="T1115" s="38"/>
      <c r="U1115" s="38"/>
      <c r="V1115" s="38"/>
      <c r="W1115" s="38"/>
      <c r="X1115" s="38"/>
      <c r="Y1115" s="38"/>
      <c r="Z1115" s="38"/>
      <c r="AA1115" s="38"/>
      <c r="AB1115" s="38"/>
      <c r="AC1115" s="38"/>
      <c r="AD1115" s="38"/>
      <c r="AE1115" s="38"/>
      <c r="AF1115" s="38"/>
      <c r="AG1115" s="38"/>
      <c r="AH1115" s="38"/>
    </row>
    <row r="1116" spans="3:34" ht="20.100000000000001" customHeight="1">
      <c r="C1116" s="113"/>
      <c r="D1116" s="114"/>
      <c r="P1116" s="82"/>
      <c r="Q1116" s="82"/>
      <c r="R1116" s="38"/>
      <c r="S1116" s="38"/>
      <c r="T1116" s="38"/>
      <c r="U1116" s="38"/>
      <c r="V1116" s="38"/>
      <c r="W1116" s="38"/>
      <c r="X1116" s="38"/>
      <c r="Y1116" s="38"/>
      <c r="Z1116" s="38"/>
      <c r="AA1116" s="38"/>
      <c r="AB1116" s="38"/>
      <c r="AC1116" s="38"/>
      <c r="AD1116" s="38"/>
      <c r="AE1116" s="38"/>
      <c r="AF1116" s="38"/>
      <c r="AG1116" s="38"/>
      <c r="AH1116" s="38"/>
    </row>
    <row r="1117" spans="3:34" ht="20.100000000000001" customHeight="1">
      <c r="C1117" s="113"/>
      <c r="D1117" s="114"/>
      <c r="P1117" s="82"/>
      <c r="Q1117" s="82"/>
      <c r="R1117" s="38"/>
      <c r="S1117" s="38"/>
      <c r="T1117" s="38"/>
      <c r="U1117" s="38"/>
      <c r="V1117" s="38"/>
      <c r="W1117" s="38"/>
      <c r="X1117" s="38"/>
      <c r="Y1117" s="38"/>
      <c r="Z1117" s="38"/>
      <c r="AA1117" s="38"/>
      <c r="AB1117" s="38"/>
      <c r="AC1117" s="38"/>
      <c r="AD1117" s="38"/>
      <c r="AE1117" s="38"/>
      <c r="AF1117" s="38"/>
      <c r="AG1117" s="38"/>
      <c r="AH1117" s="38"/>
    </row>
    <row r="1118" spans="3:34" ht="20.100000000000001" customHeight="1">
      <c r="C1118" s="113"/>
      <c r="D1118" s="114"/>
      <c r="P1118" s="82"/>
      <c r="Q1118" s="82"/>
      <c r="R1118" s="38"/>
      <c r="S1118" s="38"/>
      <c r="T1118" s="38"/>
      <c r="U1118" s="38"/>
      <c r="V1118" s="38"/>
      <c r="W1118" s="38"/>
      <c r="X1118" s="38"/>
      <c r="Y1118" s="38"/>
      <c r="Z1118" s="38"/>
      <c r="AA1118" s="38"/>
      <c r="AB1118" s="38"/>
      <c r="AC1118" s="38"/>
      <c r="AD1118" s="38"/>
      <c r="AE1118" s="38"/>
      <c r="AF1118" s="38"/>
      <c r="AG1118" s="38"/>
      <c r="AH1118" s="38"/>
    </row>
    <row r="1119" spans="3:34" ht="20.100000000000001" customHeight="1">
      <c r="C1119" s="113"/>
      <c r="D1119" s="114"/>
      <c r="P1119" s="82"/>
      <c r="Q1119" s="82"/>
      <c r="R1119" s="38"/>
      <c r="S1119" s="38"/>
      <c r="T1119" s="38"/>
      <c r="U1119" s="38"/>
      <c r="V1119" s="38"/>
      <c r="W1119" s="38"/>
      <c r="X1119" s="38"/>
      <c r="Y1119" s="38"/>
      <c r="Z1119" s="38"/>
      <c r="AA1119" s="38"/>
      <c r="AB1119" s="38"/>
      <c r="AC1119" s="38"/>
      <c r="AD1119" s="38"/>
      <c r="AE1119" s="38"/>
      <c r="AF1119" s="38"/>
      <c r="AG1119" s="38"/>
      <c r="AH1119" s="38"/>
    </row>
    <row r="1120" spans="3:34" ht="20.100000000000001" customHeight="1">
      <c r="C1120" s="113"/>
      <c r="D1120" s="114"/>
      <c r="P1120" s="82"/>
      <c r="Q1120" s="82"/>
      <c r="R1120" s="38"/>
      <c r="S1120" s="38"/>
      <c r="T1120" s="38"/>
      <c r="U1120" s="38"/>
      <c r="V1120" s="38"/>
      <c r="W1120" s="38"/>
      <c r="X1120" s="38"/>
      <c r="Y1120" s="38"/>
      <c r="Z1120" s="38"/>
      <c r="AA1120" s="38"/>
      <c r="AB1120" s="38"/>
      <c r="AC1120" s="38"/>
      <c r="AD1120" s="38"/>
      <c r="AE1120" s="38"/>
      <c r="AF1120" s="38"/>
      <c r="AG1120" s="38"/>
      <c r="AH1120" s="38"/>
    </row>
    <row r="1121" spans="3:34" ht="20.100000000000001" customHeight="1">
      <c r="C1121" s="113"/>
      <c r="D1121" s="114"/>
      <c r="P1121" s="82"/>
      <c r="Q1121" s="82"/>
      <c r="R1121" s="38"/>
      <c r="S1121" s="38"/>
      <c r="T1121" s="38"/>
      <c r="U1121" s="38"/>
      <c r="V1121" s="38"/>
      <c r="W1121" s="38"/>
      <c r="X1121" s="38"/>
      <c r="Y1121" s="38"/>
      <c r="Z1121" s="38"/>
      <c r="AA1121" s="38"/>
      <c r="AB1121" s="38"/>
      <c r="AC1121" s="38"/>
      <c r="AD1121" s="38"/>
      <c r="AE1121" s="38"/>
      <c r="AF1121" s="38"/>
      <c r="AG1121" s="38"/>
      <c r="AH1121" s="38"/>
    </row>
    <row r="1122" spans="3:34" ht="20.100000000000001" customHeight="1">
      <c r="C1122" s="113"/>
      <c r="D1122" s="114"/>
      <c r="P1122" s="82"/>
      <c r="Q1122" s="82"/>
      <c r="R1122" s="38"/>
      <c r="S1122" s="38"/>
      <c r="T1122" s="38"/>
      <c r="U1122" s="38"/>
      <c r="V1122" s="38"/>
      <c r="W1122" s="38"/>
      <c r="X1122" s="38"/>
      <c r="Y1122" s="38"/>
      <c r="Z1122" s="38"/>
      <c r="AA1122" s="38"/>
      <c r="AB1122" s="38"/>
      <c r="AC1122" s="38"/>
      <c r="AD1122" s="38"/>
      <c r="AE1122" s="38"/>
      <c r="AF1122" s="38"/>
      <c r="AG1122" s="38"/>
      <c r="AH1122" s="38"/>
    </row>
    <row r="1123" spans="3:34" ht="20.100000000000001" customHeight="1">
      <c r="C1123" s="113"/>
      <c r="D1123" s="114"/>
      <c r="P1123" s="82"/>
      <c r="Q1123" s="82"/>
      <c r="R1123" s="38"/>
      <c r="S1123" s="38"/>
      <c r="T1123" s="38"/>
      <c r="U1123" s="38"/>
      <c r="V1123" s="38"/>
      <c r="W1123" s="38"/>
      <c r="X1123" s="38"/>
      <c r="Y1123" s="38"/>
      <c r="Z1123" s="38"/>
      <c r="AA1123" s="38"/>
      <c r="AB1123" s="38"/>
      <c r="AC1123" s="38"/>
      <c r="AD1123" s="38"/>
      <c r="AE1123" s="38"/>
      <c r="AF1123" s="38"/>
      <c r="AG1123" s="38"/>
      <c r="AH1123" s="38"/>
    </row>
    <row r="1124" spans="3:34" ht="20.100000000000001" customHeight="1">
      <c r="C1124" s="113"/>
      <c r="D1124" s="114"/>
      <c r="P1124" s="82"/>
      <c r="Q1124" s="82"/>
      <c r="R1124" s="38"/>
      <c r="S1124" s="38"/>
      <c r="T1124" s="38"/>
      <c r="U1124" s="38"/>
      <c r="V1124" s="38"/>
      <c r="W1124" s="38"/>
      <c r="X1124" s="38"/>
      <c r="Y1124" s="38"/>
      <c r="Z1124" s="38"/>
      <c r="AA1124" s="38"/>
      <c r="AB1124" s="38"/>
      <c r="AC1124" s="38"/>
      <c r="AD1124" s="38"/>
      <c r="AE1124" s="38"/>
      <c r="AF1124" s="38"/>
      <c r="AG1124" s="38"/>
      <c r="AH1124" s="38"/>
    </row>
    <row r="1125" spans="3:34" ht="20.100000000000001" customHeight="1">
      <c r="C1125" s="113"/>
      <c r="D1125" s="114"/>
      <c r="P1125" s="82"/>
      <c r="Q1125" s="82"/>
      <c r="R1125" s="38"/>
      <c r="S1125" s="38"/>
      <c r="T1125" s="38"/>
      <c r="U1125" s="38"/>
      <c r="V1125" s="38"/>
      <c r="W1125" s="38"/>
      <c r="X1125" s="38"/>
      <c r="Y1125" s="38"/>
      <c r="Z1125" s="38"/>
      <c r="AA1125" s="38"/>
      <c r="AB1125" s="38"/>
      <c r="AC1125" s="38"/>
      <c r="AD1125" s="38"/>
      <c r="AE1125" s="38"/>
      <c r="AF1125" s="38"/>
      <c r="AG1125" s="38"/>
      <c r="AH1125" s="38"/>
    </row>
    <row r="1126" spans="3:34" ht="20.100000000000001" customHeight="1">
      <c r="C1126" s="113"/>
      <c r="D1126" s="114"/>
      <c r="P1126" s="82"/>
      <c r="Q1126" s="82"/>
      <c r="R1126" s="38"/>
      <c r="S1126" s="38"/>
      <c r="T1126" s="38"/>
      <c r="U1126" s="38"/>
      <c r="V1126" s="38"/>
      <c r="W1126" s="38"/>
      <c r="X1126" s="38"/>
      <c r="Y1126" s="38"/>
      <c r="Z1126" s="38"/>
      <c r="AA1126" s="38"/>
      <c r="AB1126" s="38"/>
      <c r="AC1126" s="38"/>
      <c r="AD1126" s="38"/>
      <c r="AE1126" s="38"/>
      <c r="AF1126" s="38"/>
      <c r="AG1126" s="38"/>
      <c r="AH1126" s="38"/>
    </row>
    <row r="1127" spans="3:34" ht="20.100000000000001" customHeight="1">
      <c r="C1127" s="113"/>
      <c r="D1127" s="114"/>
      <c r="P1127" s="82"/>
      <c r="Q1127" s="82"/>
      <c r="R1127" s="38"/>
      <c r="S1127" s="38"/>
      <c r="T1127" s="38"/>
      <c r="U1127" s="38"/>
      <c r="V1127" s="38"/>
      <c r="W1127" s="38"/>
      <c r="X1127" s="38"/>
      <c r="Y1127" s="38"/>
      <c r="Z1127" s="38"/>
      <c r="AA1127" s="38"/>
      <c r="AB1127" s="38"/>
      <c r="AC1127" s="38"/>
      <c r="AD1127" s="38"/>
      <c r="AE1127" s="38"/>
      <c r="AF1127" s="38"/>
      <c r="AG1127" s="38"/>
      <c r="AH1127" s="38"/>
    </row>
    <row r="1128" spans="3:34" ht="20.100000000000001" customHeight="1">
      <c r="C1128" s="113"/>
      <c r="D1128" s="114"/>
      <c r="P1128" s="82"/>
      <c r="Q1128" s="82"/>
      <c r="R1128" s="38"/>
      <c r="S1128" s="38"/>
      <c r="T1128" s="38"/>
      <c r="U1128" s="38"/>
      <c r="V1128" s="38"/>
      <c r="W1128" s="38"/>
      <c r="X1128" s="38"/>
      <c r="Y1128" s="38"/>
      <c r="Z1128" s="38"/>
      <c r="AA1128" s="38"/>
      <c r="AB1128" s="38"/>
      <c r="AC1128" s="38"/>
      <c r="AD1128" s="38"/>
      <c r="AE1128" s="38"/>
      <c r="AF1128" s="38"/>
      <c r="AG1128" s="38"/>
      <c r="AH1128" s="38"/>
    </row>
    <row r="1129" spans="3:34" ht="20.100000000000001" customHeight="1">
      <c r="C1129" s="113"/>
      <c r="D1129" s="114"/>
      <c r="P1129" s="82"/>
      <c r="Q1129" s="82"/>
      <c r="R1129" s="38"/>
      <c r="S1129" s="38"/>
      <c r="T1129" s="38"/>
      <c r="U1129" s="38"/>
      <c r="V1129" s="38"/>
      <c r="W1129" s="38"/>
      <c r="X1129" s="38"/>
      <c r="Y1129" s="38"/>
      <c r="Z1129" s="38"/>
      <c r="AA1129" s="38"/>
      <c r="AB1129" s="38"/>
      <c r="AC1129" s="38"/>
      <c r="AD1129" s="38"/>
      <c r="AE1129" s="38"/>
      <c r="AF1129" s="38"/>
      <c r="AG1129" s="38"/>
      <c r="AH1129" s="38"/>
    </row>
    <row r="1130" spans="3:34" ht="20.100000000000001" customHeight="1">
      <c r="C1130" s="113"/>
      <c r="D1130" s="114"/>
      <c r="P1130" s="82"/>
      <c r="Q1130" s="82"/>
      <c r="R1130" s="38"/>
      <c r="S1130" s="38"/>
      <c r="T1130" s="38"/>
      <c r="U1130" s="38"/>
      <c r="V1130" s="38"/>
      <c r="W1130" s="38"/>
      <c r="X1130" s="38"/>
      <c r="Y1130" s="38"/>
      <c r="Z1130" s="38"/>
      <c r="AA1130" s="38"/>
      <c r="AB1130" s="38"/>
      <c r="AC1130" s="38"/>
      <c r="AD1130" s="38"/>
      <c r="AE1130" s="38"/>
      <c r="AF1130" s="38"/>
      <c r="AG1130" s="38"/>
      <c r="AH1130" s="38"/>
    </row>
    <row r="1131" spans="3:34" ht="20.100000000000001" customHeight="1">
      <c r="C1131" s="113"/>
      <c r="D1131" s="114"/>
      <c r="P1131" s="82"/>
      <c r="Q1131" s="82"/>
      <c r="R1131" s="38"/>
      <c r="S1131" s="38"/>
      <c r="T1131" s="38"/>
      <c r="U1131" s="38"/>
      <c r="V1131" s="38"/>
      <c r="W1131" s="38"/>
      <c r="X1131" s="38"/>
      <c r="Y1131" s="38"/>
      <c r="Z1131" s="38"/>
      <c r="AA1131" s="38"/>
      <c r="AB1131" s="38"/>
      <c r="AC1131" s="38"/>
      <c r="AD1131" s="38"/>
      <c r="AE1131" s="38"/>
      <c r="AF1131" s="38"/>
      <c r="AG1131" s="38"/>
      <c r="AH1131" s="38"/>
    </row>
    <row r="1132" spans="3:34" ht="20.100000000000001" customHeight="1">
      <c r="C1132" s="113"/>
      <c r="D1132" s="114"/>
      <c r="P1132" s="82"/>
      <c r="Q1132" s="82"/>
      <c r="R1132" s="38"/>
      <c r="S1132" s="38"/>
      <c r="T1132" s="38"/>
      <c r="U1132" s="38"/>
      <c r="V1132" s="38"/>
      <c r="W1132" s="38"/>
      <c r="X1132" s="38"/>
      <c r="Y1132" s="38"/>
      <c r="Z1132" s="38"/>
      <c r="AA1132" s="38"/>
      <c r="AB1132" s="38"/>
      <c r="AC1132" s="38"/>
      <c r="AD1132" s="38"/>
      <c r="AE1132" s="38"/>
      <c r="AF1132" s="38"/>
      <c r="AG1132" s="38"/>
      <c r="AH1132" s="38"/>
    </row>
    <row r="1133" spans="3:34" ht="20.100000000000001" customHeight="1">
      <c r="C1133" s="113"/>
      <c r="D1133" s="114"/>
      <c r="P1133" s="82"/>
      <c r="Q1133" s="82"/>
      <c r="R1133" s="38"/>
      <c r="S1133" s="38"/>
      <c r="T1133" s="38"/>
      <c r="U1133" s="38"/>
      <c r="V1133" s="38"/>
      <c r="W1133" s="38"/>
      <c r="X1133" s="38"/>
      <c r="Y1133" s="38"/>
      <c r="Z1133" s="38"/>
      <c r="AA1133" s="38"/>
      <c r="AB1133" s="38"/>
      <c r="AC1133" s="38"/>
      <c r="AD1133" s="38"/>
      <c r="AE1133" s="38"/>
      <c r="AF1133" s="38"/>
      <c r="AG1133" s="38"/>
      <c r="AH1133" s="38"/>
    </row>
    <row r="1134" spans="3:34" ht="20.100000000000001" customHeight="1">
      <c r="C1134" s="113"/>
      <c r="D1134" s="114"/>
      <c r="P1134" s="82"/>
      <c r="Q1134" s="82"/>
      <c r="R1134" s="38"/>
      <c r="S1134" s="38"/>
      <c r="T1134" s="38"/>
      <c r="U1134" s="38"/>
      <c r="V1134" s="38"/>
      <c r="W1134" s="38"/>
      <c r="X1134" s="38"/>
      <c r="Y1134" s="38"/>
      <c r="Z1134" s="38"/>
      <c r="AA1134" s="38"/>
      <c r="AB1134" s="38"/>
      <c r="AC1134" s="38"/>
      <c r="AD1134" s="38"/>
      <c r="AE1134" s="38"/>
      <c r="AF1134" s="38"/>
      <c r="AG1134" s="38"/>
      <c r="AH1134" s="38"/>
    </row>
    <row r="1135" spans="3:34" ht="20.100000000000001" customHeight="1">
      <c r="C1135" s="113"/>
      <c r="D1135" s="114"/>
      <c r="P1135" s="82"/>
      <c r="Q1135" s="82"/>
      <c r="R1135" s="38"/>
      <c r="S1135" s="38"/>
      <c r="T1135" s="38"/>
      <c r="U1135" s="38"/>
      <c r="V1135" s="38"/>
      <c r="W1135" s="38"/>
      <c r="X1135" s="38"/>
      <c r="Y1135" s="38"/>
      <c r="Z1135" s="38"/>
      <c r="AA1135" s="38"/>
      <c r="AB1135" s="38"/>
      <c r="AC1135" s="38"/>
      <c r="AD1135" s="38"/>
      <c r="AE1135" s="38"/>
      <c r="AF1135" s="38"/>
      <c r="AG1135" s="38"/>
      <c r="AH1135" s="38"/>
    </row>
    <row r="1136" spans="3:34" ht="20.100000000000001" customHeight="1">
      <c r="C1136" s="113"/>
      <c r="D1136" s="114"/>
      <c r="P1136" s="82"/>
      <c r="Q1136" s="82"/>
      <c r="R1136" s="38"/>
      <c r="S1136" s="38"/>
      <c r="T1136" s="38"/>
      <c r="U1136" s="38"/>
      <c r="V1136" s="38"/>
      <c r="W1136" s="38"/>
      <c r="X1136" s="38"/>
      <c r="Y1136" s="38"/>
      <c r="Z1136" s="38"/>
      <c r="AA1136" s="38"/>
      <c r="AB1136" s="38"/>
      <c r="AC1136" s="38"/>
      <c r="AD1136" s="38"/>
      <c r="AE1136" s="38"/>
      <c r="AF1136" s="38"/>
      <c r="AG1136" s="38"/>
      <c r="AH1136" s="38"/>
    </row>
    <row r="1137" spans="3:34" ht="20.100000000000001" customHeight="1">
      <c r="C1137" s="113"/>
      <c r="D1137" s="114"/>
      <c r="P1137" s="82"/>
      <c r="Q1137" s="82"/>
      <c r="R1137" s="38"/>
      <c r="S1137" s="38"/>
      <c r="T1137" s="38"/>
      <c r="U1137" s="38"/>
      <c r="V1137" s="38"/>
      <c r="W1137" s="38"/>
      <c r="X1137" s="38"/>
      <c r="Y1137" s="38"/>
      <c r="Z1137" s="38"/>
      <c r="AA1137" s="38"/>
      <c r="AB1137" s="38"/>
      <c r="AC1137" s="38"/>
      <c r="AD1137" s="38"/>
      <c r="AE1137" s="38"/>
      <c r="AF1137" s="38"/>
      <c r="AG1137" s="38"/>
      <c r="AH1137" s="38"/>
    </row>
    <row r="1138" spans="3:34" ht="20.100000000000001" customHeight="1">
      <c r="C1138" s="113"/>
      <c r="D1138" s="114"/>
      <c r="P1138" s="82"/>
      <c r="Q1138" s="82"/>
      <c r="R1138" s="38"/>
      <c r="S1138" s="38"/>
      <c r="T1138" s="38"/>
      <c r="U1138" s="38"/>
      <c r="V1138" s="38"/>
      <c r="W1138" s="38"/>
      <c r="X1138" s="38"/>
      <c r="Y1138" s="38"/>
      <c r="Z1138" s="38"/>
      <c r="AA1138" s="38"/>
      <c r="AB1138" s="38"/>
      <c r="AC1138" s="38"/>
      <c r="AD1138" s="38"/>
      <c r="AE1138" s="38"/>
      <c r="AF1138" s="38"/>
      <c r="AG1138" s="38"/>
      <c r="AH1138" s="38"/>
    </row>
    <row r="1139" spans="3:34" ht="20.100000000000001" customHeight="1">
      <c r="C1139" s="113"/>
      <c r="D1139" s="114"/>
      <c r="P1139" s="82"/>
      <c r="Q1139" s="82"/>
      <c r="R1139" s="38"/>
      <c r="S1139" s="38"/>
      <c r="T1139" s="38"/>
      <c r="U1139" s="38"/>
      <c r="V1139" s="38"/>
      <c r="W1139" s="38"/>
      <c r="X1139" s="38"/>
      <c r="Y1139" s="38"/>
      <c r="Z1139" s="38"/>
      <c r="AA1139" s="38"/>
      <c r="AB1139" s="38"/>
      <c r="AC1139" s="38"/>
      <c r="AD1139" s="38"/>
      <c r="AE1139" s="38"/>
      <c r="AF1139" s="38"/>
      <c r="AG1139" s="38"/>
      <c r="AH1139" s="38"/>
    </row>
    <row r="1140" spans="3:34" ht="20.100000000000001" customHeight="1">
      <c r="C1140" s="113"/>
      <c r="D1140" s="114"/>
      <c r="P1140" s="82"/>
      <c r="Q1140" s="82"/>
      <c r="R1140" s="38"/>
      <c r="S1140" s="38"/>
      <c r="T1140" s="38"/>
      <c r="U1140" s="38"/>
      <c r="V1140" s="38"/>
      <c r="W1140" s="38"/>
      <c r="X1140" s="38"/>
      <c r="Y1140" s="38"/>
      <c r="Z1140" s="38"/>
      <c r="AA1140" s="38"/>
      <c r="AB1140" s="38"/>
      <c r="AC1140" s="38"/>
      <c r="AD1140" s="38"/>
      <c r="AE1140" s="38"/>
      <c r="AF1140" s="38"/>
      <c r="AG1140" s="38"/>
      <c r="AH1140" s="38"/>
    </row>
    <row r="1141" spans="3:34" ht="20.100000000000001" customHeight="1">
      <c r="C1141" s="113"/>
      <c r="D1141" s="114"/>
      <c r="P1141" s="82"/>
      <c r="Q1141" s="82"/>
      <c r="R1141" s="38"/>
      <c r="S1141" s="38"/>
      <c r="T1141" s="38"/>
      <c r="U1141" s="38"/>
      <c r="V1141" s="38"/>
      <c r="W1141" s="38"/>
      <c r="X1141" s="38"/>
      <c r="Y1141" s="38"/>
      <c r="Z1141" s="38"/>
      <c r="AA1141" s="38"/>
      <c r="AB1141" s="38"/>
      <c r="AC1141" s="38"/>
      <c r="AD1141" s="38"/>
      <c r="AE1141" s="38"/>
      <c r="AF1141" s="38"/>
      <c r="AG1141" s="38"/>
      <c r="AH1141" s="38"/>
    </row>
    <row r="1142" spans="3:34" ht="20.100000000000001" customHeight="1">
      <c r="C1142" s="113"/>
      <c r="D1142" s="114"/>
      <c r="P1142" s="82"/>
      <c r="Q1142" s="82"/>
      <c r="R1142" s="38"/>
      <c r="S1142" s="38"/>
      <c r="T1142" s="38"/>
      <c r="U1142" s="38"/>
      <c r="V1142" s="38"/>
      <c r="W1142" s="38"/>
      <c r="X1142" s="38"/>
      <c r="Y1142" s="38"/>
      <c r="Z1142" s="38"/>
      <c r="AA1142" s="38"/>
      <c r="AB1142" s="38"/>
      <c r="AC1142" s="38"/>
      <c r="AD1142" s="38"/>
      <c r="AE1142" s="38"/>
      <c r="AF1142" s="38"/>
      <c r="AG1142" s="38"/>
      <c r="AH1142" s="38"/>
    </row>
    <row r="1143" spans="3:34" ht="20.100000000000001" customHeight="1">
      <c r="C1143" s="113"/>
      <c r="D1143" s="114"/>
      <c r="P1143" s="82"/>
      <c r="Q1143" s="82"/>
      <c r="R1143" s="38"/>
      <c r="S1143" s="38"/>
      <c r="T1143" s="38"/>
      <c r="U1143" s="38"/>
      <c r="V1143" s="38"/>
      <c r="W1143" s="38"/>
      <c r="X1143" s="38"/>
      <c r="Y1143" s="38"/>
      <c r="Z1143" s="38"/>
      <c r="AA1143" s="38"/>
      <c r="AB1143" s="38"/>
      <c r="AC1143" s="38"/>
      <c r="AD1143" s="38"/>
      <c r="AE1143" s="38"/>
      <c r="AF1143" s="38"/>
      <c r="AG1143" s="38"/>
      <c r="AH1143" s="38"/>
    </row>
    <row r="1144" spans="3:34" ht="20.100000000000001" customHeight="1">
      <c r="C1144" s="113"/>
      <c r="D1144" s="114"/>
      <c r="P1144" s="82"/>
      <c r="Q1144" s="82"/>
      <c r="R1144" s="38"/>
      <c r="S1144" s="38"/>
      <c r="T1144" s="38"/>
      <c r="U1144" s="38"/>
      <c r="V1144" s="38"/>
      <c r="W1144" s="38"/>
      <c r="X1144" s="38"/>
      <c r="Y1144" s="38"/>
      <c r="Z1144" s="38"/>
      <c r="AA1144" s="38"/>
      <c r="AB1144" s="38"/>
      <c r="AC1144" s="38"/>
      <c r="AD1144" s="38"/>
      <c r="AE1144" s="38"/>
      <c r="AF1144" s="38"/>
      <c r="AG1144" s="38"/>
      <c r="AH1144" s="38"/>
    </row>
    <row r="1145" spans="3:34" ht="20.100000000000001" customHeight="1">
      <c r="C1145" s="113"/>
      <c r="D1145" s="114"/>
      <c r="P1145" s="82"/>
      <c r="Q1145" s="82"/>
      <c r="R1145" s="38"/>
      <c r="S1145" s="38"/>
      <c r="T1145" s="38"/>
      <c r="U1145" s="38"/>
      <c r="V1145" s="38"/>
      <c r="W1145" s="38"/>
      <c r="X1145" s="38"/>
      <c r="Y1145" s="38"/>
      <c r="Z1145" s="38"/>
      <c r="AA1145" s="38"/>
      <c r="AB1145" s="38"/>
      <c r="AC1145" s="38"/>
      <c r="AD1145" s="38"/>
      <c r="AE1145" s="38"/>
      <c r="AF1145" s="38"/>
      <c r="AG1145" s="38"/>
      <c r="AH1145" s="38"/>
    </row>
    <row r="1146" spans="3:34" ht="20.100000000000001" customHeight="1">
      <c r="C1146" s="113"/>
      <c r="D1146" s="114"/>
      <c r="P1146" s="82"/>
      <c r="Q1146" s="82"/>
      <c r="R1146" s="38"/>
      <c r="S1146" s="38"/>
      <c r="T1146" s="38"/>
      <c r="U1146" s="38"/>
      <c r="V1146" s="38"/>
      <c r="W1146" s="38"/>
      <c r="X1146" s="38"/>
      <c r="Y1146" s="38"/>
      <c r="Z1146" s="38"/>
      <c r="AA1146" s="38"/>
      <c r="AB1146" s="38"/>
      <c r="AC1146" s="38"/>
      <c r="AD1146" s="38"/>
      <c r="AE1146" s="38"/>
      <c r="AF1146" s="38"/>
      <c r="AG1146" s="38"/>
      <c r="AH1146" s="38"/>
    </row>
    <row r="1147" spans="3:34" ht="20.100000000000001" customHeight="1">
      <c r="C1147" s="113"/>
      <c r="D1147" s="114"/>
      <c r="P1147" s="82"/>
      <c r="Q1147" s="82"/>
      <c r="R1147" s="38"/>
      <c r="S1147" s="38"/>
      <c r="T1147" s="38"/>
      <c r="U1147" s="38"/>
      <c r="V1147" s="38"/>
      <c r="W1147" s="38"/>
      <c r="X1147" s="38"/>
      <c r="Y1147" s="38"/>
      <c r="Z1147" s="38"/>
      <c r="AA1147" s="38"/>
      <c r="AB1147" s="38"/>
      <c r="AC1147" s="38"/>
      <c r="AD1147" s="38"/>
      <c r="AE1147" s="38"/>
      <c r="AF1147" s="38"/>
      <c r="AG1147" s="38"/>
      <c r="AH1147" s="38"/>
    </row>
    <row r="1148" spans="3:34" ht="20.100000000000001" customHeight="1">
      <c r="C1148" s="113"/>
      <c r="D1148" s="114"/>
      <c r="P1148" s="82"/>
      <c r="Q1148" s="82"/>
      <c r="R1148" s="38"/>
      <c r="S1148" s="38"/>
      <c r="T1148" s="38"/>
      <c r="U1148" s="38"/>
      <c r="V1148" s="38"/>
      <c r="W1148" s="38"/>
      <c r="X1148" s="38"/>
      <c r="Y1148" s="38"/>
      <c r="Z1148" s="38"/>
      <c r="AA1148" s="38"/>
      <c r="AB1148" s="38"/>
      <c r="AC1148" s="38"/>
      <c r="AD1148" s="38"/>
      <c r="AE1148" s="38"/>
      <c r="AF1148" s="38"/>
      <c r="AG1148" s="38"/>
      <c r="AH1148" s="38"/>
    </row>
    <row r="1149" spans="3:34" ht="20.100000000000001" customHeight="1">
      <c r="C1149" s="113"/>
      <c r="D1149" s="114"/>
      <c r="P1149" s="82"/>
      <c r="Q1149" s="82"/>
      <c r="R1149" s="38"/>
      <c r="S1149" s="38"/>
      <c r="T1149" s="38"/>
      <c r="U1149" s="38"/>
      <c r="V1149" s="38"/>
      <c r="W1149" s="38"/>
      <c r="X1149" s="38"/>
      <c r="Y1149" s="38"/>
      <c r="Z1149" s="38"/>
      <c r="AA1149" s="38"/>
      <c r="AB1149" s="38"/>
      <c r="AC1149" s="38"/>
      <c r="AD1149" s="38"/>
      <c r="AE1149" s="38"/>
      <c r="AF1149" s="38"/>
      <c r="AG1149" s="38"/>
      <c r="AH1149" s="38"/>
    </row>
    <row r="1150" spans="3:34" ht="20.100000000000001" customHeight="1">
      <c r="C1150" s="113"/>
      <c r="D1150" s="114"/>
      <c r="P1150" s="82"/>
      <c r="Q1150" s="82"/>
      <c r="R1150" s="38"/>
      <c r="S1150" s="38"/>
      <c r="T1150" s="38"/>
      <c r="U1150" s="38"/>
      <c r="V1150" s="38"/>
      <c r="W1150" s="38"/>
      <c r="X1150" s="38"/>
      <c r="Y1150" s="38"/>
      <c r="Z1150" s="38"/>
      <c r="AA1150" s="38"/>
      <c r="AB1150" s="38"/>
      <c r="AC1150" s="38"/>
      <c r="AD1150" s="38"/>
      <c r="AE1150" s="38"/>
      <c r="AF1150" s="38"/>
      <c r="AG1150" s="38"/>
      <c r="AH1150" s="38"/>
    </row>
    <row r="1151" spans="3:34" ht="20.100000000000001" customHeight="1">
      <c r="C1151" s="113"/>
      <c r="D1151" s="114"/>
      <c r="P1151" s="82"/>
      <c r="Q1151" s="82"/>
      <c r="R1151" s="38"/>
      <c r="S1151" s="38"/>
      <c r="T1151" s="38"/>
      <c r="U1151" s="38"/>
      <c r="V1151" s="38"/>
      <c r="W1151" s="38"/>
      <c r="X1151" s="38"/>
      <c r="Y1151" s="38"/>
      <c r="Z1151" s="38"/>
      <c r="AA1151" s="38"/>
      <c r="AB1151" s="38"/>
      <c r="AC1151" s="38"/>
      <c r="AD1151" s="38"/>
      <c r="AE1151" s="38"/>
      <c r="AF1151" s="38"/>
      <c r="AG1151" s="38"/>
      <c r="AH1151" s="38"/>
    </row>
    <row r="1152" spans="3:34" ht="20.100000000000001" customHeight="1">
      <c r="C1152" s="113"/>
      <c r="D1152" s="114"/>
      <c r="P1152" s="82"/>
      <c r="Q1152" s="82"/>
      <c r="R1152" s="38"/>
      <c r="S1152" s="38"/>
      <c r="T1152" s="38"/>
      <c r="U1152" s="38"/>
      <c r="V1152" s="38"/>
      <c r="W1152" s="38"/>
      <c r="X1152" s="38"/>
      <c r="Y1152" s="38"/>
      <c r="Z1152" s="38"/>
      <c r="AA1152" s="38"/>
      <c r="AB1152" s="38"/>
      <c r="AC1152" s="38"/>
      <c r="AD1152" s="38"/>
      <c r="AE1152" s="38"/>
      <c r="AF1152" s="38"/>
      <c r="AG1152" s="38"/>
      <c r="AH1152" s="38"/>
    </row>
    <row r="1153" spans="3:34" ht="20.100000000000001" customHeight="1">
      <c r="C1153" s="113"/>
      <c r="D1153" s="114"/>
      <c r="P1153" s="82"/>
      <c r="Q1153" s="82"/>
      <c r="R1153" s="38"/>
      <c r="S1153" s="38"/>
      <c r="T1153" s="38"/>
      <c r="U1153" s="38"/>
      <c r="V1153" s="38"/>
      <c r="W1153" s="38"/>
      <c r="X1153" s="38"/>
      <c r="Y1153" s="38"/>
      <c r="Z1153" s="38"/>
      <c r="AA1153" s="38"/>
      <c r="AB1153" s="38"/>
      <c r="AC1153" s="38"/>
      <c r="AD1153" s="38"/>
      <c r="AE1153" s="38"/>
      <c r="AF1153" s="38"/>
      <c r="AG1153" s="38"/>
      <c r="AH1153" s="38"/>
    </row>
    <row r="1154" spans="3:34" ht="20.100000000000001" customHeight="1">
      <c r="C1154" s="113"/>
      <c r="D1154" s="114"/>
      <c r="P1154" s="82"/>
      <c r="Q1154" s="82"/>
      <c r="R1154" s="38"/>
      <c r="S1154" s="38"/>
      <c r="T1154" s="38"/>
      <c r="U1154" s="38"/>
      <c r="V1154" s="38"/>
      <c r="W1154" s="38"/>
      <c r="X1154" s="38"/>
      <c r="Y1154" s="38"/>
      <c r="Z1154" s="38"/>
      <c r="AA1154" s="38"/>
      <c r="AB1154" s="38"/>
      <c r="AC1154" s="38"/>
      <c r="AD1154" s="38"/>
      <c r="AE1154" s="38"/>
      <c r="AF1154" s="38"/>
      <c r="AG1154" s="38"/>
      <c r="AH1154" s="38"/>
    </row>
    <row r="1155" spans="3:34" ht="20.100000000000001" customHeight="1">
      <c r="C1155" s="113"/>
      <c r="D1155" s="114"/>
      <c r="P1155" s="82"/>
      <c r="Q1155" s="82"/>
      <c r="R1155" s="38"/>
      <c r="S1155" s="38"/>
      <c r="T1155" s="38"/>
      <c r="U1155" s="38"/>
      <c r="V1155" s="38"/>
      <c r="W1155" s="38"/>
      <c r="X1155" s="38"/>
      <c r="Y1155" s="38"/>
      <c r="Z1155" s="38"/>
      <c r="AA1155" s="38"/>
      <c r="AB1155" s="38"/>
      <c r="AC1155" s="38"/>
      <c r="AD1155" s="38"/>
      <c r="AE1155" s="38"/>
      <c r="AF1155" s="38"/>
      <c r="AG1155" s="38"/>
      <c r="AH1155" s="38"/>
    </row>
    <row r="1156" spans="3:34" ht="20.100000000000001" customHeight="1">
      <c r="C1156" s="113"/>
      <c r="D1156" s="114"/>
      <c r="P1156" s="82"/>
      <c r="Q1156" s="82"/>
      <c r="R1156" s="38"/>
      <c r="S1156" s="38"/>
      <c r="T1156" s="38"/>
      <c r="U1156" s="38"/>
      <c r="V1156" s="38"/>
      <c r="W1156" s="38"/>
      <c r="X1156" s="38"/>
      <c r="Y1156" s="38"/>
      <c r="Z1156" s="38"/>
      <c r="AA1156" s="38"/>
      <c r="AB1156" s="38"/>
      <c r="AC1156" s="38"/>
      <c r="AD1156" s="38"/>
      <c r="AE1156" s="38"/>
      <c r="AF1156" s="38"/>
      <c r="AG1156" s="38"/>
      <c r="AH1156" s="38"/>
    </row>
    <row r="1157" spans="3:34" ht="20.100000000000001" customHeight="1">
      <c r="C1157" s="113"/>
      <c r="D1157" s="114"/>
      <c r="P1157" s="82"/>
      <c r="Q1157" s="82"/>
      <c r="R1157" s="38"/>
      <c r="S1157" s="38"/>
      <c r="T1157" s="38"/>
      <c r="U1157" s="38"/>
      <c r="V1157" s="38"/>
      <c r="W1157" s="38"/>
      <c r="X1157" s="38"/>
      <c r="Y1157" s="38"/>
      <c r="Z1157" s="38"/>
      <c r="AA1157" s="38"/>
      <c r="AB1157" s="38"/>
      <c r="AC1157" s="38"/>
      <c r="AD1157" s="38"/>
      <c r="AE1157" s="38"/>
      <c r="AF1157" s="38"/>
      <c r="AG1157" s="38"/>
      <c r="AH1157" s="38"/>
    </row>
    <row r="1158" spans="3:34" ht="20.100000000000001" customHeight="1">
      <c r="C1158" s="113"/>
      <c r="D1158" s="114"/>
      <c r="P1158" s="82"/>
      <c r="Q1158" s="82"/>
      <c r="R1158" s="38"/>
      <c r="S1158" s="38"/>
      <c r="T1158" s="38"/>
      <c r="U1158" s="38"/>
      <c r="V1158" s="38"/>
      <c r="W1158" s="38"/>
      <c r="X1158" s="38"/>
      <c r="Y1158" s="38"/>
      <c r="Z1158" s="38"/>
      <c r="AA1158" s="38"/>
      <c r="AB1158" s="38"/>
      <c r="AC1158" s="38"/>
      <c r="AD1158" s="38"/>
      <c r="AE1158" s="38"/>
      <c r="AF1158" s="38"/>
      <c r="AG1158" s="38"/>
      <c r="AH1158" s="38"/>
    </row>
    <row r="1159" spans="3:34" ht="20.100000000000001" customHeight="1">
      <c r="C1159" s="113"/>
      <c r="D1159" s="114"/>
      <c r="P1159" s="82"/>
      <c r="Q1159" s="82"/>
      <c r="R1159" s="38"/>
      <c r="S1159" s="38"/>
      <c r="T1159" s="38"/>
      <c r="U1159" s="38"/>
      <c r="V1159" s="38"/>
      <c r="W1159" s="38"/>
      <c r="X1159" s="38"/>
      <c r="Y1159" s="38"/>
      <c r="Z1159" s="38"/>
      <c r="AA1159" s="38"/>
      <c r="AB1159" s="38"/>
      <c r="AC1159" s="38"/>
      <c r="AD1159" s="38"/>
      <c r="AE1159" s="38"/>
      <c r="AF1159" s="38"/>
      <c r="AG1159" s="38"/>
      <c r="AH1159" s="38"/>
    </row>
    <row r="1160" spans="3:34" ht="20.100000000000001" customHeight="1">
      <c r="C1160" s="113"/>
      <c r="D1160" s="114"/>
      <c r="P1160" s="82"/>
      <c r="Q1160" s="82"/>
      <c r="R1160" s="38"/>
      <c r="S1160" s="38"/>
      <c r="T1160" s="38"/>
      <c r="U1160" s="38"/>
      <c r="V1160" s="38"/>
      <c r="W1160" s="38"/>
      <c r="X1160" s="38"/>
      <c r="Y1160" s="38"/>
      <c r="Z1160" s="38"/>
      <c r="AA1160" s="38"/>
      <c r="AB1160" s="38"/>
      <c r="AC1160" s="38"/>
      <c r="AD1160" s="38"/>
      <c r="AE1160" s="38"/>
      <c r="AF1160" s="38"/>
      <c r="AG1160" s="38"/>
      <c r="AH1160" s="38"/>
    </row>
    <row r="1161" spans="3:34" ht="20.100000000000001" customHeight="1">
      <c r="C1161" s="113"/>
      <c r="D1161" s="114"/>
      <c r="P1161" s="82"/>
      <c r="Q1161" s="82"/>
      <c r="R1161" s="38"/>
      <c r="S1161" s="38"/>
      <c r="T1161" s="38"/>
      <c r="U1161" s="38"/>
      <c r="V1161" s="38"/>
      <c r="W1161" s="38"/>
      <c r="X1161" s="38"/>
      <c r="Y1161" s="38"/>
      <c r="Z1161" s="38"/>
      <c r="AA1161" s="38"/>
      <c r="AB1161" s="38"/>
      <c r="AC1161" s="38"/>
      <c r="AD1161" s="38"/>
      <c r="AE1161" s="38"/>
      <c r="AF1161" s="38"/>
      <c r="AG1161" s="38"/>
      <c r="AH1161" s="38"/>
    </row>
    <row r="1162" spans="3:34" ht="20.100000000000001" customHeight="1">
      <c r="C1162" s="113"/>
      <c r="D1162" s="114"/>
      <c r="P1162" s="82"/>
      <c r="Q1162" s="82"/>
      <c r="R1162" s="38"/>
      <c r="S1162" s="38"/>
      <c r="T1162" s="38"/>
      <c r="U1162" s="38"/>
      <c r="V1162" s="38"/>
      <c r="W1162" s="38"/>
      <c r="X1162" s="38"/>
      <c r="Y1162" s="38"/>
      <c r="Z1162" s="38"/>
      <c r="AA1162" s="38"/>
      <c r="AB1162" s="38"/>
      <c r="AC1162" s="38"/>
      <c r="AD1162" s="38"/>
      <c r="AE1162" s="38"/>
      <c r="AF1162" s="38"/>
      <c r="AG1162" s="38"/>
      <c r="AH1162" s="38"/>
    </row>
    <row r="1163" spans="3:34" ht="20.100000000000001" customHeight="1">
      <c r="C1163" s="113"/>
      <c r="D1163" s="114"/>
      <c r="P1163" s="82"/>
      <c r="Q1163" s="82"/>
      <c r="R1163" s="38"/>
      <c r="S1163" s="38"/>
      <c r="T1163" s="38"/>
      <c r="U1163" s="38"/>
      <c r="V1163" s="38"/>
      <c r="W1163" s="38"/>
      <c r="X1163" s="38"/>
      <c r="Y1163" s="38"/>
      <c r="Z1163" s="38"/>
      <c r="AA1163" s="38"/>
      <c r="AB1163" s="38"/>
      <c r="AC1163" s="38"/>
      <c r="AD1163" s="38"/>
      <c r="AE1163" s="38"/>
      <c r="AF1163" s="38"/>
      <c r="AG1163" s="38"/>
      <c r="AH1163" s="38"/>
    </row>
    <row r="1164" spans="3:34" ht="20.100000000000001" customHeight="1">
      <c r="C1164" s="113"/>
      <c r="D1164" s="114"/>
      <c r="P1164" s="82"/>
      <c r="Q1164" s="82"/>
      <c r="R1164" s="38"/>
      <c r="S1164" s="38"/>
      <c r="T1164" s="38"/>
      <c r="U1164" s="38"/>
      <c r="V1164" s="38"/>
      <c r="W1164" s="38"/>
      <c r="X1164" s="38"/>
      <c r="Y1164" s="38"/>
      <c r="Z1164" s="38"/>
      <c r="AA1164" s="38"/>
      <c r="AB1164" s="38"/>
      <c r="AC1164" s="38"/>
      <c r="AD1164" s="38"/>
      <c r="AE1164" s="38"/>
      <c r="AF1164" s="38"/>
      <c r="AG1164" s="38"/>
      <c r="AH1164" s="38"/>
    </row>
    <row r="1165" spans="3:34" ht="20.100000000000001" customHeight="1">
      <c r="C1165" s="113"/>
      <c r="D1165" s="114"/>
      <c r="P1165" s="82"/>
      <c r="Q1165" s="82"/>
      <c r="R1165" s="38"/>
      <c r="S1165" s="38"/>
      <c r="T1165" s="38"/>
      <c r="U1165" s="38"/>
      <c r="V1165" s="38"/>
      <c r="W1165" s="38"/>
      <c r="X1165" s="38"/>
      <c r="Y1165" s="38"/>
      <c r="Z1165" s="38"/>
      <c r="AA1165" s="38"/>
      <c r="AB1165" s="38"/>
      <c r="AC1165" s="38"/>
      <c r="AD1165" s="38"/>
      <c r="AE1165" s="38"/>
      <c r="AF1165" s="38"/>
      <c r="AG1165" s="38"/>
      <c r="AH1165" s="38"/>
    </row>
    <row r="1166" spans="3:34" ht="20.100000000000001" customHeight="1">
      <c r="C1166" s="113"/>
      <c r="D1166" s="114"/>
      <c r="P1166" s="82"/>
      <c r="Q1166" s="82"/>
      <c r="R1166" s="38"/>
      <c r="S1166" s="38"/>
      <c r="T1166" s="38"/>
      <c r="U1166" s="38"/>
      <c r="V1166" s="38"/>
      <c r="W1166" s="38"/>
      <c r="X1166" s="38"/>
      <c r="Y1166" s="38"/>
      <c r="Z1166" s="38"/>
      <c r="AA1166" s="38"/>
      <c r="AB1166" s="38"/>
      <c r="AC1166" s="38"/>
      <c r="AD1166" s="38"/>
      <c r="AE1166" s="38"/>
      <c r="AF1166" s="38"/>
      <c r="AG1166" s="38"/>
      <c r="AH1166" s="38"/>
    </row>
    <row r="1167" spans="3:34" ht="20.100000000000001" customHeight="1">
      <c r="C1167" s="113"/>
      <c r="D1167" s="114"/>
      <c r="P1167" s="82"/>
      <c r="Q1167" s="82"/>
      <c r="R1167" s="38"/>
      <c r="S1167" s="38"/>
      <c r="T1167" s="38"/>
      <c r="U1167" s="38"/>
      <c r="V1167" s="38"/>
      <c r="W1167" s="38"/>
      <c r="X1167" s="38"/>
      <c r="Y1167" s="38"/>
      <c r="Z1167" s="38"/>
      <c r="AA1167" s="38"/>
      <c r="AB1167" s="38"/>
      <c r="AC1167" s="38"/>
      <c r="AD1167" s="38"/>
      <c r="AE1167" s="38"/>
      <c r="AF1167" s="38"/>
      <c r="AG1167" s="38"/>
      <c r="AH1167" s="38"/>
    </row>
    <row r="1168" spans="3:34" ht="20.100000000000001" customHeight="1">
      <c r="C1168" s="113"/>
      <c r="D1168" s="114"/>
      <c r="P1168" s="82"/>
      <c r="Q1168" s="82"/>
      <c r="R1168" s="38"/>
      <c r="S1168" s="38"/>
      <c r="T1168" s="38"/>
      <c r="U1168" s="38"/>
      <c r="V1168" s="38"/>
      <c r="W1168" s="38"/>
      <c r="X1168" s="38"/>
      <c r="Y1168" s="38"/>
      <c r="Z1168" s="38"/>
      <c r="AA1168" s="38"/>
      <c r="AB1168" s="38"/>
      <c r="AC1168" s="38"/>
      <c r="AD1168" s="38"/>
      <c r="AE1168" s="38"/>
      <c r="AF1168" s="38"/>
      <c r="AG1168" s="38"/>
      <c r="AH1168" s="38"/>
    </row>
    <row r="1169" spans="3:34" ht="20.100000000000001" customHeight="1">
      <c r="C1169" s="113"/>
      <c r="D1169" s="114"/>
      <c r="P1169" s="82"/>
      <c r="Q1169" s="82"/>
      <c r="R1169" s="38"/>
      <c r="S1169" s="38"/>
      <c r="T1169" s="38"/>
      <c r="U1169" s="38"/>
      <c r="V1169" s="38"/>
      <c r="W1169" s="38"/>
      <c r="X1169" s="38"/>
      <c r="Y1169" s="38"/>
      <c r="Z1169" s="38"/>
      <c r="AA1169" s="38"/>
      <c r="AB1169" s="38"/>
      <c r="AC1169" s="38"/>
      <c r="AD1169" s="38"/>
      <c r="AE1169" s="38"/>
      <c r="AF1169" s="38"/>
      <c r="AG1169" s="38"/>
      <c r="AH1169" s="38"/>
    </row>
    <row r="1170" spans="3:34" ht="20.100000000000001" customHeight="1">
      <c r="C1170" s="113"/>
      <c r="D1170" s="114"/>
      <c r="P1170" s="82"/>
      <c r="Q1170" s="82"/>
      <c r="R1170" s="38"/>
      <c r="S1170" s="38"/>
      <c r="T1170" s="38"/>
      <c r="U1170" s="38"/>
      <c r="V1170" s="38"/>
      <c r="W1170" s="38"/>
      <c r="X1170" s="38"/>
      <c r="Y1170" s="38"/>
      <c r="Z1170" s="38"/>
      <c r="AA1170" s="38"/>
      <c r="AB1170" s="38"/>
      <c r="AC1170" s="38"/>
      <c r="AD1170" s="38"/>
      <c r="AE1170" s="38"/>
      <c r="AF1170" s="38"/>
      <c r="AG1170" s="38"/>
      <c r="AH1170" s="38"/>
    </row>
    <row r="1171" spans="3:34" ht="20.100000000000001" customHeight="1">
      <c r="C1171" s="113"/>
      <c r="D1171" s="114"/>
      <c r="P1171" s="82"/>
      <c r="Q1171" s="82"/>
      <c r="R1171" s="38"/>
      <c r="S1171" s="38"/>
      <c r="T1171" s="38"/>
      <c r="U1171" s="38"/>
      <c r="V1171" s="38"/>
      <c r="W1171" s="38"/>
      <c r="X1171" s="38"/>
      <c r="Y1171" s="38"/>
      <c r="Z1171" s="38"/>
      <c r="AA1171" s="38"/>
      <c r="AB1171" s="38"/>
      <c r="AC1171" s="38"/>
      <c r="AD1171" s="38"/>
      <c r="AE1171" s="38"/>
      <c r="AF1171" s="38"/>
      <c r="AG1171" s="38"/>
      <c r="AH1171" s="38"/>
    </row>
    <row r="1172" spans="3:34" ht="20.100000000000001" customHeight="1">
      <c r="C1172" s="113"/>
      <c r="D1172" s="114"/>
      <c r="P1172" s="82"/>
      <c r="Q1172" s="82"/>
      <c r="R1172" s="38"/>
      <c r="S1172" s="38"/>
      <c r="T1172" s="38"/>
      <c r="U1172" s="38"/>
      <c r="V1172" s="38"/>
      <c r="W1172" s="38"/>
      <c r="X1172" s="38"/>
      <c r="Y1172" s="38"/>
      <c r="Z1172" s="38"/>
      <c r="AA1172" s="38"/>
      <c r="AB1172" s="38"/>
      <c r="AC1172" s="38"/>
      <c r="AD1172" s="38"/>
      <c r="AE1172" s="38"/>
      <c r="AF1172" s="38"/>
      <c r="AG1172" s="38"/>
      <c r="AH1172" s="38"/>
    </row>
    <row r="1173" spans="3:34" ht="20.100000000000001" customHeight="1">
      <c r="C1173" s="113"/>
      <c r="D1173" s="114"/>
      <c r="P1173" s="82"/>
      <c r="Q1173" s="82"/>
      <c r="R1173" s="38"/>
      <c r="S1173" s="38"/>
      <c r="T1173" s="38"/>
      <c r="U1173" s="38"/>
      <c r="V1173" s="38"/>
      <c r="W1173" s="38"/>
      <c r="X1173" s="38"/>
      <c r="Y1173" s="38"/>
      <c r="Z1173" s="38"/>
      <c r="AA1173" s="38"/>
      <c r="AB1173" s="38"/>
      <c r="AC1173" s="38"/>
      <c r="AD1173" s="38"/>
      <c r="AE1173" s="38"/>
      <c r="AF1173" s="38"/>
      <c r="AG1173" s="38"/>
      <c r="AH1173" s="38"/>
    </row>
    <row r="1174" spans="3:34" ht="20.100000000000001" customHeight="1">
      <c r="C1174" s="113"/>
      <c r="D1174" s="114"/>
      <c r="P1174" s="82"/>
      <c r="Q1174" s="82"/>
      <c r="R1174" s="38"/>
      <c r="S1174" s="38"/>
      <c r="T1174" s="38"/>
      <c r="U1174" s="38"/>
      <c r="V1174" s="38"/>
      <c r="W1174" s="38"/>
      <c r="X1174" s="38"/>
      <c r="Y1174" s="38"/>
      <c r="Z1174" s="38"/>
      <c r="AA1174" s="38"/>
      <c r="AB1174" s="38"/>
      <c r="AC1174" s="38"/>
      <c r="AD1174" s="38"/>
      <c r="AE1174" s="38"/>
      <c r="AF1174" s="38"/>
      <c r="AG1174" s="38"/>
      <c r="AH1174" s="38"/>
    </row>
    <row r="1175" spans="3:34" ht="20.100000000000001" customHeight="1">
      <c r="C1175" s="113"/>
      <c r="D1175" s="114"/>
      <c r="P1175" s="82"/>
      <c r="Q1175" s="82"/>
      <c r="R1175" s="38"/>
      <c r="S1175" s="38"/>
      <c r="T1175" s="38"/>
      <c r="U1175" s="38"/>
      <c r="V1175" s="38"/>
      <c r="W1175" s="38"/>
      <c r="X1175" s="38"/>
      <c r="Y1175" s="38"/>
      <c r="Z1175" s="38"/>
      <c r="AA1175" s="38"/>
      <c r="AB1175" s="38"/>
      <c r="AC1175" s="38"/>
      <c r="AD1175" s="38"/>
      <c r="AE1175" s="38"/>
      <c r="AF1175" s="38"/>
      <c r="AG1175" s="38"/>
      <c r="AH1175" s="38"/>
    </row>
    <row r="1176" spans="3:34" ht="20.100000000000001" customHeight="1">
      <c r="C1176" s="113"/>
      <c r="D1176" s="114"/>
      <c r="P1176" s="82"/>
      <c r="Q1176" s="82"/>
      <c r="R1176" s="38"/>
      <c r="S1176" s="38"/>
      <c r="T1176" s="38"/>
      <c r="U1176" s="38"/>
      <c r="V1176" s="38"/>
      <c r="W1176" s="38"/>
      <c r="X1176" s="38"/>
      <c r="Y1176" s="38"/>
      <c r="Z1176" s="38"/>
      <c r="AA1176" s="38"/>
      <c r="AB1176" s="38"/>
      <c r="AC1176" s="38"/>
      <c r="AD1176" s="38"/>
      <c r="AE1176" s="38"/>
      <c r="AF1176" s="38"/>
      <c r="AG1176" s="38"/>
      <c r="AH1176" s="38"/>
    </row>
    <row r="1177" spans="3:34" ht="20.100000000000001" customHeight="1">
      <c r="C1177" s="113"/>
      <c r="D1177" s="114"/>
      <c r="P1177" s="82"/>
      <c r="Q1177" s="82"/>
      <c r="R1177" s="38"/>
      <c r="S1177" s="38"/>
      <c r="T1177" s="38"/>
      <c r="U1177" s="38"/>
      <c r="V1177" s="38"/>
      <c r="W1177" s="38"/>
      <c r="X1177" s="38"/>
      <c r="Y1177" s="38"/>
      <c r="Z1177" s="38"/>
      <c r="AA1177" s="38"/>
      <c r="AB1177" s="38"/>
      <c r="AC1177" s="38"/>
      <c r="AD1177" s="38"/>
      <c r="AE1177" s="38"/>
      <c r="AF1177" s="38"/>
      <c r="AG1177" s="38"/>
      <c r="AH1177" s="38"/>
    </row>
    <row r="1178" spans="3:34" ht="20.100000000000001" customHeight="1">
      <c r="C1178" s="113"/>
      <c r="D1178" s="114"/>
      <c r="P1178" s="82"/>
      <c r="Q1178" s="82"/>
      <c r="R1178" s="38"/>
      <c r="S1178" s="38"/>
      <c r="T1178" s="38"/>
      <c r="U1178" s="38"/>
      <c r="V1178" s="38"/>
      <c r="W1178" s="38"/>
      <c r="X1178" s="38"/>
      <c r="Y1178" s="38"/>
      <c r="Z1178" s="38"/>
      <c r="AA1178" s="38"/>
      <c r="AB1178" s="38"/>
      <c r="AC1178" s="38"/>
      <c r="AD1178" s="38"/>
      <c r="AE1178" s="38"/>
      <c r="AF1178" s="38"/>
      <c r="AG1178" s="38"/>
      <c r="AH1178" s="38"/>
    </row>
    <row r="1179" spans="3:34" ht="20.100000000000001" customHeight="1">
      <c r="C1179" s="113"/>
      <c r="D1179" s="114"/>
      <c r="P1179" s="82"/>
      <c r="Q1179" s="82"/>
      <c r="R1179" s="38"/>
      <c r="S1179" s="38"/>
      <c r="T1179" s="38"/>
      <c r="U1179" s="38"/>
      <c r="V1179" s="38"/>
      <c r="W1179" s="38"/>
      <c r="X1179" s="38"/>
      <c r="Y1179" s="38"/>
      <c r="Z1179" s="38"/>
      <c r="AA1179" s="38"/>
      <c r="AB1179" s="38"/>
      <c r="AC1179" s="38"/>
      <c r="AD1179" s="38"/>
      <c r="AE1179" s="38"/>
      <c r="AF1179" s="38"/>
      <c r="AG1179" s="38"/>
      <c r="AH1179" s="38"/>
    </row>
    <row r="1180" spans="3:34" ht="20.100000000000001" customHeight="1">
      <c r="C1180" s="113"/>
      <c r="D1180" s="114"/>
      <c r="P1180" s="82"/>
      <c r="Q1180" s="82"/>
      <c r="R1180" s="38"/>
      <c r="S1180" s="38"/>
      <c r="T1180" s="38"/>
      <c r="U1180" s="38"/>
      <c r="V1180" s="38"/>
      <c r="W1180" s="38"/>
      <c r="X1180" s="38"/>
      <c r="Y1180" s="38"/>
      <c r="Z1180" s="38"/>
      <c r="AA1180" s="38"/>
      <c r="AB1180" s="38"/>
      <c r="AC1180" s="38"/>
      <c r="AD1180" s="38"/>
      <c r="AE1180" s="38"/>
      <c r="AF1180" s="38"/>
      <c r="AG1180" s="38"/>
      <c r="AH1180" s="38"/>
    </row>
    <row r="1181" spans="3:34" ht="20.100000000000001" customHeight="1">
      <c r="C1181" s="113"/>
      <c r="D1181" s="114"/>
      <c r="P1181" s="82"/>
      <c r="Q1181" s="82"/>
      <c r="R1181" s="38"/>
      <c r="S1181" s="38"/>
      <c r="T1181" s="38"/>
      <c r="U1181" s="38"/>
      <c r="V1181" s="38"/>
      <c r="W1181" s="38"/>
      <c r="X1181" s="38"/>
      <c r="Y1181" s="38"/>
      <c r="Z1181" s="38"/>
      <c r="AA1181" s="38"/>
      <c r="AB1181" s="38"/>
      <c r="AC1181" s="38"/>
      <c r="AD1181" s="38"/>
      <c r="AE1181" s="38"/>
      <c r="AF1181" s="38"/>
      <c r="AG1181" s="38"/>
      <c r="AH1181" s="38"/>
    </row>
    <row r="1182" spans="3:34" ht="20.100000000000001" customHeight="1">
      <c r="C1182" s="113"/>
      <c r="D1182" s="114"/>
      <c r="P1182" s="82"/>
      <c r="Q1182" s="82"/>
      <c r="R1182" s="38"/>
      <c r="S1182" s="38"/>
      <c r="T1182" s="38"/>
      <c r="U1182" s="38"/>
      <c r="V1182" s="38"/>
      <c r="W1182" s="38"/>
      <c r="X1182" s="38"/>
      <c r="Y1182" s="38"/>
      <c r="Z1182" s="38"/>
      <c r="AA1182" s="38"/>
      <c r="AB1182" s="38"/>
      <c r="AC1182" s="38"/>
      <c r="AD1182" s="38"/>
      <c r="AE1182" s="38"/>
      <c r="AF1182" s="38"/>
      <c r="AG1182" s="38"/>
      <c r="AH1182" s="38"/>
    </row>
    <row r="1183" spans="3:34" ht="20.100000000000001" customHeight="1">
      <c r="C1183" s="113"/>
      <c r="D1183" s="114"/>
      <c r="P1183" s="82"/>
      <c r="Q1183" s="82"/>
      <c r="R1183" s="38"/>
      <c r="S1183" s="38"/>
      <c r="T1183" s="38"/>
      <c r="U1183" s="38"/>
      <c r="V1183" s="38"/>
      <c r="W1183" s="38"/>
      <c r="X1183" s="38"/>
      <c r="Y1183" s="38"/>
      <c r="Z1183" s="38"/>
      <c r="AA1183" s="38"/>
      <c r="AB1183" s="38"/>
      <c r="AC1183" s="38"/>
      <c r="AD1183" s="38"/>
      <c r="AE1183" s="38"/>
      <c r="AF1183" s="38"/>
      <c r="AG1183" s="38"/>
      <c r="AH1183" s="38"/>
    </row>
    <row r="1184" spans="3:34" ht="20.100000000000001" customHeight="1">
      <c r="C1184" s="113"/>
      <c r="D1184" s="114"/>
      <c r="P1184" s="82"/>
      <c r="Q1184" s="82"/>
      <c r="R1184" s="38"/>
      <c r="S1184" s="38"/>
      <c r="T1184" s="38"/>
      <c r="U1184" s="38"/>
      <c r="V1184" s="38"/>
      <c r="W1184" s="38"/>
      <c r="X1184" s="38"/>
      <c r="Y1184" s="38"/>
      <c r="Z1184" s="38"/>
      <c r="AA1184" s="38"/>
      <c r="AB1184" s="38"/>
      <c r="AC1184" s="38"/>
      <c r="AD1184" s="38"/>
      <c r="AE1184" s="38"/>
      <c r="AF1184" s="38"/>
      <c r="AG1184" s="38"/>
      <c r="AH1184" s="38"/>
    </row>
    <row r="1185" spans="3:34" ht="20.100000000000001" customHeight="1">
      <c r="C1185" s="113"/>
      <c r="D1185" s="114"/>
      <c r="P1185" s="82"/>
      <c r="Q1185" s="82"/>
      <c r="R1185" s="38"/>
      <c r="S1185" s="38"/>
      <c r="T1185" s="38"/>
      <c r="U1185" s="38"/>
      <c r="V1185" s="38"/>
      <c r="W1185" s="38"/>
      <c r="X1185" s="38"/>
      <c r="Y1185" s="38"/>
      <c r="Z1185" s="38"/>
      <c r="AA1185" s="38"/>
      <c r="AB1185" s="38"/>
      <c r="AC1185" s="38"/>
      <c r="AD1185" s="38"/>
      <c r="AE1185" s="38"/>
      <c r="AF1185" s="38"/>
      <c r="AG1185" s="38"/>
      <c r="AH1185" s="38"/>
    </row>
    <row r="1186" spans="3:34" ht="20.100000000000001" customHeight="1">
      <c r="C1186" s="113"/>
      <c r="D1186" s="114"/>
      <c r="P1186" s="82"/>
      <c r="Q1186" s="82"/>
      <c r="R1186" s="38"/>
      <c r="S1186" s="38"/>
      <c r="T1186" s="38"/>
      <c r="U1186" s="38"/>
      <c r="V1186" s="38"/>
      <c r="W1186" s="38"/>
      <c r="X1186" s="38"/>
      <c r="Y1186" s="38"/>
      <c r="Z1186" s="38"/>
      <c r="AA1186" s="38"/>
      <c r="AB1186" s="38"/>
      <c r="AC1186" s="38"/>
      <c r="AD1186" s="38"/>
      <c r="AE1186" s="38"/>
      <c r="AF1186" s="38"/>
      <c r="AG1186" s="38"/>
      <c r="AH1186" s="38"/>
    </row>
    <row r="1187" spans="3:34" ht="20.100000000000001" customHeight="1">
      <c r="C1187" s="113"/>
      <c r="D1187" s="114"/>
      <c r="P1187" s="82"/>
      <c r="Q1187" s="82"/>
      <c r="R1187" s="38"/>
      <c r="S1187" s="38"/>
      <c r="T1187" s="38"/>
      <c r="U1187" s="38"/>
      <c r="V1187" s="38"/>
      <c r="W1187" s="38"/>
      <c r="X1187" s="38"/>
      <c r="Y1187" s="38"/>
      <c r="Z1187" s="38"/>
      <c r="AA1187" s="38"/>
      <c r="AB1187" s="38"/>
      <c r="AC1187" s="38"/>
      <c r="AD1187" s="38"/>
      <c r="AE1187" s="38"/>
      <c r="AF1187" s="38"/>
      <c r="AG1187" s="38"/>
      <c r="AH1187" s="38"/>
    </row>
    <row r="1188" spans="3:34" ht="20.100000000000001" customHeight="1">
      <c r="C1188" s="113"/>
      <c r="D1188" s="114"/>
      <c r="P1188" s="82"/>
      <c r="Q1188" s="82"/>
      <c r="R1188" s="38"/>
      <c r="S1188" s="38"/>
      <c r="T1188" s="38"/>
      <c r="U1188" s="38"/>
      <c r="V1188" s="38"/>
      <c r="W1188" s="38"/>
      <c r="X1188" s="38"/>
      <c r="Y1188" s="38"/>
      <c r="Z1188" s="38"/>
      <c r="AA1188" s="38"/>
      <c r="AB1188" s="38"/>
      <c r="AC1188" s="38"/>
      <c r="AD1188" s="38"/>
      <c r="AE1188" s="38"/>
      <c r="AF1188" s="38"/>
      <c r="AG1188" s="38"/>
      <c r="AH1188" s="38"/>
    </row>
    <row r="1189" spans="3:34" ht="20.100000000000001" customHeight="1">
      <c r="C1189" s="113"/>
      <c r="D1189" s="114"/>
      <c r="P1189" s="82"/>
      <c r="Q1189" s="82"/>
      <c r="R1189" s="38"/>
      <c r="S1189" s="38"/>
      <c r="T1189" s="38"/>
      <c r="U1189" s="38"/>
      <c r="V1189" s="38"/>
      <c r="W1189" s="38"/>
      <c r="X1189" s="38"/>
      <c r="Y1189" s="38"/>
      <c r="Z1189" s="38"/>
      <c r="AA1189" s="38"/>
      <c r="AB1189" s="38"/>
      <c r="AC1189" s="38"/>
      <c r="AD1189" s="38"/>
      <c r="AE1189" s="38"/>
      <c r="AF1189" s="38"/>
      <c r="AG1189" s="38"/>
      <c r="AH1189" s="38"/>
    </row>
    <row r="1190" spans="3:34" ht="20.100000000000001" customHeight="1">
      <c r="C1190" s="113"/>
      <c r="D1190" s="114"/>
      <c r="P1190" s="82"/>
      <c r="Q1190" s="82"/>
      <c r="R1190" s="38"/>
      <c r="S1190" s="38"/>
      <c r="T1190" s="38"/>
      <c r="U1190" s="38"/>
      <c r="V1190" s="38"/>
      <c r="W1190" s="38"/>
      <c r="X1190" s="38"/>
      <c r="Y1190" s="38"/>
      <c r="Z1190" s="38"/>
      <c r="AA1190" s="38"/>
      <c r="AB1190" s="38"/>
      <c r="AC1190" s="38"/>
      <c r="AD1190" s="38"/>
      <c r="AE1190" s="38"/>
      <c r="AF1190" s="38"/>
      <c r="AG1190" s="38"/>
      <c r="AH1190" s="38"/>
    </row>
    <row r="1191" spans="3:34" ht="20.100000000000001" customHeight="1">
      <c r="C1191" s="113"/>
      <c r="D1191" s="114"/>
      <c r="P1191" s="82"/>
      <c r="Q1191" s="82"/>
      <c r="R1191" s="38"/>
      <c r="S1191" s="38"/>
      <c r="T1191" s="38"/>
      <c r="U1191" s="38"/>
      <c r="V1191" s="38"/>
      <c r="W1191" s="38"/>
      <c r="X1191" s="38"/>
      <c r="Y1191" s="38"/>
      <c r="Z1191" s="38"/>
      <c r="AA1191" s="38"/>
      <c r="AB1191" s="38"/>
      <c r="AC1191" s="38"/>
      <c r="AD1191" s="38"/>
      <c r="AE1191" s="38"/>
      <c r="AF1191" s="38"/>
      <c r="AG1191" s="38"/>
      <c r="AH1191" s="38"/>
    </row>
    <row r="1192" spans="3:34" ht="20.100000000000001" customHeight="1">
      <c r="C1192" s="113"/>
      <c r="D1192" s="114"/>
      <c r="P1192" s="82"/>
      <c r="Q1192" s="82"/>
      <c r="R1192" s="38"/>
      <c r="S1192" s="38"/>
      <c r="T1192" s="38"/>
      <c r="U1192" s="38"/>
      <c r="V1192" s="38"/>
      <c r="W1192" s="38"/>
      <c r="X1192" s="38"/>
      <c r="Y1192" s="38"/>
      <c r="Z1192" s="38"/>
      <c r="AA1192" s="38"/>
      <c r="AB1192" s="38"/>
      <c r="AC1192" s="38"/>
      <c r="AD1192" s="38"/>
      <c r="AE1192" s="38"/>
      <c r="AF1192" s="38"/>
      <c r="AG1192" s="38"/>
      <c r="AH1192" s="38"/>
    </row>
    <row r="1193" spans="3:34" ht="20.100000000000001" customHeight="1">
      <c r="C1193" s="113"/>
      <c r="D1193" s="114"/>
      <c r="P1193" s="82"/>
      <c r="Q1193" s="82"/>
      <c r="R1193" s="38"/>
      <c r="S1193" s="38"/>
      <c r="T1193" s="38"/>
      <c r="U1193" s="38"/>
      <c r="V1193" s="38"/>
      <c r="W1193" s="38"/>
      <c r="X1193" s="38"/>
      <c r="Y1193" s="38"/>
      <c r="Z1193" s="38"/>
      <c r="AA1193" s="38"/>
      <c r="AB1193" s="38"/>
      <c r="AC1193" s="38"/>
      <c r="AD1193" s="38"/>
      <c r="AE1193" s="38"/>
      <c r="AF1193" s="38"/>
      <c r="AG1193" s="38"/>
      <c r="AH1193" s="38"/>
    </row>
    <row r="1194" spans="3:34" ht="20.100000000000001" customHeight="1">
      <c r="C1194" s="113"/>
      <c r="D1194" s="114"/>
      <c r="P1194" s="82"/>
      <c r="Q1194" s="82"/>
      <c r="R1194" s="38"/>
      <c r="S1194" s="38"/>
      <c r="T1194" s="38"/>
      <c r="U1194" s="38"/>
      <c r="V1194" s="38"/>
      <c r="W1194" s="38"/>
      <c r="X1194" s="38"/>
      <c r="Y1194" s="38"/>
      <c r="Z1194" s="38"/>
      <c r="AA1194" s="38"/>
      <c r="AB1194" s="38"/>
      <c r="AC1194" s="38"/>
      <c r="AD1194" s="38"/>
      <c r="AE1194" s="38"/>
      <c r="AF1194" s="38"/>
      <c r="AG1194" s="38"/>
      <c r="AH1194" s="38"/>
    </row>
    <row r="1195" spans="3:34" ht="20.100000000000001" customHeight="1">
      <c r="C1195" s="113"/>
      <c r="D1195" s="114"/>
      <c r="P1195" s="82"/>
      <c r="Q1195" s="82"/>
      <c r="R1195" s="38"/>
      <c r="S1195" s="38"/>
      <c r="T1195" s="38"/>
      <c r="U1195" s="38"/>
      <c r="V1195" s="38"/>
      <c r="W1195" s="38"/>
      <c r="X1195" s="38"/>
      <c r="Y1195" s="38"/>
      <c r="Z1195" s="38"/>
      <c r="AA1195" s="38"/>
      <c r="AB1195" s="38"/>
      <c r="AC1195" s="38"/>
      <c r="AD1195" s="38"/>
      <c r="AE1195" s="38"/>
      <c r="AF1195" s="38"/>
      <c r="AG1195" s="38"/>
      <c r="AH1195" s="38"/>
    </row>
    <row r="1196" spans="3:34" ht="20.100000000000001" customHeight="1">
      <c r="C1196" s="113"/>
      <c r="D1196" s="114"/>
      <c r="P1196" s="82"/>
      <c r="Q1196" s="82"/>
      <c r="R1196" s="38"/>
      <c r="S1196" s="38"/>
      <c r="T1196" s="38"/>
      <c r="U1196" s="38"/>
      <c r="V1196" s="38"/>
      <c r="W1196" s="38"/>
      <c r="X1196" s="38"/>
      <c r="Y1196" s="38"/>
      <c r="Z1196" s="38"/>
      <c r="AA1196" s="38"/>
      <c r="AB1196" s="38"/>
      <c r="AC1196" s="38"/>
      <c r="AD1196" s="38"/>
      <c r="AE1196" s="38"/>
      <c r="AF1196" s="38"/>
      <c r="AG1196" s="38"/>
      <c r="AH1196" s="38"/>
    </row>
    <row r="1197" spans="3:34" ht="20.100000000000001" customHeight="1">
      <c r="C1197" s="113"/>
      <c r="D1197" s="114"/>
      <c r="P1197" s="82"/>
      <c r="Q1197" s="82"/>
      <c r="R1197" s="38"/>
      <c r="S1197" s="38"/>
      <c r="T1197" s="38"/>
      <c r="U1197" s="38"/>
      <c r="V1197" s="38"/>
      <c r="W1197" s="38"/>
      <c r="X1197" s="38"/>
      <c r="Y1197" s="38"/>
      <c r="Z1197" s="38"/>
      <c r="AA1197" s="38"/>
      <c r="AB1197" s="38"/>
      <c r="AC1197" s="38"/>
      <c r="AD1197" s="38"/>
      <c r="AE1197" s="38"/>
      <c r="AF1197" s="38"/>
      <c r="AG1197" s="38"/>
      <c r="AH1197" s="38"/>
    </row>
    <row r="1198" spans="3:34" ht="20.100000000000001" customHeight="1">
      <c r="C1198" s="113"/>
      <c r="D1198" s="114"/>
      <c r="P1198" s="82"/>
      <c r="Q1198" s="82"/>
      <c r="R1198" s="38"/>
      <c r="S1198" s="38"/>
      <c r="T1198" s="38"/>
      <c r="U1198" s="38"/>
      <c r="V1198" s="38"/>
      <c r="W1198" s="38"/>
      <c r="X1198" s="38"/>
      <c r="Y1198" s="38"/>
      <c r="Z1198" s="38"/>
      <c r="AA1198" s="38"/>
      <c r="AB1198" s="38"/>
      <c r="AC1198" s="38"/>
      <c r="AD1198" s="38"/>
      <c r="AE1198" s="38"/>
      <c r="AF1198" s="38"/>
      <c r="AG1198" s="38"/>
      <c r="AH1198" s="38"/>
    </row>
    <row r="1199" spans="3:34" ht="20.100000000000001" customHeight="1">
      <c r="C1199" s="113"/>
      <c r="D1199" s="114"/>
      <c r="P1199" s="82"/>
      <c r="Q1199" s="82"/>
      <c r="R1199" s="38"/>
      <c r="S1199" s="38"/>
      <c r="T1199" s="38"/>
      <c r="U1199" s="38"/>
      <c r="V1199" s="38"/>
      <c r="W1199" s="38"/>
      <c r="X1199" s="38"/>
      <c r="Y1199" s="38"/>
      <c r="Z1199" s="38"/>
      <c r="AA1199" s="38"/>
      <c r="AB1199" s="38"/>
      <c r="AC1199" s="38"/>
      <c r="AD1199" s="38"/>
      <c r="AE1199" s="38"/>
      <c r="AF1199" s="38"/>
      <c r="AG1199" s="38"/>
      <c r="AH1199" s="38"/>
    </row>
    <row r="1200" spans="3:34" ht="20.100000000000001" customHeight="1">
      <c r="C1200" s="113"/>
      <c r="D1200" s="114"/>
      <c r="P1200" s="82"/>
      <c r="Q1200" s="82"/>
      <c r="R1200" s="38"/>
      <c r="S1200" s="38"/>
      <c r="T1200" s="38"/>
      <c r="U1200" s="38"/>
      <c r="V1200" s="38"/>
      <c r="W1200" s="38"/>
      <c r="X1200" s="38"/>
      <c r="Y1200" s="38"/>
      <c r="Z1200" s="38"/>
      <c r="AA1200" s="38"/>
      <c r="AB1200" s="38"/>
      <c r="AC1200" s="38"/>
      <c r="AD1200" s="38"/>
      <c r="AE1200" s="38"/>
      <c r="AF1200" s="38"/>
      <c r="AG1200" s="38"/>
      <c r="AH1200" s="38"/>
    </row>
    <row r="1201" spans="3:34" ht="20.100000000000001" customHeight="1">
      <c r="C1201" s="113"/>
      <c r="D1201" s="114"/>
      <c r="P1201" s="82"/>
      <c r="Q1201" s="82"/>
      <c r="R1201" s="38"/>
      <c r="S1201" s="38"/>
      <c r="T1201" s="38"/>
      <c r="U1201" s="38"/>
      <c r="V1201" s="38"/>
      <c r="W1201" s="38"/>
      <c r="X1201" s="38"/>
      <c r="Y1201" s="38"/>
      <c r="Z1201" s="38"/>
      <c r="AA1201" s="38"/>
      <c r="AB1201" s="38"/>
      <c r="AC1201" s="38"/>
      <c r="AD1201" s="38"/>
      <c r="AE1201" s="38"/>
      <c r="AF1201" s="38"/>
      <c r="AG1201" s="38"/>
      <c r="AH1201" s="38"/>
    </row>
    <row r="1202" spans="3:34" ht="20.100000000000001" customHeight="1">
      <c r="C1202" s="113"/>
      <c r="D1202" s="114"/>
      <c r="P1202" s="82"/>
      <c r="Q1202" s="82"/>
      <c r="R1202" s="38"/>
      <c r="S1202" s="38"/>
      <c r="T1202" s="38"/>
      <c r="U1202" s="38"/>
      <c r="V1202" s="38"/>
      <c r="W1202" s="38"/>
      <c r="X1202" s="38"/>
      <c r="Y1202" s="38"/>
      <c r="Z1202" s="38"/>
      <c r="AA1202" s="38"/>
      <c r="AB1202" s="38"/>
      <c r="AC1202" s="38"/>
      <c r="AD1202" s="38"/>
      <c r="AE1202" s="38"/>
      <c r="AF1202" s="38"/>
      <c r="AG1202" s="38"/>
      <c r="AH1202" s="38"/>
    </row>
    <row r="1203" spans="3:34" ht="20.100000000000001" customHeight="1">
      <c r="C1203" s="113"/>
      <c r="D1203" s="114"/>
      <c r="P1203" s="82"/>
      <c r="Q1203" s="82"/>
      <c r="R1203" s="38"/>
      <c r="S1203" s="38"/>
      <c r="T1203" s="38"/>
      <c r="U1203" s="38"/>
      <c r="V1203" s="38"/>
      <c r="W1203" s="38"/>
      <c r="X1203" s="38"/>
      <c r="Y1203" s="38"/>
      <c r="Z1203" s="38"/>
      <c r="AA1203" s="38"/>
      <c r="AB1203" s="38"/>
      <c r="AC1203" s="38"/>
      <c r="AD1203" s="38"/>
      <c r="AE1203" s="38"/>
      <c r="AF1203" s="38"/>
      <c r="AG1203" s="38"/>
      <c r="AH1203" s="38"/>
    </row>
    <row r="1204" spans="3:34" ht="20.100000000000001" customHeight="1">
      <c r="C1204" s="113"/>
      <c r="D1204" s="114"/>
      <c r="P1204" s="82"/>
      <c r="Q1204" s="82"/>
      <c r="R1204" s="38"/>
      <c r="S1204" s="38"/>
      <c r="T1204" s="38"/>
      <c r="U1204" s="38"/>
      <c r="V1204" s="38"/>
      <c r="W1204" s="38"/>
      <c r="X1204" s="38"/>
      <c r="Y1204" s="38"/>
      <c r="Z1204" s="38"/>
      <c r="AA1204" s="38"/>
      <c r="AB1204" s="38"/>
      <c r="AC1204" s="38"/>
      <c r="AD1204" s="38"/>
      <c r="AE1204" s="38"/>
      <c r="AF1204" s="38"/>
      <c r="AG1204" s="38"/>
      <c r="AH1204" s="38"/>
    </row>
    <row r="1205" spans="3:34" ht="20.100000000000001" customHeight="1">
      <c r="C1205" s="113"/>
      <c r="D1205" s="114"/>
      <c r="P1205" s="82"/>
      <c r="Q1205" s="82"/>
      <c r="R1205" s="38"/>
      <c r="S1205" s="38"/>
      <c r="T1205" s="38"/>
      <c r="U1205" s="38"/>
      <c r="V1205" s="38"/>
      <c r="W1205" s="38"/>
      <c r="X1205" s="38"/>
      <c r="Y1205" s="38"/>
      <c r="Z1205" s="38"/>
      <c r="AA1205" s="38"/>
      <c r="AB1205" s="38"/>
      <c r="AC1205" s="38"/>
      <c r="AD1205" s="38"/>
      <c r="AE1205" s="38"/>
      <c r="AF1205" s="38"/>
      <c r="AG1205" s="38"/>
      <c r="AH1205" s="38"/>
    </row>
    <row r="1206" spans="3:34" ht="20.100000000000001" customHeight="1">
      <c r="C1206" s="113"/>
      <c r="D1206" s="114"/>
      <c r="P1206" s="82"/>
      <c r="Q1206" s="82"/>
      <c r="R1206" s="38"/>
      <c r="S1206" s="38"/>
      <c r="T1206" s="38"/>
      <c r="U1206" s="38"/>
      <c r="V1206" s="38"/>
      <c r="W1206" s="38"/>
      <c r="X1206" s="38"/>
      <c r="Y1206" s="38"/>
      <c r="Z1206" s="38"/>
      <c r="AA1206" s="38"/>
      <c r="AB1206" s="38"/>
      <c r="AC1206" s="38"/>
      <c r="AD1206" s="38"/>
      <c r="AE1206" s="38"/>
      <c r="AF1206" s="38"/>
      <c r="AG1206" s="38"/>
      <c r="AH1206" s="38"/>
    </row>
    <row r="1207" spans="3:34" ht="20.100000000000001" customHeight="1">
      <c r="C1207" s="113"/>
      <c r="D1207" s="114"/>
      <c r="P1207" s="82"/>
      <c r="Q1207" s="82"/>
      <c r="R1207" s="38"/>
      <c r="S1207" s="38"/>
      <c r="T1207" s="38"/>
      <c r="U1207" s="38"/>
      <c r="V1207" s="38"/>
      <c r="W1207" s="38"/>
      <c r="X1207" s="38"/>
      <c r="Y1207" s="38"/>
      <c r="Z1207" s="38"/>
      <c r="AA1207" s="38"/>
      <c r="AB1207" s="38"/>
      <c r="AC1207" s="38"/>
      <c r="AD1207" s="38"/>
      <c r="AE1207" s="38"/>
      <c r="AF1207" s="38"/>
      <c r="AG1207" s="38"/>
      <c r="AH1207" s="38"/>
    </row>
    <row r="1208" spans="3:34" ht="20.100000000000001" customHeight="1">
      <c r="C1208" s="113"/>
      <c r="D1208" s="114"/>
      <c r="P1208" s="82"/>
      <c r="Q1208" s="82"/>
      <c r="R1208" s="38"/>
      <c r="S1208" s="38"/>
      <c r="T1208" s="38"/>
      <c r="U1208" s="38"/>
      <c r="V1208" s="38"/>
      <c r="W1208" s="38"/>
      <c r="X1208" s="38"/>
      <c r="Y1208" s="38"/>
      <c r="Z1208" s="38"/>
      <c r="AA1208" s="38"/>
      <c r="AB1208" s="38"/>
      <c r="AC1208" s="38"/>
      <c r="AD1208" s="38"/>
      <c r="AE1208" s="38"/>
      <c r="AF1208" s="38"/>
      <c r="AG1208" s="38"/>
      <c r="AH1208" s="38"/>
    </row>
    <row r="1209" spans="3:34" ht="20.100000000000001" customHeight="1">
      <c r="C1209" s="113"/>
      <c r="D1209" s="114"/>
      <c r="P1209" s="82"/>
      <c r="Q1209" s="82"/>
      <c r="R1209" s="38"/>
      <c r="S1209" s="38"/>
      <c r="T1209" s="38"/>
      <c r="U1209" s="38"/>
      <c r="V1209" s="38"/>
      <c r="W1209" s="38"/>
      <c r="X1209" s="38"/>
      <c r="Y1209" s="38"/>
      <c r="Z1209" s="38"/>
      <c r="AA1209" s="38"/>
      <c r="AB1209" s="38"/>
      <c r="AC1209" s="38"/>
      <c r="AD1209" s="38"/>
      <c r="AE1209" s="38"/>
      <c r="AF1209" s="38"/>
      <c r="AG1209" s="38"/>
      <c r="AH1209" s="38"/>
    </row>
    <row r="1210" spans="3:34" ht="20.100000000000001" customHeight="1">
      <c r="C1210" s="113"/>
      <c r="D1210" s="114"/>
      <c r="P1210" s="82"/>
      <c r="Q1210" s="82"/>
      <c r="R1210" s="38"/>
      <c r="S1210" s="38"/>
      <c r="T1210" s="38"/>
      <c r="U1210" s="38"/>
      <c r="V1210" s="38"/>
      <c r="W1210" s="38"/>
      <c r="X1210" s="38"/>
      <c r="Y1210" s="38"/>
      <c r="Z1210" s="38"/>
      <c r="AA1210" s="38"/>
      <c r="AB1210" s="38"/>
      <c r="AC1210" s="38"/>
      <c r="AD1210" s="38"/>
      <c r="AE1210" s="38"/>
      <c r="AF1210" s="38"/>
      <c r="AG1210" s="38"/>
      <c r="AH1210" s="38"/>
    </row>
    <row r="1211" spans="3:34" ht="20.100000000000001" customHeight="1">
      <c r="C1211" s="113"/>
      <c r="D1211" s="114"/>
      <c r="P1211" s="82"/>
      <c r="Q1211" s="82"/>
      <c r="R1211" s="38"/>
      <c r="S1211" s="38"/>
      <c r="T1211" s="38"/>
      <c r="U1211" s="38"/>
      <c r="V1211" s="38"/>
      <c r="W1211" s="38"/>
      <c r="X1211" s="38"/>
      <c r="Y1211" s="38"/>
      <c r="Z1211" s="38"/>
      <c r="AA1211" s="38"/>
      <c r="AB1211" s="38"/>
      <c r="AC1211" s="38"/>
      <c r="AD1211" s="38"/>
      <c r="AE1211" s="38"/>
      <c r="AF1211" s="38"/>
      <c r="AG1211" s="38"/>
      <c r="AH1211" s="38"/>
    </row>
    <row r="1212" spans="3:34" ht="20.100000000000001" customHeight="1">
      <c r="C1212" s="113"/>
      <c r="D1212" s="114"/>
      <c r="P1212" s="82"/>
      <c r="Q1212" s="82"/>
      <c r="R1212" s="38"/>
      <c r="S1212" s="38"/>
      <c r="T1212" s="38"/>
      <c r="U1212" s="38"/>
      <c r="V1212" s="38"/>
      <c r="W1212" s="38"/>
      <c r="X1212" s="38"/>
      <c r="Y1212" s="38"/>
      <c r="Z1212" s="38"/>
      <c r="AA1212" s="38"/>
      <c r="AB1212" s="38"/>
      <c r="AC1212" s="38"/>
      <c r="AD1212" s="38"/>
      <c r="AE1212" s="38"/>
      <c r="AF1212" s="38"/>
      <c r="AG1212" s="38"/>
      <c r="AH1212" s="38"/>
    </row>
    <row r="1213" spans="3:34" ht="20.100000000000001" customHeight="1">
      <c r="C1213" s="113"/>
      <c r="D1213" s="114"/>
      <c r="P1213" s="82"/>
      <c r="Q1213" s="82"/>
      <c r="R1213" s="38"/>
      <c r="S1213" s="38"/>
      <c r="T1213" s="38"/>
      <c r="U1213" s="38"/>
      <c r="V1213" s="38"/>
      <c r="W1213" s="38"/>
      <c r="X1213" s="38"/>
      <c r="Y1213" s="38"/>
      <c r="Z1213" s="38"/>
      <c r="AA1213" s="38"/>
      <c r="AB1213" s="38"/>
      <c r="AC1213" s="38"/>
      <c r="AD1213" s="38"/>
      <c r="AE1213" s="38"/>
      <c r="AF1213" s="38"/>
      <c r="AG1213" s="38"/>
      <c r="AH1213" s="38"/>
    </row>
    <row r="1214" spans="3:34" ht="20.100000000000001" customHeight="1">
      <c r="C1214" s="113"/>
      <c r="D1214" s="114"/>
      <c r="P1214" s="82"/>
      <c r="Q1214" s="82"/>
      <c r="R1214" s="38"/>
      <c r="S1214" s="38"/>
      <c r="T1214" s="38"/>
      <c r="U1214" s="38"/>
      <c r="V1214" s="38"/>
      <c r="W1214" s="38"/>
      <c r="X1214" s="38"/>
      <c r="Y1214" s="38"/>
      <c r="Z1214" s="38"/>
      <c r="AA1214" s="38"/>
      <c r="AB1214" s="38"/>
      <c r="AC1214" s="38"/>
      <c r="AD1214" s="38"/>
      <c r="AE1214" s="38"/>
      <c r="AF1214" s="38"/>
      <c r="AG1214" s="38"/>
      <c r="AH1214" s="38"/>
    </row>
    <row r="1215" spans="3:34" ht="20.100000000000001" customHeight="1">
      <c r="C1215" s="113"/>
      <c r="D1215" s="114"/>
      <c r="P1215" s="82"/>
      <c r="Q1215" s="82"/>
      <c r="R1215" s="38"/>
      <c r="S1215" s="38"/>
      <c r="T1215" s="38"/>
      <c r="U1215" s="38"/>
      <c r="V1215" s="38"/>
      <c r="W1215" s="38"/>
      <c r="X1215" s="38"/>
      <c r="Y1215" s="38"/>
      <c r="Z1215" s="38"/>
      <c r="AA1215" s="38"/>
      <c r="AB1215" s="38"/>
      <c r="AC1215" s="38"/>
      <c r="AD1215" s="38"/>
      <c r="AE1215" s="38"/>
      <c r="AF1215" s="38"/>
      <c r="AG1215" s="38"/>
      <c r="AH1215" s="38"/>
    </row>
    <row r="1216" spans="3:34" ht="20.100000000000001" customHeight="1">
      <c r="C1216" s="113"/>
      <c r="D1216" s="114"/>
      <c r="P1216" s="82"/>
      <c r="Q1216" s="82"/>
      <c r="R1216" s="38"/>
      <c r="S1216" s="38"/>
      <c r="T1216" s="38"/>
      <c r="U1216" s="38"/>
      <c r="V1216" s="38"/>
      <c r="W1216" s="38"/>
      <c r="X1216" s="38"/>
      <c r="Y1216" s="38"/>
      <c r="Z1216" s="38"/>
      <c r="AA1216" s="38"/>
      <c r="AB1216" s="38"/>
      <c r="AC1216" s="38"/>
      <c r="AD1216" s="38"/>
      <c r="AE1216" s="38"/>
      <c r="AF1216" s="38"/>
      <c r="AG1216" s="38"/>
      <c r="AH1216" s="38"/>
    </row>
    <row r="1217" spans="3:34" ht="20.100000000000001" customHeight="1">
      <c r="C1217" s="113"/>
      <c r="D1217" s="114"/>
      <c r="P1217" s="82"/>
      <c r="Q1217" s="82"/>
      <c r="R1217" s="38"/>
      <c r="S1217" s="38"/>
      <c r="T1217" s="38"/>
      <c r="U1217" s="38"/>
      <c r="V1217" s="38"/>
      <c r="W1217" s="38"/>
      <c r="X1217" s="38"/>
      <c r="Y1217" s="38"/>
      <c r="Z1217" s="38"/>
      <c r="AA1217" s="38"/>
      <c r="AB1217" s="38"/>
      <c r="AC1217" s="38"/>
      <c r="AD1217" s="38"/>
      <c r="AE1217" s="38"/>
      <c r="AF1217" s="38"/>
      <c r="AG1217" s="38"/>
      <c r="AH1217" s="38"/>
    </row>
    <row r="1218" spans="3:34" ht="20.100000000000001" customHeight="1">
      <c r="C1218" s="113"/>
      <c r="D1218" s="114"/>
      <c r="P1218" s="82"/>
      <c r="Q1218" s="82"/>
      <c r="R1218" s="38"/>
      <c r="S1218" s="38"/>
      <c r="T1218" s="38"/>
      <c r="U1218" s="38"/>
      <c r="V1218" s="38"/>
      <c r="W1218" s="38"/>
      <c r="X1218" s="38"/>
      <c r="Y1218" s="38"/>
      <c r="Z1218" s="38"/>
      <c r="AA1218" s="38"/>
      <c r="AB1218" s="38"/>
      <c r="AC1218" s="38"/>
      <c r="AD1218" s="38"/>
      <c r="AE1218" s="38"/>
      <c r="AF1218" s="38"/>
      <c r="AG1218" s="38"/>
      <c r="AH1218" s="38"/>
    </row>
    <row r="1219" spans="3:34" ht="20.100000000000001" customHeight="1">
      <c r="C1219" s="113"/>
      <c r="D1219" s="114"/>
      <c r="P1219" s="82"/>
      <c r="Q1219" s="82"/>
      <c r="R1219" s="38"/>
      <c r="S1219" s="38"/>
      <c r="T1219" s="38"/>
      <c r="U1219" s="38"/>
      <c r="V1219" s="38"/>
      <c r="W1219" s="38"/>
      <c r="X1219" s="38"/>
      <c r="Y1219" s="38"/>
      <c r="Z1219" s="38"/>
      <c r="AA1219" s="38"/>
      <c r="AB1219" s="38"/>
      <c r="AC1219" s="38"/>
      <c r="AD1219" s="38"/>
      <c r="AE1219" s="38"/>
      <c r="AF1219" s="38"/>
      <c r="AG1219" s="38"/>
      <c r="AH1219" s="38"/>
    </row>
    <row r="1220" spans="3:34" ht="20.100000000000001" customHeight="1">
      <c r="C1220" s="113"/>
      <c r="D1220" s="114"/>
      <c r="P1220" s="82"/>
      <c r="Q1220" s="82"/>
      <c r="R1220" s="38"/>
      <c r="S1220" s="38"/>
      <c r="T1220" s="38"/>
      <c r="U1220" s="38"/>
      <c r="V1220" s="38"/>
      <c r="W1220" s="38"/>
      <c r="X1220" s="38"/>
      <c r="Y1220" s="38"/>
      <c r="Z1220" s="38"/>
      <c r="AA1220" s="38"/>
      <c r="AB1220" s="38"/>
      <c r="AC1220" s="38"/>
      <c r="AD1220" s="38"/>
      <c r="AE1220" s="38"/>
      <c r="AF1220" s="38"/>
      <c r="AG1220" s="38"/>
      <c r="AH1220" s="38"/>
    </row>
    <row r="1221" spans="3:34" ht="20.100000000000001" customHeight="1">
      <c r="C1221" s="113"/>
      <c r="D1221" s="114"/>
      <c r="P1221" s="82"/>
      <c r="Q1221" s="82"/>
      <c r="R1221" s="38"/>
      <c r="S1221" s="38"/>
      <c r="T1221" s="38"/>
      <c r="U1221" s="38"/>
      <c r="V1221" s="38"/>
      <c r="W1221" s="38"/>
      <c r="X1221" s="38"/>
      <c r="Y1221" s="38"/>
      <c r="Z1221" s="38"/>
      <c r="AA1221" s="38"/>
      <c r="AB1221" s="38"/>
      <c r="AC1221" s="38"/>
      <c r="AD1221" s="38"/>
      <c r="AE1221" s="38"/>
      <c r="AF1221" s="38"/>
      <c r="AG1221" s="38"/>
      <c r="AH1221" s="38"/>
    </row>
    <row r="1222" spans="3:34" ht="20.100000000000001" customHeight="1">
      <c r="C1222" s="113"/>
      <c r="D1222" s="114"/>
      <c r="P1222" s="82"/>
      <c r="Q1222" s="82"/>
      <c r="R1222" s="38"/>
      <c r="S1222" s="38"/>
      <c r="T1222" s="38"/>
      <c r="U1222" s="38"/>
      <c r="V1222" s="38"/>
      <c r="W1222" s="38"/>
      <c r="X1222" s="38"/>
      <c r="Y1222" s="38"/>
      <c r="Z1222" s="38"/>
      <c r="AA1222" s="38"/>
      <c r="AB1222" s="38"/>
      <c r="AC1222" s="38"/>
      <c r="AD1222" s="38"/>
      <c r="AE1222" s="38"/>
      <c r="AF1222" s="38"/>
      <c r="AG1222" s="38"/>
      <c r="AH1222" s="38"/>
    </row>
    <row r="1223" spans="3:34" ht="20.100000000000001" customHeight="1">
      <c r="C1223" s="113"/>
      <c r="D1223" s="114"/>
      <c r="P1223" s="82"/>
      <c r="Q1223" s="82"/>
      <c r="R1223" s="38"/>
      <c r="S1223" s="38"/>
      <c r="T1223" s="38"/>
      <c r="U1223" s="38"/>
      <c r="V1223" s="38"/>
      <c r="W1223" s="38"/>
      <c r="X1223" s="38"/>
      <c r="Y1223" s="38"/>
      <c r="Z1223" s="38"/>
      <c r="AA1223" s="38"/>
      <c r="AB1223" s="38"/>
      <c r="AC1223" s="38"/>
      <c r="AD1223" s="38"/>
      <c r="AE1223" s="38"/>
      <c r="AF1223" s="38"/>
      <c r="AG1223" s="38"/>
      <c r="AH1223" s="38"/>
    </row>
    <row r="1224" spans="3:34" ht="20.100000000000001" customHeight="1">
      <c r="C1224" s="113"/>
      <c r="D1224" s="114"/>
      <c r="P1224" s="82"/>
      <c r="Q1224" s="82"/>
      <c r="R1224" s="38"/>
      <c r="S1224" s="38"/>
      <c r="T1224" s="38"/>
      <c r="U1224" s="38"/>
      <c r="V1224" s="38"/>
      <c r="W1224" s="38"/>
      <c r="X1224" s="38"/>
      <c r="Y1224" s="38"/>
      <c r="Z1224" s="38"/>
      <c r="AA1224" s="38"/>
      <c r="AB1224" s="38"/>
      <c r="AC1224" s="38"/>
      <c r="AD1224" s="38"/>
      <c r="AE1224" s="38"/>
      <c r="AF1224" s="38"/>
      <c r="AG1224" s="38"/>
      <c r="AH1224" s="38"/>
    </row>
    <row r="1225" spans="3:34" ht="20.100000000000001" customHeight="1">
      <c r="C1225" s="113"/>
      <c r="D1225" s="114"/>
      <c r="P1225" s="82"/>
      <c r="Q1225" s="82"/>
      <c r="R1225" s="38"/>
      <c r="S1225" s="38"/>
      <c r="T1225" s="38"/>
      <c r="U1225" s="38"/>
      <c r="V1225" s="38"/>
      <c r="W1225" s="38"/>
      <c r="X1225" s="38"/>
      <c r="Y1225" s="38"/>
      <c r="Z1225" s="38"/>
      <c r="AA1225" s="38"/>
      <c r="AB1225" s="38"/>
      <c r="AC1225" s="38"/>
      <c r="AD1225" s="38"/>
      <c r="AE1225" s="38"/>
      <c r="AF1225" s="38"/>
      <c r="AG1225" s="38"/>
      <c r="AH1225" s="38"/>
    </row>
    <row r="1226" spans="3:34" ht="20.100000000000001" customHeight="1">
      <c r="C1226" s="113"/>
      <c r="D1226" s="114"/>
      <c r="P1226" s="82"/>
      <c r="Q1226" s="82"/>
      <c r="R1226" s="38"/>
      <c r="S1226" s="38"/>
      <c r="T1226" s="38"/>
      <c r="U1226" s="38"/>
      <c r="V1226" s="38"/>
      <c r="W1226" s="38"/>
      <c r="X1226" s="38"/>
      <c r="Y1226" s="38"/>
      <c r="Z1226" s="38"/>
      <c r="AA1226" s="38"/>
      <c r="AB1226" s="38"/>
      <c r="AC1226" s="38"/>
      <c r="AD1226" s="38"/>
      <c r="AE1226" s="38"/>
      <c r="AF1226" s="38"/>
      <c r="AG1226" s="38"/>
      <c r="AH1226" s="38"/>
    </row>
    <row r="1227" spans="3:34" ht="20.100000000000001" customHeight="1">
      <c r="C1227" s="113"/>
      <c r="D1227" s="114"/>
      <c r="P1227" s="82"/>
      <c r="Q1227" s="82"/>
      <c r="R1227" s="38"/>
      <c r="S1227" s="38"/>
      <c r="T1227" s="38"/>
      <c r="U1227" s="38"/>
      <c r="V1227" s="38"/>
      <c r="W1227" s="38"/>
      <c r="X1227" s="38"/>
      <c r="Y1227" s="38"/>
      <c r="Z1227" s="38"/>
      <c r="AA1227" s="38"/>
      <c r="AB1227" s="38"/>
      <c r="AC1227" s="38"/>
      <c r="AD1227" s="38"/>
      <c r="AE1227" s="38"/>
      <c r="AF1227" s="38"/>
      <c r="AG1227" s="38"/>
      <c r="AH1227" s="38"/>
    </row>
    <row r="1228" spans="3:34" ht="20.100000000000001" customHeight="1">
      <c r="C1228" s="113"/>
      <c r="D1228" s="114"/>
      <c r="P1228" s="82"/>
      <c r="Q1228" s="82"/>
      <c r="R1228" s="38"/>
      <c r="S1228" s="38"/>
      <c r="T1228" s="38"/>
      <c r="U1228" s="38"/>
      <c r="V1228" s="38"/>
      <c r="W1228" s="38"/>
      <c r="X1228" s="38"/>
      <c r="Y1228" s="38"/>
      <c r="Z1228" s="38"/>
      <c r="AA1228" s="38"/>
      <c r="AB1228" s="38"/>
      <c r="AC1228" s="38"/>
      <c r="AD1228" s="38"/>
      <c r="AE1228" s="38"/>
      <c r="AF1228" s="38"/>
      <c r="AG1228" s="38"/>
      <c r="AH1228" s="38"/>
    </row>
    <row r="1229" spans="3:34" ht="20.100000000000001" customHeight="1">
      <c r="C1229" s="113"/>
      <c r="D1229" s="114"/>
      <c r="P1229" s="82"/>
      <c r="Q1229" s="82"/>
      <c r="R1229" s="38"/>
      <c r="S1229" s="38"/>
      <c r="T1229" s="38"/>
      <c r="U1229" s="38"/>
      <c r="V1229" s="38"/>
      <c r="W1229" s="38"/>
      <c r="X1229" s="38"/>
      <c r="Y1229" s="38"/>
      <c r="Z1229" s="38"/>
      <c r="AA1229" s="38"/>
      <c r="AB1229" s="38"/>
      <c r="AC1229" s="38"/>
      <c r="AD1229" s="38"/>
      <c r="AE1229" s="38"/>
      <c r="AF1229" s="38"/>
      <c r="AG1229" s="38"/>
      <c r="AH1229" s="38"/>
    </row>
    <row r="1230" spans="3:34" ht="20.100000000000001" customHeight="1">
      <c r="C1230" s="113"/>
      <c r="D1230" s="114"/>
      <c r="P1230" s="82"/>
      <c r="Q1230" s="82"/>
      <c r="R1230" s="38"/>
      <c r="S1230" s="38"/>
      <c r="T1230" s="38"/>
      <c r="U1230" s="38"/>
      <c r="V1230" s="38"/>
      <c r="W1230" s="38"/>
      <c r="X1230" s="38"/>
      <c r="Y1230" s="38"/>
      <c r="Z1230" s="38"/>
      <c r="AA1230" s="38"/>
      <c r="AB1230" s="38"/>
      <c r="AC1230" s="38"/>
      <c r="AD1230" s="38"/>
      <c r="AE1230" s="38"/>
      <c r="AF1230" s="38"/>
      <c r="AG1230" s="38"/>
      <c r="AH1230" s="38"/>
    </row>
    <row r="1231" spans="3:34" ht="20.100000000000001" customHeight="1">
      <c r="C1231" s="113"/>
      <c r="D1231" s="114"/>
      <c r="P1231" s="82"/>
      <c r="Q1231" s="82"/>
      <c r="R1231" s="38"/>
      <c r="S1231" s="38"/>
      <c r="T1231" s="38"/>
      <c r="U1231" s="38"/>
      <c r="V1231" s="38"/>
      <c r="W1231" s="38"/>
      <c r="X1231" s="38"/>
      <c r="Y1231" s="38"/>
      <c r="Z1231" s="38"/>
      <c r="AA1231" s="38"/>
      <c r="AB1231" s="38"/>
      <c r="AC1231" s="38"/>
      <c r="AD1231" s="38"/>
      <c r="AE1231" s="38"/>
      <c r="AF1231" s="38"/>
      <c r="AG1231" s="38"/>
      <c r="AH1231" s="38"/>
    </row>
    <row r="1232" spans="3:34" ht="20.100000000000001" customHeight="1">
      <c r="C1232" s="113"/>
      <c r="D1232" s="114"/>
      <c r="P1232" s="82"/>
      <c r="Q1232" s="82"/>
      <c r="R1232" s="38"/>
      <c r="S1232" s="38"/>
      <c r="T1232" s="38"/>
      <c r="U1232" s="38"/>
      <c r="V1232" s="38"/>
      <c r="W1232" s="38"/>
      <c r="X1232" s="38"/>
      <c r="Y1232" s="38"/>
      <c r="Z1232" s="38"/>
      <c r="AA1232" s="38"/>
      <c r="AB1232" s="38"/>
      <c r="AC1232" s="38"/>
      <c r="AD1232" s="38"/>
      <c r="AE1232" s="38"/>
      <c r="AF1232" s="38"/>
      <c r="AG1232" s="38"/>
      <c r="AH1232" s="38"/>
    </row>
    <row r="1233" spans="3:34" ht="20.100000000000001" customHeight="1">
      <c r="C1233" s="113"/>
      <c r="D1233" s="114"/>
      <c r="P1233" s="82"/>
      <c r="Q1233" s="82"/>
      <c r="R1233" s="38"/>
      <c r="S1233" s="38"/>
      <c r="T1233" s="38"/>
      <c r="U1233" s="38"/>
      <c r="V1233" s="38"/>
      <c r="W1233" s="38"/>
      <c r="X1233" s="38"/>
      <c r="Y1233" s="38"/>
      <c r="Z1233" s="38"/>
      <c r="AA1233" s="38"/>
      <c r="AB1233" s="38"/>
      <c r="AC1233" s="38"/>
      <c r="AD1233" s="38"/>
      <c r="AE1233" s="38"/>
      <c r="AF1233" s="38"/>
      <c r="AG1233" s="38"/>
      <c r="AH1233" s="38"/>
    </row>
    <row r="1234" spans="3:34" ht="20.100000000000001" customHeight="1">
      <c r="C1234" s="113"/>
      <c r="D1234" s="114"/>
      <c r="P1234" s="82"/>
      <c r="Q1234" s="82"/>
      <c r="R1234" s="38"/>
      <c r="S1234" s="38"/>
      <c r="T1234" s="38"/>
      <c r="U1234" s="38"/>
      <c r="V1234" s="38"/>
      <c r="W1234" s="38"/>
      <c r="X1234" s="38"/>
      <c r="Y1234" s="38"/>
      <c r="Z1234" s="38"/>
      <c r="AA1234" s="38"/>
      <c r="AB1234" s="38"/>
      <c r="AC1234" s="38"/>
      <c r="AD1234" s="38"/>
      <c r="AE1234" s="38"/>
      <c r="AF1234" s="38"/>
      <c r="AG1234" s="38"/>
      <c r="AH1234" s="38"/>
    </row>
    <row r="1235" spans="3:34" ht="20.100000000000001" customHeight="1">
      <c r="C1235" s="113"/>
      <c r="D1235" s="114"/>
      <c r="P1235" s="82"/>
      <c r="Q1235" s="82"/>
      <c r="R1235" s="38"/>
      <c r="S1235" s="38"/>
      <c r="T1235" s="38"/>
      <c r="U1235" s="38"/>
      <c r="V1235" s="38"/>
      <c r="W1235" s="38"/>
      <c r="X1235" s="38"/>
      <c r="Y1235" s="38"/>
      <c r="Z1235" s="38"/>
      <c r="AA1235" s="38"/>
      <c r="AB1235" s="38"/>
      <c r="AC1235" s="38"/>
      <c r="AD1235" s="38"/>
      <c r="AE1235" s="38"/>
      <c r="AF1235" s="38"/>
      <c r="AG1235" s="38"/>
      <c r="AH1235" s="38"/>
    </row>
    <row r="1236" spans="3:34" ht="20.100000000000001" customHeight="1">
      <c r="C1236" s="113"/>
      <c r="D1236" s="114"/>
      <c r="P1236" s="82"/>
      <c r="Q1236" s="82"/>
      <c r="R1236" s="38"/>
      <c r="S1236" s="38"/>
      <c r="T1236" s="38"/>
      <c r="U1236" s="38"/>
      <c r="V1236" s="38"/>
      <c r="W1236" s="38"/>
      <c r="X1236" s="38"/>
      <c r="Y1236" s="38"/>
      <c r="Z1236" s="38"/>
      <c r="AA1236" s="38"/>
      <c r="AB1236" s="38"/>
      <c r="AC1236" s="38"/>
      <c r="AD1236" s="38"/>
      <c r="AE1236" s="38"/>
      <c r="AF1236" s="38"/>
      <c r="AG1236" s="38"/>
      <c r="AH1236" s="38"/>
    </row>
    <row r="1237" spans="3:34" ht="20.100000000000001" customHeight="1">
      <c r="C1237" s="113"/>
      <c r="D1237" s="114"/>
      <c r="P1237" s="82"/>
      <c r="Q1237" s="82"/>
      <c r="R1237" s="38"/>
      <c r="S1237" s="38"/>
      <c r="T1237" s="38"/>
      <c r="U1237" s="38"/>
      <c r="V1237" s="38"/>
      <c r="W1237" s="38"/>
      <c r="X1237" s="38"/>
      <c r="Y1237" s="38"/>
      <c r="Z1237" s="38"/>
      <c r="AA1237" s="38"/>
      <c r="AB1237" s="38"/>
      <c r="AC1237" s="38"/>
      <c r="AD1237" s="38"/>
      <c r="AE1237" s="38"/>
      <c r="AF1237" s="38"/>
      <c r="AG1237" s="38"/>
      <c r="AH1237" s="38"/>
    </row>
    <row r="1238" spans="3:34" ht="20.100000000000001" customHeight="1">
      <c r="C1238" s="113"/>
      <c r="D1238" s="114"/>
      <c r="P1238" s="82"/>
      <c r="Q1238" s="82"/>
      <c r="R1238" s="38"/>
      <c r="S1238" s="38"/>
      <c r="T1238" s="38"/>
      <c r="U1238" s="38"/>
      <c r="V1238" s="38"/>
      <c r="W1238" s="38"/>
      <c r="X1238" s="38"/>
      <c r="Y1238" s="38"/>
      <c r="Z1238" s="38"/>
      <c r="AA1238" s="38"/>
      <c r="AB1238" s="38"/>
      <c r="AC1238" s="38"/>
      <c r="AD1238" s="38"/>
      <c r="AE1238" s="38"/>
      <c r="AF1238" s="38"/>
      <c r="AG1238" s="38"/>
      <c r="AH1238" s="38"/>
    </row>
    <row r="1239" spans="3:34" ht="20.100000000000001" customHeight="1">
      <c r="C1239" s="113"/>
      <c r="D1239" s="114"/>
      <c r="P1239" s="82"/>
      <c r="Q1239" s="82"/>
      <c r="R1239" s="38"/>
      <c r="S1239" s="38"/>
      <c r="T1239" s="38"/>
      <c r="U1239" s="38"/>
      <c r="V1239" s="38"/>
      <c r="W1239" s="38"/>
      <c r="X1239" s="38"/>
      <c r="Y1239" s="38"/>
      <c r="Z1239" s="38"/>
      <c r="AA1239" s="38"/>
      <c r="AB1239" s="38"/>
      <c r="AC1239" s="38"/>
      <c r="AD1239" s="38"/>
      <c r="AE1239" s="38"/>
      <c r="AF1239" s="38"/>
      <c r="AG1239" s="38"/>
      <c r="AH1239" s="38"/>
    </row>
    <row r="1240" spans="3:34" ht="20.100000000000001" customHeight="1">
      <c r="C1240" s="113"/>
      <c r="D1240" s="114"/>
      <c r="P1240" s="82"/>
      <c r="Q1240" s="82"/>
      <c r="R1240" s="38"/>
      <c r="S1240" s="38"/>
      <c r="T1240" s="38"/>
      <c r="U1240" s="38"/>
      <c r="V1240" s="38"/>
      <c r="W1240" s="38"/>
      <c r="X1240" s="38"/>
      <c r="Y1240" s="38"/>
      <c r="Z1240" s="38"/>
      <c r="AA1240" s="38"/>
      <c r="AB1240" s="38"/>
      <c r="AC1240" s="38"/>
      <c r="AD1240" s="38"/>
      <c r="AE1240" s="38"/>
      <c r="AF1240" s="38"/>
      <c r="AG1240" s="38"/>
      <c r="AH1240" s="38"/>
    </row>
    <row r="1241" spans="3:34" ht="20.100000000000001" customHeight="1">
      <c r="C1241" s="113"/>
      <c r="D1241" s="114"/>
      <c r="P1241" s="82"/>
      <c r="Q1241" s="82"/>
      <c r="R1241" s="38"/>
      <c r="S1241" s="38"/>
      <c r="T1241" s="38"/>
      <c r="U1241" s="38"/>
      <c r="V1241" s="38"/>
      <c r="W1241" s="38"/>
      <c r="X1241" s="38"/>
      <c r="Y1241" s="38"/>
      <c r="Z1241" s="38"/>
      <c r="AA1241" s="38"/>
      <c r="AB1241" s="38"/>
      <c r="AC1241" s="38"/>
      <c r="AD1241" s="38"/>
      <c r="AE1241" s="38"/>
      <c r="AF1241" s="38"/>
      <c r="AG1241" s="38"/>
      <c r="AH1241" s="38"/>
    </row>
    <row r="1242" spans="3:34" ht="20.100000000000001" customHeight="1">
      <c r="C1242" s="113"/>
      <c r="D1242" s="114"/>
      <c r="P1242" s="82"/>
      <c r="Q1242" s="82"/>
      <c r="R1242" s="38"/>
      <c r="S1242" s="38"/>
      <c r="T1242" s="38"/>
      <c r="U1242" s="38"/>
      <c r="V1242" s="38"/>
      <c r="W1242" s="38"/>
      <c r="X1242" s="38"/>
      <c r="Y1242" s="38"/>
      <c r="Z1242" s="38"/>
      <c r="AA1242" s="38"/>
      <c r="AB1242" s="38"/>
      <c r="AC1242" s="38"/>
      <c r="AD1242" s="38"/>
      <c r="AE1242" s="38"/>
      <c r="AF1242" s="38"/>
      <c r="AG1242" s="38"/>
      <c r="AH1242" s="38"/>
    </row>
    <row r="1243" spans="3:34" ht="20.100000000000001" customHeight="1">
      <c r="C1243" s="113"/>
      <c r="D1243" s="114"/>
      <c r="P1243" s="82"/>
      <c r="Q1243" s="82"/>
      <c r="R1243" s="38"/>
      <c r="S1243" s="38"/>
      <c r="T1243" s="38"/>
      <c r="U1243" s="38"/>
      <c r="V1243" s="38"/>
      <c r="W1243" s="38"/>
      <c r="X1243" s="38"/>
      <c r="Y1243" s="38"/>
      <c r="Z1243" s="38"/>
      <c r="AA1243" s="38"/>
      <c r="AB1243" s="38"/>
      <c r="AC1243" s="38"/>
      <c r="AD1243" s="38"/>
      <c r="AE1243" s="38"/>
      <c r="AF1243" s="38"/>
      <c r="AG1243" s="38"/>
      <c r="AH1243" s="38"/>
    </row>
    <row r="1244" spans="3:34" ht="20.100000000000001" customHeight="1">
      <c r="C1244" s="113"/>
      <c r="D1244" s="114"/>
      <c r="P1244" s="82"/>
      <c r="Q1244" s="82"/>
      <c r="R1244" s="38"/>
      <c r="S1244" s="38"/>
      <c r="T1244" s="38"/>
      <c r="U1244" s="38"/>
      <c r="V1244" s="38"/>
      <c r="W1244" s="38"/>
      <c r="X1244" s="38"/>
      <c r="Y1244" s="38"/>
      <c r="Z1244" s="38"/>
      <c r="AA1244" s="38"/>
      <c r="AB1244" s="38"/>
      <c r="AC1244" s="38"/>
      <c r="AD1244" s="38"/>
      <c r="AE1244" s="38"/>
      <c r="AF1244" s="38"/>
      <c r="AG1244" s="38"/>
      <c r="AH1244" s="38"/>
    </row>
    <row r="1245" spans="3:34" ht="20.100000000000001" customHeight="1">
      <c r="C1245" s="113"/>
      <c r="D1245" s="114"/>
      <c r="P1245" s="82"/>
      <c r="Q1245" s="82"/>
      <c r="R1245" s="38"/>
      <c r="S1245" s="38"/>
      <c r="T1245" s="38"/>
      <c r="U1245" s="38"/>
      <c r="V1245" s="38"/>
      <c r="W1245" s="38"/>
      <c r="X1245" s="38"/>
      <c r="Y1245" s="38"/>
      <c r="Z1245" s="38"/>
      <c r="AA1245" s="38"/>
      <c r="AB1245" s="38"/>
      <c r="AC1245" s="38"/>
      <c r="AD1245" s="38"/>
      <c r="AE1245" s="38"/>
      <c r="AF1245" s="38"/>
      <c r="AG1245" s="38"/>
      <c r="AH1245" s="38"/>
    </row>
    <row r="1246" spans="3:34" ht="20.100000000000001" customHeight="1">
      <c r="C1246" s="113"/>
      <c r="D1246" s="114"/>
      <c r="P1246" s="82"/>
      <c r="Q1246" s="82"/>
      <c r="R1246" s="38"/>
      <c r="S1246" s="38"/>
      <c r="T1246" s="38"/>
      <c r="U1246" s="38"/>
      <c r="V1246" s="38"/>
      <c r="W1246" s="38"/>
      <c r="X1246" s="38"/>
      <c r="Y1246" s="38"/>
      <c r="Z1246" s="38"/>
      <c r="AA1246" s="38"/>
      <c r="AB1246" s="38"/>
      <c r="AC1246" s="38"/>
      <c r="AD1246" s="38"/>
      <c r="AE1246" s="38"/>
      <c r="AF1246" s="38"/>
      <c r="AG1246" s="38"/>
      <c r="AH1246" s="38"/>
    </row>
    <row r="1247" spans="3:34" ht="20.100000000000001" customHeight="1">
      <c r="C1247" s="113"/>
      <c r="D1247" s="114"/>
      <c r="P1247" s="82"/>
      <c r="Q1247" s="82"/>
      <c r="R1247" s="38"/>
      <c r="S1247" s="38"/>
      <c r="T1247" s="38"/>
      <c r="U1247" s="38"/>
      <c r="V1247" s="38"/>
      <c r="W1247" s="38"/>
      <c r="X1247" s="38"/>
      <c r="Y1247" s="38"/>
      <c r="Z1247" s="38"/>
      <c r="AA1247" s="38"/>
      <c r="AB1247" s="38"/>
      <c r="AC1247" s="38"/>
      <c r="AD1247" s="38"/>
      <c r="AE1247" s="38"/>
      <c r="AF1247" s="38"/>
      <c r="AG1247" s="38"/>
      <c r="AH1247" s="38"/>
    </row>
    <row r="1248" spans="3:34" ht="20.100000000000001" customHeight="1">
      <c r="C1248" s="113"/>
      <c r="D1248" s="114"/>
      <c r="P1248" s="82"/>
      <c r="Q1248" s="82"/>
      <c r="R1248" s="38"/>
      <c r="S1248" s="38"/>
      <c r="T1248" s="38"/>
      <c r="U1248" s="38"/>
      <c r="V1248" s="38"/>
      <c r="W1248" s="38"/>
      <c r="X1248" s="38"/>
      <c r="Y1248" s="38"/>
      <c r="Z1248" s="38"/>
      <c r="AA1248" s="38"/>
      <c r="AB1248" s="38"/>
      <c r="AC1248" s="38"/>
      <c r="AD1248" s="38"/>
      <c r="AE1248" s="38"/>
      <c r="AF1248" s="38"/>
      <c r="AG1248" s="38"/>
      <c r="AH1248" s="38"/>
    </row>
    <row r="1249" spans="3:34" ht="20.100000000000001" customHeight="1">
      <c r="C1249" s="113"/>
      <c r="D1249" s="114"/>
      <c r="P1249" s="82"/>
      <c r="Q1249" s="82"/>
      <c r="R1249" s="38"/>
      <c r="S1249" s="38"/>
      <c r="T1249" s="38"/>
      <c r="U1249" s="38"/>
      <c r="V1249" s="38"/>
      <c r="W1249" s="38"/>
      <c r="X1249" s="38"/>
      <c r="Y1249" s="38"/>
      <c r="Z1249" s="38"/>
      <c r="AA1249" s="38"/>
      <c r="AB1249" s="38"/>
      <c r="AC1249" s="38"/>
      <c r="AD1249" s="38"/>
      <c r="AE1249" s="38"/>
      <c r="AF1249" s="38"/>
      <c r="AG1249" s="38"/>
      <c r="AH1249" s="38"/>
    </row>
    <row r="1250" spans="3:34" ht="20.100000000000001" customHeight="1">
      <c r="C1250" s="113"/>
      <c r="D1250" s="114"/>
      <c r="P1250" s="82"/>
      <c r="Q1250" s="82"/>
      <c r="R1250" s="38"/>
      <c r="S1250" s="38"/>
      <c r="T1250" s="38"/>
      <c r="U1250" s="38"/>
      <c r="V1250" s="38"/>
      <c r="W1250" s="38"/>
      <c r="X1250" s="38"/>
      <c r="Y1250" s="38"/>
      <c r="Z1250" s="38"/>
      <c r="AA1250" s="38"/>
      <c r="AB1250" s="38"/>
      <c r="AC1250" s="38"/>
      <c r="AD1250" s="38"/>
      <c r="AE1250" s="38"/>
      <c r="AF1250" s="38"/>
      <c r="AG1250" s="38"/>
      <c r="AH1250" s="38"/>
    </row>
    <row r="1251" spans="3:34" ht="20.100000000000001" customHeight="1">
      <c r="C1251" s="113"/>
      <c r="D1251" s="114"/>
      <c r="P1251" s="82"/>
      <c r="Q1251" s="82"/>
      <c r="R1251" s="38"/>
      <c r="S1251" s="38"/>
      <c r="T1251" s="38"/>
      <c r="U1251" s="38"/>
      <c r="V1251" s="38"/>
      <c r="W1251" s="38"/>
      <c r="X1251" s="38"/>
      <c r="Y1251" s="38"/>
      <c r="Z1251" s="38"/>
      <c r="AA1251" s="38"/>
      <c r="AB1251" s="38"/>
      <c r="AC1251" s="38"/>
      <c r="AD1251" s="38"/>
      <c r="AE1251" s="38"/>
      <c r="AF1251" s="38"/>
      <c r="AG1251" s="38"/>
      <c r="AH1251" s="38"/>
    </row>
    <row r="1252" spans="3:34" ht="20.100000000000001" customHeight="1">
      <c r="C1252" s="113"/>
      <c r="D1252" s="114"/>
      <c r="P1252" s="82"/>
      <c r="Q1252" s="82"/>
      <c r="R1252" s="38"/>
      <c r="S1252" s="38"/>
      <c r="T1252" s="38"/>
      <c r="U1252" s="38"/>
      <c r="V1252" s="38"/>
      <c r="W1252" s="38"/>
      <c r="X1252" s="38"/>
      <c r="Y1252" s="38"/>
      <c r="Z1252" s="38"/>
      <c r="AA1252" s="38"/>
      <c r="AB1252" s="38"/>
      <c r="AC1252" s="38"/>
      <c r="AD1252" s="38"/>
      <c r="AE1252" s="38"/>
      <c r="AF1252" s="38"/>
      <c r="AG1252" s="38"/>
      <c r="AH1252" s="38"/>
    </row>
    <row r="1253" spans="3:34" ht="20.100000000000001" customHeight="1">
      <c r="C1253" s="113"/>
      <c r="D1253" s="114"/>
      <c r="P1253" s="82"/>
      <c r="Q1253" s="82"/>
      <c r="R1253" s="38"/>
      <c r="S1253" s="38"/>
      <c r="T1253" s="38"/>
      <c r="U1253" s="38"/>
      <c r="V1253" s="38"/>
      <c r="W1253" s="38"/>
      <c r="X1253" s="38"/>
      <c r="Y1253" s="38"/>
      <c r="Z1253" s="38"/>
      <c r="AA1253" s="38"/>
      <c r="AB1253" s="38"/>
      <c r="AC1253" s="38"/>
      <c r="AD1253" s="38"/>
      <c r="AE1253" s="38"/>
      <c r="AF1253" s="38"/>
      <c r="AG1253" s="38"/>
      <c r="AH1253" s="38"/>
    </row>
    <row r="1254" spans="3:34" ht="20.100000000000001" customHeight="1">
      <c r="C1254" s="113"/>
      <c r="D1254" s="114"/>
      <c r="P1254" s="82"/>
      <c r="Q1254" s="82"/>
      <c r="R1254" s="38"/>
      <c r="S1254" s="38"/>
      <c r="T1254" s="38"/>
      <c r="U1254" s="38"/>
      <c r="V1254" s="38"/>
      <c r="W1254" s="38"/>
      <c r="X1254" s="38"/>
      <c r="Y1254" s="38"/>
      <c r="Z1254" s="38"/>
      <c r="AA1254" s="38"/>
      <c r="AB1254" s="38"/>
      <c r="AC1254" s="38"/>
      <c r="AD1254" s="38"/>
      <c r="AE1254" s="38"/>
      <c r="AF1254" s="38"/>
      <c r="AG1254" s="38"/>
      <c r="AH1254" s="38"/>
    </row>
    <row r="1255" spans="3:34" ht="20.100000000000001" customHeight="1">
      <c r="C1255" s="113"/>
      <c r="D1255" s="114"/>
      <c r="P1255" s="82"/>
      <c r="Q1255" s="82"/>
      <c r="R1255" s="38"/>
      <c r="S1255" s="38"/>
      <c r="T1255" s="38"/>
      <c r="U1255" s="38"/>
      <c r="V1255" s="38"/>
      <c r="W1255" s="38"/>
      <c r="X1255" s="38"/>
      <c r="Y1255" s="38"/>
      <c r="Z1255" s="38"/>
      <c r="AA1255" s="38"/>
      <c r="AB1255" s="38"/>
      <c r="AC1255" s="38"/>
      <c r="AD1255" s="38"/>
      <c r="AE1255" s="38"/>
      <c r="AF1255" s="38"/>
      <c r="AG1255" s="38"/>
      <c r="AH1255" s="38"/>
    </row>
    <row r="1256" spans="3:34" ht="20.100000000000001" customHeight="1">
      <c r="C1256" s="113"/>
      <c r="D1256" s="114"/>
      <c r="P1256" s="82"/>
      <c r="Q1256" s="82"/>
      <c r="R1256" s="38"/>
      <c r="S1256" s="38"/>
      <c r="T1256" s="38"/>
      <c r="U1256" s="38"/>
      <c r="V1256" s="38"/>
      <c r="W1256" s="38"/>
      <c r="X1256" s="38"/>
      <c r="Y1256" s="38"/>
      <c r="Z1256" s="38"/>
      <c r="AA1256" s="38"/>
      <c r="AB1256" s="38"/>
      <c r="AC1256" s="38"/>
      <c r="AD1256" s="38"/>
      <c r="AE1256" s="38"/>
      <c r="AF1256" s="38"/>
      <c r="AG1256" s="38"/>
      <c r="AH1256" s="38"/>
    </row>
    <row r="1257" spans="3:34" ht="20.100000000000001" customHeight="1">
      <c r="C1257" s="113"/>
      <c r="D1257" s="114"/>
      <c r="P1257" s="82"/>
      <c r="Q1257" s="82"/>
      <c r="R1257" s="38"/>
      <c r="S1257" s="38"/>
      <c r="T1257" s="38"/>
      <c r="U1257" s="38"/>
      <c r="V1257" s="38"/>
      <c r="W1257" s="38"/>
      <c r="X1257" s="38"/>
      <c r="Y1257" s="38"/>
      <c r="Z1257" s="38"/>
      <c r="AA1257" s="38"/>
      <c r="AB1257" s="38"/>
      <c r="AC1257" s="38"/>
      <c r="AD1257" s="38"/>
      <c r="AE1257" s="38"/>
      <c r="AF1257" s="38"/>
      <c r="AG1257" s="38"/>
      <c r="AH1257" s="38"/>
    </row>
    <row r="1258" spans="3:34" ht="20.100000000000001" customHeight="1">
      <c r="C1258" s="113"/>
      <c r="D1258" s="114"/>
      <c r="P1258" s="82"/>
      <c r="Q1258" s="82"/>
      <c r="R1258" s="38"/>
      <c r="S1258" s="38"/>
      <c r="T1258" s="38"/>
      <c r="U1258" s="38"/>
      <c r="V1258" s="38"/>
      <c r="W1258" s="38"/>
      <c r="X1258" s="38"/>
      <c r="Y1258" s="38"/>
      <c r="Z1258" s="38"/>
      <c r="AA1258" s="38"/>
      <c r="AB1258" s="38"/>
      <c r="AC1258" s="38"/>
      <c r="AD1258" s="38"/>
      <c r="AE1258" s="38"/>
      <c r="AF1258" s="38"/>
      <c r="AG1258" s="38"/>
      <c r="AH1258" s="38"/>
    </row>
    <row r="1259" spans="3:34" ht="20.100000000000001" customHeight="1">
      <c r="C1259" s="113"/>
      <c r="D1259" s="114"/>
      <c r="P1259" s="82"/>
      <c r="Q1259" s="82"/>
      <c r="R1259" s="38"/>
      <c r="S1259" s="38"/>
      <c r="T1259" s="38"/>
      <c r="U1259" s="38"/>
      <c r="V1259" s="38"/>
      <c r="W1259" s="38"/>
      <c r="X1259" s="38"/>
      <c r="Y1259" s="38"/>
      <c r="Z1259" s="38"/>
      <c r="AA1259" s="38"/>
      <c r="AB1259" s="38"/>
      <c r="AC1259" s="38"/>
      <c r="AD1259" s="38"/>
      <c r="AE1259" s="38"/>
      <c r="AF1259" s="38"/>
      <c r="AG1259" s="38"/>
      <c r="AH1259" s="38"/>
    </row>
    <row r="1260" spans="3:34" ht="20.100000000000001" customHeight="1">
      <c r="C1260" s="113"/>
      <c r="D1260" s="114"/>
      <c r="P1260" s="82"/>
      <c r="Q1260" s="82"/>
      <c r="R1260" s="38"/>
      <c r="S1260" s="38"/>
      <c r="T1260" s="38"/>
      <c r="U1260" s="38"/>
      <c r="V1260" s="38"/>
      <c r="W1260" s="38"/>
      <c r="X1260" s="38"/>
      <c r="Y1260" s="38"/>
      <c r="Z1260" s="38"/>
      <c r="AA1260" s="38"/>
      <c r="AB1260" s="38"/>
      <c r="AC1260" s="38"/>
      <c r="AD1260" s="38"/>
      <c r="AE1260" s="38"/>
      <c r="AF1260" s="38"/>
      <c r="AG1260" s="38"/>
      <c r="AH1260" s="38"/>
    </row>
    <row r="1261" spans="3:34" ht="20.100000000000001" customHeight="1">
      <c r="C1261" s="113"/>
      <c r="D1261" s="114"/>
      <c r="P1261" s="82"/>
      <c r="Q1261" s="82"/>
      <c r="R1261" s="38"/>
      <c r="S1261" s="38"/>
      <c r="T1261" s="38"/>
      <c r="U1261" s="38"/>
      <c r="V1261" s="38"/>
      <c r="W1261" s="38"/>
      <c r="X1261" s="38"/>
      <c r="Y1261" s="38"/>
      <c r="Z1261" s="38"/>
      <c r="AA1261" s="38"/>
      <c r="AB1261" s="38"/>
      <c r="AC1261" s="38"/>
      <c r="AD1261" s="38"/>
      <c r="AE1261" s="38"/>
      <c r="AF1261" s="38"/>
      <c r="AG1261" s="38"/>
      <c r="AH1261" s="38"/>
    </row>
    <row r="1262" spans="3:34" ht="20.100000000000001" customHeight="1">
      <c r="C1262" s="113"/>
      <c r="D1262" s="114"/>
      <c r="P1262" s="82"/>
      <c r="Q1262" s="82"/>
      <c r="R1262" s="38"/>
      <c r="S1262" s="38"/>
      <c r="T1262" s="38"/>
      <c r="U1262" s="38"/>
      <c r="V1262" s="38"/>
      <c r="W1262" s="38"/>
      <c r="X1262" s="38"/>
      <c r="Y1262" s="38"/>
      <c r="Z1262" s="38"/>
      <c r="AA1262" s="38"/>
      <c r="AB1262" s="38"/>
      <c r="AC1262" s="38"/>
      <c r="AD1262" s="38"/>
      <c r="AE1262" s="38"/>
      <c r="AF1262" s="38"/>
      <c r="AG1262" s="38"/>
      <c r="AH1262" s="38"/>
    </row>
    <row r="1263" spans="3:34" ht="20.100000000000001" customHeight="1">
      <c r="C1263" s="113"/>
      <c r="D1263" s="114"/>
      <c r="P1263" s="82"/>
      <c r="Q1263" s="82"/>
      <c r="R1263" s="38"/>
      <c r="S1263" s="38"/>
      <c r="T1263" s="38"/>
      <c r="U1263" s="38"/>
      <c r="V1263" s="38"/>
      <c r="W1263" s="38"/>
      <c r="X1263" s="38"/>
      <c r="Y1263" s="38"/>
      <c r="Z1263" s="38"/>
      <c r="AA1263" s="38"/>
      <c r="AB1263" s="38"/>
      <c r="AC1263" s="38"/>
      <c r="AD1263" s="38"/>
      <c r="AE1263" s="38"/>
      <c r="AF1263" s="38"/>
      <c r="AG1263" s="38"/>
      <c r="AH1263" s="38"/>
    </row>
    <row r="1264" spans="3:34" ht="20.100000000000001" customHeight="1">
      <c r="C1264" s="113"/>
      <c r="D1264" s="114"/>
      <c r="P1264" s="82"/>
      <c r="Q1264" s="82"/>
      <c r="R1264" s="38"/>
      <c r="S1264" s="38"/>
      <c r="T1264" s="38"/>
      <c r="U1264" s="38"/>
      <c r="V1264" s="38"/>
      <c r="W1264" s="38"/>
      <c r="X1264" s="38"/>
      <c r="Y1264" s="38"/>
      <c r="Z1264" s="38"/>
      <c r="AA1264" s="38"/>
      <c r="AB1264" s="38"/>
      <c r="AC1264" s="38"/>
      <c r="AD1264" s="38"/>
      <c r="AE1264" s="38"/>
      <c r="AF1264" s="38"/>
      <c r="AG1264" s="38"/>
      <c r="AH1264" s="38"/>
    </row>
    <row r="1265" spans="3:34" ht="20.100000000000001" customHeight="1">
      <c r="C1265" s="113"/>
      <c r="D1265" s="114"/>
      <c r="P1265" s="82"/>
      <c r="Q1265" s="82"/>
      <c r="R1265" s="38"/>
      <c r="S1265" s="38"/>
      <c r="T1265" s="38"/>
      <c r="U1265" s="38"/>
      <c r="V1265" s="38"/>
      <c r="W1265" s="38"/>
      <c r="X1265" s="38"/>
      <c r="Y1265" s="38"/>
      <c r="Z1265" s="38"/>
      <c r="AA1265" s="38"/>
      <c r="AB1265" s="38"/>
      <c r="AC1265" s="38"/>
      <c r="AD1265" s="38"/>
      <c r="AE1265" s="38"/>
      <c r="AF1265" s="38"/>
      <c r="AG1265" s="38"/>
      <c r="AH1265" s="38"/>
    </row>
    <row r="1266" spans="3:34" ht="20.100000000000001" customHeight="1">
      <c r="C1266" s="113"/>
      <c r="D1266" s="114"/>
      <c r="P1266" s="82"/>
      <c r="Q1266" s="82"/>
      <c r="R1266" s="38"/>
      <c r="S1266" s="38"/>
      <c r="T1266" s="38"/>
      <c r="U1266" s="38"/>
      <c r="V1266" s="38"/>
      <c r="W1266" s="38"/>
      <c r="X1266" s="38"/>
      <c r="Y1266" s="38"/>
      <c r="Z1266" s="38"/>
      <c r="AA1266" s="38"/>
      <c r="AB1266" s="38"/>
      <c r="AC1266" s="38"/>
      <c r="AD1266" s="38"/>
      <c r="AE1266" s="38"/>
      <c r="AF1266" s="38"/>
      <c r="AG1266" s="38"/>
      <c r="AH1266" s="38"/>
    </row>
    <row r="1267" spans="3:34" ht="20.100000000000001" customHeight="1">
      <c r="C1267" s="113"/>
      <c r="D1267" s="114"/>
      <c r="P1267" s="82"/>
      <c r="Q1267" s="82"/>
      <c r="R1267" s="38"/>
      <c r="S1267" s="38"/>
      <c r="T1267" s="38"/>
      <c r="U1267" s="38"/>
      <c r="V1267" s="38"/>
      <c r="W1267" s="38"/>
      <c r="X1267" s="38"/>
      <c r="Y1267" s="38"/>
      <c r="Z1267" s="38"/>
      <c r="AA1267" s="38"/>
      <c r="AB1267" s="38"/>
      <c r="AC1267" s="38"/>
      <c r="AD1267" s="38"/>
      <c r="AE1267" s="38"/>
      <c r="AF1267" s="38"/>
      <c r="AG1267" s="38"/>
      <c r="AH1267" s="38"/>
    </row>
    <row r="1268" spans="3:34" ht="20.100000000000001" customHeight="1">
      <c r="C1268" s="113"/>
      <c r="D1268" s="114"/>
      <c r="P1268" s="82"/>
      <c r="Q1268" s="82"/>
      <c r="R1268" s="38"/>
      <c r="S1268" s="38"/>
      <c r="T1268" s="38"/>
      <c r="U1268" s="38"/>
      <c r="V1268" s="38"/>
      <c r="W1268" s="38"/>
      <c r="X1268" s="38"/>
      <c r="Y1268" s="38"/>
      <c r="Z1268" s="38"/>
      <c r="AA1268" s="38"/>
      <c r="AB1268" s="38"/>
      <c r="AC1268" s="38"/>
      <c r="AD1268" s="38"/>
      <c r="AE1268" s="38"/>
      <c r="AF1268" s="38"/>
      <c r="AG1268" s="38"/>
      <c r="AH1268" s="38"/>
    </row>
    <row r="1269" spans="3:34" ht="20.100000000000001" customHeight="1">
      <c r="C1269" s="113"/>
      <c r="D1269" s="114"/>
      <c r="P1269" s="82"/>
      <c r="Q1269" s="82"/>
      <c r="R1269" s="38"/>
      <c r="S1269" s="38"/>
      <c r="T1269" s="38"/>
      <c r="U1269" s="38"/>
      <c r="V1269" s="38"/>
      <c r="W1269" s="38"/>
      <c r="X1269" s="38"/>
      <c r="Y1269" s="38"/>
      <c r="Z1269" s="38"/>
      <c r="AA1269" s="38"/>
      <c r="AB1269" s="38"/>
      <c r="AC1269" s="38"/>
      <c r="AD1269" s="38"/>
      <c r="AE1269" s="38"/>
      <c r="AF1269" s="38"/>
      <c r="AG1269" s="38"/>
      <c r="AH1269" s="38"/>
    </row>
    <row r="1270" spans="3:34" ht="20.100000000000001" customHeight="1">
      <c r="C1270" s="113"/>
      <c r="D1270" s="114"/>
      <c r="P1270" s="82"/>
      <c r="Q1270" s="82"/>
      <c r="R1270" s="38"/>
      <c r="S1270" s="38"/>
      <c r="T1270" s="38"/>
      <c r="U1270" s="38"/>
      <c r="V1270" s="38"/>
      <c r="W1270" s="38"/>
      <c r="X1270" s="38"/>
      <c r="Y1270" s="38"/>
      <c r="Z1270" s="38"/>
      <c r="AA1270" s="38"/>
      <c r="AB1270" s="38"/>
      <c r="AC1270" s="38"/>
      <c r="AD1270" s="38"/>
      <c r="AE1270" s="38"/>
      <c r="AF1270" s="38"/>
      <c r="AG1270" s="38"/>
      <c r="AH1270" s="38"/>
    </row>
    <row r="1271" spans="3:34" ht="20.100000000000001" customHeight="1">
      <c r="C1271" s="113"/>
      <c r="D1271" s="114"/>
      <c r="P1271" s="82"/>
      <c r="Q1271" s="82"/>
      <c r="R1271" s="38"/>
      <c r="S1271" s="38"/>
      <c r="T1271" s="38"/>
      <c r="U1271" s="38"/>
      <c r="V1271" s="38"/>
      <c r="W1271" s="38"/>
      <c r="X1271" s="38"/>
      <c r="Y1271" s="38"/>
      <c r="Z1271" s="38"/>
      <c r="AA1271" s="38"/>
      <c r="AB1271" s="38"/>
      <c r="AC1271" s="38"/>
      <c r="AD1271" s="38"/>
      <c r="AE1271" s="38"/>
      <c r="AF1271" s="38"/>
      <c r="AG1271" s="38"/>
      <c r="AH1271" s="38"/>
    </row>
    <row r="1272" spans="3:34" ht="20.100000000000001" customHeight="1">
      <c r="C1272" s="113"/>
      <c r="D1272" s="114"/>
      <c r="P1272" s="82"/>
      <c r="Q1272" s="82"/>
      <c r="R1272" s="38"/>
      <c r="S1272" s="38"/>
      <c r="T1272" s="38"/>
      <c r="U1272" s="38"/>
      <c r="V1272" s="38"/>
      <c r="W1272" s="38"/>
      <c r="X1272" s="38"/>
      <c r="Y1272" s="38"/>
      <c r="Z1272" s="38"/>
      <c r="AA1272" s="38"/>
      <c r="AB1272" s="38"/>
      <c r="AC1272" s="38"/>
      <c r="AD1272" s="38"/>
      <c r="AE1272" s="38"/>
      <c r="AF1272" s="38"/>
      <c r="AG1272" s="38"/>
      <c r="AH1272" s="38"/>
    </row>
    <row r="1273" spans="3:34" ht="20.100000000000001" customHeight="1">
      <c r="C1273" s="113"/>
      <c r="D1273" s="114"/>
      <c r="P1273" s="82"/>
      <c r="Q1273" s="82"/>
      <c r="R1273" s="38"/>
      <c r="S1273" s="38"/>
      <c r="T1273" s="38"/>
      <c r="U1273" s="38"/>
      <c r="V1273" s="38"/>
      <c r="W1273" s="38"/>
      <c r="X1273" s="38"/>
      <c r="Y1273" s="38"/>
      <c r="Z1273" s="38"/>
      <c r="AA1273" s="38"/>
      <c r="AB1273" s="38"/>
      <c r="AC1273" s="38"/>
      <c r="AD1273" s="38"/>
      <c r="AE1273" s="38"/>
      <c r="AF1273" s="38"/>
      <c r="AG1273" s="38"/>
      <c r="AH1273" s="38"/>
    </row>
    <row r="1274" spans="3:34" ht="20.100000000000001" customHeight="1">
      <c r="C1274" s="113"/>
      <c r="D1274" s="114"/>
      <c r="P1274" s="82"/>
      <c r="Q1274" s="82"/>
      <c r="R1274" s="38"/>
      <c r="S1274" s="38"/>
      <c r="T1274" s="38"/>
      <c r="U1274" s="38"/>
      <c r="V1274" s="38"/>
      <c r="W1274" s="38"/>
      <c r="X1274" s="38"/>
      <c r="Y1274" s="38"/>
      <c r="Z1274" s="38"/>
      <c r="AA1274" s="38"/>
      <c r="AB1274" s="38"/>
      <c r="AC1274" s="38"/>
      <c r="AD1274" s="38"/>
      <c r="AE1274" s="38"/>
      <c r="AF1274" s="38"/>
      <c r="AG1274" s="38"/>
      <c r="AH1274" s="38"/>
    </row>
    <row r="1275" spans="3:34" ht="20.100000000000001" customHeight="1">
      <c r="C1275" s="113"/>
      <c r="D1275" s="114"/>
      <c r="P1275" s="82"/>
      <c r="Q1275" s="82"/>
      <c r="R1275" s="38"/>
      <c r="S1275" s="38"/>
      <c r="T1275" s="38"/>
      <c r="U1275" s="38"/>
      <c r="V1275" s="38"/>
      <c r="W1275" s="38"/>
      <c r="X1275" s="38"/>
      <c r="Y1275" s="38"/>
      <c r="Z1275" s="38"/>
      <c r="AA1275" s="38"/>
      <c r="AB1275" s="38"/>
      <c r="AC1275" s="38"/>
      <c r="AD1275" s="38"/>
      <c r="AE1275" s="38"/>
      <c r="AF1275" s="38"/>
      <c r="AG1275" s="38"/>
      <c r="AH1275" s="38"/>
    </row>
    <row r="1276" spans="3:34" ht="20.100000000000001" customHeight="1">
      <c r="C1276" s="113"/>
      <c r="D1276" s="114"/>
      <c r="P1276" s="82"/>
      <c r="Q1276" s="82"/>
      <c r="R1276" s="38"/>
      <c r="S1276" s="38"/>
      <c r="T1276" s="38"/>
      <c r="U1276" s="38"/>
      <c r="V1276" s="38"/>
      <c r="W1276" s="38"/>
      <c r="X1276" s="38"/>
      <c r="Y1276" s="38"/>
      <c r="Z1276" s="38"/>
      <c r="AA1276" s="38"/>
      <c r="AB1276" s="38"/>
      <c r="AC1276" s="38"/>
      <c r="AD1276" s="38"/>
      <c r="AE1276" s="38"/>
      <c r="AF1276" s="38"/>
      <c r="AG1276" s="38"/>
      <c r="AH1276" s="38"/>
    </row>
    <row r="1277" spans="3:34" ht="20.100000000000001" customHeight="1">
      <c r="C1277" s="113"/>
      <c r="D1277" s="114"/>
      <c r="P1277" s="82"/>
      <c r="Q1277" s="82"/>
      <c r="R1277" s="38"/>
      <c r="S1277" s="38"/>
      <c r="T1277" s="38"/>
      <c r="U1277" s="38"/>
      <c r="V1277" s="38"/>
      <c r="W1277" s="38"/>
      <c r="X1277" s="38"/>
      <c r="Y1277" s="38"/>
      <c r="Z1277" s="38"/>
      <c r="AA1277" s="38"/>
      <c r="AB1277" s="38"/>
      <c r="AC1277" s="38"/>
      <c r="AD1277" s="38"/>
      <c r="AE1277" s="38"/>
      <c r="AF1277" s="38"/>
      <c r="AG1277" s="38"/>
      <c r="AH1277" s="38"/>
    </row>
    <row r="1278" spans="3:34" ht="20.100000000000001" customHeight="1">
      <c r="C1278" s="113"/>
      <c r="D1278" s="114"/>
      <c r="P1278" s="82"/>
      <c r="Q1278" s="82"/>
      <c r="R1278" s="38"/>
      <c r="S1278" s="38"/>
      <c r="T1278" s="38"/>
      <c r="U1278" s="38"/>
      <c r="V1278" s="38"/>
      <c r="W1278" s="38"/>
      <c r="X1278" s="38"/>
      <c r="Y1278" s="38"/>
      <c r="Z1278" s="38"/>
      <c r="AA1278" s="38"/>
      <c r="AB1278" s="38"/>
      <c r="AC1278" s="38"/>
      <c r="AD1278" s="38"/>
      <c r="AE1278" s="38"/>
      <c r="AF1278" s="38"/>
      <c r="AG1278" s="38"/>
      <c r="AH1278" s="38"/>
    </row>
    <row r="1279" spans="3:34" ht="20.100000000000001" customHeight="1">
      <c r="C1279" s="113"/>
      <c r="D1279" s="114"/>
      <c r="P1279" s="82"/>
      <c r="Q1279" s="82"/>
      <c r="R1279" s="38"/>
      <c r="S1279" s="38"/>
      <c r="T1279" s="38"/>
      <c r="U1279" s="38"/>
      <c r="V1279" s="38"/>
      <c r="W1279" s="38"/>
      <c r="X1279" s="38"/>
      <c r="Y1279" s="38"/>
      <c r="Z1279" s="38"/>
      <c r="AA1279" s="38"/>
      <c r="AB1279" s="38"/>
      <c r="AC1279" s="38"/>
      <c r="AD1279" s="38"/>
      <c r="AE1279" s="38"/>
      <c r="AF1279" s="38"/>
      <c r="AG1279" s="38"/>
      <c r="AH1279" s="38"/>
    </row>
    <row r="1280" spans="3:34" ht="20.100000000000001" customHeight="1">
      <c r="C1280" s="113"/>
      <c r="D1280" s="114"/>
      <c r="P1280" s="82"/>
      <c r="Q1280" s="82"/>
      <c r="R1280" s="38"/>
      <c r="S1280" s="38"/>
      <c r="T1280" s="38"/>
      <c r="U1280" s="38"/>
      <c r="V1280" s="38"/>
      <c r="W1280" s="38"/>
      <c r="X1280" s="38"/>
      <c r="Y1280" s="38"/>
      <c r="Z1280" s="38"/>
      <c r="AA1280" s="38"/>
      <c r="AB1280" s="38"/>
      <c r="AC1280" s="38"/>
      <c r="AD1280" s="38"/>
      <c r="AE1280" s="38"/>
      <c r="AF1280" s="38"/>
      <c r="AG1280" s="38"/>
      <c r="AH1280" s="38"/>
    </row>
    <row r="1281" spans="3:34" ht="20.100000000000001" customHeight="1">
      <c r="C1281" s="113"/>
      <c r="D1281" s="114"/>
      <c r="P1281" s="82"/>
      <c r="Q1281" s="82"/>
      <c r="R1281" s="38"/>
      <c r="S1281" s="38"/>
      <c r="T1281" s="38"/>
      <c r="U1281" s="38"/>
      <c r="V1281" s="38"/>
      <c r="W1281" s="38"/>
      <c r="X1281" s="38"/>
      <c r="Y1281" s="38"/>
      <c r="Z1281" s="38"/>
      <c r="AA1281" s="38"/>
      <c r="AB1281" s="38"/>
      <c r="AC1281" s="38"/>
      <c r="AD1281" s="38"/>
      <c r="AE1281" s="38"/>
      <c r="AF1281" s="38"/>
      <c r="AG1281" s="38"/>
      <c r="AH1281" s="38"/>
    </row>
    <row r="1282" spans="3:34" ht="20.100000000000001" customHeight="1">
      <c r="C1282" s="113"/>
      <c r="D1282" s="114"/>
      <c r="P1282" s="82"/>
      <c r="Q1282" s="82"/>
      <c r="R1282" s="38"/>
      <c r="S1282" s="38"/>
      <c r="T1282" s="38"/>
      <c r="U1282" s="38"/>
      <c r="V1282" s="38"/>
      <c r="W1282" s="38"/>
      <c r="X1282" s="38"/>
      <c r="Y1282" s="38"/>
      <c r="Z1282" s="38"/>
      <c r="AA1282" s="38"/>
      <c r="AB1282" s="38"/>
      <c r="AC1282" s="38"/>
      <c r="AD1282" s="38"/>
      <c r="AE1282" s="38"/>
      <c r="AF1282" s="38"/>
      <c r="AG1282" s="38"/>
      <c r="AH1282" s="38"/>
    </row>
    <row r="1283" spans="3:34" ht="20.100000000000001" customHeight="1">
      <c r="C1283" s="113"/>
      <c r="D1283" s="114"/>
      <c r="P1283" s="82"/>
      <c r="Q1283" s="82"/>
      <c r="R1283" s="38"/>
      <c r="S1283" s="38"/>
      <c r="T1283" s="38"/>
      <c r="U1283" s="38"/>
      <c r="V1283" s="38"/>
      <c r="W1283" s="38"/>
      <c r="X1283" s="38"/>
      <c r="Y1283" s="38"/>
      <c r="Z1283" s="38"/>
      <c r="AA1283" s="38"/>
      <c r="AB1283" s="38"/>
      <c r="AC1283" s="38"/>
      <c r="AD1283" s="38"/>
      <c r="AE1283" s="38"/>
      <c r="AF1283" s="38"/>
      <c r="AG1283" s="38"/>
      <c r="AH1283" s="38"/>
    </row>
    <row r="1284" spans="3:34" ht="20.100000000000001" customHeight="1">
      <c r="C1284" s="113"/>
      <c r="D1284" s="114"/>
      <c r="P1284" s="82"/>
      <c r="Q1284" s="82"/>
      <c r="R1284" s="38"/>
      <c r="S1284" s="38"/>
      <c r="T1284" s="38"/>
      <c r="U1284" s="38"/>
      <c r="V1284" s="38"/>
      <c r="W1284" s="38"/>
      <c r="X1284" s="38"/>
      <c r="Y1284" s="38"/>
      <c r="Z1284" s="38"/>
      <c r="AA1284" s="38"/>
      <c r="AB1284" s="38"/>
      <c r="AC1284" s="38"/>
      <c r="AD1284" s="38"/>
      <c r="AE1284" s="38"/>
      <c r="AF1284" s="38"/>
      <c r="AG1284" s="38"/>
      <c r="AH1284" s="38"/>
    </row>
    <row r="1285" spans="3:34" ht="20.100000000000001" customHeight="1">
      <c r="C1285" s="113"/>
      <c r="D1285" s="114"/>
      <c r="P1285" s="82"/>
      <c r="Q1285" s="82"/>
      <c r="R1285" s="38"/>
      <c r="S1285" s="38"/>
      <c r="T1285" s="38"/>
      <c r="U1285" s="38"/>
      <c r="V1285" s="38"/>
      <c r="W1285" s="38"/>
      <c r="X1285" s="38"/>
      <c r="Y1285" s="38"/>
      <c r="Z1285" s="38"/>
      <c r="AA1285" s="38"/>
      <c r="AB1285" s="38"/>
      <c r="AC1285" s="38"/>
      <c r="AD1285" s="38"/>
      <c r="AE1285" s="38"/>
      <c r="AF1285" s="38"/>
      <c r="AG1285" s="38"/>
      <c r="AH1285" s="38"/>
    </row>
    <row r="1286" spans="3:34" ht="20.100000000000001" customHeight="1">
      <c r="C1286" s="113"/>
      <c r="D1286" s="114"/>
      <c r="P1286" s="82"/>
      <c r="Q1286" s="82"/>
      <c r="R1286" s="38"/>
      <c r="S1286" s="38"/>
      <c r="T1286" s="38"/>
      <c r="U1286" s="38"/>
      <c r="V1286" s="38"/>
      <c r="W1286" s="38"/>
      <c r="X1286" s="38"/>
      <c r="Y1286" s="38"/>
      <c r="Z1286" s="38"/>
      <c r="AA1286" s="38"/>
      <c r="AB1286" s="38"/>
      <c r="AC1286" s="38"/>
      <c r="AD1286" s="38"/>
      <c r="AE1286" s="38"/>
      <c r="AF1286" s="38"/>
      <c r="AG1286" s="38"/>
      <c r="AH1286" s="38"/>
    </row>
    <row r="1287" spans="3:34" ht="20.100000000000001" customHeight="1">
      <c r="C1287" s="113"/>
      <c r="D1287" s="114"/>
      <c r="P1287" s="82"/>
      <c r="Q1287" s="82"/>
      <c r="R1287" s="38"/>
      <c r="S1287" s="38"/>
      <c r="T1287" s="38"/>
      <c r="U1287" s="38"/>
      <c r="V1287" s="38"/>
      <c r="W1287" s="38"/>
      <c r="X1287" s="38"/>
      <c r="Y1287" s="38"/>
      <c r="Z1287" s="38"/>
      <c r="AA1287" s="38"/>
      <c r="AB1287" s="38"/>
      <c r="AC1287" s="38"/>
      <c r="AD1287" s="38"/>
      <c r="AE1287" s="38"/>
      <c r="AF1287" s="38"/>
      <c r="AG1287" s="38"/>
      <c r="AH1287" s="38"/>
    </row>
    <row r="1288" spans="3:34" ht="20.100000000000001" customHeight="1">
      <c r="C1288" s="113"/>
      <c r="D1288" s="114"/>
      <c r="P1288" s="82"/>
      <c r="Q1288" s="82"/>
      <c r="R1288" s="38"/>
      <c r="S1288" s="38"/>
      <c r="T1288" s="38"/>
      <c r="U1288" s="38"/>
      <c r="V1288" s="38"/>
      <c r="W1288" s="38"/>
      <c r="X1288" s="38"/>
      <c r="Y1288" s="38"/>
      <c r="Z1288" s="38"/>
      <c r="AA1288" s="38"/>
      <c r="AB1288" s="38"/>
      <c r="AC1288" s="38"/>
      <c r="AD1288" s="38"/>
      <c r="AE1288" s="38"/>
      <c r="AF1288" s="38"/>
      <c r="AG1288" s="38"/>
      <c r="AH1288" s="38"/>
    </row>
    <row r="1289" spans="3:34" ht="20.100000000000001" customHeight="1">
      <c r="C1289" s="113"/>
      <c r="D1289" s="114"/>
      <c r="P1289" s="82"/>
      <c r="Q1289" s="82"/>
      <c r="R1289" s="38"/>
      <c r="S1289" s="38"/>
      <c r="T1289" s="38"/>
      <c r="U1289" s="38"/>
      <c r="V1289" s="38"/>
      <c r="W1289" s="38"/>
      <c r="X1289" s="38"/>
      <c r="Y1289" s="38"/>
      <c r="Z1289" s="38"/>
      <c r="AA1289" s="38"/>
      <c r="AB1289" s="38"/>
      <c r="AC1289" s="38"/>
      <c r="AD1289" s="38"/>
      <c r="AE1289" s="38"/>
      <c r="AF1289" s="38"/>
      <c r="AG1289" s="38"/>
      <c r="AH1289" s="38"/>
    </row>
    <row r="1290" spans="3:34" ht="20.100000000000001" customHeight="1">
      <c r="C1290" s="113"/>
      <c r="D1290" s="114"/>
      <c r="P1290" s="82"/>
      <c r="Q1290" s="82"/>
      <c r="R1290" s="38"/>
      <c r="S1290" s="38"/>
      <c r="T1290" s="38"/>
      <c r="U1290" s="38"/>
      <c r="V1290" s="38"/>
      <c r="W1290" s="38"/>
      <c r="X1290" s="38"/>
      <c r="Y1290" s="38"/>
      <c r="Z1290" s="38"/>
      <c r="AA1290" s="38"/>
      <c r="AB1290" s="38"/>
      <c r="AC1290" s="38"/>
      <c r="AD1290" s="38"/>
      <c r="AE1290" s="38"/>
      <c r="AF1290" s="38"/>
      <c r="AG1290" s="38"/>
      <c r="AH1290" s="38"/>
    </row>
    <row r="1291" spans="3:34" ht="20.100000000000001" customHeight="1">
      <c r="C1291" s="113"/>
      <c r="D1291" s="114"/>
      <c r="P1291" s="82"/>
      <c r="Q1291" s="82"/>
      <c r="R1291" s="38"/>
      <c r="S1291" s="38"/>
      <c r="T1291" s="38"/>
      <c r="U1291" s="38"/>
      <c r="V1291" s="38"/>
      <c r="W1291" s="38"/>
      <c r="X1291" s="38"/>
      <c r="Y1291" s="38"/>
      <c r="Z1291" s="38"/>
      <c r="AA1291" s="38"/>
      <c r="AB1291" s="38"/>
      <c r="AC1291" s="38"/>
      <c r="AD1291" s="38"/>
      <c r="AE1291" s="38"/>
      <c r="AF1291" s="38"/>
      <c r="AG1291" s="38"/>
      <c r="AH1291" s="38"/>
    </row>
    <row r="1292" spans="3:34" ht="20.100000000000001" customHeight="1">
      <c r="C1292" s="113"/>
      <c r="D1292" s="114"/>
      <c r="P1292" s="82"/>
      <c r="Q1292" s="82"/>
      <c r="R1292" s="38"/>
      <c r="S1292" s="38"/>
      <c r="T1292" s="38"/>
      <c r="U1292" s="38"/>
      <c r="V1292" s="38"/>
      <c r="W1292" s="38"/>
      <c r="X1292" s="38"/>
      <c r="Y1292" s="38"/>
      <c r="Z1292" s="38"/>
      <c r="AA1292" s="38"/>
      <c r="AB1292" s="38"/>
      <c r="AC1292" s="38"/>
      <c r="AD1292" s="38"/>
      <c r="AE1292" s="38"/>
      <c r="AF1292" s="38"/>
      <c r="AG1292" s="38"/>
      <c r="AH1292" s="38"/>
    </row>
    <row r="1293" spans="3:34" ht="20.100000000000001" customHeight="1">
      <c r="C1293" s="113"/>
      <c r="D1293" s="114"/>
      <c r="P1293" s="82"/>
      <c r="Q1293" s="82"/>
      <c r="R1293" s="38"/>
      <c r="S1293" s="38"/>
      <c r="T1293" s="38"/>
      <c r="U1293" s="38"/>
      <c r="V1293" s="38"/>
      <c r="W1293" s="38"/>
      <c r="X1293" s="38"/>
      <c r="Y1293" s="38"/>
      <c r="Z1293" s="38"/>
      <c r="AA1293" s="38"/>
      <c r="AB1293" s="38"/>
      <c r="AC1293" s="38"/>
      <c r="AD1293" s="38"/>
      <c r="AE1293" s="38"/>
      <c r="AF1293" s="38"/>
      <c r="AG1293" s="38"/>
      <c r="AH1293" s="38"/>
    </row>
    <row r="1294" spans="3:34" ht="20.100000000000001" customHeight="1">
      <c r="C1294" s="113"/>
      <c r="D1294" s="114"/>
      <c r="P1294" s="82"/>
      <c r="Q1294" s="82"/>
      <c r="R1294" s="38"/>
      <c r="S1294" s="38"/>
      <c r="T1294" s="38"/>
      <c r="U1294" s="38"/>
      <c r="V1294" s="38"/>
      <c r="W1294" s="38"/>
      <c r="X1294" s="38"/>
      <c r="Y1294" s="38"/>
      <c r="Z1294" s="38"/>
      <c r="AA1294" s="38"/>
      <c r="AB1294" s="38"/>
      <c r="AC1294" s="38"/>
      <c r="AD1294" s="38"/>
      <c r="AE1294" s="38"/>
      <c r="AF1294" s="38"/>
      <c r="AG1294" s="38"/>
      <c r="AH1294" s="38"/>
    </row>
    <row r="1295" spans="3:34" ht="20.100000000000001" customHeight="1">
      <c r="C1295" s="113"/>
      <c r="D1295" s="114"/>
      <c r="P1295" s="82"/>
      <c r="Q1295" s="82"/>
      <c r="R1295" s="38"/>
      <c r="S1295" s="38"/>
      <c r="T1295" s="38"/>
      <c r="U1295" s="38"/>
      <c r="V1295" s="38"/>
      <c r="W1295" s="38"/>
      <c r="X1295" s="38"/>
      <c r="Y1295" s="38"/>
      <c r="Z1295" s="38"/>
      <c r="AA1295" s="38"/>
      <c r="AB1295" s="38"/>
      <c r="AC1295" s="38"/>
      <c r="AD1295" s="38"/>
      <c r="AE1295" s="38"/>
      <c r="AF1295" s="38"/>
      <c r="AG1295" s="38"/>
      <c r="AH1295" s="38"/>
    </row>
    <row r="1296" spans="3:34" ht="20.100000000000001" customHeight="1">
      <c r="C1296" s="113"/>
      <c r="D1296" s="114"/>
      <c r="P1296" s="82"/>
      <c r="Q1296" s="82"/>
      <c r="R1296" s="38"/>
      <c r="S1296" s="38"/>
      <c r="T1296" s="38"/>
      <c r="U1296" s="38"/>
      <c r="V1296" s="38"/>
      <c r="W1296" s="38"/>
      <c r="X1296" s="38"/>
      <c r="Y1296" s="38"/>
      <c r="Z1296" s="38"/>
      <c r="AA1296" s="38"/>
      <c r="AB1296" s="38"/>
      <c r="AC1296" s="38"/>
      <c r="AD1296" s="38"/>
      <c r="AE1296" s="38"/>
      <c r="AF1296" s="38"/>
      <c r="AG1296" s="38"/>
      <c r="AH1296" s="38"/>
    </row>
    <row r="1297" spans="3:34" ht="20.100000000000001" customHeight="1">
      <c r="C1297" s="113"/>
      <c r="D1297" s="114"/>
      <c r="P1297" s="82"/>
      <c r="Q1297" s="82"/>
      <c r="R1297" s="38"/>
      <c r="S1297" s="38"/>
      <c r="T1297" s="38"/>
      <c r="U1297" s="38"/>
      <c r="V1297" s="38"/>
      <c r="W1297" s="38"/>
      <c r="X1297" s="38"/>
      <c r="Y1297" s="38"/>
      <c r="Z1297" s="38"/>
      <c r="AA1297" s="38"/>
      <c r="AB1297" s="38"/>
      <c r="AC1297" s="38"/>
      <c r="AD1297" s="38"/>
      <c r="AE1297" s="38"/>
      <c r="AF1297" s="38"/>
      <c r="AG1297" s="38"/>
      <c r="AH1297" s="38"/>
    </row>
    <row r="1298" spans="3:34" ht="20.100000000000001" customHeight="1">
      <c r="C1298" s="113"/>
      <c r="D1298" s="114"/>
      <c r="P1298" s="82"/>
      <c r="Q1298" s="82"/>
      <c r="R1298" s="38"/>
      <c r="S1298" s="38"/>
      <c r="T1298" s="38"/>
      <c r="U1298" s="38"/>
      <c r="V1298" s="38"/>
      <c r="W1298" s="38"/>
      <c r="X1298" s="38"/>
      <c r="Y1298" s="38"/>
      <c r="Z1298" s="38"/>
      <c r="AA1298" s="38"/>
      <c r="AB1298" s="38"/>
      <c r="AC1298" s="38"/>
      <c r="AD1298" s="38"/>
      <c r="AE1298" s="38"/>
      <c r="AF1298" s="38"/>
      <c r="AG1298" s="38"/>
      <c r="AH1298" s="38"/>
    </row>
    <row r="1299" spans="3:34" ht="20.100000000000001" customHeight="1">
      <c r="C1299" s="113"/>
      <c r="D1299" s="114"/>
      <c r="P1299" s="82"/>
      <c r="Q1299" s="82"/>
      <c r="R1299" s="38"/>
      <c r="S1299" s="38"/>
      <c r="T1299" s="38"/>
      <c r="U1299" s="38"/>
      <c r="V1299" s="38"/>
      <c r="W1299" s="38"/>
      <c r="X1299" s="38"/>
      <c r="Y1299" s="38"/>
      <c r="Z1299" s="38"/>
      <c r="AA1299" s="38"/>
      <c r="AB1299" s="38"/>
      <c r="AC1299" s="38"/>
      <c r="AD1299" s="38"/>
      <c r="AE1299" s="38"/>
      <c r="AF1299" s="38"/>
      <c r="AG1299" s="38"/>
      <c r="AH1299" s="38"/>
    </row>
    <row r="1300" spans="3:34" ht="20.100000000000001" customHeight="1">
      <c r="C1300" s="113"/>
      <c r="D1300" s="114"/>
      <c r="P1300" s="82"/>
      <c r="Q1300" s="82"/>
      <c r="R1300" s="38"/>
      <c r="S1300" s="38"/>
      <c r="T1300" s="38"/>
      <c r="U1300" s="38"/>
      <c r="V1300" s="38"/>
      <c r="W1300" s="38"/>
      <c r="X1300" s="38"/>
      <c r="Y1300" s="38"/>
      <c r="Z1300" s="38"/>
      <c r="AA1300" s="38"/>
      <c r="AB1300" s="38"/>
      <c r="AC1300" s="38"/>
      <c r="AD1300" s="38"/>
      <c r="AE1300" s="38"/>
      <c r="AF1300" s="38"/>
      <c r="AG1300" s="38"/>
      <c r="AH1300" s="38"/>
    </row>
    <row r="1301" spans="3:34" ht="20.100000000000001" customHeight="1">
      <c r="C1301" s="113"/>
      <c r="D1301" s="114"/>
      <c r="P1301" s="82"/>
      <c r="Q1301" s="82"/>
      <c r="R1301" s="38"/>
      <c r="S1301" s="38"/>
      <c r="T1301" s="38"/>
      <c r="U1301" s="38"/>
      <c r="V1301" s="38"/>
      <c r="W1301" s="38"/>
      <c r="X1301" s="38"/>
      <c r="Y1301" s="38"/>
      <c r="Z1301" s="38"/>
      <c r="AA1301" s="38"/>
      <c r="AB1301" s="38"/>
      <c r="AC1301" s="38"/>
      <c r="AD1301" s="38"/>
      <c r="AE1301" s="38"/>
      <c r="AF1301" s="38"/>
      <c r="AG1301" s="38"/>
      <c r="AH1301" s="38"/>
    </row>
    <row r="1302" spans="3:34" ht="20.100000000000001" customHeight="1">
      <c r="C1302" s="113"/>
      <c r="D1302" s="114"/>
      <c r="P1302" s="82"/>
      <c r="Q1302" s="82"/>
      <c r="R1302" s="38"/>
      <c r="S1302" s="38"/>
      <c r="T1302" s="38"/>
      <c r="U1302" s="38"/>
      <c r="V1302" s="38"/>
      <c r="W1302" s="38"/>
      <c r="X1302" s="38"/>
      <c r="Y1302" s="38"/>
      <c r="Z1302" s="38"/>
      <c r="AA1302" s="38"/>
      <c r="AB1302" s="38"/>
      <c r="AC1302" s="38"/>
      <c r="AD1302" s="38"/>
      <c r="AE1302" s="38"/>
      <c r="AF1302" s="38"/>
      <c r="AG1302" s="38"/>
      <c r="AH1302" s="38"/>
    </row>
    <row r="1303" spans="3:34" ht="20.100000000000001" customHeight="1">
      <c r="C1303" s="113"/>
      <c r="D1303" s="114"/>
      <c r="P1303" s="82"/>
      <c r="Q1303" s="82"/>
      <c r="R1303" s="38"/>
      <c r="S1303" s="38"/>
      <c r="T1303" s="38"/>
      <c r="U1303" s="38"/>
      <c r="V1303" s="38"/>
      <c r="W1303" s="38"/>
      <c r="X1303" s="38"/>
      <c r="Y1303" s="38"/>
      <c r="Z1303" s="38"/>
      <c r="AA1303" s="38"/>
      <c r="AB1303" s="38"/>
      <c r="AC1303" s="38"/>
      <c r="AD1303" s="38"/>
      <c r="AE1303" s="38"/>
      <c r="AF1303" s="38"/>
      <c r="AG1303" s="38"/>
      <c r="AH1303" s="38"/>
    </row>
    <row r="1304" spans="3:34" ht="20.100000000000001" customHeight="1">
      <c r="C1304" s="113"/>
      <c r="D1304" s="114"/>
      <c r="P1304" s="82"/>
      <c r="Q1304" s="82"/>
      <c r="R1304" s="38"/>
      <c r="S1304" s="38"/>
      <c r="T1304" s="38"/>
      <c r="U1304" s="38"/>
      <c r="V1304" s="38"/>
      <c r="W1304" s="38"/>
      <c r="X1304" s="38"/>
      <c r="Y1304" s="38"/>
      <c r="Z1304" s="38"/>
      <c r="AA1304" s="38"/>
      <c r="AB1304" s="38"/>
      <c r="AC1304" s="38"/>
      <c r="AD1304" s="38"/>
      <c r="AE1304" s="38"/>
      <c r="AF1304" s="38"/>
      <c r="AG1304" s="38"/>
      <c r="AH1304" s="38"/>
    </row>
    <row r="1305" spans="3:34" ht="20.100000000000001" customHeight="1">
      <c r="C1305" s="113"/>
      <c r="D1305" s="114"/>
      <c r="P1305" s="82"/>
      <c r="Q1305" s="82"/>
      <c r="R1305" s="38"/>
      <c r="S1305" s="38"/>
      <c r="T1305" s="38"/>
      <c r="U1305" s="38"/>
      <c r="V1305" s="38"/>
      <c r="W1305" s="38"/>
      <c r="X1305" s="38"/>
      <c r="Y1305" s="38"/>
      <c r="Z1305" s="38"/>
      <c r="AA1305" s="38"/>
      <c r="AB1305" s="38"/>
      <c r="AC1305" s="38"/>
      <c r="AD1305" s="38"/>
      <c r="AE1305" s="38"/>
      <c r="AF1305" s="38"/>
      <c r="AG1305" s="38"/>
      <c r="AH1305" s="38"/>
    </row>
    <row r="1306" spans="3:34" ht="20.100000000000001" customHeight="1">
      <c r="C1306" s="113"/>
      <c r="D1306" s="114"/>
      <c r="P1306" s="82"/>
      <c r="Q1306" s="82"/>
      <c r="R1306" s="38"/>
      <c r="S1306" s="38"/>
      <c r="T1306" s="38"/>
      <c r="U1306" s="38"/>
      <c r="V1306" s="38"/>
      <c r="W1306" s="38"/>
      <c r="X1306" s="38"/>
      <c r="Y1306" s="38"/>
      <c r="Z1306" s="38"/>
      <c r="AA1306" s="38"/>
      <c r="AB1306" s="38"/>
      <c r="AC1306" s="38"/>
      <c r="AD1306" s="38"/>
      <c r="AE1306" s="38"/>
      <c r="AF1306" s="38"/>
      <c r="AG1306" s="38"/>
      <c r="AH1306" s="38"/>
    </row>
    <row r="1307" spans="3:34" ht="20.100000000000001" customHeight="1">
      <c r="C1307" s="113"/>
      <c r="D1307" s="114"/>
      <c r="P1307" s="82"/>
      <c r="Q1307" s="82"/>
      <c r="R1307" s="38"/>
      <c r="S1307" s="38"/>
      <c r="T1307" s="38"/>
      <c r="U1307" s="38"/>
      <c r="V1307" s="38"/>
      <c r="W1307" s="38"/>
      <c r="X1307" s="38"/>
      <c r="Y1307" s="38"/>
      <c r="Z1307" s="38"/>
      <c r="AA1307" s="38"/>
      <c r="AB1307" s="38"/>
      <c r="AC1307" s="38"/>
      <c r="AD1307" s="38"/>
      <c r="AE1307" s="38"/>
      <c r="AF1307" s="38"/>
      <c r="AG1307" s="38"/>
      <c r="AH1307" s="38"/>
    </row>
    <row r="1308" spans="3:34" ht="20.100000000000001" customHeight="1">
      <c r="C1308" s="113"/>
      <c r="D1308" s="114"/>
      <c r="P1308" s="82"/>
      <c r="Q1308" s="82"/>
      <c r="R1308" s="38"/>
      <c r="S1308" s="38"/>
      <c r="T1308" s="38"/>
      <c r="U1308" s="38"/>
      <c r="V1308" s="38"/>
      <c r="W1308" s="38"/>
      <c r="X1308" s="38"/>
      <c r="Y1308" s="38"/>
      <c r="Z1308" s="38"/>
      <c r="AA1308" s="38"/>
      <c r="AB1308" s="38"/>
      <c r="AC1308" s="38"/>
      <c r="AD1308" s="38"/>
      <c r="AE1308" s="38"/>
      <c r="AF1308" s="38"/>
      <c r="AG1308" s="38"/>
      <c r="AH1308" s="38"/>
    </row>
    <row r="1309" spans="3:34" ht="20.100000000000001" customHeight="1">
      <c r="C1309" s="113"/>
      <c r="D1309" s="114"/>
      <c r="P1309" s="82"/>
      <c r="Q1309" s="82"/>
      <c r="R1309" s="38"/>
      <c r="S1309" s="38"/>
      <c r="T1309" s="38"/>
      <c r="U1309" s="38"/>
      <c r="V1309" s="38"/>
      <c r="W1309" s="38"/>
      <c r="X1309" s="38"/>
      <c r="Y1309" s="38"/>
      <c r="Z1309" s="38"/>
      <c r="AA1309" s="38"/>
      <c r="AB1309" s="38"/>
      <c r="AC1309" s="38"/>
      <c r="AD1309" s="38"/>
      <c r="AE1309" s="38"/>
      <c r="AF1309" s="38"/>
      <c r="AG1309" s="38"/>
      <c r="AH1309" s="38"/>
    </row>
    <row r="1310" spans="3:34" ht="20.100000000000001" customHeight="1">
      <c r="C1310" s="113"/>
      <c r="D1310" s="114"/>
      <c r="P1310" s="82"/>
      <c r="Q1310" s="82"/>
      <c r="R1310" s="38"/>
      <c r="S1310" s="38"/>
      <c r="T1310" s="38"/>
      <c r="U1310" s="38"/>
      <c r="V1310" s="38"/>
      <c r="W1310" s="38"/>
      <c r="X1310" s="38"/>
      <c r="Y1310" s="38"/>
      <c r="Z1310" s="38"/>
      <c r="AA1310" s="38"/>
      <c r="AB1310" s="38"/>
      <c r="AC1310" s="38"/>
      <c r="AD1310" s="38"/>
      <c r="AE1310" s="38"/>
      <c r="AF1310" s="38"/>
      <c r="AG1310" s="38"/>
      <c r="AH1310" s="38"/>
    </row>
    <row r="1311" spans="3:34" ht="20.100000000000001" customHeight="1">
      <c r="C1311" s="113"/>
      <c r="D1311" s="114"/>
      <c r="P1311" s="82"/>
      <c r="Q1311" s="82"/>
      <c r="R1311" s="38"/>
      <c r="S1311" s="38"/>
      <c r="T1311" s="38"/>
      <c r="U1311" s="38"/>
      <c r="V1311" s="38"/>
      <c r="W1311" s="38"/>
      <c r="X1311" s="38"/>
      <c r="Y1311" s="38"/>
      <c r="Z1311" s="38"/>
      <c r="AA1311" s="38"/>
      <c r="AB1311" s="38"/>
      <c r="AC1311" s="38"/>
      <c r="AD1311" s="38"/>
      <c r="AE1311" s="38"/>
      <c r="AF1311" s="38"/>
      <c r="AG1311" s="38"/>
      <c r="AH1311" s="38"/>
    </row>
    <row r="1312" spans="3:34" ht="20.100000000000001" customHeight="1">
      <c r="C1312" s="113"/>
      <c r="D1312" s="114"/>
      <c r="P1312" s="82"/>
      <c r="Q1312" s="82"/>
      <c r="R1312" s="38"/>
      <c r="S1312" s="38"/>
      <c r="T1312" s="38"/>
      <c r="U1312" s="38"/>
      <c r="V1312" s="38"/>
      <c r="W1312" s="38"/>
      <c r="X1312" s="38"/>
      <c r="Y1312" s="38"/>
      <c r="Z1312" s="38"/>
      <c r="AA1312" s="38"/>
      <c r="AB1312" s="38"/>
      <c r="AC1312" s="38"/>
      <c r="AD1312" s="38"/>
      <c r="AE1312" s="38"/>
      <c r="AF1312" s="38"/>
      <c r="AG1312" s="38"/>
      <c r="AH1312" s="38"/>
    </row>
    <row r="1313" spans="3:34" ht="20.100000000000001" customHeight="1">
      <c r="C1313" s="113"/>
      <c r="D1313" s="114"/>
      <c r="P1313" s="82"/>
      <c r="Q1313" s="82"/>
      <c r="R1313" s="38"/>
      <c r="S1313" s="38"/>
      <c r="T1313" s="38"/>
      <c r="U1313" s="38"/>
      <c r="V1313" s="38"/>
      <c r="W1313" s="38"/>
      <c r="X1313" s="38"/>
      <c r="Y1313" s="38"/>
      <c r="Z1313" s="38"/>
      <c r="AA1313" s="38"/>
      <c r="AB1313" s="38"/>
      <c r="AC1313" s="38"/>
      <c r="AD1313" s="38"/>
      <c r="AE1313" s="38"/>
      <c r="AF1313" s="38"/>
      <c r="AG1313" s="38"/>
      <c r="AH1313" s="38"/>
    </row>
    <row r="1314" spans="3:34" ht="20.100000000000001" customHeight="1">
      <c r="C1314" s="113"/>
      <c r="D1314" s="114"/>
      <c r="P1314" s="82"/>
      <c r="Q1314" s="82"/>
      <c r="R1314" s="38"/>
      <c r="S1314" s="38"/>
      <c r="T1314" s="38"/>
      <c r="U1314" s="38"/>
      <c r="V1314" s="38"/>
      <c r="W1314" s="38"/>
      <c r="X1314" s="38"/>
      <c r="Y1314" s="38"/>
      <c r="Z1314" s="38"/>
      <c r="AA1314" s="38"/>
      <c r="AB1314" s="38"/>
      <c r="AC1314" s="38"/>
      <c r="AD1314" s="38"/>
      <c r="AE1314" s="38"/>
      <c r="AF1314" s="38"/>
      <c r="AG1314" s="38"/>
      <c r="AH1314" s="38"/>
    </row>
    <row r="1315" spans="3:34" ht="20.100000000000001" customHeight="1">
      <c r="C1315" s="113"/>
      <c r="D1315" s="114"/>
      <c r="P1315" s="82"/>
      <c r="Q1315" s="82"/>
      <c r="R1315" s="38"/>
      <c r="S1315" s="38"/>
      <c r="T1315" s="38"/>
      <c r="U1315" s="38"/>
      <c r="V1315" s="38"/>
      <c r="W1315" s="38"/>
      <c r="X1315" s="38"/>
      <c r="Y1315" s="38"/>
      <c r="Z1315" s="38"/>
      <c r="AA1315" s="38"/>
      <c r="AB1315" s="38"/>
      <c r="AC1315" s="38"/>
      <c r="AD1315" s="38"/>
      <c r="AE1315" s="38"/>
      <c r="AF1315" s="38"/>
      <c r="AG1315" s="38"/>
      <c r="AH1315" s="38"/>
    </row>
    <row r="1316" spans="3:34" ht="20.100000000000001" customHeight="1">
      <c r="C1316" s="113"/>
      <c r="D1316" s="114"/>
      <c r="P1316" s="82"/>
      <c r="Q1316" s="82"/>
      <c r="R1316" s="38"/>
      <c r="S1316" s="38"/>
      <c r="T1316" s="38"/>
      <c r="U1316" s="38"/>
      <c r="V1316" s="38"/>
      <c r="W1316" s="38"/>
      <c r="X1316" s="38"/>
      <c r="Y1316" s="38"/>
      <c r="Z1316" s="38"/>
      <c r="AA1316" s="38"/>
      <c r="AB1316" s="38"/>
      <c r="AC1316" s="38"/>
      <c r="AD1316" s="38"/>
      <c r="AE1316" s="38"/>
      <c r="AF1316" s="38"/>
      <c r="AG1316" s="38"/>
      <c r="AH1316" s="38"/>
    </row>
    <row r="1317" spans="3:34" ht="20.100000000000001" customHeight="1">
      <c r="C1317" s="113"/>
      <c r="D1317" s="114"/>
      <c r="P1317" s="82"/>
      <c r="Q1317" s="82"/>
      <c r="R1317" s="38"/>
      <c r="S1317" s="38"/>
      <c r="T1317" s="38"/>
      <c r="U1317" s="38"/>
      <c r="V1317" s="38"/>
      <c r="W1317" s="38"/>
      <c r="X1317" s="38"/>
      <c r="Y1317" s="38"/>
      <c r="Z1317" s="38"/>
      <c r="AA1317" s="38"/>
      <c r="AB1317" s="38"/>
      <c r="AC1317" s="38"/>
      <c r="AD1317" s="38"/>
      <c r="AE1317" s="38"/>
      <c r="AF1317" s="38"/>
      <c r="AG1317" s="38"/>
      <c r="AH1317" s="38"/>
    </row>
    <row r="1318" spans="3:34" ht="20.100000000000001" customHeight="1">
      <c r="C1318" s="113"/>
      <c r="D1318" s="114"/>
      <c r="P1318" s="82"/>
      <c r="Q1318" s="82"/>
      <c r="R1318" s="38"/>
      <c r="S1318" s="38"/>
      <c r="T1318" s="38"/>
      <c r="U1318" s="38"/>
      <c r="V1318" s="38"/>
      <c r="W1318" s="38"/>
      <c r="X1318" s="38"/>
      <c r="Y1318" s="38"/>
      <c r="Z1318" s="38"/>
      <c r="AA1318" s="38"/>
      <c r="AB1318" s="38"/>
      <c r="AC1318" s="38"/>
      <c r="AD1318" s="38"/>
      <c r="AE1318" s="38"/>
      <c r="AF1318" s="38"/>
      <c r="AG1318" s="38"/>
      <c r="AH1318" s="38"/>
    </row>
    <row r="1319" spans="3:34" ht="20.100000000000001" customHeight="1">
      <c r="C1319" s="113"/>
      <c r="D1319" s="114"/>
      <c r="P1319" s="82"/>
      <c r="Q1319" s="82"/>
      <c r="R1319" s="38"/>
      <c r="S1319" s="38"/>
      <c r="T1319" s="38"/>
      <c r="U1319" s="38"/>
      <c r="V1319" s="38"/>
      <c r="W1319" s="38"/>
      <c r="X1319" s="38"/>
      <c r="Y1319" s="38"/>
      <c r="Z1319" s="38"/>
      <c r="AA1319" s="38"/>
      <c r="AB1319" s="38"/>
      <c r="AC1319" s="38"/>
      <c r="AD1319" s="38"/>
      <c r="AE1319" s="38"/>
      <c r="AF1319" s="38"/>
      <c r="AG1319" s="38"/>
      <c r="AH1319" s="38"/>
    </row>
    <row r="1320" spans="3:34" ht="20.100000000000001" customHeight="1">
      <c r="C1320" s="113"/>
      <c r="D1320" s="114"/>
      <c r="P1320" s="82"/>
      <c r="Q1320" s="82"/>
      <c r="R1320" s="38"/>
      <c r="S1320" s="38"/>
      <c r="T1320" s="38"/>
      <c r="U1320" s="38"/>
      <c r="V1320" s="38"/>
      <c r="W1320" s="38"/>
      <c r="X1320" s="38"/>
      <c r="Y1320" s="38"/>
      <c r="Z1320" s="38"/>
      <c r="AA1320" s="38"/>
      <c r="AB1320" s="38"/>
      <c r="AC1320" s="38"/>
      <c r="AD1320" s="38"/>
      <c r="AE1320" s="38"/>
      <c r="AF1320" s="38"/>
      <c r="AG1320" s="38"/>
      <c r="AH1320" s="38"/>
    </row>
    <row r="1321" spans="3:34" ht="20.100000000000001" customHeight="1">
      <c r="C1321" s="113"/>
      <c r="D1321" s="114"/>
      <c r="P1321" s="82"/>
      <c r="Q1321" s="82"/>
      <c r="R1321" s="38"/>
      <c r="S1321" s="38"/>
      <c r="T1321" s="38"/>
      <c r="U1321" s="38"/>
      <c r="V1321" s="38"/>
      <c r="W1321" s="38"/>
      <c r="X1321" s="38"/>
      <c r="Y1321" s="38"/>
      <c r="Z1321" s="38"/>
      <c r="AA1321" s="38"/>
      <c r="AB1321" s="38"/>
      <c r="AC1321" s="38"/>
      <c r="AD1321" s="38"/>
      <c r="AE1321" s="38"/>
      <c r="AF1321" s="38"/>
      <c r="AG1321" s="38"/>
      <c r="AH1321" s="38"/>
    </row>
    <row r="1322" spans="3:34" ht="20.100000000000001" customHeight="1">
      <c r="C1322" s="113"/>
      <c r="D1322" s="114"/>
      <c r="P1322" s="82"/>
      <c r="Q1322" s="82"/>
      <c r="R1322" s="38"/>
      <c r="S1322" s="38"/>
      <c r="T1322" s="38"/>
      <c r="U1322" s="38"/>
      <c r="V1322" s="38"/>
      <c r="W1322" s="38"/>
      <c r="X1322" s="38"/>
      <c r="Y1322" s="38"/>
      <c r="Z1322" s="38"/>
      <c r="AA1322" s="38"/>
      <c r="AB1322" s="38"/>
      <c r="AC1322" s="38"/>
      <c r="AD1322" s="38"/>
      <c r="AE1322" s="38"/>
      <c r="AF1322" s="38"/>
      <c r="AG1322" s="38"/>
      <c r="AH1322" s="38"/>
    </row>
    <row r="1323" spans="3:34" ht="20.100000000000001" customHeight="1">
      <c r="C1323" s="113"/>
      <c r="D1323" s="114"/>
      <c r="P1323" s="82"/>
      <c r="Q1323" s="82"/>
      <c r="R1323" s="38"/>
      <c r="S1323" s="38"/>
      <c r="T1323" s="38"/>
      <c r="U1323" s="38"/>
      <c r="V1323" s="38"/>
      <c r="W1323" s="38"/>
      <c r="X1323" s="38"/>
      <c r="Y1323" s="38"/>
      <c r="Z1323" s="38"/>
      <c r="AA1323" s="38"/>
      <c r="AB1323" s="38"/>
      <c r="AC1323" s="38"/>
      <c r="AD1323" s="38"/>
      <c r="AE1323" s="38"/>
      <c r="AF1323" s="38"/>
      <c r="AG1323" s="38"/>
      <c r="AH1323" s="38"/>
    </row>
    <row r="1324" spans="3:34" ht="20.100000000000001" customHeight="1">
      <c r="C1324" s="113"/>
      <c r="D1324" s="114"/>
      <c r="P1324" s="82"/>
      <c r="Q1324" s="82"/>
      <c r="R1324" s="38"/>
      <c r="S1324" s="38"/>
      <c r="T1324" s="38"/>
      <c r="U1324" s="38"/>
      <c r="V1324" s="38"/>
      <c r="W1324" s="38"/>
      <c r="X1324" s="38"/>
      <c r="Y1324" s="38"/>
      <c r="Z1324" s="38"/>
      <c r="AA1324" s="38"/>
      <c r="AB1324" s="38"/>
      <c r="AC1324" s="38"/>
      <c r="AD1324" s="38"/>
      <c r="AE1324" s="38"/>
      <c r="AF1324" s="38"/>
      <c r="AG1324" s="38"/>
      <c r="AH1324" s="38"/>
    </row>
    <row r="1325" spans="3:34" ht="20.100000000000001" customHeight="1">
      <c r="C1325" s="113"/>
      <c r="D1325" s="114"/>
      <c r="P1325" s="82"/>
      <c r="Q1325" s="82"/>
      <c r="R1325" s="38"/>
      <c r="S1325" s="38"/>
      <c r="T1325" s="38"/>
      <c r="U1325" s="38"/>
      <c r="V1325" s="38"/>
      <c r="W1325" s="38"/>
      <c r="X1325" s="38"/>
      <c r="Y1325" s="38"/>
      <c r="Z1325" s="38"/>
      <c r="AA1325" s="38"/>
      <c r="AB1325" s="38"/>
      <c r="AC1325" s="38"/>
      <c r="AD1325" s="38"/>
      <c r="AE1325" s="38"/>
      <c r="AF1325" s="38"/>
      <c r="AG1325" s="38"/>
      <c r="AH1325" s="38"/>
    </row>
    <row r="1326" spans="3:34" ht="20.100000000000001" customHeight="1">
      <c r="C1326" s="113"/>
      <c r="D1326" s="114"/>
      <c r="P1326" s="82"/>
      <c r="Q1326" s="82"/>
      <c r="R1326" s="38"/>
      <c r="S1326" s="38"/>
      <c r="T1326" s="38"/>
      <c r="U1326" s="38"/>
      <c r="V1326" s="38"/>
      <c r="W1326" s="38"/>
      <c r="X1326" s="38"/>
      <c r="Y1326" s="38"/>
      <c r="Z1326" s="38"/>
      <c r="AA1326" s="38"/>
      <c r="AB1326" s="38"/>
      <c r="AC1326" s="38"/>
      <c r="AD1326" s="38"/>
      <c r="AE1326" s="38"/>
      <c r="AF1326" s="38"/>
      <c r="AG1326" s="38"/>
      <c r="AH1326" s="38"/>
    </row>
    <row r="1327" spans="3:34" ht="20.100000000000001" customHeight="1">
      <c r="C1327" s="113"/>
      <c r="D1327" s="114"/>
      <c r="P1327" s="82"/>
      <c r="Q1327" s="82"/>
      <c r="R1327" s="38"/>
      <c r="S1327" s="38"/>
      <c r="T1327" s="38"/>
      <c r="U1327" s="38"/>
      <c r="V1327" s="38"/>
      <c r="W1327" s="38"/>
      <c r="X1327" s="38"/>
      <c r="Y1327" s="38"/>
      <c r="Z1327" s="38"/>
      <c r="AA1327" s="38"/>
      <c r="AB1327" s="38"/>
      <c r="AC1327" s="38"/>
      <c r="AD1327" s="38"/>
      <c r="AE1327" s="38"/>
      <c r="AF1327" s="38"/>
      <c r="AG1327" s="38"/>
      <c r="AH1327" s="38"/>
    </row>
    <row r="1328" spans="3:34" ht="20.100000000000001" customHeight="1">
      <c r="C1328" s="113"/>
      <c r="D1328" s="114"/>
      <c r="P1328" s="82"/>
      <c r="Q1328" s="82"/>
      <c r="R1328" s="38"/>
      <c r="S1328" s="38"/>
      <c r="T1328" s="38"/>
      <c r="U1328" s="38"/>
      <c r="V1328" s="38"/>
      <c r="W1328" s="38"/>
      <c r="X1328" s="38"/>
      <c r="Y1328" s="38"/>
      <c r="Z1328" s="38"/>
      <c r="AA1328" s="38"/>
      <c r="AB1328" s="38"/>
      <c r="AC1328" s="38"/>
      <c r="AD1328" s="38"/>
      <c r="AE1328" s="38"/>
      <c r="AF1328" s="38"/>
      <c r="AG1328" s="38"/>
      <c r="AH1328" s="38"/>
    </row>
    <row r="1329" spans="3:34" ht="20.100000000000001" customHeight="1">
      <c r="C1329" s="113"/>
      <c r="D1329" s="114"/>
      <c r="P1329" s="82"/>
      <c r="Q1329" s="82"/>
      <c r="R1329" s="38"/>
      <c r="S1329" s="38"/>
      <c r="T1329" s="38"/>
      <c r="U1329" s="38"/>
      <c r="V1329" s="38"/>
      <c r="W1329" s="38"/>
      <c r="X1329" s="38"/>
      <c r="Y1329" s="38"/>
      <c r="Z1329" s="38"/>
      <c r="AA1329" s="38"/>
      <c r="AB1329" s="38"/>
      <c r="AC1329" s="38"/>
      <c r="AD1329" s="38"/>
      <c r="AE1329" s="38"/>
      <c r="AF1329" s="38"/>
      <c r="AG1329" s="38"/>
      <c r="AH1329" s="38"/>
    </row>
    <row r="1330" spans="3:34" ht="20.100000000000001" customHeight="1">
      <c r="C1330" s="113"/>
      <c r="D1330" s="114"/>
      <c r="P1330" s="82"/>
      <c r="Q1330" s="82"/>
      <c r="R1330" s="38"/>
      <c r="S1330" s="38"/>
      <c r="T1330" s="38"/>
      <c r="U1330" s="38"/>
      <c r="V1330" s="38"/>
      <c r="W1330" s="38"/>
      <c r="X1330" s="38"/>
      <c r="Y1330" s="38"/>
      <c r="Z1330" s="38"/>
      <c r="AA1330" s="38"/>
      <c r="AB1330" s="38"/>
      <c r="AC1330" s="38"/>
      <c r="AD1330" s="38"/>
      <c r="AE1330" s="38"/>
      <c r="AF1330" s="38"/>
      <c r="AG1330" s="38"/>
      <c r="AH1330" s="38"/>
    </row>
    <row r="1331" spans="3:34" ht="20.100000000000001" customHeight="1">
      <c r="C1331" s="113"/>
      <c r="D1331" s="114"/>
      <c r="P1331" s="82"/>
      <c r="Q1331" s="82"/>
      <c r="R1331" s="38"/>
      <c r="S1331" s="38"/>
      <c r="T1331" s="38"/>
      <c r="U1331" s="38"/>
      <c r="V1331" s="38"/>
      <c r="W1331" s="38"/>
      <c r="X1331" s="38"/>
      <c r="Y1331" s="38"/>
      <c r="Z1331" s="38"/>
      <c r="AA1331" s="38"/>
      <c r="AB1331" s="38"/>
      <c r="AC1331" s="38"/>
      <c r="AD1331" s="38"/>
      <c r="AE1331" s="38"/>
      <c r="AF1331" s="38"/>
      <c r="AG1331" s="38"/>
      <c r="AH1331" s="38"/>
    </row>
    <row r="1332" spans="3:34" ht="20.100000000000001" customHeight="1">
      <c r="C1332" s="113"/>
      <c r="D1332" s="114"/>
      <c r="P1332" s="82"/>
      <c r="Q1332" s="82"/>
      <c r="R1332" s="38"/>
      <c r="S1332" s="38"/>
      <c r="T1332" s="38"/>
      <c r="U1332" s="38"/>
      <c r="V1332" s="38"/>
      <c r="W1332" s="38"/>
      <c r="X1332" s="38"/>
      <c r="Y1332" s="38"/>
      <c r="Z1332" s="38"/>
      <c r="AA1332" s="38"/>
      <c r="AB1332" s="38"/>
      <c r="AC1332" s="38"/>
      <c r="AD1332" s="38"/>
      <c r="AE1332" s="38"/>
      <c r="AF1332" s="38"/>
      <c r="AG1332" s="38"/>
      <c r="AH1332" s="38"/>
    </row>
    <row r="1333" spans="3:34" ht="20.100000000000001" customHeight="1">
      <c r="C1333" s="113"/>
      <c r="D1333" s="114"/>
      <c r="P1333" s="82"/>
      <c r="Q1333" s="82"/>
      <c r="R1333" s="38"/>
      <c r="S1333" s="38"/>
      <c r="T1333" s="38"/>
      <c r="U1333" s="38"/>
      <c r="V1333" s="38"/>
      <c r="W1333" s="38"/>
      <c r="X1333" s="38"/>
      <c r="Y1333" s="38"/>
      <c r="Z1333" s="38"/>
      <c r="AA1333" s="38"/>
      <c r="AB1333" s="38"/>
      <c r="AC1333" s="38"/>
      <c r="AD1333" s="38"/>
      <c r="AE1333" s="38"/>
      <c r="AF1333" s="38"/>
      <c r="AG1333" s="38"/>
      <c r="AH1333" s="38"/>
    </row>
    <row r="1334" spans="3:34" ht="20.100000000000001" customHeight="1">
      <c r="C1334" s="113"/>
      <c r="D1334" s="114"/>
      <c r="P1334" s="82"/>
      <c r="Q1334" s="82"/>
      <c r="R1334" s="38"/>
      <c r="S1334" s="38"/>
      <c r="T1334" s="38"/>
      <c r="U1334" s="38"/>
      <c r="V1334" s="38"/>
      <c r="W1334" s="38"/>
      <c r="X1334" s="38"/>
      <c r="Y1334" s="38"/>
      <c r="Z1334" s="38"/>
      <c r="AA1334" s="38"/>
      <c r="AB1334" s="38"/>
      <c r="AC1334" s="38"/>
      <c r="AD1334" s="38"/>
      <c r="AE1334" s="38"/>
      <c r="AF1334" s="38"/>
      <c r="AG1334" s="38"/>
      <c r="AH1334" s="38"/>
    </row>
    <row r="1335" spans="3:34" ht="20.100000000000001" customHeight="1">
      <c r="C1335" s="113"/>
      <c r="D1335" s="114"/>
      <c r="P1335" s="82"/>
      <c r="Q1335" s="82"/>
      <c r="R1335" s="38"/>
      <c r="S1335" s="38"/>
      <c r="T1335" s="38"/>
      <c r="U1335" s="38"/>
      <c r="V1335" s="38"/>
      <c r="W1335" s="38"/>
      <c r="X1335" s="38"/>
      <c r="Y1335" s="38"/>
      <c r="Z1335" s="38"/>
      <c r="AA1335" s="38"/>
      <c r="AB1335" s="38"/>
      <c r="AC1335" s="38"/>
      <c r="AD1335" s="38"/>
      <c r="AE1335" s="38"/>
      <c r="AF1335" s="38"/>
      <c r="AG1335" s="38"/>
      <c r="AH1335" s="38"/>
    </row>
    <row r="1336" spans="3:34" ht="20.100000000000001" customHeight="1">
      <c r="C1336" s="113"/>
      <c r="D1336" s="114"/>
      <c r="P1336" s="82"/>
      <c r="Q1336" s="82"/>
      <c r="R1336" s="38"/>
      <c r="S1336" s="38"/>
      <c r="T1336" s="38"/>
      <c r="U1336" s="38"/>
      <c r="V1336" s="38"/>
      <c r="W1336" s="38"/>
      <c r="X1336" s="38"/>
      <c r="Y1336" s="38"/>
      <c r="Z1336" s="38"/>
      <c r="AA1336" s="38"/>
      <c r="AB1336" s="38"/>
      <c r="AC1336" s="38"/>
      <c r="AD1336" s="38"/>
      <c r="AE1336" s="38"/>
      <c r="AF1336" s="38"/>
      <c r="AG1336" s="38"/>
      <c r="AH1336" s="38"/>
    </row>
    <row r="1337" spans="3:34" ht="20.100000000000001" customHeight="1">
      <c r="C1337" s="113"/>
      <c r="D1337" s="114"/>
      <c r="P1337" s="82"/>
      <c r="Q1337" s="82"/>
      <c r="R1337" s="38"/>
      <c r="S1337" s="38"/>
      <c r="T1337" s="38"/>
      <c r="U1337" s="38"/>
      <c r="V1337" s="38"/>
      <c r="W1337" s="38"/>
      <c r="X1337" s="38"/>
      <c r="Y1337" s="38"/>
      <c r="Z1337" s="38"/>
      <c r="AA1337" s="38"/>
      <c r="AB1337" s="38"/>
      <c r="AC1337" s="38"/>
      <c r="AD1337" s="38"/>
      <c r="AE1337" s="38"/>
      <c r="AF1337" s="38"/>
      <c r="AG1337" s="38"/>
      <c r="AH1337" s="38"/>
    </row>
    <row r="1338" spans="3:34" ht="20.100000000000001" customHeight="1">
      <c r="C1338" s="113"/>
      <c r="D1338" s="114"/>
      <c r="P1338" s="82"/>
      <c r="Q1338" s="82"/>
      <c r="R1338" s="38"/>
      <c r="S1338" s="38"/>
      <c r="T1338" s="38"/>
      <c r="U1338" s="38"/>
      <c r="V1338" s="38"/>
      <c r="W1338" s="38"/>
      <c r="X1338" s="38"/>
      <c r="Y1338" s="38"/>
      <c r="Z1338" s="38"/>
      <c r="AA1338" s="38"/>
      <c r="AB1338" s="38"/>
      <c r="AC1338" s="38"/>
      <c r="AD1338" s="38"/>
      <c r="AE1338" s="38"/>
      <c r="AF1338" s="38"/>
      <c r="AG1338" s="38"/>
      <c r="AH1338" s="38"/>
    </row>
    <row r="1339" spans="3:34" ht="20.100000000000001" customHeight="1">
      <c r="C1339" s="113"/>
      <c r="D1339" s="114"/>
      <c r="P1339" s="82"/>
      <c r="Q1339" s="82"/>
      <c r="R1339" s="38"/>
      <c r="S1339" s="38"/>
      <c r="T1339" s="38"/>
      <c r="U1339" s="38"/>
      <c r="V1339" s="38"/>
      <c r="W1339" s="38"/>
      <c r="X1339" s="38"/>
      <c r="Y1339" s="38"/>
      <c r="Z1339" s="38"/>
      <c r="AA1339" s="38"/>
      <c r="AB1339" s="38"/>
      <c r="AC1339" s="38"/>
      <c r="AD1339" s="38"/>
      <c r="AE1339" s="38"/>
      <c r="AF1339" s="38"/>
      <c r="AG1339" s="38"/>
      <c r="AH1339" s="38"/>
    </row>
    <row r="1340" spans="3:34" ht="20.100000000000001" customHeight="1">
      <c r="C1340" s="113"/>
      <c r="D1340" s="114"/>
      <c r="P1340" s="82"/>
      <c r="Q1340" s="82"/>
      <c r="R1340" s="38"/>
      <c r="S1340" s="38"/>
      <c r="T1340" s="38"/>
      <c r="U1340" s="38"/>
      <c r="V1340" s="38"/>
      <c r="W1340" s="38"/>
      <c r="X1340" s="38"/>
      <c r="Y1340" s="38"/>
      <c r="Z1340" s="38"/>
      <c r="AA1340" s="38"/>
      <c r="AB1340" s="38"/>
      <c r="AC1340" s="38"/>
      <c r="AD1340" s="38"/>
      <c r="AE1340" s="38"/>
      <c r="AF1340" s="38"/>
      <c r="AG1340" s="38"/>
      <c r="AH1340" s="38"/>
    </row>
    <row r="1341" spans="3:34" ht="20.100000000000001" customHeight="1">
      <c r="C1341" s="113"/>
      <c r="D1341" s="114"/>
      <c r="P1341" s="82"/>
      <c r="Q1341" s="82"/>
      <c r="R1341" s="38"/>
      <c r="S1341" s="38"/>
      <c r="T1341" s="38"/>
      <c r="U1341" s="38"/>
      <c r="V1341" s="38"/>
      <c r="W1341" s="38"/>
      <c r="X1341" s="38"/>
      <c r="Y1341" s="38"/>
      <c r="Z1341" s="38"/>
      <c r="AA1341" s="38"/>
      <c r="AB1341" s="38"/>
      <c r="AC1341" s="38"/>
      <c r="AD1341" s="38"/>
      <c r="AE1341" s="38"/>
      <c r="AF1341" s="38"/>
      <c r="AG1341" s="38"/>
      <c r="AH1341" s="38"/>
    </row>
    <row r="1342" spans="3:34" ht="20.100000000000001" customHeight="1">
      <c r="C1342" s="113"/>
      <c r="D1342" s="114"/>
      <c r="P1342" s="82"/>
      <c r="Q1342" s="82"/>
      <c r="R1342" s="38"/>
      <c r="S1342" s="38"/>
      <c r="T1342" s="38"/>
      <c r="U1342" s="38"/>
      <c r="V1342" s="38"/>
      <c r="W1342" s="38"/>
      <c r="X1342" s="38"/>
      <c r="Y1342" s="38"/>
      <c r="Z1342" s="38"/>
      <c r="AA1342" s="38"/>
      <c r="AB1342" s="38"/>
      <c r="AC1342" s="38"/>
      <c r="AD1342" s="38"/>
      <c r="AE1342" s="38"/>
      <c r="AF1342" s="38"/>
      <c r="AG1342" s="38"/>
      <c r="AH1342" s="38"/>
    </row>
    <row r="1343" spans="3:34" ht="20.100000000000001" customHeight="1">
      <c r="C1343" s="113"/>
      <c r="D1343" s="114"/>
      <c r="P1343" s="82"/>
      <c r="Q1343" s="82"/>
      <c r="R1343" s="38"/>
      <c r="S1343" s="38"/>
      <c r="T1343" s="38"/>
      <c r="U1343" s="38"/>
      <c r="V1343" s="38"/>
      <c r="W1343" s="38"/>
      <c r="X1343" s="38"/>
      <c r="Y1343" s="38"/>
      <c r="Z1343" s="38"/>
      <c r="AA1343" s="38"/>
      <c r="AB1343" s="38"/>
      <c r="AC1343" s="38"/>
      <c r="AD1343" s="38"/>
      <c r="AE1343" s="38"/>
      <c r="AF1343" s="38"/>
      <c r="AG1343" s="38"/>
      <c r="AH1343" s="38"/>
    </row>
    <row r="1344" spans="3:34" ht="20.100000000000001" customHeight="1">
      <c r="C1344" s="113"/>
      <c r="D1344" s="114"/>
      <c r="P1344" s="82"/>
      <c r="Q1344" s="82"/>
      <c r="R1344" s="38"/>
      <c r="S1344" s="38"/>
      <c r="T1344" s="38"/>
      <c r="U1344" s="38"/>
      <c r="V1344" s="38"/>
      <c r="W1344" s="38"/>
      <c r="X1344" s="38"/>
      <c r="Y1344" s="38"/>
      <c r="Z1344" s="38"/>
      <c r="AA1344" s="38"/>
      <c r="AB1344" s="38"/>
      <c r="AC1344" s="38"/>
      <c r="AD1344" s="38"/>
      <c r="AE1344" s="38"/>
      <c r="AF1344" s="38"/>
      <c r="AG1344" s="38"/>
      <c r="AH1344" s="38"/>
    </row>
    <row r="1345" spans="3:34" ht="20.100000000000001" customHeight="1">
      <c r="C1345" s="113"/>
      <c r="D1345" s="114"/>
      <c r="P1345" s="82"/>
      <c r="Q1345" s="82"/>
      <c r="R1345" s="38"/>
      <c r="S1345" s="38"/>
      <c r="T1345" s="38"/>
      <c r="U1345" s="38"/>
      <c r="V1345" s="38"/>
      <c r="W1345" s="38"/>
      <c r="X1345" s="38"/>
      <c r="Y1345" s="38"/>
      <c r="Z1345" s="38"/>
      <c r="AA1345" s="38"/>
      <c r="AB1345" s="38"/>
      <c r="AC1345" s="38"/>
      <c r="AD1345" s="38"/>
      <c r="AE1345" s="38"/>
      <c r="AF1345" s="38"/>
      <c r="AG1345" s="38"/>
      <c r="AH1345" s="38"/>
    </row>
    <row r="1346" spans="3:34" ht="20.100000000000001" customHeight="1">
      <c r="C1346" s="113"/>
      <c r="D1346" s="114"/>
      <c r="P1346" s="82"/>
      <c r="Q1346" s="82"/>
      <c r="R1346" s="38"/>
      <c r="S1346" s="38"/>
      <c r="T1346" s="38"/>
      <c r="U1346" s="38"/>
      <c r="V1346" s="38"/>
      <c r="W1346" s="38"/>
      <c r="X1346" s="38"/>
      <c r="Y1346" s="38"/>
      <c r="Z1346" s="38"/>
      <c r="AA1346" s="38"/>
      <c r="AB1346" s="38"/>
      <c r="AC1346" s="38"/>
      <c r="AD1346" s="38"/>
      <c r="AE1346" s="38"/>
      <c r="AF1346" s="38"/>
      <c r="AG1346" s="38"/>
      <c r="AH1346" s="38"/>
    </row>
    <row r="1347" spans="3:34" ht="20.100000000000001" customHeight="1">
      <c r="C1347" s="113"/>
      <c r="D1347" s="114"/>
      <c r="P1347" s="82"/>
      <c r="Q1347" s="82"/>
      <c r="R1347" s="38"/>
      <c r="S1347" s="38"/>
      <c r="T1347" s="38"/>
      <c r="U1347" s="38"/>
      <c r="V1347" s="38"/>
      <c r="W1347" s="38"/>
      <c r="X1347" s="38"/>
      <c r="Y1347" s="38"/>
      <c r="Z1347" s="38"/>
      <c r="AA1347" s="38"/>
      <c r="AB1347" s="38"/>
      <c r="AC1347" s="38"/>
      <c r="AD1347" s="38"/>
      <c r="AE1347" s="38"/>
      <c r="AF1347" s="38"/>
      <c r="AG1347" s="38"/>
      <c r="AH1347" s="38"/>
    </row>
    <row r="1348" spans="3:34" ht="20.100000000000001" customHeight="1">
      <c r="C1348" s="113"/>
      <c r="D1348" s="114"/>
      <c r="P1348" s="82"/>
      <c r="Q1348" s="82"/>
      <c r="R1348" s="38"/>
      <c r="S1348" s="38"/>
      <c r="T1348" s="38"/>
      <c r="U1348" s="38"/>
      <c r="V1348" s="38"/>
      <c r="W1348" s="38"/>
      <c r="X1348" s="38"/>
      <c r="Y1348" s="38"/>
      <c r="Z1348" s="38"/>
      <c r="AA1348" s="38"/>
      <c r="AB1348" s="38"/>
      <c r="AC1348" s="38"/>
      <c r="AD1348" s="38"/>
      <c r="AE1348" s="38"/>
      <c r="AF1348" s="38"/>
      <c r="AG1348" s="38"/>
      <c r="AH1348" s="38"/>
    </row>
    <row r="1349" spans="3:34" ht="20.100000000000001" customHeight="1">
      <c r="C1349" s="113"/>
      <c r="D1349" s="114"/>
      <c r="P1349" s="82"/>
      <c r="Q1349" s="82"/>
      <c r="R1349" s="38"/>
      <c r="S1349" s="38"/>
      <c r="T1349" s="38"/>
      <c r="U1349" s="38"/>
      <c r="V1349" s="38"/>
      <c r="W1349" s="38"/>
      <c r="X1349" s="38"/>
      <c r="Y1349" s="38"/>
      <c r="Z1349" s="38"/>
      <c r="AA1349" s="38"/>
      <c r="AB1349" s="38"/>
      <c r="AC1349" s="38"/>
      <c r="AD1349" s="38"/>
      <c r="AE1349" s="38"/>
      <c r="AF1349" s="38"/>
      <c r="AG1349" s="38"/>
      <c r="AH1349" s="38"/>
    </row>
    <row r="1350" spans="3:34" ht="20.100000000000001" customHeight="1">
      <c r="C1350" s="113"/>
      <c r="D1350" s="114"/>
      <c r="P1350" s="82"/>
      <c r="Q1350" s="82"/>
      <c r="R1350" s="38"/>
      <c r="S1350" s="38"/>
      <c r="T1350" s="38"/>
      <c r="U1350" s="38"/>
      <c r="V1350" s="38"/>
      <c r="W1350" s="38"/>
      <c r="X1350" s="38"/>
      <c r="Y1350" s="38"/>
      <c r="Z1350" s="38"/>
      <c r="AA1350" s="38"/>
      <c r="AB1350" s="38"/>
      <c r="AC1350" s="38"/>
      <c r="AD1350" s="38"/>
      <c r="AE1350" s="38"/>
      <c r="AF1350" s="38"/>
      <c r="AG1350" s="38"/>
      <c r="AH1350" s="38"/>
    </row>
    <row r="1351" spans="3:34" ht="20.100000000000001" customHeight="1">
      <c r="C1351" s="113"/>
      <c r="D1351" s="114"/>
      <c r="P1351" s="82"/>
      <c r="Q1351" s="82"/>
      <c r="R1351" s="38"/>
      <c r="S1351" s="38"/>
      <c r="T1351" s="38"/>
      <c r="U1351" s="38"/>
      <c r="V1351" s="38"/>
      <c r="W1351" s="38"/>
      <c r="X1351" s="38"/>
      <c r="Y1351" s="38"/>
      <c r="Z1351" s="38"/>
      <c r="AA1351" s="38"/>
      <c r="AB1351" s="38"/>
      <c r="AC1351" s="38"/>
      <c r="AD1351" s="38"/>
      <c r="AE1351" s="38"/>
      <c r="AF1351" s="38"/>
      <c r="AG1351" s="38"/>
      <c r="AH1351" s="38"/>
    </row>
    <row r="1352" spans="3:34" ht="20.100000000000001" customHeight="1">
      <c r="C1352" s="113"/>
      <c r="D1352" s="114"/>
      <c r="P1352" s="82"/>
      <c r="Q1352" s="82"/>
      <c r="R1352" s="38"/>
      <c r="S1352" s="38"/>
      <c r="T1352" s="38"/>
      <c r="U1352" s="38"/>
      <c r="V1352" s="38"/>
      <c r="W1352" s="38"/>
      <c r="X1352" s="38"/>
      <c r="Y1352" s="38"/>
      <c r="Z1352" s="38"/>
      <c r="AA1352" s="38"/>
      <c r="AB1352" s="38"/>
      <c r="AC1352" s="38"/>
      <c r="AD1352" s="38"/>
      <c r="AE1352" s="38"/>
      <c r="AF1352" s="38"/>
      <c r="AG1352" s="38"/>
      <c r="AH1352" s="38"/>
    </row>
    <row r="1353" spans="3:34" ht="20.100000000000001" customHeight="1">
      <c r="C1353" s="113"/>
      <c r="D1353" s="114"/>
      <c r="P1353" s="82"/>
      <c r="Q1353" s="82"/>
      <c r="R1353" s="38"/>
      <c r="S1353" s="38"/>
      <c r="T1353" s="38"/>
      <c r="U1353" s="38"/>
      <c r="V1353" s="38"/>
      <c r="W1353" s="38"/>
      <c r="X1353" s="38"/>
      <c r="Y1353" s="38"/>
      <c r="Z1353" s="38"/>
      <c r="AA1353" s="38"/>
      <c r="AB1353" s="38"/>
      <c r="AC1353" s="38"/>
      <c r="AD1353" s="38"/>
      <c r="AE1353" s="38"/>
      <c r="AF1353" s="38"/>
      <c r="AG1353" s="38"/>
      <c r="AH1353" s="38"/>
    </row>
    <row r="1354" spans="3:34" ht="20.100000000000001" customHeight="1">
      <c r="C1354" s="113"/>
      <c r="D1354" s="114"/>
      <c r="P1354" s="82"/>
      <c r="Q1354" s="82"/>
      <c r="R1354" s="38"/>
      <c r="S1354" s="38"/>
      <c r="T1354" s="38"/>
      <c r="U1354" s="38"/>
      <c r="V1354" s="38"/>
      <c r="W1354" s="38"/>
      <c r="X1354" s="38"/>
      <c r="Y1354" s="38"/>
      <c r="Z1354" s="38"/>
      <c r="AA1354" s="38"/>
      <c r="AB1354" s="38"/>
      <c r="AC1354" s="38"/>
      <c r="AD1354" s="38"/>
      <c r="AE1354" s="38"/>
      <c r="AF1354" s="38"/>
      <c r="AG1354" s="38"/>
      <c r="AH1354" s="38"/>
    </row>
    <row r="1355" spans="3:34" ht="20.100000000000001" customHeight="1">
      <c r="C1355" s="113"/>
      <c r="D1355" s="114"/>
      <c r="P1355" s="82"/>
      <c r="Q1355" s="82"/>
      <c r="R1355" s="38"/>
      <c r="S1355" s="38"/>
      <c r="T1355" s="38"/>
      <c r="U1355" s="38"/>
      <c r="V1355" s="38"/>
      <c r="W1355" s="38"/>
      <c r="X1355" s="38"/>
      <c r="Y1355" s="38"/>
      <c r="Z1355" s="38"/>
      <c r="AA1355" s="38"/>
      <c r="AB1355" s="38"/>
      <c r="AC1355" s="38"/>
      <c r="AD1355" s="38"/>
      <c r="AE1355" s="38"/>
      <c r="AF1355" s="38"/>
      <c r="AG1355" s="38"/>
      <c r="AH1355" s="38"/>
    </row>
    <row r="1356" spans="3:34" ht="20.100000000000001" customHeight="1">
      <c r="C1356" s="113"/>
      <c r="D1356" s="114"/>
      <c r="P1356" s="82"/>
      <c r="Q1356" s="82"/>
      <c r="R1356" s="38"/>
      <c r="S1356" s="38"/>
      <c r="T1356" s="38"/>
      <c r="U1356" s="38"/>
      <c r="V1356" s="38"/>
      <c r="W1356" s="38"/>
      <c r="X1356" s="38"/>
      <c r="Y1356" s="38"/>
      <c r="Z1356" s="38"/>
      <c r="AA1356" s="38"/>
      <c r="AB1356" s="38"/>
      <c r="AC1356" s="38"/>
      <c r="AD1356" s="38"/>
      <c r="AE1356" s="38"/>
      <c r="AF1356" s="38"/>
      <c r="AG1356" s="38"/>
      <c r="AH1356" s="38"/>
    </row>
    <row r="1357" spans="3:34" ht="20.100000000000001" customHeight="1">
      <c r="C1357" s="113"/>
      <c r="D1357" s="114"/>
      <c r="P1357" s="82"/>
      <c r="Q1357" s="82"/>
      <c r="R1357" s="38"/>
      <c r="S1357" s="38"/>
      <c r="T1357" s="38"/>
      <c r="U1357" s="38"/>
      <c r="V1357" s="38"/>
      <c r="W1357" s="38"/>
      <c r="X1357" s="38"/>
      <c r="Y1357" s="38"/>
      <c r="Z1357" s="38"/>
      <c r="AA1357" s="38"/>
      <c r="AB1357" s="38"/>
      <c r="AC1357" s="38"/>
      <c r="AD1357" s="38"/>
      <c r="AE1357" s="38"/>
      <c r="AF1357" s="38"/>
      <c r="AG1357" s="38"/>
      <c r="AH1357" s="38"/>
    </row>
    <row r="1358" spans="3:34" ht="20.100000000000001" customHeight="1">
      <c r="C1358" s="113"/>
      <c r="D1358" s="114"/>
      <c r="P1358" s="82"/>
      <c r="Q1358" s="82"/>
      <c r="R1358" s="38"/>
      <c r="S1358" s="38"/>
      <c r="T1358" s="38"/>
      <c r="U1358" s="38"/>
      <c r="V1358" s="38"/>
      <c r="W1358" s="38"/>
      <c r="X1358" s="38"/>
      <c r="Y1358" s="38"/>
      <c r="Z1358" s="38"/>
      <c r="AA1358" s="38"/>
      <c r="AB1358" s="38"/>
      <c r="AC1358" s="38"/>
      <c r="AD1358" s="38"/>
      <c r="AE1358" s="38"/>
      <c r="AF1358" s="38"/>
      <c r="AG1358" s="38"/>
      <c r="AH1358" s="38"/>
    </row>
    <row r="1359" spans="3:34" ht="20.100000000000001" customHeight="1">
      <c r="C1359" s="113"/>
      <c r="D1359" s="114"/>
      <c r="P1359" s="82"/>
      <c r="Q1359" s="82"/>
      <c r="R1359" s="38"/>
      <c r="S1359" s="38"/>
      <c r="T1359" s="38"/>
      <c r="U1359" s="38"/>
      <c r="V1359" s="38"/>
      <c r="W1359" s="38"/>
      <c r="X1359" s="38"/>
      <c r="Y1359" s="38"/>
      <c r="Z1359" s="38"/>
      <c r="AA1359" s="38"/>
      <c r="AB1359" s="38"/>
      <c r="AC1359" s="38"/>
      <c r="AD1359" s="38"/>
      <c r="AE1359" s="38"/>
      <c r="AF1359" s="38"/>
      <c r="AG1359" s="38"/>
      <c r="AH1359" s="38"/>
    </row>
    <row r="1360" spans="3:34" ht="20.100000000000001" customHeight="1">
      <c r="C1360" s="113"/>
      <c r="D1360" s="114"/>
      <c r="P1360" s="82"/>
      <c r="Q1360" s="82"/>
      <c r="R1360" s="38"/>
      <c r="S1360" s="38"/>
      <c r="T1360" s="38"/>
      <c r="U1360" s="38"/>
      <c r="V1360" s="38"/>
      <c r="W1360" s="38"/>
      <c r="X1360" s="38"/>
      <c r="Y1360" s="38"/>
      <c r="Z1360" s="38"/>
      <c r="AA1360" s="38"/>
      <c r="AB1360" s="38"/>
      <c r="AC1360" s="38"/>
      <c r="AD1360" s="38"/>
      <c r="AE1360" s="38"/>
      <c r="AF1360" s="38"/>
      <c r="AG1360" s="38"/>
      <c r="AH1360" s="38"/>
    </row>
    <row r="1361" spans="3:34" ht="20.100000000000001" customHeight="1">
      <c r="C1361" s="113"/>
      <c r="D1361" s="114"/>
      <c r="P1361" s="82"/>
      <c r="Q1361" s="82"/>
      <c r="R1361" s="38"/>
      <c r="S1361" s="38"/>
      <c r="T1361" s="38"/>
      <c r="U1361" s="38"/>
      <c r="V1361" s="38"/>
      <c r="W1361" s="38"/>
      <c r="X1361" s="38"/>
      <c r="Y1361" s="38"/>
      <c r="Z1361" s="38"/>
      <c r="AA1361" s="38"/>
      <c r="AB1361" s="38"/>
      <c r="AC1361" s="38"/>
      <c r="AD1361" s="38"/>
      <c r="AE1361" s="38"/>
      <c r="AF1361" s="38"/>
      <c r="AG1361" s="38"/>
      <c r="AH1361" s="38"/>
    </row>
    <row r="1362" spans="3:34" ht="20.100000000000001" customHeight="1">
      <c r="C1362" s="113"/>
      <c r="D1362" s="114"/>
      <c r="P1362" s="82"/>
      <c r="Q1362" s="82"/>
      <c r="R1362" s="38"/>
      <c r="S1362" s="38"/>
      <c r="T1362" s="38"/>
      <c r="U1362" s="38"/>
      <c r="V1362" s="38"/>
      <c r="W1362" s="38"/>
      <c r="X1362" s="38"/>
      <c r="Y1362" s="38"/>
      <c r="Z1362" s="38"/>
      <c r="AA1362" s="38"/>
      <c r="AB1362" s="38"/>
      <c r="AC1362" s="38"/>
      <c r="AD1362" s="38"/>
      <c r="AE1362" s="38"/>
      <c r="AF1362" s="38"/>
      <c r="AG1362" s="38"/>
      <c r="AH1362" s="38"/>
    </row>
    <row r="1363" spans="3:34" ht="20.100000000000001" customHeight="1">
      <c r="C1363" s="113"/>
      <c r="D1363" s="114"/>
      <c r="P1363" s="82"/>
      <c r="Q1363" s="82"/>
      <c r="R1363" s="38"/>
      <c r="S1363" s="38"/>
      <c r="T1363" s="38"/>
      <c r="U1363" s="38"/>
      <c r="V1363" s="38"/>
      <c r="W1363" s="38"/>
      <c r="X1363" s="38"/>
      <c r="Y1363" s="38"/>
      <c r="Z1363" s="38"/>
      <c r="AA1363" s="38"/>
      <c r="AB1363" s="38"/>
      <c r="AC1363" s="38"/>
      <c r="AD1363" s="38"/>
      <c r="AE1363" s="38"/>
      <c r="AF1363" s="38"/>
      <c r="AG1363" s="38"/>
      <c r="AH1363" s="38"/>
    </row>
    <row r="1364" spans="3:34" ht="20.100000000000001" customHeight="1">
      <c r="C1364" s="113"/>
      <c r="D1364" s="114"/>
      <c r="P1364" s="82"/>
      <c r="Q1364" s="82"/>
      <c r="R1364" s="38"/>
      <c r="S1364" s="38"/>
      <c r="T1364" s="38"/>
      <c r="U1364" s="38"/>
      <c r="V1364" s="38"/>
      <c r="W1364" s="38"/>
      <c r="X1364" s="38"/>
      <c r="Y1364" s="38"/>
      <c r="Z1364" s="38"/>
      <c r="AA1364" s="38"/>
      <c r="AB1364" s="38"/>
      <c r="AC1364" s="38"/>
      <c r="AD1364" s="38"/>
      <c r="AE1364" s="38"/>
      <c r="AF1364" s="38"/>
      <c r="AG1364" s="38"/>
      <c r="AH1364" s="38"/>
    </row>
    <row r="1365" spans="3:34" ht="20.100000000000001" customHeight="1">
      <c r="C1365" s="113"/>
      <c r="D1365" s="114"/>
      <c r="P1365" s="82"/>
      <c r="Q1365" s="82"/>
      <c r="R1365" s="38"/>
      <c r="S1365" s="38"/>
      <c r="T1365" s="38"/>
      <c r="U1365" s="38"/>
      <c r="V1365" s="38"/>
      <c r="W1365" s="38"/>
      <c r="X1365" s="38"/>
      <c r="Y1365" s="38"/>
      <c r="Z1365" s="38"/>
      <c r="AA1365" s="38"/>
      <c r="AB1365" s="38"/>
      <c r="AC1365" s="38"/>
      <c r="AD1365" s="38"/>
      <c r="AE1365" s="38"/>
      <c r="AF1365" s="38"/>
      <c r="AG1365" s="38"/>
      <c r="AH1365" s="38"/>
    </row>
    <row r="1366" spans="3:34" ht="20.100000000000001" customHeight="1">
      <c r="C1366" s="113"/>
      <c r="D1366" s="114"/>
      <c r="P1366" s="82"/>
      <c r="Q1366" s="82"/>
      <c r="R1366" s="38"/>
      <c r="S1366" s="38"/>
      <c r="T1366" s="38"/>
      <c r="U1366" s="38"/>
      <c r="V1366" s="38"/>
      <c r="W1366" s="38"/>
      <c r="X1366" s="38"/>
      <c r="Y1366" s="38"/>
      <c r="Z1366" s="38"/>
      <c r="AA1366" s="38"/>
      <c r="AB1366" s="38"/>
      <c r="AC1366" s="38"/>
      <c r="AD1366" s="38"/>
      <c r="AE1366" s="38"/>
      <c r="AF1366" s="38"/>
      <c r="AG1366" s="38"/>
      <c r="AH1366" s="38"/>
    </row>
    <row r="1367" spans="3:34" ht="20.100000000000001" customHeight="1">
      <c r="C1367" s="113"/>
      <c r="D1367" s="114"/>
      <c r="P1367" s="82"/>
      <c r="Q1367" s="82"/>
      <c r="R1367" s="38"/>
      <c r="S1367" s="38"/>
      <c r="T1367" s="38"/>
      <c r="U1367" s="38"/>
      <c r="V1367" s="38"/>
      <c r="W1367" s="38"/>
      <c r="X1367" s="38"/>
      <c r="Y1367" s="38"/>
      <c r="Z1367" s="38"/>
      <c r="AA1367" s="38"/>
      <c r="AB1367" s="38"/>
      <c r="AC1367" s="38"/>
      <c r="AD1367" s="38"/>
      <c r="AE1367" s="38"/>
      <c r="AF1367" s="38"/>
      <c r="AG1367" s="38"/>
      <c r="AH1367" s="38"/>
    </row>
    <row r="1368" spans="3:34" ht="20.100000000000001" customHeight="1">
      <c r="C1368" s="113"/>
      <c r="D1368" s="114"/>
      <c r="P1368" s="82"/>
      <c r="Q1368" s="82"/>
      <c r="R1368" s="38"/>
      <c r="S1368" s="38"/>
      <c r="T1368" s="38"/>
      <c r="U1368" s="38"/>
      <c r="V1368" s="38"/>
      <c r="W1368" s="38"/>
      <c r="X1368" s="38"/>
      <c r="Y1368" s="38"/>
      <c r="Z1368" s="38"/>
      <c r="AA1368" s="38"/>
      <c r="AB1368" s="38"/>
      <c r="AC1368" s="38"/>
      <c r="AD1368" s="38"/>
      <c r="AE1368" s="38"/>
      <c r="AF1368" s="38"/>
      <c r="AG1368" s="38"/>
      <c r="AH1368" s="38"/>
    </row>
    <row r="1369" spans="3:34" ht="20.100000000000001" customHeight="1">
      <c r="C1369" s="113"/>
      <c r="D1369" s="114"/>
      <c r="P1369" s="82"/>
      <c r="Q1369" s="82"/>
      <c r="R1369" s="38"/>
      <c r="S1369" s="38"/>
      <c r="T1369" s="38"/>
      <c r="U1369" s="38"/>
      <c r="V1369" s="38"/>
      <c r="W1369" s="38"/>
      <c r="X1369" s="38"/>
      <c r="Y1369" s="38"/>
      <c r="Z1369" s="38"/>
      <c r="AA1369" s="38"/>
      <c r="AB1369" s="38"/>
      <c r="AC1369" s="38"/>
      <c r="AD1369" s="38"/>
      <c r="AE1369" s="38"/>
      <c r="AF1369" s="38"/>
      <c r="AG1369" s="38"/>
      <c r="AH1369" s="38"/>
    </row>
    <row r="1370" spans="3:34" ht="20.100000000000001" customHeight="1">
      <c r="C1370" s="113"/>
      <c r="D1370" s="114"/>
      <c r="P1370" s="82"/>
      <c r="Q1370" s="82"/>
      <c r="R1370" s="38"/>
      <c r="S1370" s="38"/>
      <c r="T1370" s="38"/>
      <c r="U1370" s="38"/>
      <c r="V1370" s="38"/>
      <c r="W1370" s="38"/>
      <c r="X1370" s="38"/>
      <c r="Y1370" s="38"/>
      <c r="Z1370" s="38"/>
      <c r="AA1370" s="38"/>
      <c r="AB1370" s="38"/>
      <c r="AC1370" s="38"/>
      <c r="AD1370" s="38"/>
      <c r="AE1370" s="38"/>
      <c r="AF1370" s="38"/>
      <c r="AG1370" s="38"/>
      <c r="AH1370" s="38"/>
    </row>
    <row r="1371" spans="3:34" ht="20.100000000000001" customHeight="1">
      <c r="C1371" s="113"/>
      <c r="D1371" s="114"/>
      <c r="P1371" s="82"/>
      <c r="Q1371" s="82"/>
      <c r="R1371" s="38"/>
      <c r="S1371" s="38"/>
      <c r="T1371" s="38"/>
      <c r="U1371" s="38"/>
      <c r="V1371" s="38"/>
      <c r="W1371" s="38"/>
      <c r="X1371" s="38"/>
      <c r="Y1371" s="38"/>
      <c r="Z1371" s="38"/>
      <c r="AA1371" s="38"/>
      <c r="AB1371" s="38"/>
      <c r="AC1371" s="38"/>
      <c r="AD1371" s="38"/>
      <c r="AE1371" s="38"/>
      <c r="AF1371" s="38"/>
      <c r="AG1371" s="38"/>
      <c r="AH1371" s="38"/>
    </row>
    <row r="1372" spans="3:34" ht="20.100000000000001" customHeight="1">
      <c r="C1372" s="113"/>
      <c r="D1372" s="114"/>
      <c r="P1372" s="82"/>
      <c r="Q1372" s="82"/>
      <c r="R1372" s="38"/>
      <c r="S1372" s="38"/>
      <c r="T1372" s="38"/>
      <c r="U1372" s="38"/>
      <c r="V1372" s="38"/>
      <c r="W1372" s="38"/>
      <c r="X1372" s="38"/>
      <c r="Y1372" s="38"/>
      <c r="Z1372" s="38"/>
      <c r="AA1372" s="38"/>
      <c r="AB1372" s="38"/>
      <c r="AC1372" s="38"/>
      <c r="AD1372" s="38"/>
      <c r="AE1372" s="38"/>
      <c r="AF1372" s="38"/>
      <c r="AG1372" s="38"/>
      <c r="AH1372" s="38"/>
    </row>
    <row r="1373" spans="3:34" ht="20.100000000000001" customHeight="1">
      <c r="C1373" s="113"/>
      <c r="D1373" s="114"/>
      <c r="P1373" s="82"/>
      <c r="Q1373" s="82"/>
      <c r="R1373" s="38"/>
      <c r="S1373" s="38"/>
      <c r="T1373" s="38"/>
      <c r="U1373" s="38"/>
      <c r="V1373" s="38"/>
      <c r="W1373" s="38"/>
      <c r="X1373" s="38"/>
      <c r="Y1373" s="38"/>
      <c r="Z1373" s="38"/>
      <c r="AA1373" s="38"/>
      <c r="AB1373" s="38"/>
      <c r="AC1373" s="38"/>
      <c r="AD1373" s="38"/>
      <c r="AE1373" s="38"/>
      <c r="AF1373" s="38"/>
      <c r="AG1373" s="38"/>
      <c r="AH1373" s="38"/>
    </row>
    <row r="1374" spans="3:34" ht="20.100000000000001" customHeight="1">
      <c r="C1374" s="113"/>
      <c r="D1374" s="114"/>
      <c r="P1374" s="82"/>
      <c r="Q1374" s="82"/>
      <c r="R1374" s="38"/>
      <c r="S1374" s="38"/>
      <c r="T1374" s="38"/>
      <c r="U1374" s="38"/>
      <c r="V1374" s="38"/>
      <c r="W1374" s="38"/>
      <c r="X1374" s="38"/>
      <c r="Y1374" s="38"/>
      <c r="Z1374" s="38"/>
      <c r="AA1374" s="38"/>
      <c r="AB1374" s="38"/>
      <c r="AC1374" s="38"/>
      <c r="AD1374" s="38"/>
      <c r="AE1374" s="38"/>
      <c r="AF1374" s="38"/>
      <c r="AG1374" s="38"/>
      <c r="AH1374" s="38"/>
    </row>
    <row r="1375" spans="3:34" ht="20.100000000000001" customHeight="1">
      <c r="C1375" s="113"/>
      <c r="D1375" s="114"/>
      <c r="P1375" s="82"/>
      <c r="Q1375" s="82"/>
      <c r="R1375" s="38"/>
      <c r="S1375" s="38"/>
      <c r="T1375" s="38"/>
      <c r="U1375" s="38"/>
      <c r="V1375" s="38"/>
      <c r="W1375" s="38"/>
      <c r="X1375" s="38"/>
      <c r="Y1375" s="38"/>
      <c r="Z1375" s="38"/>
      <c r="AA1375" s="38"/>
      <c r="AB1375" s="38"/>
      <c r="AC1375" s="38"/>
      <c r="AD1375" s="38"/>
      <c r="AE1375" s="38"/>
      <c r="AF1375" s="38"/>
      <c r="AG1375" s="38"/>
      <c r="AH1375" s="38"/>
    </row>
    <row r="1376" spans="3:34" ht="20.100000000000001" customHeight="1">
      <c r="C1376" s="113"/>
      <c r="D1376" s="114"/>
      <c r="P1376" s="82"/>
      <c r="Q1376" s="82"/>
      <c r="R1376" s="38"/>
      <c r="S1376" s="38"/>
      <c r="T1376" s="38"/>
      <c r="U1376" s="38"/>
      <c r="V1376" s="38"/>
      <c r="W1376" s="38"/>
      <c r="X1376" s="38"/>
      <c r="Y1376" s="38"/>
      <c r="Z1376" s="38"/>
      <c r="AA1376" s="38"/>
      <c r="AB1376" s="38"/>
      <c r="AC1376" s="38"/>
      <c r="AD1376" s="38"/>
      <c r="AE1376" s="38"/>
      <c r="AF1376" s="38"/>
      <c r="AG1376" s="38"/>
      <c r="AH1376" s="38"/>
    </row>
    <row r="1377" spans="3:34" ht="20.100000000000001" customHeight="1">
      <c r="C1377" s="113"/>
      <c r="D1377" s="114"/>
      <c r="P1377" s="82"/>
      <c r="Q1377" s="82"/>
      <c r="R1377" s="38"/>
      <c r="S1377" s="38"/>
      <c r="T1377" s="38"/>
      <c r="U1377" s="38"/>
      <c r="V1377" s="38"/>
      <c r="W1377" s="38"/>
      <c r="X1377" s="38"/>
      <c r="Y1377" s="38"/>
      <c r="Z1377" s="38"/>
      <c r="AA1377" s="38"/>
      <c r="AB1377" s="38"/>
      <c r="AC1377" s="38"/>
      <c r="AD1377" s="38"/>
      <c r="AE1377" s="38"/>
      <c r="AF1377" s="38"/>
      <c r="AG1377" s="38"/>
      <c r="AH1377" s="38"/>
    </row>
    <row r="1378" spans="3:34" ht="20.100000000000001" customHeight="1">
      <c r="C1378" s="113"/>
      <c r="D1378" s="114"/>
      <c r="P1378" s="82"/>
      <c r="Q1378" s="82"/>
      <c r="R1378" s="38"/>
      <c r="S1378" s="38"/>
      <c r="T1378" s="38"/>
      <c r="U1378" s="38"/>
      <c r="V1378" s="38"/>
      <c r="W1378" s="38"/>
      <c r="X1378" s="38"/>
      <c r="Y1378" s="38"/>
      <c r="Z1378" s="38"/>
      <c r="AA1378" s="38"/>
      <c r="AB1378" s="38"/>
      <c r="AC1378" s="38"/>
      <c r="AD1378" s="38"/>
      <c r="AE1378" s="38"/>
      <c r="AF1378" s="38"/>
      <c r="AG1378" s="38"/>
      <c r="AH1378" s="38"/>
    </row>
    <row r="1379" spans="3:34" ht="20.100000000000001" customHeight="1">
      <c r="C1379" s="113"/>
      <c r="D1379" s="114"/>
      <c r="P1379" s="82"/>
      <c r="Q1379" s="82"/>
      <c r="R1379" s="38"/>
      <c r="S1379" s="38"/>
      <c r="T1379" s="38"/>
      <c r="U1379" s="38"/>
      <c r="V1379" s="38"/>
      <c r="W1379" s="38"/>
      <c r="X1379" s="38"/>
      <c r="Y1379" s="38"/>
      <c r="Z1379" s="38"/>
      <c r="AA1379" s="38"/>
      <c r="AB1379" s="38"/>
      <c r="AC1379" s="38"/>
      <c r="AD1379" s="38"/>
      <c r="AE1379" s="38"/>
      <c r="AF1379" s="38"/>
      <c r="AG1379" s="38"/>
      <c r="AH1379" s="38"/>
    </row>
    <row r="1380" spans="3:34" ht="20.100000000000001" customHeight="1">
      <c r="C1380" s="113"/>
      <c r="D1380" s="114"/>
      <c r="P1380" s="82"/>
      <c r="Q1380" s="82"/>
      <c r="R1380" s="38"/>
      <c r="S1380" s="38"/>
      <c r="T1380" s="38"/>
      <c r="U1380" s="38"/>
      <c r="V1380" s="38"/>
      <c r="W1380" s="38"/>
      <c r="X1380" s="38"/>
      <c r="Y1380" s="38"/>
      <c r="Z1380" s="38"/>
      <c r="AA1380" s="38"/>
      <c r="AB1380" s="38"/>
      <c r="AC1380" s="38"/>
      <c r="AD1380" s="38"/>
      <c r="AE1380" s="38"/>
      <c r="AF1380" s="38"/>
      <c r="AG1380" s="38"/>
      <c r="AH1380" s="38"/>
    </row>
    <row r="1381" spans="3:34" ht="20.100000000000001" customHeight="1">
      <c r="C1381" s="113"/>
      <c r="D1381" s="114"/>
      <c r="P1381" s="82"/>
      <c r="Q1381" s="82"/>
      <c r="R1381" s="38"/>
      <c r="S1381" s="38"/>
      <c r="T1381" s="38"/>
      <c r="U1381" s="38"/>
      <c r="V1381" s="38"/>
      <c r="W1381" s="38"/>
      <c r="X1381" s="38"/>
      <c r="Y1381" s="38"/>
      <c r="Z1381" s="38"/>
      <c r="AA1381" s="38"/>
      <c r="AB1381" s="38"/>
      <c r="AC1381" s="38"/>
      <c r="AD1381" s="38"/>
      <c r="AE1381" s="38"/>
      <c r="AF1381" s="38"/>
      <c r="AG1381" s="38"/>
      <c r="AH1381" s="38"/>
    </row>
    <row r="1382" spans="3:34" ht="20.100000000000001" customHeight="1">
      <c r="C1382" s="113"/>
      <c r="D1382" s="114"/>
      <c r="P1382" s="82"/>
      <c r="Q1382" s="82"/>
      <c r="R1382" s="38"/>
      <c r="S1382" s="38"/>
      <c r="T1382" s="38"/>
      <c r="U1382" s="38"/>
      <c r="V1382" s="38"/>
      <c r="W1382" s="38"/>
      <c r="X1382" s="38"/>
      <c r="Y1382" s="38"/>
      <c r="Z1382" s="38"/>
      <c r="AA1382" s="38"/>
      <c r="AB1382" s="38"/>
      <c r="AC1382" s="38"/>
      <c r="AD1382" s="38"/>
      <c r="AE1382" s="38"/>
      <c r="AF1382" s="38"/>
      <c r="AG1382" s="38"/>
      <c r="AH1382" s="38"/>
    </row>
    <row r="1383" spans="3:34" ht="20.100000000000001" customHeight="1">
      <c r="C1383" s="113"/>
      <c r="D1383" s="114"/>
      <c r="P1383" s="82"/>
      <c r="Q1383" s="82"/>
      <c r="R1383" s="38"/>
      <c r="S1383" s="38"/>
      <c r="T1383" s="38"/>
      <c r="U1383" s="38"/>
      <c r="V1383" s="38"/>
      <c r="W1383" s="38"/>
      <c r="X1383" s="38"/>
      <c r="Y1383" s="38"/>
      <c r="Z1383" s="38"/>
      <c r="AA1383" s="38"/>
      <c r="AB1383" s="38"/>
      <c r="AC1383" s="38"/>
      <c r="AD1383" s="38"/>
      <c r="AE1383" s="38"/>
      <c r="AF1383" s="38"/>
      <c r="AG1383" s="38"/>
      <c r="AH1383" s="38"/>
    </row>
    <row r="1384" spans="3:34" ht="20.100000000000001" customHeight="1">
      <c r="C1384" s="113"/>
      <c r="D1384" s="114"/>
      <c r="P1384" s="82"/>
      <c r="Q1384" s="82"/>
      <c r="R1384" s="38"/>
      <c r="S1384" s="38"/>
      <c r="T1384" s="38"/>
      <c r="U1384" s="38"/>
      <c r="V1384" s="38"/>
      <c r="W1384" s="38"/>
      <c r="X1384" s="38"/>
      <c r="Y1384" s="38"/>
      <c r="Z1384" s="38"/>
      <c r="AA1384" s="38"/>
      <c r="AB1384" s="38"/>
      <c r="AC1384" s="38"/>
      <c r="AD1384" s="38"/>
      <c r="AE1384" s="38"/>
      <c r="AF1384" s="38"/>
      <c r="AG1384" s="38"/>
      <c r="AH1384" s="38"/>
    </row>
    <row r="1385" spans="3:34" ht="20.100000000000001" customHeight="1">
      <c r="C1385" s="113"/>
      <c r="D1385" s="114"/>
      <c r="P1385" s="82"/>
      <c r="Q1385" s="82"/>
      <c r="R1385" s="38"/>
      <c r="S1385" s="38"/>
      <c r="T1385" s="38"/>
      <c r="U1385" s="38"/>
      <c r="V1385" s="38"/>
      <c r="W1385" s="38"/>
      <c r="X1385" s="38"/>
      <c r="Y1385" s="38"/>
      <c r="Z1385" s="38"/>
      <c r="AA1385" s="38"/>
      <c r="AB1385" s="38"/>
      <c r="AC1385" s="38"/>
      <c r="AD1385" s="38"/>
      <c r="AE1385" s="38"/>
      <c r="AF1385" s="38"/>
      <c r="AG1385" s="38"/>
      <c r="AH1385" s="38"/>
    </row>
    <row r="1386" spans="3:34" ht="20.100000000000001" customHeight="1">
      <c r="C1386" s="113"/>
      <c r="D1386" s="114"/>
      <c r="P1386" s="82"/>
      <c r="Q1386" s="82"/>
      <c r="R1386" s="38"/>
      <c r="S1386" s="38"/>
      <c r="T1386" s="38"/>
      <c r="U1386" s="38"/>
      <c r="V1386" s="38"/>
      <c r="W1386" s="38"/>
      <c r="X1386" s="38"/>
      <c r="Y1386" s="38"/>
      <c r="Z1386" s="38"/>
      <c r="AA1386" s="38"/>
      <c r="AB1386" s="38"/>
      <c r="AC1386" s="38"/>
      <c r="AD1386" s="38"/>
      <c r="AE1386" s="38"/>
      <c r="AF1386" s="38"/>
      <c r="AG1386" s="38"/>
      <c r="AH1386" s="38"/>
    </row>
    <row r="1387" spans="3:34" ht="20.100000000000001" customHeight="1">
      <c r="C1387" s="113"/>
      <c r="D1387" s="114"/>
      <c r="P1387" s="82"/>
      <c r="Q1387" s="82"/>
      <c r="R1387" s="38"/>
      <c r="S1387" s="38"/>
      <c r="T1387" s="38"/>
      <c r="U1387" s="38"/>
      <c r="V1387" s="38"/>
      <c r="W1387" s="38"/>
      <c r="X1387" s="38"/>
      <c r="Y1387" s="38"/>
      <c r="Z1387" s="38"/>
      <c r="AA1387" s="38"/>
      <c r="AB1387" s="38"/>
      <c r="AC1387" s="38"/>
      <c r="AD1387" s="38"/>
      <c r="AE1387" s="38"/>
      <c r="AF1387" s="38"/>
      <c r="AG1387" s="38"/>
      <c r="AH1387" s="38"/>
    </row>
    <row r="1388" spans="3:34" ht="20.100000000000001" customHeight="1">
      <c r="C1388" s="113"/>
      <c r="D1388" s="114"/>
      <c r="P1388" s="82"/>
      <c r="Q1388" s="82"/>
      <c r="R1388" s="38"/>
      <c r="S1388" s="38"/>
      <c r="T1388" s="38"/>
      <c r="U1388" s="38"/>
      <c r="V1388" s="38"/>
      <c r="W1388" s="38"/>
      <c r="X1388" s="38"/>
      <c r="Y1388" s="38"/>
      <c r="Z1388" s="38"/>
      <c r="AA1388" s="38"/>
      <c r="AB1388" s="38"/>
      <c r="AC1388" s="38"/>
      <c r="AD1388" s="38"/>
      <c r="AE1388" s="38"/>
      <c r="AF1388" s="38"/>
      <c r="AG1388" s="38"/>
      <c r="AH1388" s="38"/>
    </row>
    <row r="1389" spans="3:34" ht="20.100000000000001" customHeight="1">
      <c r="C1389" s="113"/>
      <c r="D1389" s="114"/>
      <c r="P1389" s="82"/>
      <c r="Q1389" s="82"/>
      <c r="R1389" s="38"/>
      <c r="S1389" s="38"/>
      <c r="T1389" s="38"/>
      <c r="U1389" s="38"/>
      <c r="V1389" s="38"/>
      <c r="W1389" s="38"/>
      <c r="X1389" s="38"/>
      <c r="Y1389" s="38"/>
      <c r="Z1389" s="38"/>
      <c r="AA1389" s="38"/>
      <c r="AB1389" s="38"/>
      <c r="AC1389" s="38"/>
      <c r="AD1389" s="38"/>
      <c r="AE1389" s="38"/>
      <c r="AF1389" s="38"/>
      <c r="AG1389" s="38"/>
      <c r="AH1389" s="38"/>
    </row>
    <row r="1390" spans="3:34" ht="20.100000000000001" customHeight="1">
      <c r="C1390" s="113"/>
      <c r="D1390" s="114"/>
      <c r="P1390" s="82"/>
      <c r="Q1390" s="82"/>
      <c r="R1390" s="38"/>
      <c r="S1390" s="38"/>
      <c r="T1390" s="38"/>
      <c r="U1390" s="38"/>
      <c r="V1390" s="38"/>
      <c r="W1390" s="38"/>
      <c r="X1390" s="38"/>
      <c r="Y1390" s="38"/>
      <c r="Z1390" s="38"/>
      <c r="AA1390" s="38"/>
      <c r="AB1390" s="38"/>
      <c r="AC1390" s="38"/>
      <c r="AD1390" s="38"/>
      <c r="AE1390" s="38"/>
      <c r="AF1390" s="38"/>
      <c r="AG1390" s="38"/>
      <c r="AH1390" s="38"/>
    </row>
    <row r="1391" spans="3:34" ht="20.100000000000001" customHeight="1">
      <c r="C1391" s="113"/>
      <c r="D1391" s="114"/>
      <c r="P1391" s="82"/>
      <c r="Q1391" s="82"/>
      <c r="R1391" s="38"/>
      <c r="S1391" s="38"/>
      <c r="T1391" s="38"/>
      <c r="U1391" s="38"/>
      <c r="V1391" s="38"/>
      <c r="W1391" s="38"/>
      <c r="X1391" s="38"/>
      <c r="Y1391" s="38"/>
      <c r="Z1391" s="38"/>
      <c r="AA1391" s="38"/>
      <c r="AB1391" s="38"/>
      <c r="AC1391" s="38"/>
      <c r="AD1391" s="38"/>
      <c r="AE1391" s="38"/>
      <c r="AF1391" s="38"/>
      <c r="AG1391" s="38"/>
      <c r="AH1391" s="38"/>
    </row>
    <row r="1392" spans="3:34" ht="20.100000000000001" customHeight="1">
      <c r="C1392" s="113"/>
      <c r="D1392" s="114"/>
      <c r="P1392" s="82"/>
      <c r="Q1392" s="82"/>
      <c r="R1392" s="38"/>
      <c r="S1392" s="38"/>
      <c r="T1392" s="38"/>
      <c r="U1392" s="38"/>
      <c r="V1392" s="38"/>
      <c r="W1392" s="38"/>
      <c r="X1392" s="38"/>
      <c r="Y1392" s="38"/>
      <c r="Z1392" s="38"/>
      <c r="AA1392" s="38"/>
      <c r="AB1392" s="38"/>
      <c r="AC1392" s="38"/>
      <c r="AD1392" s="38"/>
      <c r="AE1392" s="38"/>
      <c r="AF1392" s="38"/>
      <c r="AG1392" s="38"/>
      <c r="AH1392" s="38"/>
    </row>
    <row r="1393" spans="3:34" ht="20.100000000000001" customHeight="1">
      <c r="C1393" s="113"/>
      <c r="D1393" s="114"/>
      <c r="P1393" s="82"/>
      <c r="Q1393" s="82"/>
      <c r="R1393" s="38"/>
      <c r="S1393" s="38"/>
      <c r="T1393" s="38"/>
      <c r="U1393" s="38"/>
      <c r="V1393" s="38"/>
      <c r="W1393" s="38"/>
      <c r="X1393" s="38"/>
      <c r="Y1393" s="38"/>
      <c r="Z1393" s="38"/>
      <c r="AA1393" s="38"/>
      <c r="AB1393" s="38"/>
      <c r="AC1393" s="38"/>
      <c r="AD1393" s="38"/>
      <c r="AE1393" s="38"/>
      <c r="AF1393" s="38"/>
      <c r="AG1393" s="38"/>
      <c r="AH1393" s="38"/>
    </row>
    <row r="1394" spans="3:34" ht="20.100000000000001" customHeight="1">
      <c r="C1394" s="113"/>
      <c r="D1394" s="114"/>
      <c r="P1394" s="82"/>
      <c r="Q1394" s="82"/>
      <c r="R1394" s="38"/>
      <c r="S1394" s="38"/>
      <c r="T1394" s="38"/>
      <c r="U1394" s="38"/>
      <c r="V1394" s="38"/>
      <c r="W1394" s="38"/>
      <c r="X1394" s="38"/>
      <c r="Y1394" s="38"/>
      <c r="Z1394" s="38"/>
      <c r="AA1394" s="38"/>
      <c r="AB1394" s="38"/>
      <c r="AC1394" s="38"/>
      <c r="AD1394" s="38"/>
      <c r="AE1394" s="38"/>
      <c r="AF1394" s="38"/>
      <c r="AG1394" s="38"/>
      <c r="AH1394" s="38"/>
    </row>
    <row r="1395" spans="3:34" ht="20.100000000000001" customHeight="1">
      <c r="C1395" s="113"/>
      <c r="D1395" s="114"/>
      <c r="P1395" s="82"/>
      <c r="Q1395" s="82"/>
      <c r="R1395" s="38"/>
      <c r="S1395" s="38"/>
      <c r="T1395" s="38"/>
      <c r="U1395" s="38"/>
      <c r="V1395" s="38"/>
      <c r="W1395" s="38"/>
      <c r="X1395" s="38"/>
      <c r="Y1395" s="38"/>
      <c r="Z1395" s="38"/>
      <c r="AA1395" s="38"/>
      <c r="AB1395" s="38"/>
      <c r="AC1395" s="38"/>
      <c r="AD1395" s="38"/>
      <c r="AE1395" s="38"/>
      <c r="AF1395" s="38"/>
      <c r="AG1395" s="38"/>
      <c r="AH1395" s="38"/>
    </row>
    <row r="1396" spans="3:34" ht="20.100000000000001" customHeight="1">
      <c r="C1396" s="113"/>
      <c r="D1396" s="114"/>
      <c r="P1396" s="82"/>
      <c r="Q1396" s="82"/>
      <c r="R1396" s="38"/>
      <c r="S1396" s="38"/>
      <c r="T1396" s="38"/>
      <c r="U1396" s="38"/>
      <c r="V1396" s="38"/>
      <c r="W1396" s="38"/>
      <c r="X1396" s="38"/>
      <c r="Y1396" s="38"/>
      <c r="Z1396" s="38"/>
      <c r="AA1396" s="38"/>
      <c r="AB1396" s="38"/>
      <c r="AC1396" s="38"/>
      <c r="AD1396" s="38"/>
      <c r="AE1396" s="38"/>
      <c r="AF1396" s="38"/>
      <c r="AG1396" s="38"/>
      <c r="AH1396" s="38"/>
    </row>
    <row r="1397" spans="3:34" ht="20.100000000000001" customHeight="1">
      <c r="C1397" s="113"/>
      <c r="D1397" s="114"/>
      <c r="P1397" s="82"/>
      <c r="Q1397" s="82"/>
      <c r="R1397" s="38"/>
      <c r="S1397" s="38"/>
      <c r="T1397" s="38"/>
      <c r="U1397" s="38"/>
      <c r="V1397" s="38"/>
      <c r="W1397" s="38"/>
      <c r="X1397" s="38"/>
      <c r="Y1397" s="38"/>
      <c r="Z1397" s="38"/>
      <c r="AA1397" s="38"/>
      <c r="AB1397" s="38"/>
      <c r="AC1397" s="38"/>
      <c r="AD1397" s="38"/>
      <c r="AE1397" s="38"/>
      <c r="AF1397" s="38"/>
      <c r="AG1397" s="38"/>
      <c r="AH1397" s="38"/>
    </row>
    <row r="1398" spans="3:34" ht="20.100000000000001" customHeight="1">
      <c r="C1398" s="113"/>
      <c r="D1398" s="114"/>
      <c r="P1398" s="82"/>
      <c r="Q1398" s="82"/>
      <c r="R1398" s="38"/>
      <c r="S1398" s="38"/>
      <c r="T1398" s="38"/>
      <c r="U1398" s="38"/>
      <c r="V1398" s="38"/>
      <c r="W1398" s="38"/>
      <c r="X1398" s="38"/>
      <c r="Y1398" s="38"/>
      <c r="Z1398" s="38"/>
      <c r="AA1398" s="38"/>
      <c r="AB1398" s="38"/>
      <c r="AC1398" s="38"/>
      <c r="AD1398" s="38"/>
      <c r="AE1398" s="38"/>
      <c r="AF1398" s="38"/>
      <c r="AG1398" s="38"/>
      <c r="AH1398" s="38"/>
    </row>
    <row r="1399" spans="3:34" ht="20.100000000000001" customHeight="1">
      <c r="C1399" s="113"/>
      <c r="D1399" s="114"/>
      <c r="P1399" s="82"/>
      <c r="Q1399" s="82"/>
      <c r="R1399" s="38"/>
      <c r="S1399" s="38"/>
      <c r="T1399" s="38"/>
      <c r="U1399" s="38"/>
      <c r="V1399" s="38"/>
      <c r="W1399" s="38"/>
      <c r="X1399" s="38"/>
      <c r="Y1399" s="38"/>
      <c r="Z1399" s="38"/>
      <c r="AA1399" s="38"/>
      <c r="AB1399" s="38"/>
      <c r="AC1399" s="38"/>
      <c r="AD1399" s="38"/>
      <c r="AE1399" s="38"/>
      <c r="AF1399" s="38"/>
      <c r="AG1399" s="38"/>
      <c r="AH1399" s="38"/>
    </row>
    <row r="1400" spans="3:34" ht="20.100000000000001" customHeight="1">
      <c r="C1400" s="113"/>
      <c r="D1400" s="114"/>
      <c r="P1400" s="82"/>
      <c r="Q1400" s="82"/>
      <c r="R1400" s="38"/>
      <c r="S1400" s="38"/>
      <c r="T1400" s="38"/>
      <c r="U1400" s="38"/>
      <c r="V1400" s="38"/>
      <c r="W1400" s="38"/>
      <c r="X1400" s="38"/>
      <c r="Y1400" s="38"/>
      <c r="Z1400" s="38"/>
      <c r="AA1400" s="38"/>
      <c r="AB1400" s="38"/>
      <c r="AC1400" s="38"/>
      <c r="AD1400" s="38"/>
      <c r="AE1400" s="38"/>
      <c r="AF1400" s="38"/>
      <c r="AG1400" s="38"/>
      <c r="AH1400" s="38"/>
    </row>
    <row r="1401" spans="3:34" ht="20.100000000000001" customHeight="1">
      <c r="C1401" s="113"/>
      <c r="D1401" s="114"/>
      <c r="P1401" s="82"/>
      <c r="Q1401" s="82"/>
      <c r="R1401" s="38"/>
      <c r="S1401" s="38"/>
      <c r="T1401" s="38"/>
      <c r="U1401" s="38"/>
      <c r="V1401" s="38"/>
      <c r="W1401" s="38"/>
      <c r="X1401" s="38"/>
      <c r="Y1401" s="38"/>
      <c r="Z1401" s="38"/>
      <c r="AA1401" s="38"/>
      <c r="AB1401" s="38"/>
      <c r="AC1401" s="38"/>
      <c r="AD1401" s="38"/>
      <c r="AE1401" s="38"/>
      <c r="AF1401" s="38"/>
      <c r="AG1401" s="38"/>
      <c r="AH1401" s="38"/>
    </row>
    <row r="1402" spans="3:34" ht="20.100000000000001" customHeight="1">
      <c r="C1402" s="113"/>
      <c r="D1402" s="114"/>
      <c r="P1402" s="82"/>
      <c r="Q1402" s="82"/>
      <c r="R1402" s="38"/>
      <c r="S1402" s="38"/>
      <c r="T1402" s="38"/>
      <c r="U1402" s="38"/>
      <c r="V1402" s="38"/>
      <c r="W1402" s="38"/>
      <c r="X1402" s="38"/>
      <c r="Y1402" s="38"/>
      <c r="Z1402" s="38"/>
      <c r="AA1402" s="38"/>
      <c r="AB1402" s="38"/>
      <c r="AC1402" s="38"/>
      <c r="AD1402" s="38"/>
      <c r="AE1402" s="38"/>
      <c r="AF1402" s="38"/>
      <c r="AG1402" s="38"/>
      <c r="AH1402" s="38"/>
    </row>
    <row r="1403" spans="3:34" ht="20.100000000000001" customHeight="1">
      <c r="C1403" s="113"/>
      <c r="D1403" s="114"/>
      <c r="P1403" s="82"/>
      <c r="Q1403" s="82"/>
      <c r="R1403" s="38"/>
      <c r="S1403" s="38"/>
      <c r="T1403" s="38"/>
      <c r="U1403" s="38"/>
      <c r="V1403" s="38"/>
      <c r="W1403" s="38"/>
      <c r="X1403" s="38"/>
      <c r="Y1403" s="38"/>
      <c r="Z1403" s="38"/>
      <c r="AA1403" s="38"/>
      <c r="AB1403" s="38"/>
      <c r="AC1403" s="38"/>
      <c r="AD1403" s="38"/>
      <c r="AE1403" s="38"/>
      <c r="AF1403" s="38"/>
      <c r="AG1403" s="38"/>
      <c r="AH1403" s="38"/>
    </row>
    <row r="1404" spans="3:34" ht="20.100000000000001" customHeight="1">
      <c r="C1404" s="113"/>
      <c r="D1404" s="114"/>
      <c r="P1404" s="82"/>
      <c r="Q1404" s="82"/>
      <c r="R1404" s="38"/>
      <c r="S1404" s="38"/>
      <c r="T1404" s="38"/>
      <c r="U1404" s="38"/>
      <c r="V1404" s="38"/>
      <c r="W1404" s="38"/>
      <c r="X1404" s="38"/>
      <c r="Y1404" s="38"/>
      <c r="Z1404" s="38"/>
      <c r="AA1404" s="38"/>
      <c r="AB1404" s="38"/>
      <c r="AC1404" s="38"/>
      <c r="AD1404" s="38"/>
      <c r="AE1404" s="38"/>
      <c r="AF1404" s="38"/>
      <c r="AG1404" s="38"/>
      <c r="AH1404" s="38"/>
    </row>
    <row r="1405" spans="3:34" ht="20.100000000000001" customHeight="1">
      <c r="C1405" s="113"/>
      <c r="D1405" s="114"/>
      <c r="P1405" s="82"/>
      <c r="Q1405" s="82"/>
      <c r="R1405" s="38"/>
      <c r="S1405" s="38"/>
      <c r="T1405" s="38"/>
      <c r="U1405" s="38"/>
      <c r="V1405" s="38"/>
      <c r="W1405" s="38"/>
      <c r="X1405" s="38"/>
      <c r="Y1405" s="38"/>
      <c r="Z1405" s="38"/>
      <c r="AA1405" s="38"/>
      <c r="AB1405" s="38"/>
      <c r="AC1405" s="38"/>
      <c r="AD1405" s="38"/>
      <c r="AE1405" s="38"/>
      <c r="AF1405" s="38"/>
      <c r="AG1405" s="38"/>
      <c r="AH1405" s="38"/>
    </row>
    <row r="1406" spans="3:34" ht="20.100000000000001" customHeight="1">
      <c r="C1406" s="113"/>
      <c r="D1406" s="114"/>
      <c r="P1406" s="82"/>
      <c r="Q1406" s="82"/>
      <c r="R1406" s="38"/>
      <c r="S1406" s="38"/>
      <c r="T1406" s="38"/>
      <c r="U1406" s="38"/>
      <c r="V1406" s="38"/>
      <c r="W1406" s="38"/>
      <c r="X1406" s="38"/>
      <c r="Y1406" s="38"/>
      <c r="Z1406" s="38"/>
      <c r="AA1406" s="38"/>
      <c r="AB1406" s="38"/>
      <c r="AC1406" s="38"/>
      <c r="AD1406" s="38"/>
      <c r="AE1406" s="38"/>
      <c r="AF1406" s="38"/>
      <c r="AG1406" s="38"/>
      <c r="AH1406" s="38"/>
    </row>
    <row r="1407" spans="3:34" ht="20.100000000000001" customHeight="1">
      <c r="C1407" s="113"/>
      <c r="D1407" s="114"/>
      <c r="P1407" s="82"/>
      <c r="Q1407" s="82"/>
      <c r="R1407" s="38"/>
      <c r="S1407" s="38"/>
      <c r="T1407" s="38"/>
      <c r="U1407" s="38"/>
      <c r="V1407" s="38"/>
      <c r="W1407" s="38"/>
      <c r="X1407" s="38"/>
      <c r="Y1407" s="38"/>
      <c r="Z1407" s="38"/>
      <c r="AA1407" s="38"/>
      <c r="AB1407" s="38"/>
      <c r="AC1407" s="38"/>
      <c r="AD1407" s="38"/>
      <c r="AE1407" s="38"/>
      <c r="AF1407" s="38"/>
      <c r="AG1407" s="38"/>
      <c r="AH1407" s="38"/>
    </row>
    <row r="1408" spans="3:34" ht="20.100000000000001" customHeight="1">
      <c r="C1408" s="113"/>
      <c r="D1408" s="114"/>
      <c r="P1408" s="82"/>
      <c r="Q1408" s="82"/>
      <c r="R1408" s="38"/>
      <c r="S1408" s="38"/>
      <c r="T1408" s="38"/>
      <c r="U1408" s="38"/>
      <c r="V1408" s="38"/>
      <c r="W1408" s="38"/>
      <c r="X1408" s="38"/>
      <c r="Y1408" s="38"/>
      <c r="Z1408" s="38"/>
      <c r="AA1408" s="38"/>
      <c r="AB1408" s="38"/>
      <c r="AC1408" s="38"/>
      <c r="AD1408" s="38"/>
      <c r="AE1408" s="38"/>
      <c r="AF1408" s="38"/>
      <c r="AG1408" s="38"/>
      <c r="AH1408" s="38"/>
    </row>
    <row r="1409" spans="3:34" ht="20.100000000000001" customHeight="1">
      <c r="C1409" s="113"/>
      <c r="D1409" s="114"/>
      <c r="P1409" s="82"/>
      <c r="Q1409" s="82"/>
      <c r="R1409" s="38"/>
      <c r="S1409" s="38"/>
      <c r="T1409" s="38"/>
      <c r="U1409" s="38"/>
      <c r="V1409" s="38"/>
      <c r="W1409" s="38"/>
      <c r="X1409" s="38"/>
      <c r="Y1409" s="38"/>
      <c r="Z1409" s="38"/>
      <c r="AA1409" s="38"/>
      <c r="AB1409" s="38"/>
      <c r="AC1409" s="38"/>
      <c r="AD1409" s="38"/>
      <c r="AE1409" s="38"/>
      <c r="AF1409" s="38"/>
      <c r="AG1409" s="38"/>
      <c r="AH1409" s="38"/>
    </row>
    <row r="1410" spans="3:34" ht="20.100000000000001" customHeight="1">
      <c r="C1410" s="113"/>
      <c r="D1410" s="114"/>
      <c r="P1410" s="82"/>
      <c r="Q1410" s="82"/>
      <c r="R1410" s="38"/>
      <c r="S1410" s="38"/>
      <c r="T1410" s="38"/>
      <c r="U1410" s="38"/>
      <c r="V1410" s="38"/>
      <c r="W1410" s="38"/>
      <c r="X1410" s="38"/>
      <c r="Y1410" s="38"/>
      <c r="Z1410" s="38"/>
      <c r="AA1410" s="38"/>
      <c r="AB1410" s="38"/>
      <c r="AC1410" s="38"/>
      <c r="AD1410" s="38"/>
      <c r="AE1410" s="38"/>
      <c r="AF1410" s="38"/>
      <c r="AG1410" s="38"/>
      <c r="AH1410" s="38"/>
    </row>
    <row r="1411" spans="3:34" ht="20.100000000000001" customHeight="1">
      <c r="C1411" s="113"/>
      <c r="D1411" s="114"/>
      <c r="P1411" s="82"/>
      <c r="Q1411" s="82"/>
      <c r="R1411" s="38"/>
      <c r="S1411" s="38"/>
      <c r="T1411" s="38"/>
      <c r="U1411" s="38"/>
      <c r="V1411" s="38"/>
      <c r="W1411" s="38"/>
      <c r="X1411" s="38"/>
      <c r="Y1411" s="38"/>
      <c r="Z1411" s="38"/>
      <c r="AA1411" s="38"/>
      <c r="AB1411" s="38"/>
      <c r="AC1411" s="38"/>
      <c r="AD1411" s="38"/>
      <c r="AE1411" s="38"/>
      <c r="AF1411" s="38"/>
      <c r="AG1411" s="38"/>
      <c r="AH1411" s="38"/>
    </row>
    <row r="1412" spans="3:34" ht="20.100000000000001" customHeight="1">
      <c r="C1412" s="113"/>
      <c r="D1412" s="114"/>
      <c r="P1412" s="82"/>
      <c r="Q1412" s="82"/>
      <c r="R1412" s="38"/>
      <c r="S1412" s="38"/>
      <c r="T1412" s="38"/>
      <c r="U1412" s="38"/>
      <c r="V1412" s="38"/>
      <c r="W1412" s="38"/>
      <c r="X1412" s="38"/>
      <c r="Y1412" s="38"/>
      <c r="Z1412" s="38"/>
      <c r="AA1412" s="38"/>
      <c r="AB1412" s="38"/>
      <c r="AC1412" s="38"/>
      <c r="AD1412" s="38"/>
      <c r="AE1412" s="38"/>
      <c r="AF1412" s="38"/>
      <c r="AG1412" s="38"/>
      <c r="AH1412" s="38"/>
    </row>
    <row r="1413" spans="3:34" ht="20.100000000000001" customHeight="1">
      <c r="C1413" s="113"/>
      <c r="D1413" s="114"/>
      <c r="P1413" s="82"/>
      <c r="Q1413" s="82"/>
      <c r="R1413" s="38"/>
      <c r="S1413" s="38"/>
      <c r="T1413" s="38"/>
      <c r="U1413" s="38"/>
      <c r="V1413" s="38"/>
      <c r="W1413" s="38"/>
      <c r="X1413" s="38"/>
      <c r="Y1413" s="38"/>
      <c r="Z1413" s="38"/>
      <c r="AA1413" s="38"/>
      <c r="AB1413" s="38"/>
      <c r="AC1413" s="38"/>
      <c r="AD1413" s="38"/>
      <c r="AE1413" s="38"/>
      <c r="AF1413" s="38"/>
      <c r="AG1413" s="38"/>
      <c r="AH1413" s="38"/>
    </row>
    <row r="1414" spans="3:34" ht="20.100000000000001" customHeight="1">
      <c r="C1414" s="113"/>
      <c r="D1414" s="114"/>
      <c r="P1414" s="82"/>
      <c r="Q1414" s="82"/>
      <c r="R1414" s="38"/>
      <c r="S1414" s="38"/>
      <c r="T1414" s="38"/>
      <c r="U1414" s="38"/>
      <c r="V1414" s="38"/>
      <c r="W1414" s="38"/>
      <c r="X1414" s="38"/>
      <c r="Y1414" s="38"/>
      <c r="Z1414" s="38"/>
      <c r="AA1414" s="38"/>
      <c r="AB1414" s="38"/>
      <c r="AC1414" s="38"/>
      <c r="AD1414" s="38"/>
      <c r="AE1414" s="38"/>
      <c r="AF1414" s="38"/>
      <c r="AG1414" s="38"/>
      <c r="AH1414" s="38"/>
    </row>
    <row r="1415" spans="3:34" ht="20.100000000000001" customHeight="1">
      <c r="C1415" s="113"/>
      <c r="D1415" s="114"/>
      <c r="P1415" s="82"/>
      <c r="Q1415" s="82"/>
      <c r="R1415" s="38"/>
      <c r="S1415" s="38"/>
      <c r="T1415" s="38"/>
      <c r="U1415" s="38"/>
      <c r="V1415" s="38"/>
      <c r="W1415" s="38"/>
      <c r="X1415" s="38"/>
      <c r="Y1415" s="38"/>
      <c r="Z1415" s="38"/>
      <c r="AA1415" s="38"/>
      <c r="AB1415" s="38"/>
      <c r="AC1415" s="38"/>
      <c r="AD1415" s="38"/>
      <c r="AE1415" s="38"/>
      <c r="AF1415" s="38"/>
      <c r="AG1415" s="38"/>
      <c r="AH1415" s="38"/>
    </row>
    <row r="1416" spans="3:34" ht="20.100000000000001" customHeight="1">
      <c r="C1416" s="113"/>
      <c r="D1416" s="114"/>
      <c r="P1416" s="82"/>
      <c r="Q1416" s="82"/>
      <c r="R1416" s="38"/>
      <c r="S1416" s="38"/>
      <c r="T1416" s="38"/>
      <c r="U1416" s="38"/>
      <c r="V1416" s="38"/>
      <c r="W1416" s="38"/>
      <c r="X1416" s="38"/>
      <c r="Y1416" s="38"/>
      <c r="Z1416" s="38"/>
      <c r="AA1416" s="38"/>
      <c r="AB1416" s="38"/>
      <c r="AC1416" s="38"/>
      <c r="AD1416" s="38"/>
      <c r="AE1416" s="38"/>
      <c r="AF1416" s="38"/>
      <c r="AG1416" s="38"/>
      <c r="AH1416" s="38"/>
    </row>
    <row r="1417" spans="3:34" ht="20.100000000000001" customHeight="1">
      <c r="C1417" s="113"/>
      <c r="D1417" s="114"/>
      <c r="P1417" s="82"/>
      <c r="Q1417" s="82"/>
      <c r="R1417" s="38"/>
      <c r="S1417" s="38"/>
      <c r="T1417" s="38"/>
      <c r="U1417" s="38"/>
      <c r="V1417" s="38"/>
      <c r="W1417" s="38"/>
      <c r="X1417" s="38"/>
      <c r="Y1417" s="38"/>
      <c r="Z1417" s="38"/>
      <c r="AA1417" s="38"/>
      <c r="AB1417" s="38"/>
      <c r="AC1417" s="38"/>
      <c r="AD1417" s="38"/>
      <c r="AE1417" s="38"/>
      <c r="AF1417" s="38"/>
      <c r="AG1417" s="38"/>
      <c r="AH1417" s="38"/>
    </row>
    <row r="1418" spans="3:34" ht="20.100000000000001" customHeight="1">
      <c r="C1418" s="113"/>
      <c r="D1418" s="114"/>
      <c r="P1418" s="82"/>
      <c r="Q1418" s="82"/>
      <c r="R1418" s="38"/>
      <c r="S1418" s="38"/>
      <c r="T1418" s="38"/>
      <c r="U1418" s="38"/>
      <c r="V1418" s="38"/>
      <c r="W1418" s="38"/>
      <c r="X1418" s="38"/>
      <c r="Y1418" s="38"/>
      <c r="Z1418" s="38"/>
      <c r="AA1418" s="38"/>
      <c r="AB1418" s="38"/>
      <c r="AC1418" s="38"/>
      <c r="AD1418" s="38"/>
      <c r="AE1418" s="38"/>
      <c r="AF1418" s="38"/>
      <c r="AG1418" s="38"/>
      <c r="AH1418" s="38"/>
    </row>
    <row r="1419" spans="3:34" ht="20.100000000000001" customHeight="1">
      <c r="C1419" s="113"/>
      <c r="D1419" s="114"/>
      <c r="P1419" s="82"/>
      <c r="Q1419" s="82"/>
      <c r="R1419" s="38"/>
      <c r="S1419" s="38"/>
      <c r="T1419" s="38"/>
      <c r="U1419" s="38"/>
      <c r="V1419" s="38"/>
      <c r="W1419" s="38"/>
      <c r="X1419" s="38"/>
      <c r="Y1419" s="38"/>
      <c r="Z1419" s="38"/>
      <c r="AA1419" s="38"/>
      <c r="AB1419" s="38"/>
      <c r="AC1419" s="38"/>
      <c r="AD1419" s="38"/>
      <c r="AE1419" s="38"/>
      <c r="AF1419" s="38"/>
      <c r="AG1419" s="38"/>
      <c r="AH1419" s="38"/>
    </row>
    <row r="1420" spans="3:34" ht="20.100000000000001" customHeight="1">
      <c r="C1420" s="113"/>
      <c r="D1420" s="114"/>
      <c r="P1420" s="82"/>
      <c r="Q1420" s="82"/>
      <c r="R1420" s="38"/>
      <c r="S1420" s="38"/>
      <c r="T1420" s="38"/>
      <c r="U1420" s="38"/>
      <c r="V1420" s="38"/>
      <c r="W1420" s="38"/>
      <c r="X1420" s="38"/>
      <c r="Y1420" s="38"/>
      <c r="Z1420" s="38"/>
      <c r="AA1420" s="38"/>
      <c r="AB1420" s="38"/>
      <c r="AC1420" s="38"/>
      <c r="AD1420" s="38"/>
      <c r="AE1420" s="38"/>
      <c r="AF1420" s="38"/>
      <c r="AG1420" s="38"/>
      <c r="AH1420" s="38"/>
    </row>
    <row r="1421" spans="3:34" ht="20.100000000000001" customHeight="1">
      <c r="C1421" s="113"/>
      <c r="D1421" s="114"/>
      <c r="P1421" s="82"/>
      <c r="Q1421" s="82"/>
      <c r="R1421" s="38"/>
      <c r="S1421" s="38"/>
      <c r="T1421" s="38"/>
      <c r="U1421" s="38"/>
      <c r="V1421" s="38"/>
      <c r="W1421" s="38"/>
      <c r="X1421" s="38"/>
      <c r="Y1421" s="38"/>
      <c r="Z1421" s="38"/>
      <c r="AA1421" s="38"/>
      <c r="AB1421" s="38"/>
      <c r="AC1421" s="38"/>
      <c r="AD1421" s="38"/>
      <c r="AE1421" s="38"/>
      <c r="AF1421" s="38"/>
      <c r="AG1421" s="38"/>
      <c r="AH1421" s="38"/>
    </row>
    <row r="1422" spans="3:34" ht="20.100000000000001" customHeight="1">
      <c r="C1422" s="113"/>
      <c r="D1422" s="114"/>
      <c r="P1422" s="82"/>
      <c r="Q1422" s="82"/>
      <c r="R1422" s="38"/>
      <c r="S1422" s="38"/>
      <c r="T1422" s="38"/>
      <c r="U1422" s="38"/>
      <c r="V1422" s="38"/>
      <c r="W1422" s="38"/>
      <c r="X1422" s="38"/>
      <c r="Y1422" s="38"/>
      <c r="Z1422" s="38"/>
      <c r="AA1422" s="38"/>
      <c r="AB1422" s="38"/>
      <c r="AC1422" s="38"/>
      <c r="AD1422" s="38"/>
      <c r="AE1422" s="38"/>
      <c r="AF1422" s="38"/>
      <c r="AG1422" s="38"/>
      <c r="AH1422" s="38"/>
    </row>
    <row r="1423" spans="3:34" ht="20.100000000000001" customHeight="1">
      <c r="C1423" s="113"/>
      <c r="D1423" s="114"/>
      <c r="P1423" s="82"/>
      <c r="Q1423" s="82"/>
      <c r="R1423" s="38"/>
      <c r="S1423" s="38"/>
      <c r="T1423" s="38"/>
      <c r="U1423" s="38"/>
      <c r="V1423" s="38"/>
      <c r="W1423" s="38"/>
      <c r="X1423" s="38"/>
      <c r="Y1423" s="38"/>
      <c r="Z1423" s="38"/>
      <c r="AA1423" s="38"/>
      <c r="AB1423" s="38"/>
      <c r="AC1423" s="38"/>
      <c r="AD1423" s="38"/>
      <c r="AE1423" s="38"/>
      <c r="AF1423" s="38"/>
      <c r="AG1423" s="38"/>
      <c r="AH1423" s="38"/>
    </row>
    <row r="1424" spans="3:34" ht="20.100000000000001" customHeight="1">
      <c r="C1424" s="113"/>
      <c r="D1424" s="114"/>
      <c r="P1424" s="82"/>
      <c r="Q1424" s="82"/>
      <c r="R1424" s="38"/>
      <c r="S1424" s="38"/>
      <c r="T1424" s="38"/>
      <c r="U1424" s="38"/>
      <c r="V1424" s="38"/>
      <c r="W1424" s="38"/>
      <c r="X1424" s="38"/>
      <c r="Y1424" s="38"/>
      <c r="Z1424" s="38"/>
      <c r="AA1424" s="38"/>
      <c r="AB1424" s="38"/>
      <c r="AC1424" s="38"/>
      <c r="AD1424" s="38"/>
      <c r="AE1424" s="38"/>
      <c r="AF1424" s="38"/>
      <c r="AG1424" s="38"/>
      <c r="AH1424" s="38"/>
    </row>
    <row r="1425" spans="3:34" ht="20.100000000000001" customHeight="1">
      <c r="C1425" s="113"/>
      <c r="D1425" s="114"/>
      <c r="P1425" s="82"/>
      <c r="Q1425" s="82"/>
      <c r="R1425" s="38"/>
      <c r="S1425" s="38"/>
      <c r="T1425" s="38"/>
      <c r="U1425" s="38"/>
      <c r="V1425" s="38"/>
      <c r="W1425" s="38"/>
      <c r="X1425" s="38"/>
      <c r="Y1425" s="38"/>
      <c r="Z1425" s="38"/>
      <c r="AA1425" s="38"/>
      <c r="AB1425" s="38"/>
      <c r="AC1425" s="38"/>
      <c r="AD1425" s="38"/>
      <c r="AE1425" s="38"/>
      <c r="AF1425" s="38"/>
      <c r="AG1425" s="38"/>
      <c r="AH1425" s="38"/>
    </row>
    <row r="1426" spans="3:34" ht="20.100000000000001" customHeight="1">
      <c r="C1426" s="113"/>
      <c r="D1426" s="114"/>
      <c r="P1426" s="82"/>
      <c r="Q1426" s="82"/>
      <c r="R1426" s="38"/>
      <c r="S1426" s="38"/>
      <c r="T1426" s="38"/>
      <c r="U1426" s="38"/>
      <c r="V1426" s="38"/>
      <c r="W1426" s="38"/>
      <c r="X1426" s="38"/>
      <c r="Y1426" s="38"/>
      <c r="Z1426" s="38"/>
      <c r="AA1426" s="38"/>
      <c r="AB1426" s="38"/>
      <c r="AC1426" s="38"/>
      <c r="AD1426" s="38"/>
      <c r="AE1426" s="38"/>
      <c r="AF1426" s="38"/>
      <c r="AG1426" s="38"/>
      <c r="AH1426" s="38"/>
    </row>
    <row r="1427" spans="3:34" ht="20.100000000000001" customHeight="1">
      <c r="C1427" s="113"/>
      <c r="D1427" s="114"/>
      <c r="P1427" s="82"/>
      <c r="Q1427" s="82"/>
      <c r="R1427" s="38"/>
      <c r="S1427" s="38"/>
      <c r="T1427" s="38"/>
      <c r="U1427" s="38"/>
      <c r="V1427" s="38"/>
      <c r="W1427" s="38"/>
      <c r="X1427" s="38"/>
      <c r="Y1427" s="38"/>
      <c r="Z1427" s="38"/>
      <c r="AA1427" s="38"/>
      <c r="AB1427" s="38"/>
      <c r="AC1427" s="38"/>
      <c r="AD1427" s="38"/>
      <c r="AE1427" s="38"/>
      <c r="AF1427" s="38"/>
      <c r="AG1427" s="38"/>
      <c r="AH1427" s="38"/>
    </row>
    <row r="1428" spans="3:34" ht="20.100000000000001" customHeight="1">
      <c r="C1428" s="113"/>
      <c r="D1428" s="114"/>
      <c r="P1428" s="82"/>
      <c r="Q1428" s="82"/>
      <c r="R1428" s="38"/>
      <c r="S1428" s="38"/>
      <c r="T1428" s="38"/>
      <c r="U1428" s="38"/>
      <c r="V1428" s="38"/>
      <c r="W1428" s="38"/>
      <c r="X1428" s="38"/>
      <c r="Y1428" s="38"/>
      <c r="Z1428" s="38"/>
      <c r="AA1428" s="38"/>
      <c r="AB1428" s="38"/>
      <c r="AC1428" s="38"/>
      <c r="AD1428" s="38"/>
      <c r="AE1428" s="38"/>
      <c r="AF1428" s="38"/>
      <c r="AG1428" s="38"/>
      <c r="AH1428" s="38"/>
    </row>
    <row r="1429" spans="3:34" ht="20.100000000000001" customHeight="1">
      <c r="C1429" s="113"/>
      <c r="D1429" s="114"/>
      <c r="P1429" s="82"/>
      <c r="Q1429" s="82"/>
      <c r="R1429" s="38"/>
      <c r="S1429" s="38"/>
      <c r="T1429" s="38"/>
      <c r="U1429" s="38"/>
      <c r="V1429" s="38"/>
      <c r="W1429" s="38"/>
      <c r="X1429" s="38"/>
      <c r="Y1429" s="38"/>
      <c r="Z1429" s="38"/>
      <c r="AA1429" s="38"/>
      <c r="AB1429" s="38"/>
      <c r="AC1429" s="38"/>
      <c r="AD1429" s="38"/>
      <c r="AE1429" s="38"/>
      <c r="AF1429" s="38"/>
      <c r="AG1429" s="38"/>
      <c r="AH1429" s="38"/>
    </row>
    <row r="1430" spans="3:34" ht="20.100000000000001" customHeight="1">
      <c r="C1430" s="113"/>
      <c r="D1430" s="114"/>
      <c r="P1430" s="82"/>
      <c r="Q1430" s="82"/>
      <c r="R1430" s="38"/>
      <c r="S1430" s="38"/>
      <c r="T1430" s="38"/>
      <c r="U1430" s="38"/>
      <c r="V1430" s="38"/>
      <c r="W1430" s="38"/>
      <c r="X1430" s="38"/>
      <c r="Y1430" s="38"/>
      <c r="Z1430" s="38"/>
      <c r="AA1430" s="38"/>
      <c r="AB1430" s="38"/>
      <c r="AC1430" s="38"/>
      <c r="AD1430" s="38"/>
      <c r="AE1430" s="38"/>
      <c r="AF1430" s="38"/>
      <c r="AG1430" s="38"/>
      <c r="AH1430" s="38"/>
    </row>
    <row r="1431" spans="3:34" ht="20.100000000000001" customHeight="1">
      <c r="C1431" s="113"/>
      <c r="D1431" s="114"/>
      <c r="P1431" s="82"/>
      <c r="Q1431" s="82"/>
      <c r="R1431" s="38"/>
      <c r="S1431" s="38"/>
      <c r="T1431" s="38"/>
      <c r="U1431" s="38"/>
      <c r="V1431" s="38"/>
      <c r="W1431" s="38"/>
      <c r="X1431" s="38"/>
      <c r="Y1431" s="38"/>
      <c r="Z1431" s="38"/>
      <c r="AA1431" s="38"/>
      <c r="AB1431" s="38"/>
      <c r="AC1431" s="38"/>
      <c r="AD1431" s="38"/>
      <c r="AE1431" s="38"/>
      <c r="AF1431" s="38"/>
      <c r="AG1431" s="38"/>
      <c r="AH1431" s="38"/>
    </row>
    <row r="1432" spans="3:34" ht="20.100000000000001" customHeight="1">
      <c r="C1432" s="113"/>
      <c r="D1432" s="114"/>
      <c r="P1432" s="82"/>
      <c r="Q1432" s="82"/>
      <c r="R1432" s="38"/>
      <c r="S1432" s="38"/>
      <c r="T1432" s="38"/>
      <c r="U1432" s="38"/>
      <c r="V1432" s="38"/>
      <c r="W1432" s="38"/>
      <c r="X1432" s="38"/>
      <c r="Y1432" s="38"/>
      <c r="Z1432" s="38"/>
      <c r="AA1432" s="38"/>
      <c r="AB1432" s="38"/>
      <c r="AC1432" s="38"/>
      <c r="AD1432" s="38"/>
      <c r="AE1432" s="38"/>
      <c r="AF1432" s="38"/>
      <c r="AG1432" s="38"/>
      <c r="AH1432" s="38"/>
    </row>
    <row r="1433" spans="3:34" ht="20.100000000000001" customHeight="1">
      <c r="C1433" s="113"/>
      <c r="D1433" s="114"/>
      <c r="P1433" s="82"/>
      <c r="Q1433" s="82"/>
      <c r="R1433" s="38"/>
      <c r="S1433" s="38"/>
      <c r="T1433" s="38"/>
      <c r="U1433" s="38"/>
      <c r="V1433" s="38"/>
      <c r="W1433" s="38"/>
      <c r="X1433" s="38"/>
      <c r="Y1433" s="38"/>
      <c r="Z1433" s="38"/>
      <c r="AA1433" s="38"/>
      <c r="AB1433" s="38"/>
      <c r="AC1433" s="38"/>
      <c r="AD1433" s="38"/>
      <c r="AE1433" s="38"/>
      <c r="AF1433" s="38"/>
      <c r="AG1433" s="38"/>
      <c r="AH1433" s="38"/>
    </row>
    <row r="1434" spans="3:34" ht="20.100000000000001" customHeight="1">
      <c r="C1434" s="113"/>
      <c r="D1434" s="114"/>
      <c r="P1434" s="82"/>
      <c r="Q1434" s="82"/>
      <c r="R1434" s="38"/>
      <c r="S1434" s="38"/>
      <c r="T1434" s="38"/>
      <c r="U1434" s="38"/>
      <c r="V1434" s="38"/>
      <c r="W1434" s="38"/>
      <c r="X1434" s="38"/>
      <c r="Y1434" s="38"/>
      <c r="Z1434" s="38"/>
      <c r="AA1434" s="38"/>
      <c r="AB1434" s="38"/>
      <c r="AC1434" s="38"/>
      <c r="AD1434" s="38"/>
      <c r="AE1434" s="38"/>
      <c r="AF1434" s="38"/>
      <c r="AG1434" s="38"/>
      <c r="AH1434" s="38"/>
    </row>
    <row r="1435" spans="3:34" ht="20.100000000000001" customHeight="1">
      <c r="C1435" s="113"/>
      <c r="D1435" s="114"/>
      <c r="P1435" s="82"/>
      <c r="Q1435" s="82"/>
      <c r="R1435" s="38"/>
      <c r="S1435" s="38"/>
      <c r="T1435" s="38"/>
      <c r="U1435" s="38"/>
      <c r="V1435" s="38"/>
      <c r="W1435" s="38"/>
      <c r="X1435" s="38"/>
      <c r="Y1435" s="38"/>
      <c r="Z1435" s="38"/>
      <c r="AA1435" s="38"/>
      <c r="AB1435" s="38"/>
      <c r="AC1435" s="38"/>
      <c r="AD1435" s="38"/>
      <c r="AE1435" s="38"/>
      <c r="AF1435" s="38"/>
      <c r="AG1435" s="38"/>
      <c r="AH1435" s="38"/>
    </row>
    <row r="1436" spans="3:34" ht="20.100000000000001" customHeight="1">
      <c r="C1436" s="113"/>
      <c r="D1436" s="114"/>
      <c r="P1436" s="82"/>
      <c r="Q1436" s="82"/>
      <c r="R1436" s="38"/>
      <c r="S1436" s="38"/>
      <c r="T1436" s="38"/>
      <c r="U1436" s="38"/>
      <c r="V1436" s="38"/>
      <c r="W1436" s="38"/>
      <c r="X1436" s="38"/>
      <c r="Y1436" s="38"/>
      <c r="Z1436" s="38"/>
      <c r="AA1436" s="38"/>
      <c r="AB1436" s="38"/>
      <c r="AC1436" s="38"/>
      <c r="AD1436" s="38"/>
      <c r="AE1436" s="38"/>
      <c r="AF1436" s="38"/>
      <c r="AG1436" s="38"/>
      <c r="AH1436" s="38"/>
    </row>
    <row r="1437" spans="3:34" ht="20.100000000000001" customHeight="1">
      <c r="C1437" s="113"/>
      <c r="D1437" s="114"/>
      <c r="P1437" s="82"/>
      <c r="Q1437" s="82"/>
      <c r="R1437" s="38"/>
      <c r="S1437" s="38"/>
      <c r="T1437" s="38"/>
      <c r="U1437" s="38"/>
      <c r="V1437" s="38"/>
      <c r="W1437" s="38"/>
      <c r="X1437" s="38"/>
      <c r="Y1437" s="38"/>
      <c r="Z1437" s="38"/>
      <c r="AA1437" s="38"/>
      <c r="AB1437" s="38"/>
      <c r="AC1437" s="38"/>
      <c r="AD1437" s="38"/>
      <c r="AE1437" s="38"/>
      <c r="AF1437" s="38"/>
      <c r="AG1437" s="38"/>
      <c r="AH1437" s="38"/>
    </row>
    <row r="1438" spans="3:34" ht="20.100000000000001" customHeight="1">
      <c r="C1438" s="113"/>
      <c r="D1438" s="114"/>
      <c r="P1438" s="82"/>
      <c r="Q1438" s="82"/>
      <c r="R1438" s="38"/>
      <c r="S1438" s="38"/>
      <c r="T1438" s="38"/>
      <c r="U1438" s="38"/>
      <c r="V1438" s="38"/>
      <c r="W1438" s="38"/>
      <c r="X1438" s="38"/>
      <c r="Y1438" s="38"/>
      <c r="Z1438" s="38"/>
      <c r="AA1438" s="38"/>
      <c r="AB1438" s="38"/>
      <c r="AC1438" s="38"/>
      <c r="AD1438" s="38"/>
      <c r="AE1438" s="38"/>
      <c r="AF1438" s="38"/>
      <c r="AG1438" s="38"/>
      <c r="AH1438" s="38"/>
    </row>
    <row r="1439" spans="3:34" ht="20.100000000000001" customHeight="1">
      <c r="C1439" s="113"/>
      <c r="D1439" s="114"/>
      <c r="P1439" s="82"/>
      <c r="Q1439" s="82"/>
      <c r="R1439" s="38"/>
      <c r="S1439" s="38"/>
      <c r="T1439" s="38"/>
      <c r="U1439" s="38"/>
      <c r="V1439" s="38"/>
      <c r="W1439" s="38"/>
      <c r="X1439" s="38"/>
      <c r="Y1439" s="38"/>
      <c r="Z1439" s="38"/>
      <c r="AA1439" s="38"/>
      <c r="AB1439" s="38"/>
      <c r="AC1439" s="38"/>
      <c r="AD1439" s="38"/>
      <c r="AE1439" s="38"/>
      <c r="AF1439" s="38"/>
      <c r="AG1439" s="38"/>
      <c r="AH1439" s="38"/>
    </row>
    <row r="1440" spans="3:34" ht="20.100000000000001" customHeight="1">
      <c r="C1440" s="113"/>
      <c r="D1440" s="114"/>
      <c r="P1440" s="82"/>
      <c r="Q1440" s="82"/>
      <c r="R1440" s="38"/>
      <c r="S1440" s="38"/>
      <c r="T1440" s="38"/>
      <c r="U1440" s="38"/>
      <c r="V1440" s="38"/>
      <c r="W1440" s="38"/>
      <c r="X1440" s="38"/>
      <c r="Y1440" s="38"/>
      <c r="Z1440" s="38"/>
      <c r="AA1440" s="38"/>
      <c r="AB1440" s="38"/>
      <c r="AC1440" s="38"/>
      <c r="AD1440" s="38"/>
      <c r="AE1440" s="38"/>
      <c r="AF1440" s="38"/>
      <c r="AG1440" s="38"/>
      <c r="AH1440" s="38"/>
    </row>
    <row r="1441" spans="3:34" ht="20.100000000000001" customHeight="1">
      <c r="C1441" s="113"/>
      <c r="D1441" s="114"/>
      <c r="P1441" s="82"/>
      <c r="Q1441" s="82"/>
      <c r="R1441" s="38"/>
      <c r="S1441" s="38"/>
      <c r="T1441" s="38"/>
      <c r="U1441" s="38"/>
      <c r="V1441" s="38"/>
      <c r="W1441" s="38"/>
      <c r="X1441" s="38"/>
      <c r="Y1441" s="38"/>
      <c r="Z1441" s="38"/>
      <c r="AA1441" s="38"/>
      <c r="AB1441" s="38"/>
      <c r="AC1441" s="38"/>
      <c r="AD1441" s="38"/>
      <c r="AE1441" s="38"/>
      <c r="AF1441" s="38"/>
      <c r="AG1441" s="38"/>
      <c r="AH1441" s="38"/>
    </row>
    <row r="1442" spans="3:34" ht="20.100000000000001" customHeight="1">
      <c r="C1442" s="113"/>
      <c r="D1442" s="114"/>
      <c r="P1442" s="82"/>
      <c r="Q1442" s="82"/>
      <c r="R1442" s="38"/>
      <c r="S1442" s="38"/>
      <c r="T1442" s="38"/>
      <c r="U1442" s="38"/>
      <c r="V1442" s="38"/>
      <c r="W1442" s="38"/>
      <c r="X1442" s="38"/>
      <c r="Y1442" s="38"/>
      <c r="Z1442" s="38"/>
      <c r="AA1442" s="38"/>
      <c r="AB1442" s="38"/>
      <c r="AC1442" s="38"/>
      <c r="AD1442" s="38"/>
      <c r="AE1442" s="38"/>
      <c r="AF1442" s="38"/>
      <c r="AG1442" s="38"/>
      <c r="AH1442" s="38"/>
    </row>
    <row r="1443" spans="3:34" ht="20.100000000000001" customHeight="1">
      <c r="C1443" s="113"/>
      <c r="D1443" s="114"/>
      <c r="P1443" s="82"/>
      <c r="Q1443" s="82"/>
      <c r="R1443" s="38"/>
      <c r="S1443" s="38"/>
      <c r="T1443" s="38"/>
      <c r="U1443" s="38"/>
      <c r="V1443" s="38"/>
      <c r="W1443" s="38"/>
      <c r="X1443" s="38"/>
      <c r="Y1443" s="38"/>
      <c r="Z1443" s="38"/>
      <c r="AA1443" s="38"/>
      <c r="AB1443" s="38"/>
      <c r="AC1443" s="38"/>
      <c r="AD1443" s="38"/>
      <c r="AE1443" s="38"/>
      <c r="AF1443" s="38"/>
      <c r="AG1443" s="38"/>
      <c r="AH1443" s="38"/>
    </row>
    <row r="1444" spans="3:34" ht="20.100000000000001" customHeight="1">
      <c r="C1444" s="113"/>
      <c r="D1444" s="114"/>
      <c r="P1444" s="82"/>
      <c r="Q1444" s="82"/>
      <c r="R1444" s="38"/>
      <c r="S1444" s="38"/>
      <c r="T1444" s="38"/>
      <c r="U1444" s="38"/>
      <c r="V1444" s="38"/>
      <c r="W1444" s="38"/>
      <c r="X1444" s="38"/>
      <c r="Y1444" s="38"/>
      <c r="Z1444" s="38"/>
      <c r="AA1444" s="38"/>
      <c r="AB1444" s="38"/>
      <c r="AC1444" s="38"/>
      <c r="AD1444" s="38"/>
      <c r="AE1444" s="38"/>
      <c r="AF1444" s="38"/>
      <c r="AG1444" s="38"/>
      <c r="AH1444" s="38"/>
    </row>
    <row r="1445" spans="3:34" ht="20.100000000000001" customHeight="1">
      <c r="C1445" s="113"/>
      <c r="D1445" s="114"/>
      <c r="P1445" s="82"/>
      <c r="Q1445" s="82"/>
      <c r="R1445" s="38"/>
      <c r="S1445" s="38"/>
      <c r="T1445" s="38"/>
      <c r="U1445" s="38"/>
      <c r="V1445" s="38"/>
      <c r="W1445" s="38"/>
      <c r="X1445" s="38"/>
      <c r="Y1445" s="38"/>
      <c r="Z1445" s="38"/>
      <c r="AA1445" s="38"/>
      <c r="AB1445" s="38"/>
      <c r="AC1445" s="38"/>
      <c r="AD1445" s="38"/>
      <c r="AE1445" s="38"/>
      <c r="AF1445" s="38"/>
      <c r="AG1445" s="38"/>
      <c r="AH1445" s="38"/>
    </row>
    <row r="1446" spans="3:34" ht="20.100000000000001" customHeight="1">
      <c r="C1446" s="113"/>
      <c r="D1446" s="114"/>
      <c r="P1446" s="82"/>
      <c r="Q1446" s="82"/>
      <c r="R1446" s="38"/>
      <c r="S1446" s="38"/>
      <c r="T1446" s="38"/>
      <c r="U1446" s="38"/>
      <c r="V1446" s="38"/>
      <c r="W1446" s="38"/>
      <c r="X1446" s="38"/>
      <c r="Y1446" s="38"/>
      <c r="Z1446" s="38"/>
      <c r="AA1446" s="38"/>
      <c r="AB1446" s="38"/>
      <c r="AC1446" s="38"/>
      <c r="AD1446" s="38"/>
      <c r="AE1446" s="38"/>
      <c r="AF1446" s="38"/>
      <c r="AG1446" s="38"/>
      <c r="AH1446" s="38"/>
    </row>
    <row r="1447" spans="3:34" ht="20.100000000000001" customHeight="1">
      <c r="C1447" s="113"/>
      <c r="D1447" s="114"/>
      <c r="P1447" s="82"/>
      <c r="Q1447" s="82"/>
      <c r="R1447" s="38"/>
      <c r="S1447" s="38"/>
      <c r="T1447" s="38"/>
      <c r="U1447" s="38"/>
      <c r="V1447" s="38"/>
      <c r="W1447" s="38"/>
      <c r="X1447" s="38"/>
      <c r="Y1447" s="38"/>
      <c r="Z1447" s="38"/>
      <c r="AA1447" s="38"/>
      <c r="AB1447" s="38"/>
      <c r="AC1447" s="38"/>
      <c r="AD1447" s="38"/>
      <c r="AE1447" s="38"/>
      <c r="AF1447" s="38"/>
      <c r="AG1447" s="38"/>
      <c r="AH1447" s="38"/>
    </row>
    <row r="1448" spans="3:34" ht="20.100000000000001" customHeight="1">
      <c r="C1448" s="113"/>
      <c r="D1448" s="114"/>
      <c r="P1448" s="82"/>
      <c r="Q1448" s="82"/>
      <c r="R1448" s="38"/>
      <c r="S1448" s="38"/>
      <c r="T1448" s="38"/>
      <c r="U1448" s="38"/>
      <c r="V1448" s="38"/>
      <c r="W1448" s="38"/>
      <c r="X1448" s="38"/>
      <c r="Y1448" s="38"/>
      <c r="Z1448" s="38"/>
      <c r="AA1448" s="38"/>
      <c r="AB1448" s="38"/>
      <c r="AC1448" s="38"/>
      <c r="AD1448" s="38"/>
      <c r="AE1448" s="38"/>
      <c r="AF1448" s="38"/>
      <c r="AG1448" s="38"/>
      <c r="AH1448" s="38"/>
    </row>
    <row r="1449" spans="3:34" ht="20.100000000000001" customHeight="1">
      <c r="C1449" s="113"/>
      <c r="D1449" s="114"/>
      <c r="P1449" s="82"/>
      <c r="Q1449" s="82"/>
      <c r="R1449" s="38"/>
      <c r="S1449" s="38"/>
      <c r="T1449" s="38"/>
      <c r="U1449" s="38"/>
      <c r="V1449" s="38"/>
      <c r="W1449" s="38"/>
      <c r="X1449" s="38"/>
      <c r="Y1449" s="38"/>
      <c r="Z1449" s="38"/>
      <c r="AA1449" s="38"/>
      <c r="AB1449" s="38"/>
      <c r="AC1449" s="38"/>
      <c r="AD1449" s="38"/>
      <c r="AE1449" s="38"/>
      <c r="AF1449" s="38"/>
      <c r="AG1449" s="38"/>
      <c r="AH1449" s="38"/>
    </row>
    <row r="1450" spans="3:34" ht="20.100000000000001" customHeight="1">
      <c r="C1450" s="113"/>
      <c r="D1450" s="114"/>
      <c r="P1450" s="82"/>
      <c r="Q1450" s="82"/>
      <c r="R1450" s="38"/>
      <c r="S1450" s="38"/>
      <c r="T1450" s="38"/>
      <c r="U1450" s="38"/>
      <c r="V1450" s="38"/>
      <c r="W1450" s="38"/>
      <c r="X1450" s="38"/>
      <c r="Y1450" s="38"/>
      <c r="Z1450" s="38"/>
      <c r="AA1450" s="38"/>
      <c r="AB1450" s="38"/>
      <c r="AC1450" s="38"/>
      <c r="AD1450" s="38"/>
      <c r="AE1450" s="38"/>
      <c r="AF1450" s="38"/>
      <c r="AG1450" s="38"/>
      <c r="AH1450" s="38"/>
    </row>
    <row r="1451" spans="3:34" ht="20.100000000000001" customHeight="1">
      <c r="C1451" s="113"/>
      <c r="D1451" s="114"/>
      <c r="P1451" s="82"/>
      <c r="Q1451" s="82"/>
      <c r="R1451" s="38"/>
      <c r="S1451" s="38"/>
      <c r="T1451" s="38"/>
      <c r="U1451" s="38"/>
      <c r="V1451" s="38"/>
      <c r="W1451" s="38"/>
      <c r="X1451" s="38"/>
      <c r="Y1451" s="38"/>
      <c r="Z1451" s="38"/>
      <c r="AA1451" s="38"/>
      <c r="AB1451" s="38"/>
      <c r="AC1451" s="38"/>
      <c r="AD1451" s="38"/>
      <c r="AE1451" s="38"/>
      <c r="AF1451" s="38"/>
      <c r="AG1451" s="38"/>
      <c r="AH1451" s="38"/>
    </row>
    <row r="1452" spans="3:34" ht="20.100000000000001" customHeight="1">
      <c r="C1452" s="113"/>
      <c r="D1452" s="114"/>
      <c r="P1452" s="82"/>
      <c r="Q1452" s="82"/>
      <c r="R1452" s="38"/>
      <c r="S1452" s="38"/>
      <c r="T1452" s="38"/>
      <c r="U1452" s="38"/>
      <c r="V1452" s="38"/>
      <c r="W1452" s="38"/>
      <c r="X1452" s="38"/>
      <c r="Y1452" s="38"/>
      <c r="Z1452" s="38"/>
      <c r="AA1452" s="38"/>
      <c r="AB1452" s="38"/>
      <c r="AC1452" s="38"/>
      <c r="AD1452" s="38"/>
      <c r="AE1452" s="38"/>
      <c r="AF1452" s="38"/>
      <c r="AG1452" s="38"/>
      <c r="AH1452" s="38"/>
    </row>
    <row r="1453" spans="3:34" ht="20.100000000000001" customHeight="1">
      <c r="C1453" s="113"/>
      <c r="D1453" s="114"/>
      <c r="P1453" s="82"/>
      <c r="Q1453" s="82"/>
      <c r="R1453" s="38"/>
      <c r="S1453" s="38"/>
      <c r="T1453" s="38"/>
      <c r="U1453" s="38"/>
      <c r="V1453" s="38"/>
      <c r="W1453" s="38"/>
      <c r="X1453" s="38"/>
      <c r="Y1453" s="38"/>
      <c r="Z1453" s="38"/>
      <c r="AA1453" s="38"/>
      <c r="AB1453" s="38"/>
      <c r="AC1453" s="38"/>
      <c r="AD1453" s="38"/>
      <c r="AE1453" s="38"/>
      <c r="AF1453" s="38"/>
      <c r="AG1453" s="38"/>
      <c r="AH1453" s="38"/>
    </row>
    <row r="1454" spans="3:34" ht="20.100000000000001" customHeight="1">
      <c r="C1454" s="113"/>
      <c r="D1454" s="114"/>
      <c r="P1454" s="82"/>
      <c r="Q1454" s="82"/>
      <c r="R1454" s="38"/>
      <c r="S1454" s="38"/>
      <c r="T1454" s="38"/>
      <c r="U1454" s="38"/>
      <c r="V1454" s="38"/>
      <c r="W1454" s="38"/>
      <c r="X1454" s="38"/>
      <c r="Y1454" s="38"/>
      <c r="Z1454" s="38"/>
      <c r="AA1454" s="38"/>
      <c r="AB1454" s="38"/>
      <c r="AC1454" s="38"/>
      <c r="AD1454" s="38"/>
      <c r="AE1454" s="38"/>
      <c r="AF1454" s="38"/>
      <c r="AG1454" s="38"/>
      <c r="AH1454" s="38"/>
    </row>
    <row r="1455" spans="3:34" ht="20.100000000000001" customHeight="1">
      <c r="C1455" s="113"/>
      <c r="D1455" s="114"/>
      <c r="P1455" s="82"/>
      <c r="Q1455" s="82"/>
      <c r="R1455" s="38"/>
      <c r="S1455" s="38"/>
      <c r="T1455" s="38"/>
      <c r="U1455" s="38"/>
      <c r="V1455" s="38"/>
      <c r="W1455" s="38"/>
      <c r="X1455" s="38"/>
      <c r="Y1455" s="38"/>
      <c r="Z1455" s="38"/>
      <c r="AA1455" s="38"/>
      <c r="AB1455" s="38"/>
      <c r="AC1455" s="38"/>
      <c r="AD1455" s="38"/>
      <c r="AE1455" s="38"/>
      <c r="AF1455" s="38"/>
      <c r="AG1455" s="38"/>
      <c r="AH1455" s="38"/>
    </row>
    <row r="1456" spans="3:34" ht="20.100000000000001" customHeight="1">
      <c r="C1456" s="113"/>
      <c r="D1456" s="114"/>
      <c r="P1456" s="82"/>
      <c r="Q1456" s="82"/>
      <c r="R1456" s="38"/>
      <c r="S1456" s="38"/>
      <c r="T1456" s="38"/>
      <c r="U1456" s="38"/>
      <c r="V1456" s="38"/>
      <c r="W1456" s="38"/>
      <c r="X1456" s="38"/>
      <c r="Y1456" s="38"/>
      <c r="Z1456" s="38"/>
      <c r="AA1456" s="38"/>
      <c r="AB1456" s="38"/>
      <c r="AC1456" s="38"/>
      <c r="AD1456" s="38"/>
      <c r="AE1456" s="38"/>
      <c r="AF1456" s="38"/>
      <c r="AG1456" s="38"/>
      <c r="AH1456" s="38"/>
    </row>
    <row r="1457" spans="3:34" ht="20.100000000000001" customHeight="1">
      <c r="C1457" s="113"/>
      <c r="D1457" s="114"/>
      <c r="P1457" s="82"/>
      <c r="Q1457" s="82"/>
      <c r="R1457" s="38"/>
      <c r="S1457" s="38"/>
      <c r="T1457" s="38"/>
      <c r="U1457" s="38"/>
      <c r="V1457" s="38"/>
      <c r="W1457" s="38"/>
      <c r="X1457" s="38"/>
      <c r="Y1457" s="38"/>
      <c r="Z1457" s="38"/>
      <c r="AA1457" s="38"/>
      <c r="AB1457" s="38"/>
      <c r="AC1457" s="38"/>
      <c r="AD1457" s="38"/>
      <c r="AE1457" s="38"/>
      <c r="AF1457" s="38"/>
      <c r="AG1457" s="38"/>
      <c r="AH1457" s="38"/>
    </row>
    <row r="1458" spans="3:34" ht="20.100000000000001" customHeight="1">
      <c r="C1458" s="113"/>
      <c r="D1458" s="114"/>
      <c r="P1458" s="82"/>
      <c r="Q1458" s="82"/>
      <c r="R1458" s="38"/>
      <c r="S1458" s="38"/>
      <c r="T1458" s="38"/>
      <c r="U1458" s="38"/>
      <c r="V1458" s="38"/>
      <c r="W1458" s="38"/>
      <c r="X1458" s="38"/>
      <c r="Y1458" s="38"/>
      <c r="Z1458" s="38"/>
      <c r="AA1458" s="38"/>
      <c r="AB1458" s="38"/>
      <c r="AC1458" s="38"/>
      <c r="AD1458" s="38"/>
      <c r="AE1458" s="38"/>
      <c r="AF1458" s="38"/>
      <c r="AG1458" s="38"/>
      <c r="AH1458" s="38"/>
    </row>
    <row r="1459" spans="3:34" ht="20.100000000000001" customHeight="1">
      <c r="C1459" s="113"/>
      <c r="D1459" s="114"/>
      <c r="P1459" s="82"/>
      <c r="Q1459" s="82"/>
      <c r="R1459" s="38"/>
      <c r="S1459" s="38"/>
      <c r="T1459" s="38"/>
      <c r="U1459" s="38"/>
      <c r="V1459" s="38"/>
      <c r="W1459" s="38"/>
      <c r="X1459" s="38"/>
      <c r="Y1459" s="38"/>
      <c r="Z1459" s="38"/>
      <c r="AA1459" s="38"/>
      <c r="AB1459" s="38"/>
      <c r="AC1459" s="38"/>
      <c r="AD1459" s="38"/>
      <c r="AE1459" s="38"/>
      <c r="AF1459" s="38"/>
      <c r="AG1459" s="38"/>
      <c r="AH1459" s="38"/>
    </row>
    <row r="1460" spans="3:34" ht="20.100000000000001" customHeight="1">
      <c r="C1460" s="113"/>
      <c r="D1460" s="114"/>
      <c r="P1460" s="82"/>
      <c r="Q1460" s="82"/>
      <c r="R1460" s="38"/>
      <c r="S1460" s="38"/>
      <c r="T1460" s="38"/>
      <c r="U1460" s="38"/>
      <c r="V1460" s="38"/>
      <c r="W1460" s="38"/>
      <c r="X1460" s="38"/>
      <c r="Y1460" s="38"/>
      <c r="Z1460" s="38"/>
      <c r="AA1460" s="38"/>
      <c r="AB1460" s="38"/>
      <c r="AC1460" s="38"/>
      <c r="AD1460" s="38"/>
      <c r="AE1460" s="38"/>
      <c r="AF1460" s="38"/>
      <c r="AG1460" s="38"/>
      <c r="AH1460" s="38"/>
    </row>
    <row r="1461" spans="3:34" ht="20.100000000000001" customHeight="1">
      <c r="C1461" s="113"/>
      <c r="D1461" s="114"/>
      <c r="P1461" s="82"/>
      <c r="Q1461" s="82"/>
      <c r="R1461" s="38"/>
      <c r="S1461" s="38"/>
      <c r="T1461" s="38"/>
      <c r="U1461" s="38"/>
      <c r="V1461" s="38"/>
      <c r="W1461" s="38"/>
      <c r="X1461" s="38"/>
      <c r="Y1461" s="38"/>
      <c r="Z1461" s="38"/>
      <c r="AA1461" s="38"/>
      <c r="AB1461" s="38"/>
      <c r="AC1461" s="38"/>
      <c r="AD1461" s="38"/>
      <c r="AE1461" s="38"/>
      <c r="AF1461" s="38"/>
      <c r="AG1461" s="38"/>
      <c r="AH1461" s="38"/>
    </row>
    <row r="1462" spans="3:34" ht="20.100000000000001" customHeight="1">
      <c r="C1462" s="113"/>
      <c r="D1462" s="114"/>
      <c r="P1462" s="82"/>
      <c r="Q1462" s="82"/>
      <c r="R1462" s="38"/>
      <c r="S1462" s="38"/>
      <c r="T1462" s="38"/>
      <c r="U1462" s="38"/>
      <c r="V1462" s="38"/>
      <c r="W1462" s="38"/>
      <c r="X1462" s="38"/>
      <c r="Y1462" s="38"/>
      <c r="Z1462" s="38"/>
      <c r="AA1462" s="38"/>
      <c r="AB1462" s="38"/>
      <c r="AC1462" s="38"/>
      <c r="AD1462" s="38"/>
      <c r="AE1462" s="38"/>
      <c r="AF1462" s="38"/>
      <c r="AG1462" s="38"/>
      <c r="AH1462" s="38"/>
    </row>
    <row r="1463" spans="3:34" ht="20.100000000000001" customHeight="1">
      <c r="C1463" s="113"/>
      <c r="D1463" s="114"/>
      <c r="P1463" s="82"/>
      <c r="Q1463" s="82"/>
      <c r="R1463" s="38"/>
      <c r="S1463" s="38"/>
      <c r="T1463" s="38"/>
      <c r="U1463" s="38"/>
      <c r="V1463" s="38"/>
      <c r="W1463" s="38"/>
      <c r="X1463" s="38"/>
      <c r="Y1463" s="38"/>
      <c r="Z1463" s="38"/>
      <c r="AA1463" s="38"/>
      <c r="AB1463" s="38"/>
      <c r="AC1463" s="38"/>
      <c r="AD1463" s="38"/>
      <c r="AE1463" s="38"/>
      <c r="AF1463" s="38"/>
      <c r="AG1463" s="38"/>
      <c r="AH1463" s="38"/>
    </row>
    <row r="1464" spans="3:34" ht="20.100000000000001" customHeight="1">
      <c r="C1464" s="113"/>
      <c r="D1464" s="114"/>
      <c r="P1464" s="82"/>
      <c r="Q1464" s="82"/>
      <c r="R1464" s="38"/>
      <c r="S1464" s="38"/>
      <c r="T1464" s="38"/>
      <c r="U1464" s="38"/>
      <c r="V1464" s="38"/>
      <c r="W1464" s="38"/>
      <c r="X1464" s="38"/>
      <c r="Y1464" s="38"/>
      <c r="Z1464" s="38"/>
      <c r="AA1464" s="38"/>
      <c r="AB1464" s="38"/>
      <c r="AC1464" s="38"/>
      <c r="AD1464" s="38"/>
      <c r="AE1464" s="38"/>
      <c r="AF1464" s="38"/>
      <c r="AG1464" s="38"/>
      <c r="AH1464" s="38"/>
    </row>
    <row r="1465" spans="3:34" ht="20.100000000000001" customHeight="1">
      <c r="C1465" s="113"/>
      <c r="D1465" s="114"/>
      <c r="P1465" s="82"/>
      <c r="Q1465" s="82"/>
      <c r="R1465" s="38"/>
      <c r="S1465" s="38"/>
      <c r="T1465" s="38"/>
      <c r="U1465" s="38"/>
      <c r="V1465" s="38"/>
      <c r="W1465" s="38"/>
      <c r="X1465" s="38"/>
      <c r="Y1465" s="38"/>
      <c r="Z1465" s="38"/>
      <c r="AA1465" s="38"/>
      <c r="AB1465" s="38"/>
      <c r="AC1465" s="38"/>
      <c r="AD1465" s="38"/>
      <c r="AE1465" s="38"/>
      <c r="AF1465" s="38"/>
      <c r="AG1465" s="38"/>
      <c r="AH1465" s="38"/>
    </row>
    <row r="1466" spans="3:34" ht="20.100000000000001" customHeight="1">
      <c r="C1466" s="113"/>
      <c r="D1466" s="114"/>
      <c r="P1466" s="82"/>
      <c r="Q1466" s="82"/>
      <c r="R1466" s="38"/>
      <c r="S1466" s="38"/>
      <c r="T1466" s="38"/>
      <c r="U1466" s="38"/>
      <c r="V1466" s="38"/>
      <c r="W1466" s="38"/>
      <c r="X1466" s="38"/>
      <c r="Y1466" s="38"/>
      <c r="Z1466" s="38"/>
      <c r="AA1466" s="38"/>
      <c r="AB1466" s="38"/>
      <c r="AC1466" s="38"/>
      <c r="AD1466" s="38"/>
      <c r="AE1466" s="38"/>
      <c r="AF1466" s="38"/>
      <c r="AG1466" s="38"/>
      <c r="AH1466" s="38"/>
    </row>
    <row r="1467" spans="3:34" ht="20.100000000000001" customHeight="1">
      <c r="C1467" s="113"/>
      <c r="D1467" s="114"/>
      <c r="P1467" s="82"/>
      <c r="Q1467" s="82"/>
      <c r="R1467" s="38"/>
      <c r="S1467" s="38"/>
      <c r="T1467" s="38"/>
      <c r="U1467" s="38"/>
      <c r="V1467" s="38"/>
      <c r="W1467" s="38"/>
      <c r="X1467" s="38"/>
      <c r="Y1467" s="38"/>
      <c r="Z1467" s="38"/>
      <c r="AA1467" s="38"/>
      <c r="AB1467" s="38"/>
      <c r="AC1467" s="38"/>
      <c r="AD1467" s="38"/>
      <c r="AE1467" s="38"/>
      <c r="AF1467" s="38"/>
      <c r="AG1467" s="38"/>
      <c r="AH1467" s="38"/>
    </row>
    <row r="1468" spans="3:34" ht="20.100000000000001" customHeight="1">
      <c r="C1468" s="113"/>
      <c r="D1468" s="114"/>
      <c r="P1468" s="82"/>
      <c r="Q1468" s="82"/>
      <c r="R1468" s="38"/>
      <c r="S1468" s="38"/>
      <c r="T1468" s="38"/>
      <c r="U1468" s="38"/>
      <c r="V1468" s="38"/>
      <c r="W1468" s="38"/>
      <c r="X1468" s="38"/>
      <c r="Y1468" s="38"/>
      <c r="Z1468" s="38"/>
      <c r="AA1468" s="38"/>
      <c r="AB1468" s="38"/>
      <c r="AC1468" s="38"/>
      <c r="AD1468" s="38"/>
      <c r="AE1468" s="38"/>
      <c r="AF1468" s="38"/>
      <c r="AG1468" s="38"/>
      <c r="AH1468" s="38"/>
    </row>
    <row r="1469" spans="3:34" ht="20.100000000000001" customHeight="1">
      <c r="C1469" s="113"/>
      <c r="D1469" s="114"/>
      <c r="P1469" s="82"/>
      <c r="Q1469" s="82"/>
      <c r="R1469" s="38"/>
      <c r="S1469" s="38"/>
      <c r="T1469" s="38"/>
      <c r="U1469" s="38"/>
      <c r="V1469" s="38"/>
      <c r="W1469" s="38"/>
      <c r="X1469" s="38"/>
      <c r="Y1469" s="38"/>
      <c r="Z1469" s="38"/>
      <c r="AA1469" s="38"/>
      <c r="AB1469" s="38"/>
      <c r="AC1469" s="38"/>
      <c r="AD1469" s="38"/>
      <c r="AE1469" s="38"/>
      <c r="AF1469" s="38"/>
      <c r="AG1469" s="38"/>
      <c r="AH1469" s="38"/>
    </row>
    <row r="1470" spans="3:34" ht="20.100000000000001" customHeight="1">
      <c r="C1470" s="113"/>
      <c r="D1470" s="114"/>
      <c r="P1470" s="82"/>
      <c r="Q1470" s="82"/>
      <c r="R1470" s="38"/>
      <c r="S1470" s="38"/>
      <c r="T1470" s="38"/>
      <c r="U1470" s="38"/>
      <c r="V1470" s="38"/>
      <c r="W1470" s="38"/>
      <c r="X1470" s="38"/>
      <c r="Y1470" s="38"/>
      <c r="Z1470" s="38"/>
      <c r="AA1470" s="38"/>
      <c r="AB1470" s="38"/>
      <c r="AC1470" s="38"/>
      <c r="AD1470" s="38"/>
      <c r="AE1470" s="38"/>
      <c r="AF1470" s="38"/>
      <c r="AG1470" s="38"/>
      <c r="AH1470" s="38"/>
    </row>
    <row r="1471" spans="3:34" ht="20.100000000000001" customHeight="1">
      <c r="C1471" s="113"/>
      <c r="D1471" s="114"/>
      <c r="P1471" s="82"/>
      <c r="Q1471" s="82"/>
      <c r="R1471" s="38"/>
      <c r="S1471" s="38"/>
      <c r="T1471" s="38"/>
      <c r="U1471" s="38"/>
      <c r="V1471" s="38"/>
      <c r="W1471" s="38"/>
      <c r="X1471" s="38"/>
      <c r="Y1471" s="38"/>
      <c r="Z1471" s="38"/>
      <c r="AA1471" s="38"/>
      <c r="AB1471" s="38"/>
      <c r="AC1471" s="38"/>
      <c r="AD1471" s="38"/>
      <c r="AE1471" s="38"/>
      <c r="AF1471" s="38"/>
      <c r="AG1471" s="38"/>
      <c r="AH1471" s="38"/>
    </row>
    <row r="1472" spans="3:34" ht="20.100000000000001" customHeight="1">
      <c r="C1472" s="113"/>
      <c r="D1472" s="114"/>
      <c r="P1472" s="82"/>
      <c r="Q1472" s="82"/>
      <c r="R1472" s="38"/>
      <c r="S1472" s="38"/>
      <c r="T1472" s="38"/>
      <c r="U1472" s="38"/>
      <c r="V1472" s="38"/>
      <c r="W1472" s="38"/>
      <c r="X1472" s="38"/>
      <c r="Y1472" s="38"/>
      <c r="Z1472" s="38"/>
      <c r="AA1472" s="38"/>
      <c r="AB1472" s="38"/>
      <c r="AC1472" s="38"/>
      <c r="AD1472" s="38"/>
      <c r="AE1472" s="38"/>
      <c r="AF1472" s="38"/>
      <c r="AG1472" s="38"/>
      <c r="AH1472" s="38"/>
    </row>
    <row r="1473" spans="3:34" ht="20.100000000000001" customHeight="1">
      <c r="C1473" s="113"/>
      <c r="D1473" s="114"/>
      <c r="P1473" s="82"/>
      <c r="Q1473" s="82"/>
      <c r="R1473" s="38"/>
      <c r="S1473" s="38"/>
      <c r="T1473" s="38"/>
      <c r="U1473" s="38"/>
      <c r="V1473" s="38"/>
      <c r="W1473" s="38"/>
      <c r="X1473" s="38"/>
      <c r="Y1473" s="38"/>
      <c r="Z1473" s="38"/>
      <c r="AA1473" s="38"/>
      <c r="AB1473" s="38"/>
      <c r="AC1473" s="38"/>
      <c r="AD1473" s="38"/>
      <c r="AE1473" s="38"/>
      <c r="AF1473" s="38"/>
      <c r="AG1473" s="38"/>
      <c r="AH1473" s="38"/>
    </row>
    <row r="1474" spans="3:34" ht="20.100000000000001" customHeight="1">
      <c r="C1474" s="113"/>
      <c r="D1474" s="114"/>
      <c r="P1474" s="82"/>
      <c r="Q1474" s="82"/>
      <c r="R1474" s="38"/>
      <c r="S1474" s="38"/>
      <c r="T1474" s="38"/>
      <c r="U1474" s="38"/>
      <c r="V1474" s="38"/>
      <c r="W1474" s="38"/>
      <c r="X1474" s="38"/>
      <c r="Y1474" s="38"/>
      <c r="Z1474" s="38"/>
      <c r="AA1474" s="38"/>
      <c r="AB1474" s="38"/>
      <c r="AC1474" s="38"/>
      <c r="AD1474" s="38"/>
      <c r="AE1474" s="38"/>
      <c r="AF1474" s="38"/>
      <c r="AG1474" s="38"/>
      <c r="AH1474" s="38"/>
    </row>
    <row r="1475" spans="3:34" ht="20.100000000000001" customHeight="1">
      <c r="C1475" s="113"/>
      <c r="D1475" s="114"/>
      <c r="P1475" s="82"/>
      <c r="Q1475" s="82"/>
      <c r="R1475" s="38"/>
      <c r="S1475" s="38"/>
      <c r="T1475" s="38"/>
      <c r="U1475" s="38"/>
      <c r="V1475" s="38"/>
      <c r="W1475" s="38"/>
      <c r="X1475" s="38"/>
      <c r="Y1475" s="38"/>
      <c r="Z1475" s="38"/>
      <c r="AA1475" s="38"/>
      <c r="AB1475" s="38"/>
      <c r="AC1475" s="38"/>
      <c r="AD1475" s="38"/>
      <c r="AE1475" s="38"/>
      <c r="AF1475" s="38"/>
      <c r="AG1475" s="38"/>
      <c r="AH1475" s="38"/>
    </row>
    <row r="1476" spans="3:34" ht="20.100000000000001" customHeight="1">
      <c r="C1476" s="113"/>
      <c r="D1476" s="114"/>
      <c r="P1476" s="82"/>
      <c r="Q1476" s="82"/>
      <c r="R1476" s="38"/>
      <c r="S1476" s="38"/>
      <c r="T1476" s="38"/>
      <c r="U1476" s="38"/>
      <c r="V1476" s="38"/>
      <c r="W1476" s="38"/>
      <c r="X1476" s="38"/>
      <c r="Y1476" s="38"/>
      <c r="Z1476" s="38"/>
      <c r="AA1476" s="38"/>
      <c r="AB1476" s="38"/>
      <c r="AC1476" s="38"/>
      <c r="AD1476" s="38"/>
      <c r="AE1476" s="38"/>
      <c r="AF1476" s="38"/>
      <c r="AG1476" s="38"/>
      <c r="AH1476" s="38"/>
    </row>
    <row r="1477" spans="3:34" ht="20.100000000000001" customHeight="1">
      <c r="C1477" s="113"/>
      <c r="D1477" s="114"/>
      <c r="P1477" s="82"/>
      <c r="Q1477" s="82"/>
      <c r="R1477" s="38"/>
      <c r="S1477" s="38"/>
      <c r="T1477" s="38"/>
      <c r="U1477" s="38"/>
      <c r="V1477" s="38"/>
      <c r="W1477" s="38"/>
      <c r="X1477" s="38"/>
      <c r="Y1477" s="38"/>
      <c r="Z1477" s="38"/>
      <c r="AA1477" s="38"/>
      <c r="AB1477" s="38"/>
      <c r="AC1477" s="38"/>
      <c r="AD1477" s="38"/>
      <c r="AE1477" s="38"/>
      <c r="AF1477" s="38"/>
      <c r="AG1477" s="38"/>
      <c r="AH1477" s="38"/>
    </row>
    <row r="1478" spans="3:34" ht="20.100000000000001" customHeight="1">
      <c r="C1478" s="113"/>
      <c r="D1478" s="114"/>
      <c r="P1478" s="82"/>
      <c r="Q1478" s="82"/>
      <c r="R1478" s="38"/>
      <c r="S1478" s="38"/>
      <c r="T1478" s="38"/>
      <c r="U1478" s="38"/>
      <c r="V1478" s="38"/>
      <c r="W1478" s="38"/>
      <c r="X1478" s="38"/>
      <c r="Y1478" s="38"/>
      <c r="Z1478" s="38"/>
      <c r="AA1478" s="38"/>
      <c r="AB1478" s="38"/>
      <c r="AC1478" s="38"/>
      <c r="AD1478" s="38"/>
      <c r="AE1478" s="38"/>
      <c r="AF1478" s="38"/>
      <c r="AG1478" s="38"/>
      <c r="AH1478" s="38"/>
    </row>
    <row r="1479" spans="3:34" ht="20.100000000000001" customHeight="1">
      <c r="C1479" s="113"/>
      <c r="D1479" s="114"/>
      <c r="P1479" s="82"/>
      <c r="Q1479" s="82"/>
      <c r="R1479" s="38"/>
      <c r="S1479" s="38"/>
      <c r="T1479" s="38"/>
      <c r="U1479" s="38"/>
      <c r="V1479" s="38"/>
      <c r="W1479" s="38"/>
      <c r="X1479" s="38"/>
      <c r="Y1479" s="38"/>
      <c r="Z1479" s="38"/>
      <c r="AA1479" s="38"/>
      <c r="AB1479" s="38"/>
      <c r="AC1479" s="38"/>
      <c r="AD1479" s="38"/>
      <c r="AE1479" s="38"/>
      <c r="AF1479" s="38"/>
      <c r="AG1479" s="38"/>
      <c r="AH1479" s="38"/>
    </row>
    <row r="1480" spans="3:34" ht="20.100000000000001" customHeight="1">
      <c r="C1480" s="113"/>
      <c r="D1480" s="114"/>
      <c r="P1480" s="82"/>
      <c r="Q1480" s="82"/>
      <c r="R1480" s="38"/>
      <c r="S1480" s="38"/>
      <c r="T1480" s="38"/>
      <c r="U1480" s="38"/>
      <c r="V1480" s="38"/>
      <c r="W1480" s="38"/>
      <c r="X1480" s="38"/>
      <c r="Y1480" s="38"/>
      <c r="Z1480" s="38"/>
      <c r="AA1480" s="38"/>
      <c r="AB1480" s="38"/>
      <c r="AC1480" s="38"/>
      <c r="AD1480" s="38"/>
      <c r="AE1480" s="38"/>
      <c r="AF1480" s="38"/>
      <c r="AG1480" s="38"/>
      <c r="AH1480" s="38"/>
    </row>
    <row r="1481" spans="3:34" ht="20.100000000000001" customHeight="1">
      <c r="C1481" s="113"/>
      <c r="D1481" s="114"/>
      <c r="P1481" s="82"/>
      <c r="Q1481" s="82"/>
      <c r="R1481" s="38"/>
      <c r="S1481" s="38"/>
      <c r="T1481" s="38"/>
      <c r="U1481" s="38"/>
      <c r="V1481" s="38"/>
      <c r="W1481" s="38"/>
      <c r="X1481" s="38"/>
      <c r="Y1481" s="38"/>
      <c r="Z1481" s="38"/>
      <c r="AA1481" s="38"/>
      <c r="AB1481" s="38"/>
      <c r="AC1481" s="38"/>
      <c r="AD1481" s="38"/>
      <c r="AE1481" s="38"/>
      <c r="AF1481" s="38"/>
      <c r="AG1481" s="38"/>
      <c r="AH1481" s="38"/>
    </row>
    <row r="1482" spans="3:34" ht="20.100000000000001" customHeight="1">
      <c r="C1482" s="113"/>
      <c r="D1482" s="114"/>
      <c r="P1482" s="82"/>
      <c r="Q1482" s="82"/>
      <c r="R1482" s="38"/>
      <c r="S1482" s="38"/>
      <c r="T1482" s="38"/>
      <c r="U1482" s="38"/>
      <c r="V1482" s="38"/>
      <c r="W1482" s="38"/>
      <c r="X1482" s="38"/>
      <c r="Y1482" s="38"/>
      <c r="Z1482" s="38"/>
      <c r="AA1482" s="38"/>
      <c r="AB1482" s="38"/>
      <c r="AC1482" s="38"/>
      <c r="AD1482" s="38"/>
      <c r="AE1482" s="38"/>
      <c r="AF1482" s="38"/>
      <c r="AG1482" s="38"/>
      <c r="AH1482" s="38"/>
    </row>
    <row r="1483" spans="3:34" ht="20.100000000000001" customHeight="1">
      <c r="C1483" s="113"/>
      <c r="D1483" s="114"/>
      <c r="P1483" s="82"/>
      <c r="Q1483" s="82"/>
      <c r="R1483" s="38"/>
      <c r="S1483" s="38"/>
      <c r="T1483" s="38"/>
      <c r="U1483" s="38"/>
      <c r="V1483" s="38"/>
      <c r="W1483" s="38"/>
      <c r="X1483" s="38"/>
      <c r="Y1483" s="38"/>
      <c r="Z1483" s="38"/>
      <c r="AA1483" s="38"/>
      <c r="AB1483" s="38"/>
      <c r="AC1483" s="38"/>
      <c r="AD1483" s="38"/>
      <c r="AE1483" s="38"/>
      <c r="AF1483" s="38"/>
      <c r="AG1483" s="38"/>
      <c r="AH1483" s="38"/>
    </row>
    <row r="1484" spans="3:34" ht="20.100000000000001" customHeight="1">
      <c r="C1484" s="113"/>
      <c r="D1484" s="114"/>
      <c r="P1484" s="82"/>
      <c r="Q1484" s="82"/>
      <c r="R1484" s="38"/>
      <c r="S1484" s="38"/>
      <c r="T1484" s="38"/>
      <c r="U1484" s="38"/>
      <c r="V1484" s="38"/>
      <c r="W1484" s="38"/>
      <c r="X1484" s="38"/>
      <c r="Y1484" s="38"/>
      <c r="Z1484" s="38"/>
      <c r="AA1484" s="38"/>
      <c r="AB1484" s="38"/>
      <c r="AC1484" s="38"/>
      <c r="AD1484" s="38"/>
      <c r="AE1484" s="38"/>
      <c r="AF1484" s="38"/>
      <c r="AG1484" s="38"/>
      <c r="AH1484" s="38"/>
    </row>
    <row r="1485" spans="3:34" ht="20.100000000000001" customHeight="1">
      <c r="C1485" s="113"/>
      <c r="D1485" s="114"/>
      <c r="P1485" s="82"/>
      <c r="Q1485" s="82"/>
      <c r="R1485" s="38"/>
      <c r="S1485" s="38"/>
      <c r="T1485" s="38"/>
      <c r="U1485" s="38"/>
      <c r="V1485" s="38"/>
      <c r="W1485" s="38"/>
      <c r="X1485" s="38"/>
      <c r="Y1485" s="38"/>
      <c r="Z1485" s="38"/>
      <c r="AA1485" s="38"/>
      <c r="AB1485" s="38"/>
      <c r="AC1485" s="38"/>
      <c r="AD1485" s="38"/>
      <c r="AE1485" s="38"/>
      <c r="AF1485" s="38"/>
      <c r="AG1485" s="38"/>
      <c r="AH1485" s="38"/>
    </row>
    <row r="1486" spans="3:34" ht="20.100000000000001" customHeight="1">
      <c r="C1486" s="113"/>
      <c r="D1486" s="114"/>
      <c r="P1486" s="82"/>
      <c r="Q1486" s="82"/>
      <c r="R1486" s="38"/>
      <c r="S1486" s="38"/>
      <c r="T1486" s="38"/>
      <c r="U1486" s="38"/>
      <c r="V1486" s="38"/>
      <c r="W1486" s="38"/>
      <c r="X1486" s="38"/>
      <c r="Y1486" s="38"/>
      <c r="Z1486" s="38"/>
      <c r="AA1486" s="38"/>
      <c r="AB1486" s="38"/>
      <c r="AC1486" s="38"/>
      <c r="AD1486" s="38"/>
      <c r="AE1486" s="38"/>
      <c r="AF1486" s="38"/>
      <c r="AG1486" s="38"/>
      <c r="AH1486" s="38"/>
    </row>
    <row r="1487" spans="3:34" ht="20.100000000000001" customHeight="1">
      <c r="C1487" s="113"/>
      <c r="D1487" s="114"/>
      <c r="P1487" s="82"/>
      <c r="Q1487" s="82"/>
      <c r="R1487" s="38"/>
      <c r="S1487" s="38"/>
      <c r="T1487" s="38"/>
      <c r="U1487" s="38"/>
      <c r="V1487" s="38"/>
      <c r="W1487" s="38"/>
      <c r="X1487" s="38"/>
      <c r="Y1487" s="38"/>
      <c r="Z1487" s="38"/>
      <c r="AA1487" s="38"/>
      <c r="AB1487" s="38"/>
      <c r="AC1487" s="38"/>
      <c r="AD1487" s="38"/>
      <c r="AE1487" s="38"/>
      <c r="AF1487" s="38"/>
      <c r="AG1487" s="38"/>
      <c r="AH1487" s="38"/>
    </row>
    <row r="1488" spans="3:34" ht="20.100000000000001" customHeight="1">
      <c r="C1488" s="113"/>
      <c r="D1488" s="114"/>
      <c r="P1488" s="82"/>
      <c r="Q1488" s="82"/>
      <c r="R1488" s="38"/>
      <c r="S1488" s="38"/>
      <c r="T1488" s="38"/>
      <c r="U1488" s="38"/>
      <c r="V1488" s="38"/>
      <c r="W1488" s="38"/>
      <c r="X1488" s="38"/>
      <c r="Y1488" s="38"/>
      <c r="Z1488" s="38"/>
      <c r="AA1488" s="38"/>
      <c r="AB1488" s="38"/>
      <c r="AC1488" s="38"/>
      <c r="AD1488" s="38"/>
      <c r="AE1488" s="38"/>
      <c r="AF1488" s="38"/>
      <c r="AG1488" s="38"/>
      <c r="AH1488" s="38"/>
    </row>
    <row r="1489" spans="3:34" ht="20.100000000000001" customHeight="1">
      <c r="C1489" s="113"/>
      <c r="D1489" s="114"/>
      <c r="P1489" s="82"/>
      <c r="Q1489" s="82"/>
      <c r="R1489" s="38"/>
      <c r="S1489" s="38"/>
      <c r="T1489" s="38"/>
      <c r="U1489" s="38"/>
      <c r="V1489" s="38"/>
      <c r="W1489" s="38"/>
      <c r="X1489" s="38"/>
      <c r="Y1489" s="38"/>
      <c r="Z1489" s="38"/>
      <c r="AA1489" s="38"/>
      <c r="AB1489" s="38"/>
      <c r="AC1489" s="38"/>
      <c r="AD1489" s="38"/>
      <c r="AE1489" s="38"/>
      <c r="AF1489" s="38"/>
      <c r="AG1489" s="38"/>
      <c r="AH1489" s="38"/>
    </row>
    <row r="1490" spans="3:34" ht="20.100000000000001" customHeight="1">
      <c r="C1490" s="113"/>
      <c r="D1490" s="114"/>
      <c r="P1490" s="82"/>
      <c r="Q1490" s="82"/>
      <c r="R1490" s="38"/>
      <c r="S1490" s="38"/>
      <c r="T1490" s="38"/>
      <c r="U1490" s="38"/>
      <c r="V1490" s="38"/>
      <c r="W1490" s="38"/>
      <c r="X1490" s="38"/>
      <c r="Y1490" s="38"/>
      <c r="Z1490" s="38"/>
      <c r="AA1490" s="38"/>
      <c r="AB1490" s="38"/>
      <c r="AC1490" s="38"/>
      <c r="AD1490" s="38"/>
      <c r="AE1490" s="38"/>
      <c r="AF1490" s="38"/>
      <c r="AG1490" s="38"/>
      <c r="AH1490" s="38"/>
    </row>
    <row r="1491" spans="3:34" ht="20.100000000000001" customHeight="1">
      <c r="C1491" s="113"/>
      <c r="D1491" s="114"/>
      <c r="P1491" s="82"/>
      <c r="Q1491" s="82"/>
      <c r="R1491" s="38"/>
      <c r="S1491" s="38"/>
      <c r="T1491" s="38"/>
      <c r="U1491" s="38"/>
      <c r="V1491" s="38"/>
      <c r="W1491" s="38"/>
      <c r="X1491" s="38"/>
      <c r="Y1491" s="38"/>
      <c r="Z1491" s="38"/>
      <c r="AA1491" s="38"/>
      <c r="AB1491" s="38"/>
      <c r="AC1491" s="38"/>
      <c r="AD1491" s="38"/>
      <c r="AE1491" s="38"/>
      <c r="AF1491" s="38"/>
      <c r="AG1491" s="38"/>
      <c r="AH1491" s="38"/>
    </row>
    <row r="1492" spans="3:34" ht="20.100000000000001" customHeight="1">
      <c r="C1492" s="113"/>
      <c r="D1492" s="114"/>
      <c r="P1492" s="82"/>
      <c r="Q1492" s="82"/>
      <c r="R1492" s="38"/>
      <c r="S1492" s="38"/>
      <c r="T1492" s="38"/>
      <c r="U1492" s="38"/>
      <c r="V1492" s="38"/>
      <c r="W1492" s="38"/>
      <c r="X1492" s="38"/>
      <c r="Y1492" s="38"/>
      <c r="Z1492" s="38"/>
      <c r="AA1492" s="38"/>
      <c r="AB1492" s="38"/>
      <c r="AC1492" s="38"/>
      <c r="AD1492" s="38"/>
      <c r="AE1492" s="38"/>
      <c r="AF1492" s="38"/>
      <c r="AG1492" s="38"/>
      <c r="AH1492" s="38"/>
    </row>
    <row r="1493" spans="3:34" ht="20.100000000000001" customHeight="1">
      <c r="C1493" s="113"/>
      <c r="D1493" s="114"/>
      <c r="P1493" s="82"/>
      <c r="Q1493" s="82"/>
      <c r="R1493" s="38"/>
      <c r="S1493" s="38"/>
      <c r="T1493" s="38"/>
      <c r="U1493" s="38"/>
      <c r="V1493" s="38"/>
      <c r="W1493" s="38"/>
      <c r="X1493" s="38"/>
      <c r="Y1493" s="38"/>
      <c r="Z1493" s="38"/>
      <c r="AA1493" s="38"/>
      <c r="AB1493" s="38"/>
      <c r="AC1493" s="38"/>
      <c r="AD1493" s="38"/>
      <c r="AE1493" s="38"/>
      <c r="AF1493" s="38"/>
      <c r="AG1493" s="38"/>
      <c r="AH1493" s="38"/>
    </row>
    <row r="1494" spans="3:34" ht="20.100000000000001" customHeight="1">
      <c r="C1494" s="113"/>
      <c r="D1494" s="114"/>
      <c r="P1494" s="82"/>
      <c r="Q1494" s="82"/>
      <c r="R1494" s="38"/>
      <c r="S1494" s="38"/>
      <c r="T1494" s="38"/>
      <c r="U1494" s="38"/>
      <c r="V1494" s="38"/>
      <c r="W1494" s="38"/>
      <c r="X1494" s="38"/>
      <c r="Y1494" s="38"/>
      <c r="Z1494" s="38"/>
      <c r="AA1494" s="38"/>
      <c r="AB1494" s="38"/>
      <c r="AC1494" s="38"/>
      <c r="AD1494" s="38"/>
      <c r="AE1494" s="38"/>
      <c r="AF1494" s="38"/>
      <c r="AG1494" s="38"/>
      <c r="AH1494" s="38"/>
    </row>
    <row r="1495" spans="3:34" ht="20.100000000000001" customHeight="1">
      <c r="C1495" s="113"/>
      <c r="D1495" s="114"/>
      <c r="P1495" s="82"/>
      <c r="Q1495" s="82"/>
      <c r="R1495" s="38"/>
      <c r="S1495" s="38"/>
      <c r="T1495" s="38"/>
      <c r="U1495" s="38"/>
      <c r="V1495" s="38"/>
      <c r="W1495" s="38"/>
      <c r="X1495" s="38"/>
      <c r="Y1495" s="38"/>
      <c r="Z1495" s="38"/>
      <c r="AA1495" s="38"/>
      <c r="AB1495" s="38"/>
      <c r="AC1495" s="38"/>
      <c r="AD1495" s="38"/>
      <c r="AE1495" s="38"/>
      <c r="AF1495" s="38"/>
      <c r="AG1495" s="38"/>
      <c r="AH1495" s="38"/>
    </row>
    <row r="1496" spans="3:34" ht="20.100000000000001" customHeight="1">
      <c r="C1496" s="113"/>
      <c r="D1496" s="114"/>
      <c r="P1496" s="82"/>
      <c r="Q1496" s="82"/>
      <c r="R1496" s="38"/>
      <c r="S1496" s="38"/>
      <c r="T1496" s="38"/>
      <c r="U1496" s="38"/>
      <c r="V1496" s="38"/>
      <c r="W1496" s="38"/>
      <c r="X1496" s="38"/>
      <c r="Y1496" s="38"/>
      <c r="Z1496" s="38"/>
      <c r="AA1496" s="38"/>
      <c r="AB1496" s="38"/>
      <c r="AC1496" s="38"/>
      <c r="AD1496" s="38"/>
      <c r="AE1496" s="38"/>
      <c r="AF1496" s="38"/>
      <c r="AG1496" s="38"/>
      <c r="AH1496" s="38"/>
    </row>
    <row r="1497" spans="3:34" ht="20.100000000000001" customHeight="1">
      <c r="C1497" s="113"/>
      <c r="D1497" s="114"/>
      <c r="P1497" s="82"/>
      <c r="Q1497" s="82"/>
      <c r="R1497" s="38"/>
      <c r="S1497" s="38"/>
      <c r="T1497" s="38"/>
      <c r="U1497" s="38"/>
      <c r="V1497" s="38"/>
      <c r="W1497" s="38"/>
      <c r="X1497" s="38"/>
      <c r="Y1497" s="38"/>
      <c r="Z1497" s="38"/>
      <c r="AA1497" s="38"/>
      <c r="AB1497" s="38"/>
      <c r="AC1497" s="38"/>
      <c r="AD1497" s="38"/>
      <c r="AE1497" s="38"/>
      <c r="AF1497" s="38"/>
      <c r="AG1497" s="38"/>
      <c r="AH1497" s="38"/>
    </row>
    <row r="1498" spans="3:34" ht="20.100000000000001" customHeight="1">
      <c r="C1498" s="113"/>
      <c r="D1498" s="114"/>
      <c r="P1498" s="82"/>
      <c r="Q1498" s="82"/>
      <c r="R1498" s="38"/>
      <c r="S1498" s="38"/>
      <c r="T1498" s="38"/>
      <c r="U1498" s="38"/>
      <c r="V1498" s="38"/>
      <c r="W1498" s="38"/>
      <c r="X1498" s="38"/>
      <c r="Y1498" s="38"/>
      <c r="Z1498" s="38"/>
      <c r="AA1498" s="38"/>
      <c r="AB1498" s="38"/>
      <c r="AC1498" s="38"/>
      <c r="AD1498" s="38"/>
      <c r="AE1498" s="38"/>
      <c r="AF1498" s="38"/>
      <c r="AG1498" s="38"/>
      <c r="AH1498" s="38"/>
    </row>
    <row r="1499" spans="3:34" ht="20.100000000000001" customHeight="1">
      <c r="C1499" s="113"/>
      <c r="D1499" s="114"/>
      <c r="P1499" s="82"/>
      <c r="Q1499" s="82"/>
      <c r="R1499" s="38"/>
      <c r="S1499" s="38"/>
      <c r="T1499" s="38"/>
      <c r="U1499" s="38"/>
      <c r="V1499" s="38"/>
      <c r="W1499" s="38"/>
      <c r="X1499" s="38"/>
      <c r="Y1499" s="38"/>
      <c r="Z1499" s="38"/>
      <c r="AA1499" s="38"/>
      <c r="AB1499" s="38"/>
      <c r="AC1499" s="38"/>
      <c r="AD1499" s="38"/>
      <c r="AE1499" s="38"/>
      <c r="AF1499" s="38"/>
      <c r="AG1499" s="38"/>
      <c r="AH1499" s="38"/>
    </row>
    <row r="1500" spans="3:34" ht="20.100000000000001" customHeight="1">
      <c r="C1500" s="113"/>
      <c r="D1500" s="114"/>
      <c r="P1500" s="82"/>
      <c r="Q1500" s="82"/>
      <c r="R1500" s="38"/>
      <c r="S1500" s="38"/>
      <c r="T1500" s="38"/>
      <c r="U1500" s="38"/>
      <c r="V1500" s="38"/>
      <c r="W1500" s="38"/>
      <c r="X1500" s="38"/>
      <c r="Y1500" s="38"/>
      <c r="Z1500" s="38"/>
      <c r="AA1500" s="38"/>
      <c r="AB1500" s="38"/>
      <c r="AC1500" s="38"/>
      <c r="AD1500" s="38"/>
      <c r="AE1500" s="38"/>
      <c r="AF1500" s="38"/>
      <c r="AG1500" s="38"/>
      <c r="AH1500" s="38"/>
    </row>
    <row r="1501" spans="3:34" ht="20.100000000000001" customHeight="1">
      <c r="C1501" s="113"/>
      <c r="D1501" s="114"/>
      <c r="P1501" s="82"/>
      <c r="Q1501" s="82"/>
      <c r="R1501" s="38"/>
      <c r="S1501" s="38"/>
      <c r="T1501" s="38"/>
      <c r="U1501" s="38"/>
      <c r="V1501" s="38"/>
      <c r="W1501" s="38"/>
      <c r="X1501" s="38"/>
      <c r="Y1501" s="38"/>
      <c r="Z1501" s="38"/>
      <c r="AA1501" s="38"/>
      <c r="AB1501" s="38"/>
      <c r="AC1501" s="38"/>
      <c r="AD1501" s="38"/>
      <c r="AE1501" s="38"/>
      <c r="AF1501" s="38"/>
      <c r="AG1501" s="38"/>
      <c r="AH1501" s="38"/>
    </row>
    <row r="1502" spans="3:34" ht="20.100000000000001" customHeight="1">
      <c r="C1502" s="113"/>
      <c r="D1502" s="114"/>
      <c r="P1502" s="82"/>
      <c r="Q1502" s="82"/>
      <c r="R1502" s="38"/>
      <c r="S1502" s="38"/>
      <c r="T1502" s="38"/>
      <c r="U1502" s="38"/>
      <c r="V1502" s="38"/>
      <c r="W1502" s="38"/>
      <c r="X1502" s="38"/>
      <c r="Y1502" s="38"/>
      <c r="Z1502" s="38"/>
      <c r="AA1502" s="38"/>
      <c r="AB1502" s="38"/>
      <c r="AC1502" s="38"/>
      <c r="AD1502" s="38"/>
      <c r="AE1502" s="38"/>
      <c r="AF1502" s="38"/>
      <c r="AG1502" s="38"/>
      <c r="AH1502" s="38"/>
    </row>
    <row r="1503" spans="3:34" ht="20.100000000000001" customHeight="1">
      <c r="C1503" s="113"/>
      <c r="D1503" s="114"/>
      <c r="P1503" s="82"/>
      <c r="Q1503" s="82"/>
      <c r="R1503" s="38"/>
      <c r="S1503" s="38"/>
      <c r="T1503" s="38"/>
      <c r="U1503" s="38"/>
      <c r="V1503" s="38"/>
      <c r="W1503" s="38"/>
      <c r="X1503" s="38"/>
      <c r="Y1503" s="38"/>
      <c r="Z1503" s="38"/>
      <c r="AA1503" s="38"/>
      <c r="AB1503" s="38"/>
      <c r="AC1503" s="38"/>
      <c r="AD1503" s="38"/>
      <c r="AE1503" s="38"/>
      <c r="AF1503" s="38"/>
      <c r="AG1503" s="38"/>
      <c r="AH1503" s="38"/>
    </row>
    <row r="1504" spans="3:34" ht="20.100000000000001" customHeight="1">
      <c r="C1504" s="113"/>
      <c r="D1504" s="114"/>
      <c r="P1504" s="82"/>
      <c r="Q1504" s="82"/>
      <c r="R1504" s="38"/>
      <c r="S1504" s="38"/>
      <c r="T1504" s="38"/>
      <c r="U1504" s="38"/>
      <c r="V1504" s="38"/>
      <c r="W1504" s="38"/>
      <c r="X1504" s="38"/>
      <c r="Y1504" s="38"/>
      <c r="Z1504" s="38"/>
      <c r="AA1504" s="38"/>
      <c r="AB1504" s="38"/>
      <c r="AC1504" s="38"/>
      <c r="AD1504" s="38"/>
      <c r="AE1504" s="38"/>
      <c r="AF1504" s="38"/>
      <c r="AG1504" s="38"/>
      <c r="AH1504" s="38"/>
    </row>
    <row r="1505" spans="3:34" ht="20.100000000000001" customHeight="1">
      <c r="C1505" s="113"/>
      <c r="D1505" s="114"/>
      <c r="P1505" s="82"/>
      <c r="Q1505" s="82"/>
      <c r="R1505" s="38"/>
      <c r="S1505" s="38"/>
      <c r="T1505" s="38"/>
      <c r="U1505" s="38"/>
      <c r="V1505" s="38"/>
      <c r="W1505" s="38"/>
      <c r="X1505" s="38"/>
      <c r="Y1505" s="38"/>
      <c r="Z1505" s="38"/>
      <c r="AA1505" s="38"/>
      <c r="AB1505" s="38"/>
      <c r="AC1505" s="38"/>
      <c r="AD1505" s="38"/>
      <c r="AE1505" s="38"/>
      <c r="AF1505" s="38"/>
      <c r="AG1505" s="38"/>
      <c r="AH1505" s="38"/>
    </row>
    <row r="1506" spans="3:34" ht="20.100000000000001" customHeight="1">
      <c r="C1506" s="113"/>
      <c r="D1506" s="114"/>
      <c r="P1506" s="82"/>
      <c r="Q1506" s="82"/>
      <c r="R1506" s="38"/>
      <c r="S1506" s="38"/>
      <c r="T1506" s="38"/>
      <c r="U1506" s="38"/>
      <c r="V1506" s="38"/>
      <c r="W1506" s="38"/>
      <c r="X1506" s="38"/>
      <c r="Y1506" s="38"/>
      <c r="Z1506" s="38"/>
      <c r="AA1506" s="38"/>
      <c r="AB1506" s="38"/>
      <c r="AC1506" s="38"/>
      <c r="AD1506" s="38"/>
      <c r="AE1506" s="38"/>
      <c r="AF1506" s="38"/>
      <c r="AG1506" s="38"/>
      <c r="AH1506" s="38"/>
    </row>
    <row r="1507" spans="3:34" ht="20.100000000000001" customHeight="1">
      <c r="C1507" s="113"/>
      <c r="D1507" s="114"/>
      <c r="P1507" s="82"/>
      <c r="Q1507" s="82"/>
      <c r="R1507" s="38"/>
      <c r="S1507" s="38"/>
      <c r="T1507" s="38"/>
      <c r="U1507" s="38"/>
      <c r="V1507" s="38"/>
      <c r="W1507" s="38"/>
      <c r="X1507" s="38"/>
      <c r="Y1507" s="38"/>
      <c r="Z1507" s="38"/>
      <c r="AA1507" s="38"/>
      <c r="AB1507" s="38"/>
      <c r="AC1507" s="38"/>
      <c r="AD1507" s="38"/>
      <c r="AE1507" s="38"/>
      <c r="AF1507" s="38"/>
      <c r="AG1507" s="38"/>
      <c r="AH1507" s="38"/>
    </row>
    <row r="1508" spans="3:34" ht="20.100000000000001" customHeight="1">
      <c r="C1508" s="113"/>
      <c r="D1508" s="114"/>
      <c r="P1508" s="82"/>
      <c r="Q1508" s="82"/>
      <c r="R1508" s="38"/>
      <c r="S1508" s="38"/>
      <c r="T1508" s="38"/>
      <c r="U1508" s="38"/>
      <c r="V1508" s="38"/>
      <c r="W1508" s="38"/>
      <c r="X1508" s="38"/>
      <c r="Y1508" s="38"/>
      <c r="Z1508" s="38"/>
      <c r="AA1508" s="38"/>
      <c r="AB1508" s="38"/>
      <c r="AC1508" s="38"/>
      <c r="AD1508" s="38"/>
      <c r="AE1508" s="38"/>
      <c r="AF1508" s="38"/>
      <c r="AG1508" s="38"/>
      <c r="AH1508" s="38"/>
    </row>
    <row r="1509" spans="3:34" ht="20.100000000000001" customHeight="1">
      <c r="C1509" s="113"/>
      <c r="D1509" s="114"/>
      <c r="P1509" s="82"/>
      <c r="Q1509" s="82"/>
      <c r="R1509" s="38"/>
      <c r="S1509" s="38"/>
      <c r="T1509" s="38"/>
      <c r="U1509" s="38"/>
      <c r="V1509" s="38"/>
      <c r="W1509" s="38"/>
      <c r="X1509" s="38"/>
      <c r="Y1509" s="38"/>
      <c r="Z1509" s="38"/>
      <c r="AA1509" s="38"/>
      <c r="AB1509" s="38"/>
      <c r="AC1509" s="38"/>
      <c r="AD1509" s="38"/>
      <c r="AE1509" s="38"/>
      <c r="AF1509" s="38"/>
      <c r="AG1509" s="38"/>
      <c r="AH1509" s="38"/>
    </row>
    <row r="1510" spans="3:34" ht="20.100000000000001" customHeight="1">
      <c r="C1510" s="113"/>
      <c r="D1510" s="114"/>
      <c r="P1510" s="82"/>
      <c r="Q1510" s="82"/>
      <c r="R1510" s="38"/>
      <c r="S1510" s="38"/>
      <c r="T1510" s="38"/>
      <c r="U1510" s="38"/>
      <c r="V1510" s="38"/>
      <c r="W1510" s="38"/>
      <c r="X1510" s="38"/>
      <c r="Y1510" s="38"/>
      <c r="Z1510" s="38"/>
      <c r="AA1510" s="38"/>
      <c r="AB1510" s="38"/>
      <c r="AC1510" s="38"/>
      <c r="AD1510" s="38"/>
      <c r="AE1510" s="38"/>
      <c r="AF1510" s="38"/>
      <c r="AG1510" s="38"/>
      <c r="AH1510" s="38"/>
    </row>
    <row r="1511" spans="3:34" ht="20.100000000000001" customHeight="1">
      <c r="C1511" s="113"/>
      <c r="D1511" s="114"/>
      <c r="P1511" s="82"/>
      <c r="Q1511" s="82"/>
      <c r="R1511" s="38"/>
      <c r="S1511" s="38"/>
      <c r="T1511" s="38"/>
      <c r="U1511" s="38"/>
      <c r="V1511" s="38"/>
      <c r="W1511" s="38"/>
      <c r="X1511" s="38"/>
      <c r="Y1511" s="38"/>
      <c r="Z1511" s="38"/>
      <c r="AA1511" s="38"/>
      <c r="AB1511" s="38"/>
      <c r="AC1511" s="38"/>
      <c r="AD1511" s="38"/>
      <c r="AE1511" s="38"/>
      <c r="AF1511" s="38"/>
      <c r="AG1511" s="38"/>
      <c r="AH1511" s="38"/>
    </row>
    <row r="1512" spans="3:34" ht="20.100000000000001" customHeight="1">
      <c r="C1512" s="113"/>
      <c r="D1512" s="114"/>
      <c r="P1512" s="82"/>
      <c r="Q1512" s="82"/>
      <c r="R1512" s="38"/>
      <c r="S1512" s="38"/>
      <c r="T1512" s="38"/>
      <c r="U1512" s="38"/>
      <c r="V1512" s="38"/>
      <c r="W1512" s="38"/>
      <c r="X1512" s="38"/>
      <c r="Y1512" s="38"/>
      <c r="Z1512" s="38"/>
      <c r="AA1512" s="38"/>
      <c r="AB1512" s="38"/>
      <c r="AC1512" s="38"/>
      <c r="AD1512" s="38"/>
      <c r="AE1512" s="38"/>
      <c r="AF1512" s="38"/>
      <c r="AG1512" s="38"/>
      <c r="AH1512" s="38"/>
    </row>
    <row r="1513" spans="3:34" ht="20.100000000000001" customHeight="1">
      <c r="C1513" s="113"/>
      <c r="D1513" s="114"/>
      <c r="P1513" s="82"/>
      <c r="Q1513" s="82"/>
      <c r="R1513" s="38"/>
      <c r="S1513" s="38"/>
      <c r="T1513" s="38"/>
      <c r="U1513" s="38"/>
      <c r="V1513" s="38"/>
      <c r="W1513" s="38"/>
      <c r="X1513" s="38"/>
      <c r="Y1513" s="38"/>
      <c r="Z1513" s="38"/>
      <c r="AA1513" s="38"/>
      <c r="AB1513" s="38"/>
      <c r="AC1513" s="38"/>
      <c r="AD1513" s="38"/>
      <c r="AE1513" s="38"/>
      <c r="AF1513" s="38"/>
      <c r="AG1513" s="38"/>
      <c r="AH1513" s="38"/>
    </row>
    <row r="1514" spans="3:34" ht="20.100000000000001" customHeight="1">
      <c r="C1514" s="113"/>
      <c r="D1514" s="114"/>
      <c r="P1514" s="82"/>
      <c r="Q1514" s="82"/>
      <c r="R1514" s="38"/>
      <c r="S1514" s="38"/>
      <c r="T1514" s="38"/>
      <c r="U1514" s="38"/>
      <c r="V1514" s="38"/>
      <c r="W1514" s="38"/>
      <c r="X1514" s="38"/>
      <c r="Y1514" s="38"/>
      <c r="Z1514" s="38"/>
      <c r="AA1514" s="38"/>
      <c r="AB1514" s="38"/>
      <c r="AC1514" s="38"/>
      <c r="AD1514" s="38"/>
      <c r="AE1514" s="38"/>
      <c r="AF1514" s="38"/>
      <c r="AG1514" s="38"/>
      <c r="AH1514" s="38"/>
    </row>
    <row r="1515" spans="3:34" ht="20.100000000000001" customHeight="1">
      <c r="C1515" s="113"/>
      <c r="D1515" s="114"/>
      <c r="P1515" s="82"/>
      <c r="Q1515" s="82"/>
      <c r="R1515" s="38"/>
      <c r="S1515" s="38"/>
      <c r="T1515" s="38"/>
      <c r="U1515" s="38"/>
      <c r="V1515" s="38"/>
      <c r="W1515" s="38"/>
      <c r="X1515" s="38"/>
      <c r="Y1515" s="38"/>
      <c r="Z1515" s="38"/>
      <c r="AA1515" s="38"/>
      <c r="AB1515" s="38"/>
      <c r="AC1515" s="38"/>
      <c r="AD1515" s="38"/>
      <c r="AE1515" s="38"/>
      <c r="AF1515" s="38"/>
      <c r="AG1515" s="38"/>
      <c r="AH1515" s="38"/>
    </row>
    <row r="1516" spans="3:34" ht="20.100000000000001" customHeight="1">
      <c r="C1516" s="113"/>
      <c r="D1516" s="114"/>
      <c r="P1516" s="82"/>
      <c r="Q1516" s="82"/>
      <c r="R1516" s="38"/>
      <c r="S1516" s="38"/>
      <c r="T1516" s="38"/>
      <c r="U1516" s="38"/>
      <c r="V1516" s="38"/>
      <c r="W1516" s="38"/>
      <c r="X1516" s="38"/>
      <c r="Y1516" s="38"/>
      <c r="Z1516" s="38"/>
      <c r="AA1516" s="38"/>
      <c r="AB1516" s="38"/>
      <c r="AC1516" s="38"/>
      <c r="AD1516" s="38"/>
      <c r="AE1516" s="38"/>
      <c r="AF1516" s="38"/>
      <c r="AG1516" s="38"/>
      <c r="AH1516" s="38"/>
    </row>
    <row r="1517" spans="3:34" ht="20.100000000000001" customHeight="1">
      <c r="C1517" s="113"/>
      <c r="D1517" s="114"/>
      <c r="P1517" s="82"/>
      <c r="Q1517" s="82"/>
      <c r="R1517" s="38"/>
      <c r="S1517" s="38"/>
      <c r="T1517" s="38"/>
      <c r="U1517" s="38"/>
      <c r="V1517" s="38"/>
      <c r="W1517" s="38"/>
      <c r="X1517" s="38"/>
      <c r="Y1517" s="38"/>
      <c r="Z1517" s="38"/>
      <c r="AA1517" s="38"/>
      <c r="AB1517" s="38"/>
      <c r="AC1517" s="38"/>
      <c r="AD1517" s="38"/>
      <c r="AE1517" s="38"/>
      <c r="AF1517" s="38"/>
      <c r="AG1517" s="38"/>
      <c r="AH1517" s="38"/>
    </row>
    <row r="1518" spans="3:34" ht="20.100000000000001" customHeight="1">
      <c r="C1518" s="113"/>
      <c r="D1518" s="114"/>
      <c r="P1518" s="82"/>
      <c r="Q1518" s="82"/>
      <c r="R1518" s="38"/>
      <c r="S1518" s="38"/>
      <c r="T1518" s="38"/>
      <c r="U1518" s="38"/>
      <c r="V1518" s="38"/>
      <c r="W1518" s="38"/>
      <c r="X1518" s="38"/>
      <c r="Y1518" s="38"/>
      <c r="Z1518" s="38"/>
      <c r="AA1518" s="38"/>
      <c r="AB1518" s="38"/>
      <c r="AC1518" s="38"/>
      <c r="AD1518" s="38"/>
      <c r="AE1518" s="38"/>
      <c r="AF1518" s="38"/>
      <c r="AG1518" s="38"/>
      <c r="AH1518" s="38"/>
    </row>
    <row r="1519" spans="3:34" ht="20.100000000000001" customHeight="1">
      <c r="C1519" s="113"/>
      <c r="D1519" s="114"/>
      <c r="P1519" s="82"/>
      <c r="Q1519" s="82"/>
      <c r="R1519" s="38"/>
      <c r="S1519" s="38"/>
      <c r="T1519" s="38"/>
      <c r="U1519" s="38"/>
      <c r="V1519" s="38"/>
      <c r="W1519" s="38"/>
      <c r="X1519" s="38"/>
      <c r="Y1519" s="38"/>
      <c r="Z1519" s="38"/>
      <c r="AA1519" s="38"/>
      <c r="AB1519" s="38"/>
      <c r="AC1519" s="38"/>
      <c r="AD1519" s="38"/>
      <c r="AE1519" s="38"/>
      <c r="AF1519" s="38"/>
      <c r="AG1519" s="38"/>
      <c r="AH1519" s="38"/>
    </row>
    <row r="1520" spans="3:34" ht="20.100000000000001" customHeight="1">
      <c r="C1520" s="113"/>
      <c r="D1520" s="114"/>
      <c r="P1520" s="82"/>
      <c r="Q1520" s="82"/>
      <c r="R1520" s="38"/>
      <c r="S1520" s="38"/>
      <c r="T1520" s="38"/>
      <c r="U1520" s="38"/>
      <c r="V1520" s="38"/>
      <c r="W1520" s="38"/>
      <c r="X1520" s="38"/>
      <c r="Y1520" s="38"/>
      <c r="Z1520" s="38"/>
      <c r="AA1520" s="38"/>
      <c r="AB1520" s="38"/>
      <c r="AC1520" s="38"/>
      <c r="AD1520" s="38"/>
      <c r="AE1520" s="38"/>
      <c r="AF1520" s="38"/>
      <c r="AG1520" s="38"/>
      <c r="AH1520" s="38"/>
    </row>
    <row r="1521" spans="3:34" ht="20.100000000000001" customHeight="1">
      <c r="C1521" s="113"/>
      <c r="D1521" s="114"/>
      <c r="P1521" s="82"/>
      <c r="Q1521" s="82"/>
      <c r="R1521" s="38"/>
      <c r="S1521" s="38"/>
      <c r="T1521" s="38"/>
      <c r="U1521" s="38"/>
      <c r="V1521" s="38"/>
      <c r="W1521" s="38"/>
      <c r="X1521" s="38"/>
      <c r="Y1521" s="38"/>
      <c r="Z1521" s="38"/>
      <c r="AA1521" s="38"/>
      <c r="AB1521" s="38"/>
      <c r="AC1521" s="38"/>
      <c r="AD1521" s="38"/>
      <c r="AE1521" s="38"/>
      <c r="AF1521" s="38"/>
      <c r="AG1521" s="38"/>
      <c r="AH1521" s="38"/>
    </row>
    <row r="1522" spans="3:34" ht="20.100000000000001" customHeight="1">
      <c r="C1522" s="113"/>
      <c r="D1522" s="114"/>
      <c r="P1522" s="82"/>
      <c r="Q1522" s="82"/>
      <c r="R1522" s="38"/>
      <c r="S1522" s="38"/>
      <c r="T1522" s="38"/>
      <c r="U1522" s="38"/>
      <c r="V1522" s="38"/>
      <c r="W1522" s="38"/>
      <c r="X1522" s="38"/>
      <c r="Y1522" s="38"/>
      <c r="Z1522" s="38"/>
      <c r="AA1522" s="38"/>
      <c r="AB1522" s="38"/>
      <c r="AC1522" s="38"/>
      <c r="AD1522" s="38"/>
      <c r="AE1522" s="38"/>
      <c r="AF1522" s="38"/>
      <c r="AG1522" s="38"/>
      <c r="AH1522" s="38"/>
    </row>
    <row r="1523" spans="3:34" ht="20.100000000000001" customHeight="1">
      <c r="C1523" s="113"/>
      <c r="D1523" s="114"/>
      <c r="P1523" s="82"/>
      <c r="Q1523" s="82"/>
      <c r="R1523" s="38"/>
      <c r="S1523" s="38"/>
      <c r="T1523" s="38"/>
      <c r="U1523" s="38"/>
      <c r="V1523" s="38"/>
      <c r="W1523" s="38"/>
      <c r="X1523" s="38"/>
      <c r="Y1523" s="38"/>
      <c r="Z1523" s="38"/>
      <c r="AA1523" s="38"/>
      <c r="AB1523" s="38"/>
      <c r="AC1523" s="38"/>
      <c r="AD1523" s="38"/>
      <c r="AE1523" s="38"/>
      <c r="AF1523" s="38"/>
      <c r="AG1523" s="38"/>
      <c r="AH1523" s="38"/>
    </row>
    <row r="1524" spans="3:34" ht="20.100000000000001" customHeight="1">
      <c r="C1524" s="113"/>
      <c r="D1524" s="114"/>
      <c r="P1524" s="82"/>
      <c r="Q1524" s="82"/>
      <c r="R1524" s="38"/>
      <c r="S1524" s="38"/>
      <c r="T1524" s="38"/>
      <c r="U1524" s="38"/>
      <c r="V1524" s="38"/>
      <c r="W1524" s="38"/>
      <c r="X1524" s="38"/>
      <c r="Y1524" s="38"/>
      <c r="Z1524" s="38"/>
      <c r="AA1524" s="38"/>
      <c r="AB1524" s="38"/>
      <c r="AC1524" s="38"/>
      <c r="AD1524" s="38"/>
      <c r="AE1524" s="38"/>
      <c r="AF1524" s="38"/>
      <c r="AG1524" s="38"/>
      <c r="AH1524" s="38"/>
    </row>
    <row r="1525" spans="3:34" ht="20.100000000000001" customHeight="1">
      <c r="C1525" s="113"/>
      <c r="D1525" s="114"/>
      <c r="P1525" s="82"/>
      <c r="Q1525" s="82"/>
      <c r="R1525" s="38"/>
      <c r="S1525" s="38"/>
      <c r="T1525" s="38"/>
      <c r="U1525" s="38"/>
      <c r="V1525" s="38"/>
      <c r="W1525" s="38"/>
      <c r="X1525" s="38"/>
      <c r="Y1525" s="38"/>
      <c r="Z1525" s="38"/>
      <c r="AA1525" s="38"/>
      <c r="AB1525" s="38"/>
      <c r="AC1525" s="38"/>
      <c r="AD1525" s="38"/>
      <c r="AE1525" s="38"/>
      <c r="AF1525" s="38"/>
      <c r="AG1525" s="38"/>
      <c r="AH1525" s="38"/>
    </row>
    <row r="1526" spans="3:34" ht="20.100000000000001" customHeight="1">
      <c r="C1526" s="113"/>
      <c r="D1526" s="114"/>
      <c r="P1526" s="82"/>
      <c r="Q1526" s="82"/>
      <c r="R1526" s="38"/>
      <c r="S1526" s="38"/>
      <c r="T1526" s="38"/>
      <c r="U1526" s="38"/>
      <c r="V1526" s="38"/>
      <c r="W1526" s="38"/>
      <c r="X1526" s="38"/>
      <c r="Y1526" s="38"/>
      <c r="Z1526" s="38"/>
      <c r="AA1526" s="38"/>
      <c r="AB1526" s="38"/>
      <c r="AC1526" s="38"/>
      <c r="AD1526" s="38"/>
      <c r="AE1526" s="38"/>
      <c r="AF1526" s="38"/>
      <c r="AG1526" s="38"/>
      <c r="AH1526" s="38"/>
    </row>
    <row r="1527" spans="3:34" ht="20.100000000000001" customHeight="1">
      <c r="C1527" s="113"/>
      <c r="D1527" s="114"/>
      <c r="P1527" s="82"/>
      <c r="Q1527" s="82"/>
      <c r="R1527" s="38"/>
      <c r="S1527" s="38"/>
      <c r="T1527" s="38"/>
      <c r="U1527" s="38"/>
      <c r="V1527" s="38"/>
      <c r="W1527" s="38"/>
      <c r="X1527" s="38"/>
      <c r="Y1527" s="38"/>
      <c r="Z1527" s="38"/>
      <c r="AA1527" s="38"/>
      <c r="AB1527" s="38"/>
      <c r="AC1527" s="38"/>
      <c r="AD1527" s="38"/>
      <c r="AE1527" s="38"/>
      <c r="AF1527" s="38"/>
      <c r="AG1527" s="38"/>
      <c r="AH1527" s="38"/>
    </row>
    <row r="1528" spans="3:34" ht="20.100000000000001" customHeight="1">
      <c r="C1528" s="113"/>
      <c r="D1528" s="114"/>
      <c r="P1528" s="82"/>
      <c r="Q1528" s="82"/>
      <c r="R1528" s="38"/>
      <c r="S1528" s="38"/>
      <c r="T1528" s="38"/>
      <c r="U1528" s="38"/>
      <c r="V1528" s="38"/>
      <c r="W1528" s="38"/>
      <c r="X1528" s="38"/>
      <c r="Y1528" s="38"/>
      <c r="Z1528" s="38"/>
      <c r="AA1528" s="38"/>
      <c r="AB1528" s="38"/>
      <c r="AC1528" s="38"/>
      <c r="AD1528" s="38"/>
      <c r="AE1528" s="38"/>
      <c r="AF1528" s="38"/>
      <c r="AG1528" s="38"/>
      <c r="AH1528" s="38"/>
    </row>
    <row r="1529" spans="3:34" ht="20.100000000000001" customHeight="1">
      <c r="C1529" s="113"/>
      <c r="D1529" s="114"/>
      <c r="P1529" s="82"/>
      <c r="Q1529" s="82"/>
      <c r="R1529" s="38"/>
      <c r="S1529" s="38"/>
      <c r="T1529" s="38"/>
      <c r="U1529" s="38"/>
      <c r="V1529" s="38"/>
      <c r="W1529" s="38"/>
      <c r="X1529" s="38"/>
      <c r="Y1529" s="38"/>
      <c r="Z1529" s="38"/>
      <c r="AA1529" s="38"/>
      <c r="AB1529" s="38"/>
      <c r="AC1529" s="38"/>
      <c r="AD1529" s="38"/>
      <c r="AE1529" s="38"/>
      <c r="AF1529" s="38"/>
      <c r="AG1529" s="38"/>
      <c r="AH1529" s="38"/>
    </row>
    <row r="1530" spans="3:34" ht="20.100000000000001" customHeight="1">
      <c r="C1530" s="113"/>
      <c r="D1530" s="114"/>
      <c r="P1530" s="82"/>
      <c r="Q1530" s="82"/>
      <c r="R1530" s="38"/>
      <c r="S1530" s="38"/>
      <c r="T1530" s="38"/>
      <c r="U1530" s="38"/>
      <c r="V1530" s="38"/>
      <c r="W1530" s="38"/>
      <c r="X1530" s="38"/>
      <c r="Y1530" s="38"/>
      <c r="Z1530" s="38"/>
      <c r="AA1530" s="38"/>
      <c r="AB1530" s="38"/>
      <c r="AC1530" s="38"/>
      <c r="AD1530" s="38"/>
      <c r="AE1530" s="38"/>
      <c r="AF1530" s="38"/>
      <c r="AG1530" s="38"/>
      <c r="AH1530" s="38"/>
    </row>
    <row r="1531" spans="3:34" ht="20.100000000000001" customHeight="1">
      <c r="C1531" s="113"/>
      <c r="D1531" s="114"/>
      <c r="P1531" s="82"/>
      <c r="Q1531" s="82"/>
      <c r="R1531" s="38"/>
      <c r="S1531" s="38"/>
      <c r="T1531" s="38"/>
      <c r="U1531" s="38"/>
      <c r="V1531" s="38"/>
      <c r="W1531" s="38"/>
      <c r="X1531" s="38"/>
      <c r="Y1531" s="38"/>
      <c r="Z1531" s="38"/>
      <c r="AA1531" s="38"/>
      <c r="AB1531" s="38"/>
      <c r="AC1531" s="38"/>
      <c r="AD1531" s="38"/>
      <c r="AE1531" s="38"/>
      <c r="AF1531" s="38"/>
      <c r="AG1531" s="38"/>
      <c r="AH1531" s="38"/>
    </row>
    <row r="1532" spans="3:34" ht="20.100000000000001" customHeight="1">
      <c r="C1532" s="113"/>
      <c r="D1532" s="114"/>
      <c r="P1532" s="82"/>
      <c r="Q1532" s="82"/>
      <c r="R1532" s="38"/>
      <c r="S1532" s="38"/>
      <c r="T1532" s="38"/>
      <c r="U1532" s="38"/>
      <c r="V1532" s="38"/>
      <c r="W1532" s="38"/>
      <c r="X1532" s="38"/>
      <c r="Y1532" s="38"/>
      <c r="Z1532" s="38"/>
      <c r="AA1532" s="38"/>
      <c r="AB1532" s="38"/>
      <c r="AC1532" s="38"/>
      <c r="AD1532" s="38"/>
      <c r="AE1532" s="38"/>
      <c r="AF1532" s="38"/>
      <c r="AG1532" s="38"/>
      <c r="AH1532" s="38"/>
    </row>
    <row r="1533" spans="3:34" ht="20.100000000000001" customHeight="1">
      <c r="C1533" s="113"/>
      <c r="D1533" s="114"/>
      <c r="P1533" s="82"/>
      <c r="Q1533" s="82"/>
      <c r="R1533" s="38"/>
      <c r="S1533" s="38"/>
      <c r="T1533" s="38"/>
      <c r="U1533" s="38"/>
      <c r="V1533" s="38"/>
      <c r="W1533" s="38"/>
      <c r="X1533" s="38"/>
      <c r="Y1533" s="38"/>
      <c r="Z1533" s="38"/>
      <c r="AA1533" s="38"/>
      <c r="AB1533" s="38"/>
      <c r="AC1533" s="38"/>
      <c r="AD1533" s="38"/>
      <c r="AE1533" s="38"/>
      <c r="AF1533" s="38"/>
      <c r="AG1533" s="38"/>
      <c r="AH1533" s="38"/>
    </row>
    <row r="1534" spans="3:34" ht="20.100000000000001" customHeight="1">
      <c r="C1534" s="113"/>
      <c r="D1534" s="114"/>
      <c r="P1534" s="82"/>
      <c r="Q1534" s="82"/>
      <c r="R1534" s="38"/>
      <c r="S1534" s="38"/>
      <c r="T1534" s="38"/>
      <c r="U1534" s="38"/>
      <c r="V1534" s="38"/>
      <c r="W1534" s="38"/>
      <c r="X1534" s="38"/>
      <c r="Y1534" s="38"/>
      <c r="Z1534" s="38"/>
      <c r="AA1534" s="38"/>
      <c r="AB1534" s="38"/>
      <c r="AC1534" s="38"/>
      <c r="AD1534" s="38"/>
      <c r="AE1534" s="38"/>
      <c r="AF1534" s="38"/>
      <c r="AG1534" s="38"/>
      <c r="AH1534" s="38"/>
    </row>
    <row r="1535" spans="3:34" ht="20.100000000000001" customHeight="1">
      <c r="C1535" s="113"/>
      <c r="D1535" s="114"/>
      <c r="P1535" s="82"/>
      <c r="Q1535" s="82"/>
      <c r="R1535" s="38"/>
      <c r="S1535" s="38"/>
      <c r="T1535" s="38"/>
      <c r="U1535" s="38"/>
      <c r="V1535" s="38"/>
      <c r="W1535" s="38"/>
      <c r="X1535" s="38"/>
      <c r="Y1535" s="38"/>
      <c r="Z1535" s="38"/>
      <c r="AA1535" s="38"/>
      <c r="AB1535" s="38"/>
      <c r="AC1535" s="38"/>
      <c r="AD1535" s="38"/>
      <c r="AE1535" s="38"/>
      <c r="AF1535" s="38"/>
      <c r="AG1535" s="38"/>
      <c r="AH1535" s="38"/>
    </row>
    <row r="1536" spans="3:34" ht="20.100000000000001" customHeight="1">
      <c r="C1536" s="113"/>
      <c r="D1536" s="114"/>
      <c r="P1536" s="82"/>
      <c r="Q1536" s="82"/>
      <c r="R1536" s="38"/>
      <c r="S1536" s="38"/>
      <c r="T1536" s="38"/>
      <c r="U1536" s="38"/>
      <c r="V1536" s="38"/>
      <c r="W1536" s="38"/>
      <c r="X1536" s="38"/>
      <c r="Y1536" s="38"/>
      <c r="Z1536" s="38"/>
      <c r="AA1536" s="38"/>
      <c r="AB1536" s="38"/>
      <c r="AC1536" s="38"/>
      <c r="AD1536" s="38"/>
      <c r="AE1536" s="38"/>
      <c r="AF1536" s="38"/>
      <c r="AG1536" s="38"/>
      <c r="AH1536" s="38"/>
    </row>
    <row r="1537" spans="3:34" ht="20.100000000000001" customHeight="1">
      <c r="C1537" s="113"/>
      <c r="D1537" s="114"/>
      <c r="P1537" s="82"/>
      <c r="Q1537" s="82"/>
      <c r="R1537" s="38"/>
      <c r="S1537" s="38"/>
      <c r="T1537" s="38"/>
      <c r="U1537" s="38"/>
      <c r="V1537" s="38"/>
      <c r="W1537" s="38"/>
      <c r="X1537" s="38"/>
      <c r="Y1537" s="38"/>
      <c r="Z1537" s="38"/>
      <c r="AA1537" s="38"/>
      <c r="AB1537" s="38"/>
      <c r="AC1537" s="38"/>
      <c r="AD1537" s="38"/>
      <c r="AE1537" s="38"/>
      <c r="AF1537" s="38"/>
      <c r="AG1537" s="38"/>
      <c r="AH1537" s="38"/>
    </row>
    <row r="1538" spans="3:34" ht="20.100000000000001" customHeight="1">
      <c r="C1538" s="113"/>
      <c r="D1538" s="114"/>
      <c r="P1538" s="82"/>
      <c r="Q1538" s="82"/>
      <c r="R1538" s="38"/>
      <c r="S1538" s="38"/>
      <c r="T1538" s="38"/>
      <c r="U1538" s="38"/>
      <c r="V1538" s="38"/>
      <c r="W1538" s="38"/>
      <c r="X1538" s="38"/>
      <c r="Y1538" s="38"/>
      <c r="Z1538" s="38"/>
      <c r="AA1538" s="38"/>
      <c r="AB1538" s="38"/>
      <c r="AC1538" s="38"/>
      <c r="AD1538" s="38"/>
      <c r="AE1538" s="38"/>
      <c r="AF1538" s="38"/>
      <c r="AG1538" s="38"/>
      <c r="AH1538" s="38"/>
    </row>
    <row r="1539" spans="3:34" ht="20.100000000000001" customHeight="1">
      <c r="C1539" s="113"/>
      <c r="D1539" s="114"/>
      <c r="P1539" s="82"/>
      <c r="Q1539" s="82"/>
      <c r="R1539" s="38"/>
      <c r="S1539" s="38"/>
      <c r="T1539" s="38"/>
      <c r="U1539" s="38"/>
      <c r="V1539" s="38"/>
      <c r="W1539" s="38"/>
      <c r="X1539" s="38"/>
      <c r="Y1539" s="38"/>
      <c r="Z1539" s="38"/>
      <c r="AA1539" s="38"/>
      <c r="AB1539" s="38"/>
      <c r="AC1539" s="38"/>
      <c r="AD1539" s="38"/>
      <c r="AE1539" s="38"/>
      <c r="AF1539" s="38"/>
      <c r="AG1539" s="38"/>
      <c r="AH1539" s="38"/>
    </row>
    <row r="1540" spans="3:34" ht="20.100000000000001" customHeight="1">
      <c r="C1540" s="113"/>
      <c r="D1540" s="114"/>
      <c r="P1540" s="82"/>
      <c r="Q1540" s="82"/>
      <c r="R1540" s="38"/>
      <c r="S1540" s="38"/>
      <c r="T1540" s="38"/>
      <c r="U1540" s="38"/>
      <c r="V1540" s="38"/>
      <c r="W1540" s="38"/>
      <c r="X1540" s="38"/>
      <c r="Y1540" s="38"/>
      <c r="Z1540" s="38"/>
      <c r="AA1540" s="38"/>
      <c r="AB1540" s="38"/>
      <c r="AC1540" s="38"/>
      <c r="AD1540" s="38"/>
      <c r="AE1540" s="38"/>
      <c r="AF1540" s="38"/>
      <c r="AG1540" s="38"/>
      <c r="AH1540" s="38"/>
    </row>
    <row r="1541" spans="3:34" ht="20.100000000000001" customHeight="1">
      <c r="C1541" s="113"/>
      <c r="D1541" s="114"/>
      <c r="P1541" s="82"/>
      <c r="Q1541" s="82"/>
      <c r="R1541" s="38"/>
      <c r="S1541" s="38"/>
      <c r="T1541" s="38"/>
      <c r="U1541" s="38"/>
      <c r="V1541" s="38"/>
      <c r="W1541" s="38"/>
      <c r="X1541" s="38"/>
      <c r="Y1541" s="38"/>
      <c r="Z1541" s="38"/>
      <c r="AA1541" s="38"/>
      <c r="AB1541" s="38"/>
      <c r="AC1541" s="38"/>
      <c r="AD1541" s="38"/>
      <c r="AE1541" s="38"/>
      <c r="AF1541" s="38"/>
      <c r="AG1541" s="38"/>
      <c r="AH1541" s="38"/>
    </row>
    <row r="1542" spans="3:34" ht="20.100000000000001" customHeight="1">
      <c r="C1542" s="113"/>
      <c r="D1542" s="114"/>
      <c r="P1542" s="82"/>
      <c r="Q1542" s="82"/>
      <c r="R1542" s="38"/>
      <c r="S1542" s="38"/>
      <c r="T1542" s="38"/>
      <c r="U1542" s="38"/>
      <c r="V1542" s="38"/>
      <c r="W1542" s="38"/>
      <c r="X1542" s="38"/>
      <c r="Y1542" s="38"/>
      <c r="Z1542" s="38"/>
      <c r="AA1542" s="38"/>
      <c r="AB1542" s="38"/>
      <c r="AC1542" s="38"/>
      <c r="AD1542" s="38"/>
      <c r="AE1542" s="38"/>
      <c r="AF1542" s="38"/>
      <c r="AG1542" s="38"/>
      <c r="AH1542" s="38"/>
    </row>
    <row r="1543" spans="3:34" ht="20.100000000000001" customHeight="1">
      <c r="C1543" s="113"/>
      <c r="D1543" s="114"/>
      <c r="P1543" s="82"/>
      <c r="Q1543" s="82"/>
      <c r="R1543" s="38"/>
      <c r="S1543" s="38"/>
      <c r="T1543" s="38"/>
      <c r="U1543" s="38"/>
      <c r="V1543" s="38"/>
      <c r="W1543" s="38"/>
      <c r="X1543" s="38"/>
      <c r="Y1543" s="38"/>
      <c r="Z1543" s="38"/>
      <c r="AA1543" s="38"/>
      <c r="AB1543" s="38"/>
      <c r="AC1543" s="38"/>
      <c r="AD1543" s="38"/>
      <c r="AE1543" s="38"/>
      <c r="AF1543" s="38"/>
      <c r="AG1543" s="38"/>
      <c r="AH1543" s="38"/>
    </row>
    <row r="1544" spans="3:34" ht="20.100000000000001" customHeight="1">
      <c r="C1544" s="113"/>
      <c r="D1544" s="114"/>
      <c r="P1544" s="82"/>
      <c r="Q1544" s="82"/>
      <c r="R1544" s="38"/>
      <c r="S1544" s="38"/>
      <c r="T1544" s="38"/>
      <c r="U1544" s="38"/>
      <c r="V1544" s="38"/>
      <c r="W1544" s="38"/>
      <c r="X1544" s="38"/>
      <c r="Y1544" s="38"/>
      <c r="Z1544" s="38"/>
      <c r="AA1544" s="38"/>
      <c r="AB1544" s="38"/>
      <c r="AC1544" s="38"/>
      <c r="AD1544" s="38"/>
      <c r="AE1544" s="38"/>
      <c r="AF1544" s="38"/>
      <c r="AG1544" s="38"/>
      <c r="AH1544" s="38"/>
    </row>
    <row r="1545" spans="3:34" ht="20.100000000000001" customHeight="1">
      <c r="C1545" s="113"/>
      <c r="D1545" s="114"/>
      <c r="P1545" s="82"/>
      <c r="Q1545" s="82"/>
      <c r="R1545" s="38"/>
      <c r="S1545" s="38"/>
      <c r="T1545" s="38"/>
      <c r="U1545" s="38"/>
      <c r="V1545" s="38"/>
      <c r="W1545" s="38"/>
      <c r="X1545" s="38"/>
      <c r="Y1545" s="38"/>
      <c r="Z1545" s="38"/>
      <c r="AA1545" s="38"/>
      <c r="AB1545" s="38"/>
      <c r="AC1545" s="38"/>
      <c r="AD1545" s="38"/>
      <c r="AE1545" s="38"/>
      <c r="AF1545" s="38"/>
      <c r="AG1545" s="38"/>
      <c r="AH1545" s="38"/>
    </row>
    <row r="1546" spans="3:34" ht="20.100000000000001" customHeight="1">
      <c r="C1546" s="113"/>
      <c r="D1546" s="114"/>
      <c r="P1546" s="82"/>
      <c r="Q1546" s="82"/>
      <c r="R1546" s="38"/>
      <c r="S1546" s="38"/>
      <c r="T1546" s="38"/>
      <c r="U1546" s="38"/>
      <c r="V1546" s="38"/>
      <c r="W1546" s="38"/>
      <c r="X1546" s="38"/>
      <c r="Y1546" s="38"/>
      <c r="Z1546" s="38"/>
      <c r="AA1546" s="38"/>
      <c r="AB1546" s="38"/>
      <c r="AC1546" s="38"/>
      <c r="AD1546" s="38"/>
      <c r="AE1546" s="38"/>
      <c r="AF1546" s="38"/>
      <c r="AG1546" s="38"/>
      <c r="AH1546" s="38"/>
    </row>
    <row r="1547" spans="3:34" ht="20.100000000000001" customHeight="1">
      <c r="C1547" s="113"/>
      <c r="D1547" s="114"/>
      <c r="P1547" s="82"/>
      <c r="Q1547" s="82"/>
      <c r="R1547" s="38"/>
      <c r="S1547" s="38"/>
      <c r="T1547" s="38"/>
      <c r="U1547" s="38"/>
      <c r="V1547" s="38"/>
      <c r="W1547" s="38"/>
      <c r="X1547" s="38"/>
      <c r="Y1547" s="38"/>
      <c r="Z1547" s="38"/>
      <c r="AA1547" s="38"/>
      <c r="AB1547" s="38"/>
      <c r="AC1547" s="38"/>
      <c r="AD1547" s="38"/>
      <c r="AE1547" s="38"/>
      <c r="AF1547" s="38"/>
      <c r="AG1547" s="38"/>
      <c r="AH1547" s="38"/>
    </row>
    <row r="1548" spans="3:34" ht="20.100000000000001" customHeight="1">
      <c r="C1548" s="113"/>
      <c r="D1548" s="114"/>
      <c r="P1548" s="82"/>
      <c r="Q1548" s="82"/>
      <c r="R1548" s="38"/>
      <c r="S1548" s="38"/>
      <c r="T1548" s="38"/>
      <c r="U1548" s="38"/>
      <c r="V1548" s="38"/>
      <c r="W1548" s="38"/>
      <c r="X1548" s="38"/>
      <c r="Y1548" s="38"/>
      <c r="Z1548" s="38"/>
      <c r="AA1548" s="38"/>
      <c r="AB1548" s="38"/>
      <c r="AC1548" s="38"/>
      <c r="AD1548" s="38"/>
      <c r="AE1548" s="38"/>
      <c r="AF1548" s="38"/>
      <c r="AG1548" s="38"/>
      <c r="AH1548" s="38"/>
    </row>
    <row r="1549" spans="3:34" ht="20.100000000000001" customHeight="1">
      <c r="C1549" s="113"/>
      <c r="D1549" s="114"/>
      <c r="P1549" s="82"/>
      <c r="Q1549" s="82"/>
      <c r="R1549" s="38"/>
      <c r="S1549" s="38"/>
      <c r="T1549" s="38"/>
      <c r="U1549" s="38"/>
      <c r="V1549" s="38"/>
      <c r="W1549" s="38"/>
      <c r="X1549" s="38"/>
      <c r="Y1549" s="38"/>
      <c r="Z1549" s="38"/>
      <c r="AA1549" s="38"/>
      <c r="AB1549" s="38"/>
      <c r="AC1549" s="38"/>
      <c r="AD1549" s="38"/>
      <c r="AE1549" s="38"/>
      <c r="AF1549" s="38"/>
      <c r="AG1549" s="38"/>
      <c r="AH1549" s="38"/>
    </row>
    <row r="1550" spans="3:34" ht="20.100000000000001" customHeight="1">
      <c r="C1550" s="113"/>
      <c r="D1550" s="114"/>
      <c r="P1550" s="82"/>
      <c r="Q1550" s="82"/>
      <c r="R1550" s="38"/>
      <c r="S1550" s="38"/>
      <c r="T1550" s="38"/>
      <c r="U1550" s="38"/>
      <c r="V1550" s="38"/>
      <c r="W1550" s="38"/>
      <c r="X1550" s="38"/>
      <c r="Y1550" s="38"/>
      <c r="Z1550" s="38"/>
      <c r="AA1550" s="38"/>
      <c r="AB1550" s="38"/>
      <c r="AC1550" s="38"/>
      <c r="AD1550" s="38"/>
      <c r="AE1550" s="38"/>
      <c r="AF1550" s="38"/>
      <c r="AG1550" s="38"/>
      <c r="AH1550" s="38"/>
    </row>
    <row r="1551" spans="3:34" ht="20.100000000000001" customHeight="1">
      <c r="C1551" s="113"/>
      <c r="D1551" s="114"/>
      <c r="P1551" s="82"/>
      <c r="Q1551" s="82"/>
      <c r="R1551" s="38"/>
      <c r="S1551" s="38"/>
      <c r="T1551" s="38"/>
      <c r="U1551" s="38"/>
      <c r="V1551" s="38"/>
      <c r="W1551" s="38"/>
      <c r="X1551" s="38"/>
      <c r="Y1551" s="38"/>
      <c r="Z1551" s="38"/>
      <c r="AA1551" s="38"/>
      <c r="AB1551" s="38"/>
      <c r="AC1551" s="38"/>
      <c r="AD1551" s="38"/>
      <c r="AE1551" s="38"/>
      <c r="AF1551" s="38"/>
      <c r="AG1551" s="38"/>
      <c r="AH1551" s="38"/>
    </row>
    <row r="1552" spans="3:34" ht="20.100000000000001" customHeight="1">
      <c r="C1552" s="113"/>
      <c r="D1552" s="114"/>
      <c r="P1552" s="82"/>
      <c r="Q1552" s="82"/>
      <c r="R1552" s="38"/>
      <c r="S1552" s="38"/>
      <c r="T1552" s="38"/>
      <c r="U1552" s="38"/>
      <c r="V1552" s="38"/>
      <c r="W1552" s="38"/>
      <c r="X1552" s="38"/>
      <c r="Y1552" s="38"/>
      <c r="Z1552" s="38"/>
      <c r="AA1552" s="38"/>
      <c r="AB1552" s="38"/>
      <c r="AC1552" s="38"/>
      <c r="AD1552" s="38"/>
      <c r="AE1552" s="38"/>
      <c r="AF1552" s="38"/>
      <c r="AG1552" s="38"/>
      <c r="AH1552" s="38"/>
    </row>
    <row r="1553" spans="3:34" ht="20.100000000000001" customHeight="1">
      <c r="C1553" s="113"/>
      <c r="D1553" s="114"/>
      <c r="P1553" s="82"/>
      <c r="Q1553" s="82"/>
      <c r="R1553" s="38"/>
      <c r="S1553" s="38"/>
      <c r="T1553" s="38"/>
      <c r="U1553" s="38"/>
      <c r="V1553" s="38"/>
      <c r="W1553" s="38"/>
      <c r="X1553" s="38"/>
      <c r="Y1553" s="38"/>
      <c r="Z1553" s="38"/>
      <c r="AA1553" s="38"/>
      <c r="AB1553" s="38"/>
      <c r="AC1553" s="38"/>
      <c r="AD1553" s="38"/>
      <c r="AE1553" s="38"/>
      <c r="AF1553" s="38"/>
      <c r="AG1553" s="38"/>
      <c r="AH1553" s="38"/>
    </row>
    <row r="1554" spans="3:34" ht="20.100000000000001" customHeight="1">
      <c r="C1554" s="113"/>
      <c r="D1554" s="114"/>
      <c r="P1554" s="82"/>
      <c r="Q1554" s="82"/>
      <c r="R1554" s="38"/>
      <c r="S1554" s="38"/>
      <c r="T1554" s="38"/>
      <c r="U1554" s="38"/>
      <c r="V1554" s="38"/>
      <c r="W1554" s="38"/>
      <c r="X1554" s="38"/>
      <c r="Y1554" s="38"/>
      <c r="Z1554" s="38"/>
      <c r="AA1554" s="38"/>
      <c r="AB1554" s="38"/>
      <c r="AC1554" s="38"/>
      <c r="AD1554" s="38"/>
      <c r="AE1554" s="38"/>
      <c r="AF1554" s="38"/>
      <c r="AG1554" s="38"/>
      <c r="AH1554" s="38"/>
    </row>
    <row r="1555" spans="3:34" ht="20.100000000000001" customHeight="1">
      <c r="C1555" s="113"/>
      <c r="D1555" s="114"/>
      <c r="P1555" s="82"/>
      <c r="Q1555" s="82"/>
      <c r="R1555" s="38"/>
      <c r="S1555" s="38"/>
      <c r="T1555" s="38"/>
      <c r="U1555" s="38"/>
      <c r="V1555" s="38"/>
      <c r="W1555" s="38"/>
      <c r="X1555" s="38"/>
      <c r="Y1555" s="38"/>
      <c r="Z1555" s="38"/>
      <c r="AA1555" s="38"/>
      <c r="AB1555" s="38"/>
      <c r="AC1555" s="38"/>
      <c r="AD1555" s="38"/>
      <c r="AE1555" s="38"/>
      <c r="AF1555" s="38"/>
      <c r="AG1555" s="38"/>
      <c r="AH1555" s="38"/>
    </row>
    <row r="1556" spans="3:34" ht="20.100000000000001" customHeight="1">
      <c r="C1556" s="113"/>
      <c r="D1556" s="114"/>
      <c r="P1556" s="82"/>
      <c r="Q1556" s="82"/>
      <c r="R1556" s="38"/>
      <c r="S1556" s="38"/>
      <c r="T1556" s="38"/>
      <c r="U1556" s="38"/>
      <c r="V1556" s="38"/>
      <c r="W1556" s="38"/>
      <c r="X1556" s="38"/>
      <c r="Y1556" s="38"/>
      <c r="Z1556" s="38"/>
      <c r="AA1556" s="38"/>
      <c r="AB1556" s="38"/>
      <c r="AC1556" s="38"/>
      <c r="AD1556" s="38"/>
      <c r="AE1556" s="38"/>
      <c r="AF1556" s="38"/>
      <c r="AG1556" s="38"/>
      <c r="AH1556" s="38"/>
    </row>
    <row r="1557" spans="3:34" ht="20.100000000000001" customHeight="1">
      <c r="C1557" s="113"/>
      <c r="D1557" s="114"/>
      <c r="P1557" s="82"/>
      <c r="Q1557" s="82"/>
      <c r="R1557" s="38"/>
      <c r="S1557" s="38"/>
      <c r="T1557" s="38"/>
      <c r="U1557" s="38"/>
      <c r="V1557" s="38"/>
      <c r="W1557" s="38"/>
      <c r="X1557" s="38"/>
      <c r="Y1557" s="38"/>
      <c r="Z1557" s="38"/>
      <c r="AA1557" s="38"/>
      <c r="AB1557" s="38"/>
      <c r="AC1557" s="38"/>
      <c r="AD1557" s="38"/>
      <c r="AE1557" s="38"/>
      <c r="AF1557" s="38"/>
      <c r="AG1557" s="38"/>
      <c r="AH1557" s="38"/>
    </row>
    <row r="1558" spans="3:34" ht="20.100000000000001" customHeight="1">
      <c r="C1558" s="113"/>
      <c r="D1558" s="114"/>
      <c r="P1558" s="82"/>
      <c r="Q1558" s="82"/>
      <c r="R1558" s="38"/>
      <c r="S1558" s="38"/>
      <c r="T1558" s="38"/>
      <c r="U1558" s="38"/>
      <c r="V1558" s="38"/>
      <c r="W1558" s="38"/>
      <c r="X1558" s="38"/>
      <c r="Y1558" s="38"/>
      <c r="Z1558" s="38"/>
      <c r="AA1558" s="38"/>
      <c r="AB1558" s="38"/>
      <c r="AC1558" s="38"/>
      <c r="AD1558" s="38"/>
      <c r="AE1558" s="38"/>
      <c r="AF1558" s="38"/>
      <c r="AG1558" s="38"/>
      <c r="AH1558" s="38"/>
    </row>
    <row r="1559" spans="3:34" ht="20.100000000000001" customHeight="1">
      <c r="C1559" s="113"/>
      <c r="D1559" s="114"/>
      <c r="P1559" s="82"/>
      <c r="Q1559" s="82"/>
      <c r="R1559" s="38"/>
      <c r="S1559" s="38"/>
      <c r="T1559" s="38"/>
      <c r="U1559" s="38"/>
      <c r="V1559" s="38"/>
      <c r="W1559" s="38"/>
      <c r="X1559" s="38"/>
      <c r="Y1559" s="38"/>
      <c r="Z1559" s="38"/>
      <c r="AA1559" s="38"/>
      <c r="AB1559" s="38"/>
      <c r="AC1559" s="38"/>
      <c r="AD1559" s="38"/>
      <c r="AE1559" s="38"/>
      <c r="AF1559" s="38"/>
      <c r="AG1559" s="38"/>
      <c r="AH1559" s="38"/>
    </row>
    <row r="1560" spans="3:34" ht="20.100000000000001" customHeight="1">
      <c r="C1560" s="113"/>
      <c r="D1560" s="114"/>
      <c r="P1560" s="82"/>
      <c r="Q1560" s="82"/>
      <c r="R1560" s="38"/>
      <c r="S1560" s="38"/>
      <c r="T1560" s="38"/>
      <c r="U1560" s="38"/>
      <c r="V1560" s="38"/>
      <c r="W1560" s="38"/>
      <c r="X1560" s="38"/>
      <c r="Y1560" s="38"/>
      <c r="Z1560" s="38"/>
      <c r="AA1560" s="38"/>
      <c r="AB1560" s="38"/>
      <c r="AC1560" s="38"/>
      <c r="AD1560" s="38"/>
      <c r="AE1560" s="38"/>
      <c r="AF1560" s="38"/>
      <c r="AG1560" s="38"/>
      <c r="AH1560" s="38"/>
    </row>
    <row r="1561" spans="3:34" ht="20.100000000000001" customHeight="1">
      <c r="C1561" s="113"/>
      <c r="D1561" s="114"/>
      <c r="P1561" s="82"/>
      <c r="Q1561" s="82"/>
      <c r="R1561" s="38"/>
      <c r="S1561" s="38"/>
      <c r="T1561" s="38"/>
      <c r="U1561" s="38"/>
      <c r="V1561" s="38"/>
      <c r="W1561" s="38"/>
      <c r="X1561" s="38"/>
      <c r="Y1561" s="38"/>
      <c r="Z1561" s="38"/>
      <c r="AA1561" s="38"/>
      <c r="AB1561" s="38"/>
      <c r="AC1561" s="38"/>
      <c r="AD1561" s="38"/>
      <c r="AE1561" s="38"/>
      <c r="AF1561" s="38"/>
      <c r="AG1561" s="38"/>
      <c r="AH1561" s="38"/>
    </row>
    <row r="1562" spans="3:34" ht="20.100000000000001" customHeight="1">
      <c r="C1562" s="113"/>
      <c r="D1562" s="114"/>
      <c r="P1562" s="82"/>
      <c r="Q1562" s="82"/>
      <c r="R1562" s="38"/>
      <c r="S1562" s="38"/>
      <c r="T1562" s="38"/>
      <c r="U1562" s="38"/>
      <c r="V1562" s="38"/>
      <c r="W1562" s="38"/>
      <c r="X1562" s="38"/>
      <c r="Y1562" s="38"/>
      <c r="Z1562" s="38"/>
      <c r="AA1562" s="38"/>
      <c r="AB1562" s="38"/>
      <c r="AC1562" s="38"/>
      <c r="AD1562" s="38"/>
      <c r="AE1562" s="38"/>
      <c r="AF1562" s="38"/>
      <c r="AG1562" s="38"/>
      <c r="AH1562" s="38"/>
    </row>
    <row r="1563" spans="3:34" ht="20.100000000000001" customHeight="1">
      <c r="C1563" s="113"/>
      <c r="D1563" s="114"/>
      <c r="P1563" s="82"/>
      <c r="Q1563" s="82"/>
      <c r="R1563" s="38"/>
      <c r="S1563" s="38"/>
      <c r="T1563" s="38"/>
      <c r="U1563" s="38"/>
      <c r="V1563" s="38"/>
      <c r="W1563" s="38"/>
      <c r="X1563" s="38"/>
      <c r="Y1563" s="38"/>
      <c r="Z1563" s="38"/>
      <c r="AA1563" s="38"/>
      <c r="AB1563" s="38"/>
      <c r="AC1563" s="38"/>
      <c r="AD1563" s="38"/>
      <c r="AE1563" s="38"/>
      <c r="AF1563" s="38"/>
      <c r="AG1563" s="38"/>
      <c r="AH1563" s="38"/>
    </row>
    <row r="1564" spans="3:34" ht="20.100000000000001" customHeight="1">
      <c r="C1564" s="113"/>
      <c r="D1564" s="114"/>
      <c r="P1564" s="82"/>
      <c r="Q1564" s="82"/>
      <c r="R1564" s="38"/>
      <c r="S1564" s="38"/>
      <c r="T1564" s="38"/>
      <c r="U1564" s="38"/>
      <c r="V1564" s="38"/>
      <c r="W1564" s="38"/>
      <c r="X1564" s="38"/>
      <c r="Y1564" s="38"/>
      <c r="Z1564" s="38"/>
      <c r="AA1564" s="38"/>
      <c r="AB1564" s="38"/>
      <c r="AC1564" s="38"/>
      <c r="AD1564" s="38"/>
      <c r="AE1564" s="38"/>
      <c r="AF1564" s="38"/>
      <c r="AG1564" s="38"/>
      <c r="AH1564" s="38"/>
    </row>
    <row r="1565" spans="3:34" ht="20.100000000000001" customHeight="1">
      <c r="C1565" s="113"/>
      <c r="D1565" s="114"/>
      <c r="P1565" s="82"/>
      <c r="Q1565" s="82"/>
      <c r="R1565" s="38"/>
      <c r="S1565" s="38"/>
      <c r="T1565" s="38"/>
      <c r="U1565" s="38"/>
      <c r="V1565" s="38"/>
      <c r="W1565" s="38"/>
      <c r="X1565" s="38"/>
      <c r="Y1565" s="38"/>
      <c r="Z1565" s="38"/>
      <c r="AA1565" s="38"/>
      <c r="AB1565" s="38"/>
      <c r="AC1565" s="38"/>
      <c r="AD1565" s="38"/>
      <c r="AE1565" s="38"/>
      <c r="AF1565" s="38"/>
      <c r="AG1565" s="38"/>
      <c r="AH1565" s="38"/>
    </row>
    <row r="1566" spans="3:34" ht="20.100000000000001" customHeight="1">
      <c r="C1566" s="113"/>
      <c r="D1566" s="114"/>
      <c r="P1566" s="82"/>
      <c r="Q1566" s="82"/>
      <c r="R1566" s="38"/>
      <c r="S1566" s="38"/>
      <c r="T1566" s="38"/>
      <c r="U1566" s="38"/>
      <c r="V1566" s="38"/>
      <c r="W1566" s="38"/>
      <c r="X1566" s="38"/>
      <c r="Y1566" s="38"/>
      <c r="Z1566" s="38"/>
      <c r="AA1566" s="38"/>
      <c r="AB1566" s="38"/>
      <c r="AC1566" s="38"/>
      <c r="AD1566" s="38"/>
      <c r="AE1566" s="38"/>
      <c r="AF1566" s="38"/>
      <c r="AG1566" s="38"/>
      <c r="AH1566" s="38"/>
    </row>
    <row r="1567" spans="3:34" ht="20.100000000000001" customHeight="1">
      <c r="C1567" s="113"/>
      <c r="D1567" s="114"/>
      <c r="P1567" s="82"/>
      <c r="Q1567" s="82"/>
      <c r="R1567" s="38"/>
      <c r="S1567" s="38"/>
      <c r="T1567" s="38"/>
      <c r="U1567" s="38"/>
      <c r="V1567" s="38"/>
      <c r="W1567" s="38"/>
      <c r="X1567" s="38"/>
      <c r="Y1567" s="38"/>
      <c r="Z1567" s="38"/>
      <c r="AA1567" s="38"/>
      <c r="AB1567" s="38"/>
      <c r="AC1567" s="38"/>
      <c r="AD1567" s="38"/>
      <c r="AE1567" s="38"/>
      <c r="AF1567" s="38"/>
      <c r="AG1567" s="38"/>
      <c r="AH1567" s="38"/>
    </row>
    <row r="1568" spans="3:34" ht="20.100000000000001" customHeight="1">
      <c r="C1568" s="113"/>
      <c r="D1568" s="114"/>
      <c r="P1568" s="82"/>
      <c r="Q1568" s="82"/>
      <c r="R1568" s="38"/>
      <c r="S1568" s="38"/>
      <c r="T1568" s="38"/>
      <c r="U1568" s="38"/>
      <c r="V1568" s="38"/>
      <c r="W1568" s="38"/>
      <c r="X1568" s="38"/>
      <c r="Y1568" s="38"/>
      <c r="Z1568" s="38"/>
      <c r="AA1568" s="38"/>
      <c r="AB1568" s="38"/>
      <c r="AC1568" s="38"/>
      <c r="AD1568" s="38"/>
      <c r="AE1568" s="38"/>
      <c r="AF1568" s="38"/>
      <c r="AG1568" s="38"/>
      <c r="AH1568" s="38"/>
    </row>
    <row r="1569" spans="3:34" ht="20.100000000000001" customHeight="1">
      <c r="C1569" s="113"/>
      <c r="D1569" s="114"/>
      <c r="P1569" s="82"/>
      <c r="Q1569" s="82"/>
      <c r="R1569" s="38"/>
      <c r="S1569" s="38"/>
      <c r="T1569" s="38"/>
      <c r="U1569" s="38"/>
      <c r="V1569" s="38"/>
      <c r="W1569" s="38"/>
      <c r="X1569" s="38"/>
      <c r="Y1569" s="38"/>
      <c r="Z1569" s="38"/>
      <c r="AA1569" s="38"/>
      <c r="AB1569" s="38"/>
      <c r="AC1569" s="38"/>
      <c r="AD1569" s="38"/>
      <c r="AE1569" s="38"/>
      <c r="AF1569" s="38"/>
      <c r="AG1569" s="38"/>
      <c r="AH1569" s="38"/>
    </row>
    <row r="1570" spans="3:34" ht="20.100000000000001" customHeight="1">
      <c r="C1570" s="113"/>
      <c r="D1570" s="114"/>
      <c r="P1570" s="82"/>
      <c r="Q1570" s="82"/>
      <c r="R1570" s="38"/>
      <c r="S1570" s="38"/>
      <c r="T1570" s="38"/>
      <c r="U1570" s="38"/>
      <c r="V1570" s="38"/>
      <c r="W1570" s="38"/>
      <c r="X1570" s="38"/>
      <c r="Y1570" s="38"/>
      <c r="Z1570" s="38"/>
      <c r="AA1570" s="38"/>
      <c r="AB1570" s="38"/>
      <c r="AC1570" s="38"/>
      <c r="AD1570" s="38"/>
      <c r="AE1570" s="38"/>
      <c r="AF1570" s="38"/>
      <c r="AG1570" s="38"/>
      <c r="AH1570" s="38"/>
    </row>
    <row r="1571" spans="3:34" ht="20.100000000000001" customHeight="1">
      <c r="C1571" s="113"/>
      <c r="D1571" s="114"/>
      <c r="P1571" s="82"/>
      <c r="Q1571" s="82"/>
      <c r="R1571" s="38"/>
      <c r="S1571" s="38"/>
      <c r="T1571" s="38"/>
      <c r="U1571" s="38"/>
      <c r="V1571" s="38"/>
      <c r="W1571" s="38"/>
      <c r="X1571" s="38"/>
      <c r="Y1571" s="38"/>
      <c r="Z1571" s="38"/>
      <c r="AA1571" s="38"/>
      <c r="AB1571" s="38"/>
      <c r="AC1571" s="38"/>
      <c r="AD1571" s="38"/>
      <c r="AE1571" s="38"/>
      <c r="AF1571" s="38"/>
      <c r="AG1571" s="38"/>
      <c r="AH1571" s="38"/>
    </row>
    <row r="1572" spans="3:34" ht="20.100000000000001" customHeight="1">
      <c r="C1572" s="113"/>
      <c r="D1572" s="114"/>
      <c r="P1572" s="82"/>
      <c r="Q1572" s="82"/>
      <c r="R1572" s="38"/>
      <c r="S1572" s="38"/>
      <c r="T1572" s="38"/>
      <c r="U1572" s="38"/>
      <c r="V1572" s="38"/>
      <c r="W1572" s="38"/>
      <c r="X1572" s="38"/>
      <c r="Y1572" s="38"/>
      <c r="Z1572" s="38"/>
      <c r="AA1572" s="38"/>
      <c r="AB1572" s="38"/>
      <c r="AC1572" s="38"/>
      <c r="AD1572" s="38"/>
      <c r="AE1572" s="38"/>
      <c r="AF1572" s="38"/>
      <c r="AG1572" s="38"/>
      <c r="AH1572" s="38"/>
    </row>
    <row r="1573" spans="3:34" ht="20.100000000000001" customHeight="1">
      <c r="C1573" s="113"/>
      <c r="D1573" s="114"/>
      <c r="P1573" s="82"/>
      <c r="Q1573" s="82"/>
      <c r="R1573" s="38"/>
      <c r="S1573" s="38"/>
      <c r="T1573" s="38"/>
      <c r="U1573" s="38"/>
      <c r="V1573" s="38"/>
      <c r="W1573" s="38"/>
      <c r="X1573" s="38"/>
      <c r="Y1573" s="38"/>
      <c r="Z1573" s="38"/>
      <c r="AA1573" s="38"/>
      <c r="AB1573" s="38"/>
      <c r="AC1573" s="38"/>
      <c r="AD1573" s="38"/>
      <c r="AE1573" s="38"/>
      <c r="AF1573" s="38"/>
      <c r="AG1573" s="38"/>
      <c r="AH1573" s="38"/>
    </row>
    <row r="1574" spans="3:34" ht="20.100000000000001" customHeight="1">
      <c r="C1574" s="113"/>
      <c r="D1574" s="114"/>
      <c r="P1574" s="82"/>
      <c r="Q1574" s="82"/>
      <c r="R1574" s="38"/>
      <c r="S1574" s="38"/>
      <c r="T1574" s="38"/>
      <c r="U1574" s="38"/>
      <c r="V1574" s="38"/>
      <c r="W1574" s="38"/>
      <c r="X1574" s="38"/>
      <c r="Y1574" s="38"/>
      <c r="Z1574" s="38"/>
      <c r="AA1574" s="38"/>
      <c r="AB1574" s="38"/>
      <c r="AC1574" s="38"/>
      <c r="AD1574" s="38"/>
      <c r="AE1574" s="38"/>
      <c r="AF1574" s="38"/>
      <c r="AG1574" s="38"/>
      <c r="AH1574" s="38"/>
    </row>
    <row r="1575" spans="3:34" ht="20.100000000000001" customHeight="1">
      <c r="C1575" s="113"/>
      <c r="D1575" s="114"/>
      <c r="P1575" s="82"/>
      <c r="Q1575" s="82"/>
      <c r="R1575" s="38"/>
      <c r="S1575" s="38"/>
      <c r="T1575" s="38"/>
      <c r="U1575" s="38"/>
      <c r="V1575" s="38"/>
      <c r="W1575" s="38"/>
      <c r="X1575" s="38"/>
      <c r="Y1575" s="38"/>
      <c r="Z1575" s="38"/>
      <c r="AA1575" s="38"/>
      <c r="AB1575" s="38"/>
      <c r="AC1575" s="38"/>
      <c r="AD1575" s="38"/>
      <c r="AE1575" s="38"/>
      <c r="AF1575" s="38"/>
      <c r="AG1575" s="38"/>
      <c r="AH1575" s="38"/>
    </row>
    <row r="1576" spans="3:34" ht="20.100000000000001" customHeight="1">
      <c r="C1576" s="113"/>
      <c r="D1576" s="114"/>
      <c r="P1576" s="82"/>
      <c r="Q1576" s="82"/>
      <c r="R1576" s="38"/>
      <c r="S1576" s="38"/>
      <c r="T1576" s="38"/>
      <c r="U1576" s="38"/>
      <c r="V1576" s="38"/>
      <c r="W1576" s="38"/>
      <c r="X1576" s="38"/>
      <c r="Y1576" s="38"/>
      <c r="Z1576" s="38"/>
      <c r="AA1576" s="38"/>
      <c r="AB1576" s="38"/>
      <c r="AC1576" s="38"/>
      <c r="AD1576" s="38"/>
      <c r="AE1576" s="38"/>
      <c r="AF1576" s="38"/>
      <c r="AG1576" s="38"/>
      <c r="AH1576" s="38"/>
    </row>
    <row r="1577" spans="3:34" ht="20.100000000000001" customHeight="1">
      <c r="C1577" s="113"/>
      <c r="D1577" s="114"/>
      <c r="P1577" s="82"/>
      <c r="Q1577" s="82"/>
      <c r="R1577" s="38"/>
      <c r="S1577" s="38"/>
      <c r="T1577" s="38"/>
      <c r="U1577" s="38"/>
      <c r="V1577" s="38"/>
      <c r="W1577" s="38"/>
      <c r="X1577" s="38"/>
      <c r="Y1577" s="38"/>
      <c r="Z1577" s="38"/>
      <c r="AA1577" s="38"/>
      <c r="AB1577" s="38"/>
      <c r="AC1577" s="38"/>
      <c r="AD1577" s="38"/>
      <c r="AE1577" s="38"/>
      <c r="AF1577" s="38"/>
      <c r="AG1577" s="38"/>
      <c r="AH1577" s="38"/>
    </row>
    <row r="1578" spans="3:34" ht="20.100000000000001" customHeight="1">
      <c r="C1578" s="113"/>
      <c r="D1578" s="114"/>
      <c r="P1578" s="82"/>
      <c r="Q1578" s="82"/>
      <c r="R1578" s="38"/>
      <c r="S1578" s="38"/>
      <c r="T1578" s="38"/>
      <c r="U1578" s="38"/>
      <c r="V1578" s="38"/>
      <c r="W1578" s="38"/>
      <c r="X1578" s="38"/>
      <c r="Y1578" s="38"/>
      <c r="Z1578" s="38"/>
      <c r="AA1578" s="38"/>
      <c r="AB1578" s="38"/>
      <c r="AC1578" s="38"/>
      <c r="AD1578" s="38"/>
      <c r="AE1578" s="38"/>
      <c r="AF1578" s="38"/>
      <c r="AG1578" s="38"/>
      <c r="AH1578" s="38"/>
    </row>
    <row r="1579" spans="3:34" ht="20.100000000000001" customHeight="1">
      <c r="C1579" s="113"/>
      <c r="D1579" s="114"/>
      <c r="P1579" s="82"/>
      <c r="Q1579" s="82"/>
      <c r="R1579" s="38"/>
      <c r="S1579" s="38"/>
      <c r="T1579" s="38"/>
      <c r="U1579" s="38"/>
      <c r="V1579" s="38"/>
      <c r="W1579" s="38"/>
      <c r="X1579" s="38"/>
      <c r="Y1579" s="38"/>
      <c r="Z1579" s="38"/>
      <c r="AA1579" s="38"/>
      <c r="AB1579" s="38"/>
      <c r="AC1579" s="38"/>
      <c r="AD1579" s="38"/>
      <c r="AE1579" s="38"/>
      <c r="AF1579" s="38"/>
      <c r="AG1579" s="38"/>
      <c r="AH1579" s="38"/>
    </row>
    <row r="1580" spans="3:34" ht="20.100000000000001" customHeight="1">
      <c r="C1580" s="113"/>
      <c r="D1580" s="114"/>
      <c r="P1580" s="82"/>
      <c r="Q1580" s="82"/>
      <c r="R1580" s="38"/>
      <c r="S1580" s="38"/>
      <c r="T1580" s="38"/>
      <c r="U1580" s="38"/>
      <c r="V1580" s="38"/>
      <c r="W1580" s="38"/>
      <c r="X1580" s="38"/>
      <c r="Y1580" s="38"/>
      <c r="Z1580" s="38"/>
      <c r="AA1580" s="38"/>
      <c r="AB1580" s="38"/>
      <c r="AC1580" s="38"/>
      <c r="AD1580" s="38"/>
      <c r="AE1580" s="38"/>
      <c r="AF1580" s="38"/>
      <c r="AG1580" s="38"/>
      <c r="AH1580" s="38"/>
    </row>
    <row r="1581" spans="3:34" ht="20.100000000000001" customHeight="1">
      <c r="C1581" s="113"/>
      <c r="D1581" s="114"/>
      <c r="P1581" s="82"/>
      <c r="Q1581" s="82"/>
      <c r="R1581" s="38"/>
      <c r="S1581" s="38"/>
      <c r="T1581" s="38"/>
      <c r="U1581" s="38"/>
      <c r="V1581" s="38"/>
      <c r="W1581" s="38"/>
      <c r="X1581" s="38"/>
      <c r="Y1581" s="38"/>
      <c r="Z1581" s="38"/>
      <c r="AA1581" s="38"/>
      <c r="AB1581" s="38"/>
      <c r="AC1581" s="38"/>
      <c r="AD1581" s="38"/>
      <c r="AE1581" s="38"/>
      <c r="AF1581" s="38"/>
      <c r="AG1581" s="38"/>
      <c r="AH1581" s="38"/>
    </row>
    <row r="1582" spans="3:34" ht="20.100000000000001" customHeight="1">
      <c r="C1582" s="113"/>
      <c r="D1582" s="114"/>
      <c r="P1582" s="82"/>
      <c r="Q1582" s="82"/>
      <c r="R1582" s="38"/>
      <c r="S1582" s="38"/>
      <c r="T1582" s="38"/>
      <c r="U1582" s="38"/>
      <c r="V1582" s="38"/>
      <c r="W1582" s="38"/>
      <c r="X1582" s="38"/>
      <c r="Y1582" s="38"/>
      <c r="Z1582" s="38"/>
      <c r="AA1582" s="38"/>
      <c r="AB1582" s="38"/>
      <c r="AC1582" s="38"/>
      <c r="AD1582" s="38"/>
      <c r="AE1582" s="38"/>
      <c r="AF1582" s="38"/>
      <c r="AG1582" s="38"/>
      <c r="AH1582" s="38"/>
    </row>
    <row r="1583" spans="3:34" ht="20.100000000000001" customHeight="1">
      <c r="C1583" s="113"/>
      <c r="D1583" s="114"/>
      <c r="P1583" s="82"/>
      <c r="Q1583" s="82"/>
      <c r="R1583" s="38"/>
      <c r="S1583" s="38"/>
      <c r="T1583" s="38"/>
      <c r="U1583" s="38"/>
      <c r="V1583" s="38"/>
      <c r="W1583" s="38"/>
      <c r="X1583" s="38"/>
      <c r="Y1583" s="38"/>
      <c r="Z1583" s="38"/>
      <c r="AA1583" s="38"/>
      <c r="AB1583" s="38"/>
      <c r="AC1583" s="38"/>
      <c r="AD1583" s="38"/>
      <c r="AE1583" s="38"/>
      <c r="AF1583" s="38"/>
      <c r="AG1583" s="38"/>
      <c r="AH1583" s="38"/>
    </row>
    <row r="1584" spans="3:34" ht="20.100000000000001" customHeight="1">
      <c r="C1584" s="113"/>
      <c r="D1584" s="114"/>
      <c r="P1584" s="82"/>
      <c r="Q1584" s="82"/>
      <c r="R1584" s="38"/>
      <c r="S1584" s="38"/>
      <c r="T1584" s="38"/>
      <c r="U1584" s="38"/>
      <c r="V1584" s="38"/>
      <c r="W1584" s="38"/>
      <c r="X1584" s="38"/>
      <c r="Y1584" s="38"/>
      <c r="Z1584" s="38"/>
      <c r="AA1584" s="38"/>
      <c r="AB1584" s="38"/>
      <c r="AC1584" s="38"/>
      <c r="AD1584" s="38"/>
      <c r="AE1584" s="38"/>
      <c r="AF1584" s="38"/>
      <c r="AG1584" s="38"/>
      <c r="AH1584" s="38"/>
    </row>
    <row r="1585" spans="3:34" ht="20.100000000000001" customHeight="1">
      <c r="C1585" s="113"/>
      <c r="D1585" s="114"/>
      <c r="P1585" s="82"/>
      <c r="Q1585" s="82"/>
      <c r="R1585" s="38"/>
      <c r="S1585" s="38"/>
      <c r="T1585" s="38"/>
      <c r="U1585" s="38"/>
      <c r="V1585" s="38"/>
      <c r="W1585" s="38"/>
      <c r="X1585" s="38"/>
      <c r="Y1585" s="38"/>
      <c r="Z1585" s="38"/>
      <c r="AA1585" s="38"/>
      <c r="AB1585" s="38"/>
      <c r="AC1585" s="38"/>
      <c r="AD1585" s="38"/>
      <c r="AE1585" s="38"/>
      <c r="AF1585" s="38"/>
      <c r="AG1585" s="38"/>
      <c r="AH1585" s="38"/>
    </row>
    <row r="1586" spans="3:34" ht="20.100000000000001" customHeight="1">
      <c r="C1586" s="113"/>
      <c r="D1586" s="114"/>
      <c r="P1586" s="82"/>
      <c r="Q1586" s="82"/>
      <c r="R1586" s="38"/>
      <c r="S1586" s="38"/>
      <c r="T1586" s="38"/>
      <c r="U1586" s="38"/>
      <c r="V1586" s="38"/>
      <c r="W1586" s="38"/>
      <c r="X1586" s="38"/>
      <c r="Y1586" s="38"/>
      <c r="Z1586" s="38"/>
      <c r="AA1586" s="38"/>
      <c r="AB1586" s="38"/>
      <c r="AC1586" s="38"/>
      <c r="AD1586" s="38"/>
      <c r="AE1586" s="38"/>
      <c r="AF1586" s="38"/>
      <c r="AG1586" s="38"/>
      <c r="AH1586" s="38"/>
    </row>
    <row r="1587" spans="3:34" ht="20.100000000000001" customHeight="1">
      <c r="C1587" s="113"/>
      <c r="D1587" s="114"/>
      <c r="P1587" s="82"/>
      <c r="Q1587" s="82"/>
      <c r="R1587" s="38"/>
      <c r="S1587" s="38"/>
      <c r="T1587" s="38"/>
      <c r="U1587" s="38"/>
      <c r="V1587" s="38"/>
      <c r="W1587" s="38"/>
      <c r="X1587" s="38"/>
      <c r="Y1587" s="38"/>
      <c r="Z1587" s="38"/>
      <c r="AA1587" s="38"/>
      <c r="AB1587" s="38"/>
      <c r="AC1587" s="38"/>
      <c r="AD1587" s="38"/>
      <c r="AE1587" s="38"/>
      <c r="AF1587" s="38"/>
      <c r="AG1587" s="38"/>
      <c r="AH1587" s="38"/>
    </row>
    <row r="1588" spans="3:34" ht="20.100000000000001" customHeight="1">
      <c r="C1588" s="113"/>
      <c r="D1588" s="114"/>
      <c r="P1588" s="82"/>
      <c r="Q1588" s="82"/>
      <c r="R1588" s="38"/>
      <c r="S1588" s="38"/>
      <c r="T1588" s="38"/>
      <c r="U1588" s="38"/>
      <c r="V1588" s="38"/>
      <c r="W1588" s="38"/>
      <c r="X1588" s="38"/>
      <c r="Y1588" s="38"/>
      <c r="Z1588" s="38"/>
      <c r="AA1588" s="38"/>
      <c r="AB1588" s="38"/>
      <c r="AC1588" s="38"/>
      <c r="AD1588" s="38"/>
      <c r="AE1588" s="38"/>
      <c r="AF1588" s="38"/>
      <c r="AG1588" s="38"/>
      <c r="AH1588" s="38"/>
    </row>
    <row r="1589" spans="3:34" ht="20.100000000000001" customHeight="1">
      <c r="C1589" s="113"/>
      <c r="D1589" s="114"/>
      <c r="P1589" s="82"/>
      <c r="Q1589" s="82"/>
      <c r="R1589" s="38"/>
      <c r="S1589" s="38"/>
      <c r="T1589" s="38"/>
      <c r="U1589" s="38"/>
      <c r="V1589" s="38"/>
      <c r="W1589" s="38"/>
      <c r="X1589" s="38"/>
      <c r="Y1589" s="38"/>
      <c r="Z1589" s="38"/>
      <c r="AA1589" s="38"/>
      <c r="AB1589" s="38"/>
      <c r="AC1589" s="38"/>
      <c r="AD1589" s="38"/>
      <c r="AE1589" s="38"/>
      <c r="AF1589" s="38"/>
      <c r="AG1589" s="38"/>
      <c r="AH1589" s="38"/>
    </row>
    <row r="1590" spans="3:34" ht="20.100000000000001" customHeight="1">
      <c r="C1590" s="113"/>
      <c r="D1590" s="114"/>
      <c r="P1590" s="82"/>
      <c r="Q1590" s="82"/>
      <c r="R1590" s="38"/>
      <c r="S1590" s="38"/>
      <c r="T1590" s="38"/>
      <c r="U1590" s="38"/>
      <c r="V1590" s="38"/>
      <c r="W1590" s="38"/>
      <c r="X1590" s="38"/>
      <c r="Y1590" s="38"/>
      <c r="Z1590" s="38"/>
      <c r="AA1590" s="38"/>
      <c r="AB1590" s="38"/>
      <c r="AC1590" s="38"/>
      <c r="AD1590" s="38"/>
      <c r="AE1590" s="38"/>
      <c r="AF1590" s="38"/>
      <c r="AG1590" s="38"/>
      <c r="AH1590" s="38"/>
    </row>
    <row r="1591" spans="3:34" ht="20.100000000000001" customHeight="1">
      <c r="C1591" s="113"/>
      <c r="D1591" s="114"/>
      <c r="P1591" s="82"/>
      <c r="Q1591" s="82"/>
      <c r="R1591" s="38"/>
      <c r="S1591" s="38"/>
      <c r="T1591" s="38"/>
      <c r="U1591" s="38"/>
      <c r="V1591" s="38"/>
      <c r="W1591" s="38"/>
      <c r="X1591" s="38"/>
      <c r="Y1591" s="38"/>
      <c r="Z1591" s="38"/>
      <c r="AA1591" s="38"/>
      <c r="AB1591" s="38"/>
      <c r="AC1591" s="38"/>
      <c r="AD1591" s="38"/>
      <c r="AE1591" s="38"/>
      <c r="AF1591" s="38"/>
      <c r="AG1591" s="38"/>
      <c r="AH1591" s="38"/>
    </row>
    <row r="1592" spans="3:34" ht="20.100000000000001" customHeight="1">
      <c r="C1592" s="113"/>
      <c r="D1592" s="114"/>
      <c r="P1592" s="82"/>
      <c r="Q1592" s="82"/>
      <c r="R1592" s="38"/>
      <c r="S1592" s="38"/>
      <c r="T1592" s="38"/>
      <c r="U1592" s="38"/>
      <c r="V1592" s="38"/>
      <c r="W1592" s="38"/>
      <c r="X1592" s="38"/>
      <c r="Y1592" s="38"/>
      <c r="Z1592" s="38"/>
      <c r="AA1592" s="38"/>
      <c r="AB1592" s="38"/>
      <c r="AC1592" s="38"/>
      <c r="AD1592" s="38"/>
      <c r="AE1592" s="38"/>
      <c r="AF1592" s="38"/>
      <c r="AG1592" s="38"/>
      <c r="AH1592" s="38"/>
    </row>
    <row r="1593" spans="3:34" ht="20.100000000000001" customHeight="1">
      <c r="C1593" s="113"/>
      <c r="D1593" s="114"/>
      <c r="P1593" s="82"/>
      <c r="Q1593" s="82"/>
      <c r="R1593" s="38"/>
      <c r="S1593" s="38"/>
      <c r="T1593" s="38"/>
      <c r="U1593" s="38"/>
      <c r="V1593" s="38"/>
      <c r="W1593" s="38"/>
      <c r="X1593" s="38"/>
      <c r="Y1593" s="38"/>
      <c r="Z1593" s="38"/>
      <c r="AA1593" s="38"/>
      <c r="AB1593" s="38"/>
      <c r="AC1593" s="38"/>
      <c r="AD1593" s="38"/>
      <c r="AE1593" s="38"/>
      <c r="AF1593" s="38"/>
      <c r="AG1593" s="38"/>
      <c r="AH1593" s="38"/>
    </row>
    <row r="1594" spans="3:34" ht="20.100000000000001" customHeight="1">
      <c r="C1594" s="113"/>
      <c r="D1594" s="114"/>
      <c r="P1594" s="82"/>
      <c r="Q1594" s="82"/>
      <c r="R1594" s="38"/>
      <c r="S1594" s="38"/>
      <c r="T1594" s="38"/>
      <c r="U1594" s="38"/>
      <c r="V1594" s="38"/>
      <c r="W1594" s="38"/>
      <c r="X1594" s="38"/>
      <c r="Y1594" s="38"/>
      <c r="Z1594" s="38"/>
      <c r="AA1594" s="38"/>
      <c r="AB1594" s="38"/>
      <c r="AC1594" s="38"/>
      <c r="AD1594" s="38"/>
      <c r="AE1594" s="38"/>
      <c r="AF1594" s="38"/>
      <c r="AG1594" s="38"/>
      <c r="AH1594" s="38"/>
    </row>
    <row r="1595" spans="3:34" ht="20.100000000000001" customHeight="1">
      <c r="C1595" s="113"/>
      <c r="D1595" s="114"/>
      <c r="P1595" s="82"/>
      <c r="Q1595" s="82"/>
      <c r="R1595" s="38"/>
      <c r="S1595" s="38"/>
      <c r="T1595" s="38"/>
      <c r="U1595" s="38"/>
      <c r="V1595" s="38"/>
      <c r="W1595" s="38"/>
      <c r="X1595" s="38"/>
      <c r="Y1595" s="38"/>
      <c r="Z1595" s="38"/>
      <c r="AA1595" s="38"/>
      <c r="AB1595" s="38"/>
      <c r="AC1595" s="38"/>
      <c r="AD1595" s="38"/>
      <c r="AE1595" s="38"/>
      <c r="AF1595" s="38"/>
      <c r="AG1595" s="38"/>
      <c r="AH1595" s="38"/>
    </row>
    <row r="1596" spans="3:34" ht="20.100000000000001" customHeight="1">
      <c r="C1596" s="113"/>
      <c r="D1596" s="114"/>
      <c r="P1596" s="82"/>
      <c r="Q1596" s="82"/>
      <c r="R1596" s="38"/>
      <c r="S1596" s="38"/>
      <c r="T1596" s="38"/>
      <c r="U1596" s="38"/>
      <c r="V1596" s="38"/>
      <c r="W1596" s="38"/>
      <c r="X1596" s="38"/>
      <c r="Y1596" s="38"/>
      <c r="Z1596" s="38"/>
      <c r="AA1596" s="38"/>
      <c r="AB1596" s="38"/>
      <c r="AC1596" s="38"/>
      <c r="AD1596" s="38"/>
      <c r="AE1596" s="38"/>
      <c r="AF1596" s="38"/>
      <c r="AG1596" s="38"/>
      <c r="AH1596" s="38"/>
    </row>
    <row r="1597" spans="3:34" ht="20.100000000000001" customHeight="1">
      <c r="C1597" s="113"/>
      <c r="D1597" s="114"/>
      <c r="P1597" s="82"/>
      <c r="Q1597" s="82"/>
      <c r="R1597" s="38"/>
      <c r="S1597" s="38"/>
      <c r="T1597" s="38"/>
      <c r="U1597" s="38"/>
      <c r="V1597" s="38"/>
      <c r="W1597" s="38"/>
      <c r="X1597" s="38"/>
      <c r="Y1597" s="38"/>
      <c r="Z1597" s="38"/>
      <c r="AA1597" s="38"/>
      <c r="AB1597" s="38"/>
      <c r="AC1597" s="38"/>
      <c r="AD1597" s="38"/>
      <c r="AE1597" s="38"/>
      <c r="AF1597" s="38"/>
      <c r="AG1597" s="38"/>
      <c r="AH1597" s="38"/>
    </row>
    <row r="1598" spans="3:34" ht="20.100000000000001" customHeight="1">
      <c r="C1598" s="113"/>
      <c r="D1598" s="114"/>
      <c r="P1598" s="82"/>
      <c r="Q1598" s="82"/>
      <c r="R1598" s="38"/>
      <c r="S1598" s="38"/>
      <c r="T1598" s="38"/>
      <c r="U1598" s="38"/>
      <c r="V1598" s="38"/>
      <c r="W1598" s="38"/>
      <c r="X1598" s="38"/>
      <c r="Y1598" s="38"/>
      <c r="Z1598" s="38"/>
      <c r="AA1598" s="38"/>
      <c r="AB1598" s="38"/>
      <c r="AC1598" s="38"/>
      <c r="AD1598" s="38"/>
      <c r="AE1598" s="38"/>
      <c r="AF1598" s="38"/>
      <c r="AG1598" s="38"/>
      <c r="AH1598" s="38"/>
    </row>
    <row r="1599" spans="3:34" ht="20.100000000000001" customHeight="1">
      <c r="C1599" s="113"/>
      <c r="D1599" s="114"/>
      <c r="P1599" s="82"/>
      <c r="Q1599" s="82"/>
      <c r="R1599" s="38"/>
      <c r="S1599" s="38"/>
      <c r="T1599" s="38"/>
      <c r="U1599" s="38"/>
      <c r="V1599" s="38"/>
      <c r="W1599" s="38"/>
      <c r="X1599" s="38"/>
      <c r="Y1599" s="38"/>
      <c r="Z1599" s="38"/>
      <c r="AA1599" s="38"/>
      <c r="AB1599" s="38"/>
      <c r="AC1599" s="38"/>
      <c r="AD1599" s="38"/>
      <c r="AE1599" s="38"/>
      <c r="AF1599" s="38"/>
      <c r="AG1599" s="38"/>
      <c r="AH1599" s="38"/>
    </row>
    <row r="1600" spans="3:34" ht="20.100000000000001" customHeight="1">
      <c r="C1600" s="113"/>
      <c r="D1600" s="114"/>
      <c r="P1600" s="82"/>
      <c r="Q1600" s="82"/>
      <c r="R1600" s="38"/>
      <c r="S1600" s="38"/>
      <c r="T1600" s="38"/>
      <c r="U1600" s="38"/>
      <c r="V1600" s="38"/>
      <c r="W1600" s="38"/>
      <c r="X1600" s="38"/>
      <c r="Y1600" s="38"/>
      <c r="Z1600" s="38"/>
      <c r="AA1600" s="38"/>
      <c r="AB1600" s="38"/>
      <c r="AC1600" s="38"/>
      <c r="AD1600" s="38"/>
      <c r="AE1600" s="38"/>
      <c r="AF1600" s="38"/>
      <c r="AG1600" s="38"/>
      <c r="AH1600" s="38"/>
    </row>
    <row r="1601" spans="3:34" ht="20.100000000000001" customHeight="1">
      <c r="C1601" s="113"/>
      <c r="D1601" s="114"/>
      <c r="P1601" s="82"/>
      <c r="Q1601" s="82"/>
      <c r="R1601" s="38"/>
      <c r="S1601" s="38"/>
      <c r="T1601" s="38"/>
      <c r="U1601" s="38"/>
      <c r="V1601" s="38"/>
      <c r="W1601" s="38"/>
      <c r="X1601" s="38"/>
      <c r="Y1601" s="38"/>
      <c r="Z1601" s="38"/>
      <c r="AA1601" s="38"/>
      <c r="AB1601" s="38"/>
      <c r="AC1601" s="38"/>
      <c r="AD1601" s="38"/>
      <c r="AE1601" s="38"/>
      <c r="AF1601" s="38"/>
      <c r="AG1601" s="38"/>
      <c r="AH1601" s="38"/>
    </row>
    <row r="1602" spans="3:34" ht="20.100000000000001" customHeight="1">
      <c r="C1602" s="113"/>
      <c r="D1602" s="114"/>
      <c r="P1602" s="82"/>
      <c r="Q1602" s="82"/>
      <c r="R1602" s="38"/>
      <c r="S1602" s="38"/>
      <c r="T1602" s="38"/>
      <c r="U1602" s="38"/>
      <c r="V1602" s="38"/>
      <c r="W1602" s="38"/>
      <c r="X1602" s="38"/>
      <c r="Y1602" s="38"/>
      <c r="Z1602" s="38"/>
      <c r="AA1602" s="38"/>
      <c r="AB1602" s="38"/>
      <c r="AC1602" s="38"/>
      <c r="AD1602" s="38"/>
      <c r="AE1602" s="38"/>
      <c r="AF1602" s="38"/>
      <c r="AG1602" s="38"/>
      <c r="AH1602" s="38"/>
    </row>
    <row r="1603" spans="3:34" ht="20.100000000000001" customHeight="1">
      <c r="C1603" s="113"/>
      <c r="D1603" s="114"/>
      <c r="P1603" s="82"/>
      <c r="Q1603" s="82"/>
      <c r="R1603" s="38"/>
      <c r="S1603" s="38"/>
      <c r="T1603" s="38"/>
      <c r="U1603" s="38"/>
      <c r="V1603" s="38"/>
      <c r="W1603" s="38"/>
      <c r="X1603" s="38"/>
      <c r="Y1603" s="38"/>
      <c r="Z1603" s="38"/>
      <c r="AA1603" s="38"/>
      <c r="AB1603" s="38"/>
      <c r="AC1603" s="38"/>
      <c r="AD1603" s="38"/>
      <c r="AE1603" s="38"/>
      <c r="AF1603" s="38"/>
      <c r="AG1603" s="38"/>
      <c r="AH1603" s="38"/>
    </row>
    <row r="1604" spans="3:34" ht="20.100000000000001" customHeight="1">
      <c r="C1604" s="113"/>
      <c r="D1604" s="114"/>
      <c r="P1604" s="82"/>
      <c r="Q1604" s="82"/>
      <c r="R1604" s="38"/>
      <c r="S1604" s="38"/>
      <c r="T1604" s="38"/>
      <c r="U1604" s="38"/>
      <c r="V1604" s="38"/>
      <c r="W1604" s="38"/>
      <c r="X1604" s="38"/>
      <c r="Y1604" s="38"/>
      <c r="Z1604" s="38"/>
      <c r="AA1604" s="38"/>
      <c r="AB1604" s="38"/>
      <c r="AC1604" s="38"/>
      <c r="AD1604" s="38"/>
      <c r="AE1604" s="38"/>
      <c r="AF1604" s="38"/>
      <c r="AG1604" s="38"/>
      <c r="AH1604" s="38"/>
    </row>
    <row r="1605" spans="3:34" ht="20.100000000000001" customHeight="1">
      <c r="C1605" s="113"/>
      <c r="D1605" s="114"/>
      <c r="P1605" s="82"/>
      <c r="Q1605" s="82"/>
      <c r="R1605" s="38"/>
      <c r="S1605" s="38"/>
      <c r="T1605" s="38"/>
      <c r="U1605" s="38"/>
      <c r="V1605" s="38"/>
      <c r="W1605" s="38"/>
      <c r="X1605" s="38"/>
      <c r="Y1605" s="38"/>
      <c r="Z1605" s="38"/>
      <c r="AA1605" s="38"/>
      <c r="AB1605" s="38"/>
      <c r="AC1605" s="38"/>
      <c r="AD1605" s="38"/>
      <c r="AE1605" s="38"/>
      <c r="AF1605" s="38"/>
      <c r="AG1605" s="38"/>
      <c r="AH1605" s="38"/>
    </row>
    <row r="1606" spans="3:34" ht="20.100000000000001" customHeight="1">
      <c r="C1606" s="113"/>
      <c r="D1606" s="114"/>
      <c r="P1606" s="82"/>
      <c r="Q1606" s="82"/>
      <c r="R1606" s="38"/>
      <c r="S1606" s="38"/>
      <c r="T1606" s="38"/>
      <c r="U1606" s="38"/>
      <c r="V1606" s="38"/>
      <c r="W1606" s="38"/>
      <c r="X1606" s="38"/>
      <c r="Y1606" s="38"/>
      <c r="Z1606" s="38"/>
      <c r="AA1606" s="38"/>
      <c r="AB1606" s="38"/>
      <c r="AC1606" s="38"/>
      <c r="AD1606" s="38"/>
      <c r="AE1606" s="38"/>
      <c r="AF1606" s="38"/>
      <c r="AG1606" s="38"/>
      <c r="AH1606" s="38"/>
    </row>
    <row r="1607" spans="3:34" ht="20.100000000000001" customHeight="1">
      <c r="C1607" s="113"/>
      <c r="D1607" s="114"/>
      <c r="P1607" s="82"/>
      <c r="Q1607" s="82"/>
      <c r="R1607" s="38"/>
      <c r="S1607" s="38"/>
      <c r="T1607" s="38"/>
      <c r="U1607" s="38"/>
      <c r="V1607" s="38"/>
      <c r="W1607" s="38"/>
      <c r="X1607" s="38"/>
      <c r="Y1607" s="38"/>
      <c r="Z1607" s="38"/>
      <c r="AA1607" s="38"/>
      <c r="AB1607" s="38"/>
      <c r="AC1607" s="38"/>
      <c r="AD1607" s="38"/>
      <c r="AE1607" s="38"/>
      <c r="AF1607" s="38"/>
      <c r="AG1607" s="38"/>
      <c r="AH1607" s="38"/>
    </row>
    <row r="1608" spans="3:34" ht="20.100000000000001" customHeight="1">
      <c r="C1608" s="113"/>
      <c r="D1608" s="114"/>
      <c r="P1608" s="82"/>
      <c r="Q1608" s="82"/>
      <c r="R1608" s="38"/>
      <c r="S1608" s="38"/>
      <c r="T1608" s="38"/>
      <c r="U1608" s="38"/>
      <c r="V1608" s="38"/>
      <c r="W1608" s="38"/>
      <c r="X1608" s="38"/>
      <c r="Y1608" s="38"/>
      <c r="Z1608" s="38"/>
      <c r="AA1608" s="38"/>
      <c r="AB1608" s="38"/>
      <c r="AC1608" s="38"/>
      <c r="AD1608" s="38"/>
      <c r="AE1608" s="38"/>
      <c r="AF1608" s="38"/>
      <c r="AG1608" s="38"/>
      <c r="AH1608" s="38"/>
    </row>
    <row r="1609" spans="3:34" ht="20.100000000000001" customHeight="1">
      <c r="C1609" s="113"/>
      <c r="D1609" s="114"/>
      <c r="P1609" s="82"/>
      <c r="Q1609" s="82"/>
      <c r="R1609" s="38"/>
      <c r="S1609" s="38"/>
      <c r="T1609" s="38"/>
      <c r="U1609" s="38"/>
      <c r="V1609" s="38"/>
      <c r="W1609" s="38"/>
      <c r="X1609" s="38"/>
      <c r="Y1609" s="38"/>
      <c r="Z1609" s="38"/>
      <c r="AA1609" s="38"/>
      <c r="AB1609" s="38"/>
      <c r="AC1609" s="38"/>
      <c r="AD1609" s="38"/>
      <c r="AE1609" s="38"/>
      <c r="AF1609" s="38"/>
      <c r="AG1609" s="38"/>
      <c r="AH1609" s="38"/>
    </row>
    <row r="1610" spans="3:34" ht="20.100000000000001" customHeight="1">
      <c r="C1610" s="113"/>
      <c r="D1610" s="114"/>
      <c r="P1610" s="82"/>
      <c r="Q1610" s="82"/>
      <c r="R1610" s="38"/>
      <c r="S1610" s="38"/>
      <c r="T1610" s="38"/>
      <c r="U1610" s="38"/>
      <c r="V1610" s="38"/>
      <c r="W1610" s="38"/>
      <c r="X1610" s="38"/>
      <c r="Y1610" s="38"/>
      <c r="Z1610" s="38"/>
      <c r="AA1610" s="38"/>
      <c r="AB1610" s="38"/>
      <c r="AC1610" s="38"/>
      <c r="AD1610" s="38"/>
      <c r="AE1610" s="38"/>
      <c r="AF1610" s="38"/>
      <c r="AG1610" s="38"/>
      <c r="AH1610" s="38"/>
    </row>
    <row r="1611" spans="3:34" ht="20.100000000000001" customHeight="1">
      <c r="C1611" s="113"/>
      <c r="D1611" s="114"/>
      <c r="P1611" s="82"/>
      <c r="Q1611" s="82"/>
      <c r="R1611" s="38"/>
      <c r="S1611" s="38"/>
      <c r="T1611" s="38"/>
      <c r="U1611" s="38"/>
      <c r="V1611" s="38"/>
      <c r="W1611" s="38"/>
      <c r="X1611" s="38"/>
      <c r="Y1611" s="38"/>
      <c r="Z1611" s="38"/>
      <c r="AA1611" s="38"/>
      <c r="AB1611" s="38"/>
      <c r="AC1611" s="38"/>
      <c r="AD1611" s="38"/>
      <c r="AE1611" s="38"/>
      <c r="AF1611" s="38"/>
      <c r="AG1611" s="38"/>
      <c r="AH1611" s="38"/>
    </row>
    <row r="1612" spans="3:34" ht="20.100000000000001" customHeight="1">
      <c r="C1612" s="113"/>
      <c r="D1612" s="114"/>
      <c r="P1612" s="82"/>
      <c r="Q1612" s="82"/>
      <c r="R1612" s="38"/>
      <c r="S1612" s="38"/>
      <c r="T1612" s="38"/>
      <c r="U1612" s="38"/>
      <c r="V1612" s="38"/>
      <c r="W1612" s="38"/>
      <c r="X1612" s="38"/>
      <c r="Y1612" s="38"/>
      <c r="Z1612" s="38"/>
      <c r="AA1612" s="38"/>
      <c r="AB1612" s="38"/>
      <c r="AC1612" s="38"/>
      <c r="AD1612" s="38"/>
      <c r="AE1612" s="38"/>
      <c r="AF1612" s="38"/>
      <c r="AG1612" s="38"/>
      <c r="AH1612" s="38"/>
    </row>
    <row r="1613" spans="3:34" ht="20.100000000000001" customHeight="1">
      <c r="C1613" s="113"/>
      <c r="D1613" s="114"/>
      <c r="P1613" s="82"/>
      <c r="Q1613" s="82"/>
      <c r="R1613" s="38"/>
      <c r="S1613" s="38"/>
      <c r="T1613" s="38"/>
      <c r="U1613" s="38"/>
      <c r="V1613" s="38"/>
      <c r="W1613" s="38"/>
      <c r="X1613" s="38"/>
      <c r="Y1613" s="38"/>
      <c r="Z1613" s="38"/>
      <c r="AA1613" s="38"/>
      <c r="AB1613" s="38"/>
      <c r="AC1613" s="38"/>
      <c r="AD1613" s="38"/>
      <c r="AE1613" s="38"/>
      <c r="AF1613" s="38"/>
      <c r="AG1613" s="38"/>
      <c r="AH1613" s="38"/>
    </row>
    <row r="1614" spans="3:34" ht="20.100000000000001" customHeight="1">
      <c r="C1614" s="113"/>
      <c r="D1614" s="114"/>
      <c r="P1614" s="82"/>
      <c r="Q1614" s="82"/>
      <c r="R1614" s="38"/>
      <c r="S1614" s="38"/>
      <c r="T1614" s="38"/>
      <c r="U1614" s="38"/>
      <c r="V1614" s="38"/>
      <c r="W1614" s="38"/>
      <c r="X1614" s="38"/>
      <c r="Y1614" s="38"/>
      <c r="Z1614" s="38"/>
      <c r="AA1614" s="38"/>
      <c r="AB1614" s="38"/>
      <c r="AC1614" s="38"/>
      <c r="AD1614" s="38"/>
      <c r="AE1614" s="38"/>
      <c r="AF1614" s="38"/>
      <c r="AG1614" s="38"/>
      <c r="AH1614" s="38"/>
    </row>
    <row r="1615" spans="3:34" ht="20.100000000000001" customHeight="1">
      <c r="C1615" s="113"/>
      <c r="D1615" s="114"/>
      <c r="P1615" s="82"/>
      <c r="Q1615" s="82"/>
      <c r="R1615" s="38"/>
      <c r="S1615" s="38"/>
      <c r="T1615" s="38"/>
      <c r="U1615" s="38"/>
      <c r="V1615" s="38"/>
      <c r="W1615" s="38"/>
      <c r="X1615" s="38"/>
      <c r="Y1615" s="38"/>
      <c r="Z1615" s="38"/>
      <c r="AA1615" s="38"/>
      <c r="AB1615" s="38"/>
      <c r="AC1615" s="38"/>
      <c r="AD1615" s="38"/>
      <c r="AE1615" s="38"/>
      <c r="AF1615" s="38"/>
      <c r="AG1615" s="38"/>
      <c r="AH1615" s="38"/>
    </row>
    <row r="1616" spans="3:34" ht="20.100000000000001" customHeight="1">
      <c r="C1616" s="113"/>
      <c r="D1616" s="114"/>
      <c r="P1616" s="82"/>
      <c r="Q1616" s="82"/>
      <c r="R1616" s="38"/>
      <c r="S1616" s="38"/>
      <c r="T1616" s="38"/>
      <c r="U1616" s="38"/>
      <c r="V1616" s="38"/>
      <c r="W1616" s="38"/>
      <c r="X1616" s="38"/>
      <c r="Y1616" s="38"/>
      <c r="Z1616" s="38"/>
      <c r="AA1616" s="38"/>
      <c r="AB1616" s="38"/>
      <c r="AC1616" s="38"/>
      <c r="AD1616" s="38"/>
      <c r="AE1616" s="38"/>
      <c r="AF1616" s="38"/>
      <c r="AG1616" s="38"/>
      <c r="AH1616" s="38"/>
    </row>
    <row r="1617" spans="3:34" ht="20.100000000000001" customHeight="1">
      <c r="C1617" s="113"/>
      <c r="D1617" s="114"/>
      <c r="P1617" s="82"/>
      <c r="Q1617" s="82"/>
      <c r="R1617" s="38"/>
      <c r="S1617" s="38"/>
      <c r="T1617" s="38"/>
      <c r="U1617" s="38"/>
      <c r="V1617" s="38"/>
      <c r="W1617" s="38"/>
      <c r="X1617" s="38"/>
      <c r="Y1617" s="38"/>
      <c r="Z1617" s="38"/>
      <c r="AA1617" s="38"/>
      <c r="AB1617" s="38"/>
      <c r="AC1617" s="38"/>
      <c r="AD1617" s="38"/>
      <c r="AE1617" s="38"/>
      <c r="AF1617" s="38"/>
      <c r="AG1617" s="38"/>
      <c r="AH1617" s="38"/>
    </row>
    <row r="1618" spans="3:34" ht="20.100000000000001" customHeight="1">
      <c r="C1618" s="113"/>
      <c r="D1618" s="114"/>
      <c r="P1618" s="82"/>
      <c r="Q1618" s="82"/>
      <c r="R1618" s="38"/>
      <c r="S1618" s="38"/>
      <c r="T1618" s="38"/>
      <c r="U1618" s="38"/>
      <c r="V1618" s="38"/>
      <c r="W1618" s="38"/>
      <c r="X1618" s="38"/>
      <c r="Y1618" s="38"/>
      <c r="Z1618" s="38"/>
      <c r="AA1618" s="38"/>
      <c r="AB1618" s="38"/>
      <c r="AC1618" s="38"/>
      <c r="AD1618" s="38"/>
      <c r="AE1618" s="38"/>
      <c r="AF1618" s="38"/>
      <c r="AG1618" s="38"/>
      <c r="AH1618" s="38"/>
    </row>
    <row r="1619" spans="3:34" ht="20.100000000000001" customHeight="1">
      <c r="C1619" s="113"/>
      <c r="D1619" s="114"/>
      <c r="P1619" s="82"/>
      <c r="Q1619" s="82"/>
      <c r="R1619" s="38"/>
      <c r="S1619" s="38"/>
      <c r="T1619" s="38"/>
      <c r="U1619" s="38"/>
      <c r="V1619" s="38"/>
      <c r="W1619" s="38"/>
      <c r="X1619" s="38"/>
      <c r="Y1619" s="38"/>
      <c r="Z1619" s="38"/>
      <c r="AA1619" s="38"/>
      <c r="AB1619" s="38"/>
      <c r="AC1619" s="38"/>
      <c r="AD1619" s="38"/>
      <c r="AE1619" s="38"/>
      <c r="AF1619" s="38"/>
      <c r="AG1619" s="38"/>
      <c r="AH1619" s="38"/>
    </row>
    <row r="1620" spans="3:34" ht="20.100000000000001" customHeight="1">
      <c r="C1620" s="113"/>
      <c r="D1620" s="114"/>
      <c r="P1620" s="82"/>
      <c r="Q1620" s="82"/>
      <c r="R1620" s="38"/>
      <c r="S1620" s="38"/>
      <c r="T1620" s="38"/>
      <c r="U1620" s="38"/>
      <c r="V1620" s="38"/>
      <c r="W1620" s="38"/>
      <c r="X1620" s="38"/>
      <c r="Y1620" s="38"/>
      <c r="Z1620" s="38"/>
      <c r="AA1620" s="38"/>
      <c r="AB1620" s="38"/>
      <c r="AC1620" s="38"/>
      <c r="AD1620" s="38"/>
      <c r="AE1620" s="38"/>
      <c r="AF1620" s="38"/>
      <c r="AG1620" s="38"/>
      <c r="AH1620" s="38"/>
    </row>
    <row r="1621" spans="3:34" ht="20.100000000000001" customHeight="1">
      <c r="C1621" s="113"/>
      <c r="D1621" s="114"/>
      <c r="P1621" s="82"/>
      <c r="Q1621" s="82"/>
      <c r="R1621" s="38"/>
      <c r="S1621" s="38"/>
      <c r="T1621" s="38"/>
      <c r="U1621" s="38"/>
      <c r="V1621" s="38"/>
      <c r="W1621" s="38"/>
      <c r="X1621" s="38"/>
      <c r="Y1621" s="38"/>
      <c r="Z1621" s="38"/>
      <c r="AA1621" s="38"/>
      <c r="AB1621" s="38"/>
      <c r="AC1621" s="38"/>
      <c r="AD1621" s="38"/>
      <c r="AE1621" s="38"/>
      <c r="AF1621" s="38"/>
      <c r="AG1621" s="38"/>
      <c r="AH1621" s="38"/>
    </row>
    <row r="1622" spans="3:34" ht="20.100000000000001" customHeight="1">
      <c r="C1622" s="113"/>
      <c r="D1622" s="114"/>
      <c r="P1622" s="82"/>
      <c r="Q1622" s="82"/>
      <c r="R1622" s="38"/>
      <c r="S1622" s="38"/>
      <c r="T1622" s="38"/>
      <c r="U1622" s="38"/>
      <c r="V1622" s="38"/>
      <c r="W1622" s="38"/>
      <c r="X1622" s="38"/>
      <c r="Y1622" s="38"/>
      <c r="Z1622" s="38"/>
      <c r="AA1622" s="38"/>
      <c r="AB1622" s="38"/>
      <c r="AC1622" s="38"/>
      <c r="AD1622" s="38"/>
      <c r="AE1622" s="38"/>
      <c r="AF1622" s="38"/>
      <c r="AG1622" s="38"/>
      <c r="AH1622" s="38"/>
    </row>
    <row r="1623" spans="3:34" ht="20.100000000000001" customHeight="1">
      <c r="C1623" s="113"/>
      <c r="D1623" s="114"/>
      <c r="P1623" s="82"/>
      <c r="Q1623" s="82"/>
      <c r="R1623" s="38"/>
      <c r="S1623" s="38"/>
      <c r="T1623" s="38"/>
      <c r="U1623" s="38"/>
      <c r="V1623" s="38"/>
      <c r="W1623" s="38"/>
      <c r="X1623" s="38"/>
      <c r="Y1623" s="38"/>
      <c r="Z1623" s="38"/>
      <c r="AA1623" s="38"/>
      <c r="AB1623" s="38"/>
      <c r="AC1623" s="38"/>
      <c r="AD1623" s="38"/>
      <c r="AE1623" s="38"/>
      <c r="AF1623" s="38"/>
      <c r="AG1623" s="38"/>
      <c r="AH1623" s="38"/>
    </row>
    <row r="1624" spans="3:34" ht="20.100000000000001" customHeight="1">
      <c r="C1624" s="113"/>
      <c r="D1624" s="114"/>
      <c r="P1624" s="82"/>
      <c r="Q1624" s="82"/>
      <c r="R1624" s="38"/>
      <c r="S1624" s="38"/>
      <c r="T1624" s="38"/>
      <c r="U1624" s="38"/>
      <c r="V1624" s="38"/>
      <c r="W1624" s="38"/>
      <c r="X1624" s="38"/>
      <c r="Y1624" s="38"/>
      <c r="Z1624" s="38"/>
      <c r="AA1624" s="38"/>
      <c r="AB1624" s="38"/>
      <c r="AC1624" s="38"/>
      <c r="AD1624" s="38"/>
      <c r="AE1624" s="38"/>
      <c r="AF1624" s="38"/>
      <c r="AG1624" s="38"/>
      <c r="AH1624" s="38"/>
    </row>
    <row r="1625" spans="3:34" ht="20.100000000000001" customHeight="1">
      <c r="C1625" s="113"/>
      <c r="D1625" s="114"/>
      <c r="P1625" s="82"/>
      <c r="Q1625" s="82"/>
      <c r="R1625" s="38"/>
      <c r="S1625" s="38"/>
      <c r="T1625" s="38"/>
      <c r="U1625" s="38"/>
      <c r="V1625" s="38"/>
      <c r="W1625" s="38"/>
      <c r="X1625" s="38"/>
      <c r="Y1625" s="38"/>
      <c r="Z1625" s="38"/>
      <c r="AA1625" s="38"/>
      <c r="AB1625" s="38"/>
      <c r="AC1625" s="38"/>
      <c r="AD1625" s="38"/>
      <c r="AE1625" s="38"/>
      <c r="AF1625" s="38"/>
      <c r="AG1625" s="38"/>
      <c r="AH1625" s="38"/>
    </row>
    <row r="1626" spans="3:34" ht="20.100000000000001" customHeight="1">
      <c r="C1626" s="113"/>
      <c r="D1626" s="114"/>
      <c r="P1626" s="82"/>
      <c r="Q1626" s="82"/>
      <c r="R1626" s="38"/>
      <c r="S1626" s="38"/>
      <c r="T1626" s="38"/>
      <c r="U1626" s="38"/>
      <c r="V1626" s="38"/>
      <c r="W1626" s="38"/>
      <c r="X1626" s="38"/>
      <c r="Y1626" s="38"/>
      <c r="Z1626" s="38"/>
      <c r="AA1626" s="38"/>
      <c r="AB1626" s="38"/>
      <c r="AC1626" s="38"/>
      <c r="AD1626" s="38"/>
      <c r="AE1626" s="38"/>
      <c r="AF1626" s="38"/>
      <c r="AG1626" s="38"/>
      <c r="AH1626" s="38"/>
    </row>
    <row r="1627" spans="3:34" ht="20.100000000000001" customHeight="1">
      <c r="C1627" s="113"/>
      <c r="D1627" s="114"/>
      <c r="P1627" s="82"/>
      <c r="Q1627" s="82"/>
      <c r="R1627" s="38"/>
      <c r="S1627" s="38"/>
      <c r="T1627" s="38"/>
      <c r="U1627" s="38"/>
      <c r="V1627" s="38"/>
      <c r="W1627" s="38"/>
      <c r="X1627" s="38"/>
      <c r="Y1627" s="38"/>
      <c r="Z1627" s="38"/>
      <c r="AA1627" s="38"/>
      <c r="AB1627" s="38"/>
      <c r="AC1627" s="38"/>
      <c r="AD1627" s="38"/>
      <c r="AE1627" s="38"/>
      <c r="AF1627" s="38"/>
      <c r="AG1627" s="38"/>
      <c r="AH1627" s="38"/>
    </row>
    <row r="1628" spans="3:34" ht="20.100000000000001" customHeight="1">
      <c r="C1628" s="113"/>
      <c r="D1628" s="114"/>
      <c r="P1628" s="82"/>
      <c r="Q1628" s="82"/>
      <c r="R1628" s="38"/>
      <c r="S1628" s="38"/>
      <c r="T1628" s="38"/>
      <c r="U1628" s="38"/>
      <c r="V1628" s="38"/>
      <c r="W1628" s="38"/>
      <c r="X1628" s="38"/>
      <c r="Y1628" s="38"/>
      <c r="Z1628" s="38"/>
      <c r="AA1628" s="38"/>
      <c r="AB1628" s="38"/>
      <c r="AC1628" s="38"/>
      <c r="AD1628" s="38"/>
      <c r="AE1628" s="38"/>
      <c r="AF1628" s="38"/>
      <c r="AG1628" s="38"/>
      <c r="AH1628" s="38"/>
    </row>
    <row r="1629" spans="3:34" ht="20.100000000000001" customHeight="1">
      <c r="C1629" s="113"/>
      <c r="D1629" s="114"/>
      <c r="P1629" s="82"/>
      <c r="Q1629" s="82"/>
      <c r="R1629" s="38"/>
      <c r="S1629" s="38"/>
      <c r="T1629" s="38"/>
      <c r="U1629" s="38"/>
      <c r="V1629" s="38"/>
      <c r="W1629" s="38"/>
      <c r="X1629" s="38"/>
      <c r="Y1629" s="38"/>
      <c r="Z1629" s="38"/>
      <c r="AA1629" s="38"/>
      <c r="AB1629" s="38"/>
      <c r="AC1629" s="38"/>
      <c r="AD1629" s="38"/>
      <c r="AE1629" s="38"/>
      <c r="AF1629" s="38"/>
      <c r="AG1629" s="38"/>
      <c r="AH1629" s="38"/>
    </row>
    <row r="1630" spans="3:34" ht="20.100000000000001" customHeight="1">
      <c r="C1630" s="113"/>
      <c r="D1630" s="114"/>
      <c r="P1630" s="82"/>
      <c r="Q1630" s="82"/>
      <c r="R1630" s="38"/>
      <c r="S1630" s="38"/>
      <c r="T1630" s="38"/>
      <c r="U1630" s="38"/>
      <c r="V1630" s="38"/>
      <c r="W1630" s="38"/>
      <c r="X1630" s="38"/>
      <c r="Y1630" s="38"/>
      <c r="Z1630" s="38"/>
      <c r="AA1630" s="38"/>
      <c r="AB1630" s="38"/>
      <c r="AC1630" s="38"/>
      <c r="AD1630" s="38"/>
      <c r="AE1630" s="38"/>
      <c r="AF1630" s="38"/>
      <c r="AG1630" s="38"/>
      <c r="AH1630" s="38"/>
    </row>
    <row r="1631" spans="3:34" ht="20.100000000000001" customHeight="1">
      <c r="C1631" s="113"/>
      <c r="D1631" s="114"/>
      <c r="P1631" s="82"/>
      <c r="Q1631" s="82"/>
      <c r="R1631" s="38"/>
      <c r="S1631" s="38"/>
      <c r="T1631" s="38"/>
      <c r="U1631" s="38"/>
      <c r="V1631" s="38"/>
      <c r="W1631" s="38"/>
      <c r="X1631" s="38"/>
      <c r="Y1631" s="38"/>
      <c r="Z1631" s="38"/>
      <c r="AA1631" s="38"/>
      <c r="AB1631" s="38"/>
      <c r="AC1631" s="38"/>
      <c r="AD1631" s="38"/>
      <c r="AE1631" s="38"/>
      <c r="AF1631" s="38"/>
      <c r="AG1631" s="38"/>
      <c r="AH1631" s="38"/>
    </row>
    <row r="1632" spans="3:34" ht="20.100000000000001" customHeight="1">
      <c r="C1632" s="113"/>
      <c r="D1632" s="114"/>
      <c r="P1632" s="82"/>
      <c r="Q1632" s="82"/>
      <c r="R1632" s="38"/>
      <c r="S1632" s="38"/>
      <c r="T1632" s="38"/>
      <c r="U1632" s="38"/>
      <c r="V1632" s="38"/>
      <c r="W1632" s="38"/>
      <c r="X1632" s="38"/>
      <c r="Y1632" s="38"/>
      <c r="Z1632" s="38"/>
      <c r="AA1632" s="38"/>
      <c r="AB1632" s="38"/>
      <c r="AC1632" s="38"/>
      <c r="AD1632" s="38"/>
      <c r="AE1632" s="38"/>
      <c r="AF1632" s="38"/>
      <c r="AG1632" s="38"/>
      <c r="AH1632" s="38"/>
    </row>
    <row r="1633" spans="3:34" ht="20.100000000000001" customHeight="1">
      <c r="C1633" s="113"/>
      <c r="D1633" s="114"/>
      <c r="P1633" s="82"/>
      <c r="Q1633" s="82"/>
      <c r="R1633" s="38"/>
      <c r="S1633" s="38"/>
      <c r="T1633" s="38"/>
      <c r="U1633" s="38"/>
      <c r="V1633" s="38"/>
      <c r="W1633" s="38"/>
      <c r="X1633" s="38"/>
      <c r="Y1633" s="38"/>
      <c r="Z1633" s="38"/>
      <c r="AA1633" s="38"/>
      <c r="AB1633" s="38"/>
      <c r="AC1633" s="38"/>
      <c r="AD1633" s="38"/>
      <c r="AE1633" s="38"/>
      <c r="AF1633" s="38"/>
      <c r="AG1633" s="38"/>
      <c r="AH1633" s="38"/>
    </row>
    <row r="1634" spans="3:34" ht="20.100000000000001" customHeight="1">
      <c r="C1634" s="113"/>
      <c r="D1634" s="114"/>
      <c r="P1634" s="82"/>
      <c r="Q1634" s="82"/>
      <c r="R1634" s="38"/>
      <c r="S1634" s="38"/>
      <c r="T1634" s="38"/>
      <c r="U1634" s="38"/>
      <c r="V1634" s="38"/>
      <c r="W1634" s="38"/>
      <c r="X1634" s="38"/>
      <c r="Y1634" s="38"/>
      <c r="Z1634" s="38"/>
      <c r="AA1634" s="38"/>
      <c r="AB1634" s="38"/>
      <c r="AC1634" s="38"/>
      <c r="AD1634" s="38"/>
      <c r="AE1634" s="38"/>
      <c r="AF1634" s="38"/>
      <c r="AG1634" s="38"/>
      <c r="AH1634" s="38"/>
    </row>
    <row r="1635" spans="3:34" ht="20.100000000000001" customHeight="1">
      <c r="C1635" s="113"/>
      <c r="D1635" s="114"/>
      <c r="P1635" s="82"/>
      <c r="Q1635" s="82"/>
      <c r="R1635" s="38"/>
      <c r="S1635" s="38"/>
      <c r="T1635" s="38"/>
      <c r="U1635" s="38"/>
      <c r="V1635" s="38"/>
      <c r="W1635" s="38"/>
      <c r="X1635" s="38"/>
      <c r="Y1635" s="38"/>
      <c r="Z1635" s="38"/>
      <c r="AA1635" s="38"/>
      <c r="AB1635" s="38"/>
      <c r="AC1635" s="38"/>
      <c r="AD1635" s="38"/>
      <c r="AE1635" s="38"/>
      <c r="AF1635" s="38"/>
      <c r="AG1635" s="38"/>
      <c r="AH1635" s="38"/>
    </row>
    <row r="1636" spans="3:34" ht="20.100000000000001" customHeight="1">
      <c r="C1636" s="113"/>
      <c r="D1636" s="114"/>
      <c r="P1636" s="82"/>
      <c r="Q1636" s="82"/>
      <c r="R1636" s="38"/>
      <c r="S1636" s="38"/>
      <c r="T1636" s="38"/>
      <c r="U1636" s="38"/>
      <c r="V1636" s="38"/>
      <c r="W1636" s="38"/>
      <c r="X1636" s="38"/>
      <c r="Y1636" s="38"/>
      <c r="Z1636" s="38"/>
      <c r="AA1636" s="38"/>
      <c r="AB1636" s="38"/>
      <c r="AC1636" s="38"/>
      <c r="AD1636" s="38"/>
      <c r="AE1636" s="38"/>
      <c r="AF1636" s="38"/>
      <c r="AG1636" s="38"/>
      <c r="AH1636" s="38"/>
    </row>
    <row r="1637" spans="3:34" ht="20.100000000000001" customHeight="1">
      <c r="C1637" s="113"/>
      <c r="D1637" s="114"/>
      <c r="P1637" s="82"/>
      <c r="Q1637" s="82"/>
      <c r="R1637" s="38"/>
      <c r="S1637" s="38"/>
      <c r="T1637" s="38"/>
      <c r="U1637" s="38"/>
      <c r="V1637" s="38"/>
      <c r="W1637" s="38"/>
      <c r="X1637" s="38"/>
      <c r="Y1637" s="38"/>
      <c r="Z1637" s="38"/>
      <c r="AA1637" s="38"/>
      <c r="AB1637" s="38"/>
      <c r="AC1637" s="38"/>
      <c r="AD1637" s="38"/>
      <c r="AE1637" s="38"/>
      <c r="AF1637" s="38"/>
      <c r="AG1637" s="38"/>
      <c r="AH1637" s="38"/>
    </row>
    <row r="1638" spans="3:34" ht="20.100000000000001" customHeight="1">
      <c r="C1638" s="113"/>
      <c r="D1638" s="114"/>
      <c r="P1638" s="82"/>
      <c r="Q1638" s="82"/>
      <c r="R1638" s="38"/>
      <c r="S1638" s="38"/>
      <c r="T1638" s="38"/>
      <c r="U1638" s="38"/>
      <c r="V1638" s="38"/>
      <c r="W1638" s="38"/>
      <c r="X1638" s="38"/>
      <c r="Y1638" s="38"/>
      <c r="Z1638" s="38"/>
      <c r="AA1638" s="38"/>
      <c r="AB1638" s="38"/>
      <c r="AC1638" s="38"/>
      <c r="AD1638" s="38"/>
      <c r="AE1638" s="38"/>
      <c r="AF1638" s="38"/>
      <c r="AG1638" s="38"/>
      <c r="AH1638" s="38"/>
    </row>
    <row r="1639" spans="3:34" ht="20.100000000000001" customHeight="1">
      <c r="C1639" s="113"/>
      <c r="D1639" s="114"/>
      <c r="P1639" s="82"/>
      <c r="Q1639" s="82"/>
      <c r="R1639" s="38"/>
      <c r="S1639" s="38"/>
      <c r="T1639" s="38"/>
      <c r="U1639" s="38"/>
      <c r="V1639" s="38"/>
      <c r="W1639" s="38"/>
      <c r="X1639" s="38"/>
      <c r="Y1639" s="38"/>
      <c r="Z1639" s="38"/>
      <c r="AA1639" s="38"/>
      <c r="AB1639" s="38"/>
      <c r="AC1639" s="38"/>
      <c r="AD1639" s="38"/>
      <c r="AE1639" s="38"/>
      <c r="AF1639" s="38"/>
      <c r="AG1639" s="38"/>
      <c r="AH1639" s="38"/>
    </row>
    <row r="1640" spans="3:34" ht="20.100000000000001" customHeight="1">
      <c r="C1640" s="113"/>
      <c r="D1640" s="114"/>
      <c r="P1640" s="82"/>
      <c r="Q1640" s="82"/>
      <c r="R1640" s="38"/>
      <c r="S1640" s="38"/>
      <c r="T1640" s="38"/>
      <c r="U1640" s="38"/>
      <c r="V1640" s="38"/>
      <c r="W1640" s="38"/>
      <c r="X1640" s="38"/>
      <c r="Y1640" s="38"/>
      <c r="Z1640" s="38"/>
      <c r="AA1640" s="38"/>
      <c r="AB1640" s="38"/>
      <c r="AC1640" s="38"/>
      <c r="AD1640" s="38"/>
      <c r="AE1640" s="38"/>
      <c r="AF1640" s="38"/>
      <c r="AG1640" s="38"/>
      <c r="AH1640" s="38"/>
    </row>
    <row r="1641" spans="3:34" ht="20.100000000000001" customHeight="1">
      <c r="C1641" s="113"/>
      <c r="D1641" s="114"/>
      <c r="P1641" s="82"/>
      <c r="Q1641" s="82"/>
      <c r="R1641" s="38"/>
      <c r="S1641" s="38"/>
      <c r="T1641" s="38"/>
      <c r="U1641" s="38"/>
      <c r="V1641" s="38"/>
      <c r="W1641" s="38"/>
      <c r="X1641" s="38"/>
      <c r="Y1641" s="38"/>
      <c r="Z1641" s="38"/>
      <c r="AA1641" s="38"/>
      <c r="AB1641" s="38"/>
      <c r="AC1641" s="38"/>
      <c r="AD1641" s="38"/>
      <c r="AE1641" s="38"/>
      <c r="AF1641" s="38"/>
      <c r="AG1641" s="38"/>
      <c r="AH1641" s="38"/>
    </row>
    <row r="1642" spans="3:34" ht="20.100000000000001" customHeight="1">
      <c r="C1642" s="113"/>
      <c r="D1642" s="114"/>
      <c r="P1642" s="82"/>
      <c r="Q1642" s="82"/>
      <c r="R1642" s="38"/>
      <c r="S1642" s="38"/>
      <c r="T1642" s="38"/>
      <c r="U1642" s="38"/>
      <c r="V1642" s="38"/>
      <c r="W1642" s="38"/>
      <c r="X1642" s="38"/>
      <c r="Y1642" s="38"/>
      <c r="Z1642" s="38"/>
      <c r="AA1642" s="38"/>
      <c r="AB1642" s="38"/>
      <c r="AC1642" s="38"/>
      <c r="AD1642" s="38"/>
      <c r="AE1642" s="38"/>
      <c r="AF1642" s="38"/>
      <c r="AG1642" s="38"/>
      <c r="AH1642" s="38"/>
    </row>
    <row r="1643" spans="3:34" ht="20.100000000000001" customHeight="1">
      <c r="C1643" s="113"/>
      <c r="D1643" s="114"/>
      <c r="P1643" s="82"/>
      <c r="Q1643" s="82"/>
      <c r="R1643" s="38"/>
      <c r="S1643" s="38"/>
      <c r="T1643" s="38"/>
      <c r="U1643" s="38"/>
      <c r="V1643" s="38"/>
      <c r="W1643" s="38"/>
      <c r="X1643" s="38"/>
      <c r="Y1643" s="38"/>
      <c r="Z1643" s="38"/>
      <c r="AA1643" s="38"/>
      <c r="AB1643" s="38"/>
      <c r="AC1643" s="38"/>
      <c r="AD1643" s="38"/>
      <c r="AE1643" s="38"/>
      <c r="AF1643" s="38"/>
      <c r="AG1643" s="38"/>
      <c r="AH1643" s="38"/>
    </row>
    <row r="1644" spans="3:34" ht="20.100000000000001" customHeight="1">
      <c r="C1644" s="113"/>
      <c r="D1644" s="114"/>
      <c r="P1644" s="82"/>
      <c r="Q1644" s="82"/>
      <c r="R1644" s="38"/>
      <c r="S1644" s="38"/>
      <c r="T1644" s="38"/>
      <c r="U1644" s="38"/>
      <c r="V1644" s="38"/>
      <c r="W1644" s="38"/>
      <c r="X1644" s="38"/>
      <c r="Y1644" s="38"/>
      <c r="Z1644" s="38"/>
      <c r="AA1644" s="38"/>
      <c r="AB1644" s="38"/>
      <c r="AC1644" s="38"/>
      <c r="AD1644" s="38"/>
      <c r="AE1644" s="38"/>
      <c r="AF1644" s="38"/>
      <c r="AG1644" s="38"/>
      <c r="AH1644" s="38"/>
    </row>
    <row r="1645" spans="3:34" ht="20.100000000000001" customHeight="1">
      <c r="C1645" s="113"/>
      <c r="D1645" s="114"/>
      <c r="P1645" s="82"/>
      <c r="Q1645" s="82"/>
      <c r="R1645" s="38"/>
      <c r="S1645" s="38"/>
      <c r="T1645" s="38"/>
      <c r="U1645" s="38"/>
      <c r="V1645" s="38"/>
      <c r="W1645" s="38"/>
      <c r="X1645" s="38"/>
      <c r="Y1645" s="38"/>
      <c r="Z1645" s="38"/>
      <c r="AA1645" s="38"/>
      <c r="AB1645" s="38"/>
      <c r="AC1645" s="38"/>
      <c r="AD1645" s="38"/>
      <c r="AE1645" s="38"/>
      <c r="AF1645" s="38"/>
      <c r="AG1645" s="38"/>
      <c r="AH1645" s="38"/>
    </row>
    <row r="1646" spans="3:34" ht="20.100000000000001" customHeight="1">
      <c r="C1646" s="113"/>
      <c r="D1646" s="114"/>
      <c r="P1646" s="82"/>
      <c r="Q1646" s="82"/>
      <c r="R1646" s="38"/>
      <c r="S1646" s="38"/>
      <c r="T1646" s="38"/>
      <c r="U1646" s="38"/>
      <c r="V1646" s="38"/>
      <c r="W1646" s="38"/>
      <c r="X1646" s="38"/>
      <c r="Y1646" s="38"/>
      <c r="Z1646" s="38"/>
      <c r="AA1646" s="38"/>
      <c r="AB1646" s="38"/>
      <c r="AC1646" s="38"/>
      <c r="AD1646" s="38"/>
      <c r="AE1646" s="38"/>
      <c r="AF1646" s="38"/>
      <c r="AG1646" s="38"/>
      <c r="AH1646" s="38"/>
    </row>
    <row r="1647" spans="3:34" ht="20.100000000000001" customHeight="1">
      <c r="C1647" s="113"/>
      <c r="D1647" s="114"/>
      <c r="P1647" s="82"/>
      <c r="Q1647" s="82"/>
      <c r="R1647" s="38"/>
      <c r="S1647" s="38"/>
      <c r="T1647" s="38"/>
      <c r="U1647" s="38"/>
      <c r="V1647" s="38"/>
      <c r="W1647" s="38"/>
      <c r="X1647" s="38"/>
      <c r="Y1647" s="38"/>
      <c r="Z1647" s="38"/>
      <c r="AA1647" s="38"/>
      <c r="AB1647" s="38"/>
      <c r="AC1647" s="38"/>
      <c r="AD1647" s="38"/>
      <c r="AE1647" s="38"/>
      <c r="AF1647" s="38"/>
      <c r="AG1647" s="38"/>
      <c r="AH1647" s="38"/>
    </row>
    <row r="1648" spans="3:34" ht="20.100000000000001" customHeight="1">
      <c r="C1648" s="113"/>
      <c r="D1648" s="114"/>
      <c r="P1648" s="82"/>
      <c r="Q1648" s="82"/>
      <c r="R1648" s="38"/>
      <c r="S1648" s="38"/>
      <c r="T1648" s="38"/>
      <c r="U1648" s="38"/>
      <c r="V1648" s="38"/>
      <c r="W1648" s="38"/>
      <c r="X1648" s="38"/>
      <c r="Y1648" s="38"/>
      <c r="Z1648" s="38"/>
      <c r="AA1648" s="38"/>
      <c r="AB1648" s="38"/>
      <c r="AC1648" s="38"/>
      <c r="AD1648" s="38"/>
      <c r="AE1648" s="38"/>
      <c r="AF1648" s="38"/>
      <c r="AG1648" s="38"/>
      <c r="AH1648" s="38"/>
    </row>
    <row r="1649" spans="3:34" ht="20.100000000000001" customHeight="1">
      <c r="C1649" s="113"/>
      <c r="D1649" s="114"/>
      <c r="P1649" s="82"/>
      <c r="Q1649" s="82"/>
      <c r="R1649" s="38"/>
      <c r="S1649" s="38"/>
      <c r="T1649" s="38"/>
      <c r="U1649" s="38"/>
      <c r="V1649" s="38"/>
      <c r="W1649" s="38"/>
      <c r="X1649" s="38"/>
      <c r="Y1649" s="38"/>
      <c r="Z1649" s="38"/>
      <c r="AA1649" s="38"/>
      <c r="AB1649" s="38"/>
      <c r="AC1649" s="38"/>
      <c r="AD1649" s="38"/>
      <c r="AE1649" s="38"/>
      <c r="AF1649" s="38"/>
      <c r="AG1649" s="38"/>
      <c r="AH1649" s="38"/>
    </row>
    <row r="1650" spans="3:34" ht="20.100000000000001" customHeight="1">
      <c r="C1650" s="113"/>
      <c r="D1650" s="114"/>
      <c r="P1650" s="82"/>
      <c r="Q1650" s="82"/>
      <c r="R1650" s="38"/>
      <c r="S1650" s="38"/>
      <c r="T1650" s="38"/>
      <c r="U1650" s="38"/>
      <c r="V1650" s="38"/>
      <c r="W1650" s="38"/>
      <c r="X1650" s="38"/>
      <c r="Y1650" s="38"/>
      <c r="Z1650" s="38"/>
      <c r="AA1650" s="38"/>
      <c r="AB1650" s="38"/>
      <c r="AC1650" s="38"/>
      <c r="AD1650" s="38"/>
      <c r="AE1650" s="38"/>
      <c r="AF1650" s="38"/>
      <c r="AG1650" s="38"/>
      <c r="AH1650" s="38"/>
    </row>
    <row r="1651" spans="3:34" ht="20.100000000000001" customHeight="1">
      <c r="C1651" s="113"/>
      <c r="D1651" s="114"/>
      <c r="P1651" s="82"/>
      <c r="Q1651" s="82"/>
      <c r="R1651" s="38"/>
      <c r="S1651" s="38"/>
      <c r="T1651" s="38"/>
      <c r="U1651" s="38"/>
      <c r="V1651" s="38"/>
      <c r="W1651" s="38"/>
      <c r="X1651" s="38"/>
      <c r="Y1651" s="38"/>
      <c r="Z1651" s="38"/>
      <c r="AA1651" s="38"/>
      <c r="AB1651" s="38"/>
      <c r="AC1651" s="38"/>
      <c r="AD1651" s="38"/>
      <c r="AE1651" s="38"/>
      <c r="AF1651" s="38"/>
      <c r="AG1651" s="38"/>
      <c r="AH1651" s="38"/>
    </row>
    <row r="1652" spans="3:34" ht="20.100000000000001" customHeight="1">
      <c r="C1652" s="113"/>
      <c r="D1652" s="114"/>
      <c r="P1652" s="82"/>
      <c r="Q1652" s="82"/>
      <c r="R1652" s="38"/>
      <c r="S1652" s="38"/>
      <c r="T1652" s="38"/>
      <c r="U1652" s="38"/>
      <c r="V1652" s="38"/>
      <c r="W1652" s="38"/>
      <c r="X1652" s="38"/>
      <c r="Y1652" s="38"/>
      <c r="Z1652" s="38"/>
      <c r="AA1652" s="38"/>
      <c r="AB1652" s="38"/>
      <c r="AC1652" s="38"/>
      <c r="AD1652" s="38"/>
      <c r="AE1652" s="38"/>
      <c r="AF1652" s="38"/>
      <c r="AG1652" s="38"/>
      <c r="AH1652" s="38"/>
    </row>
    <row r="1653" spans="3:34" ht="20.100000000000001" customHeight="1">
      <c r="C1653" s="113"/>
      <c r="D1653" s="114"/>
      <c r="P1653" s="82"/>
      <c r="Q1653" s="82"/>
      <c r="R1653" s="38"/>
      <c r="S1653" s="38"/>
      <c r="T1653" s="38"/>
      <c r="U1653" s="38"/>
      <c r="V1653" s="38"/>
      <c r="W1653" s="38"/>
      <c r="X1653" s="38"/>
      <c r="Y1653" s="38"/>
      <c r="Z1653" s="38"/>
      <c r="AA1653" s="38"/>
      <c r="AB1653" s="38"/>
      <c r="AC1653" s="38"/>
      <c r="AD1653" s="38"/>
      <c r="AE1653" s="38"/>
      <c r="AF1653" s="38"/>
      <c r="AG1653" s="38"/>
      <c r="AH1653" s="38"/>
    </row>
    <row r="1654" spans="3:34" ht="20.100000000000001" customHeight="1">
      <c r="C1654" s="113"/>
      <c r="D1654" s="114"/>
      <c r="P1654" s="82"/>
      <c r="Q1654" s="82"/>
      <c r="R1654" s="38"/>
      <c r="S1654" s="38"/>
      <c r="T1654" s="38"/>
      <c r="U1654" s="38"/>
      <c r="V1654" s="38"/>
      <c r="W1654" s="38"/>
      <c r="X1654" s="38"/>
      <c r="Y1654" s="38"/>
      <c r="Z1654" s="38"/>
      <c r="AA1654" s="38"/>
      <c r="AB1654" s="38"/>
      <c r="AC1654" s="38"/>
      <c r="AD1654" s="38"/>
      <c r="AE1654" s="38"/>
      <c r="AF1654" s="38"/>
      <c r="AG1654" s="38"/>
      <c r="AH1654" s="38"/>
    </row>
    <row r="1655" spans="3:34" ht="20.100000000000001" customHeight="1">
      <c r="C1655" s="113"/>
      <c r="D1655" s="114"/>
      <c r="P1655" s="82"/>
      <c r="Q1655" s="82"/>
      <c r="R1655" s="38"/>
      <c r="S1655" s="38"/>
      <c r="T1655" s="38"/>
      <c r="U1655" s="38"/>
      <c r="V1655" s="38"/>
      <c r="W1655" s="38"/>
      <c r="X1655" s="38"/>
      <c r="Y1655" s="38"/>
      <c r="Z1655" s="38"/>
      <c r="AA1655" s="38"/>
      <c r="AB1655" s="38"/>
      <c r="AC1655" s="38"/>
      <c r="AD1655" s="38"/>
      <c r="AE1655" s="38"/>
      <c r="AF1655" s="38"/>
      <c r="AG1655" s="38"/>
      <c r="AH1655" s="38"/>
    </row>
    <row r="1656" spans="3:34" ht="20.100000000000001" customHeight="1">
      <c r="C1656" s="113"/>
      <c r="D1656" s="114"/>
      <c r="P1656" s="82"/>
      <c r="Q1656" s="82"/>
      <c r="R1656" s="38"/>
      <c r="S1656" s="38"/>
      <c r="T1656" s="38"/>
      <c r="U1656" s="38"/>
      <c r="V1656" s="38"/>
      <c r="W1656" s="38"/>
      <c r="X1656" s="38"/>
      <c r="Y1656" s="38"/>
      <c r="Z1656" s="38"/>
      <c r="AA1656" s="38"/>
      <c r="AB1656" s="38"/>
      <c r="AC1656" s="38"/>
      <c r="AD1656" s="38"/>
      <c r="AE1656" s="38"/>
      <c r="AF1656" s="38"/>
      <c r="AG1656" s="38"/>
      <c r="AH1656" s="38"/>
    </row>
    <row r="1657" spans="3:34" ht="20.100000000000001" customHeight="1">
      <c r="C1657" s="113"/>
      <c r="D1657" s="114"/>
      <c r="P1657" s="82"/>
      <c r="Q1657" s="82"/>
      <c r="R1657" s="38"/>
      <c r="S1657" s="38"/>
      <c r="T1657" s="38"/>
      <c r="U1657" s="38"/>
      <c r="V1657" s="38"/>
      <c r="W1657" s="38"/>
      <c r="X1657" s="38"/>
      <c r="Y1657" s="38"/>
      <c r="Z1657" s="38"/>
      <c r="AA1657" s="38"/>
      <c r="AB1657" s="38"/>
      <c r="AC1657" s="38"/>
      <c r="AD1657" s="38"/>
      <c r="AE1657" s="38"/>
      <c r="AF1657" s="38"/>
      <c r="AG1657" s="38"/>
      <c r="AH1657" s="38"/>
    </row>
    <row r="1658" spans="3:34" ht="20.100000000000001" customHeight="1">
      <c r="C1658" s="113"/>
      <c r="D1658" s="114"/>
      <c r="P1658" s="82"/>
      <c r="Q1658" s="82"/>
      <c r="R1658" s="38"/>
      <c r="S1658" s="38"/>
      <c r="T1658" s="38"/>
      <c r="U1658" s="38"/>
      <c r="V1658" s="38"/>
      <c r="W1658" s="38"/>
      <c r="X1658" s="38"/>
      <c r="Y1658" s="38"/>
      <c r="Z1658" s="38"/>
      <c r="AA1658" s="38"/>
      <c r="AB1658" s="38"/>
      <c r="AC1658" s="38"/>
      <c r="AD1658" s="38"/>
      <c r="AE1658" s="38"/>
      <c r="AF1658" s="38"/>
      <c r="AG1658" s="38"/>
      <c r="AH1658" s="38"/>
    </row>
    <row r="1659" spans="3:34" ht="20.100000000000001" customHeight="1">
      <c r="C1659" s="113"/>
      <c r="D1659" s="114"/>
      <c r="P1659" s="82"/>
      <c r="Q1659" s="82"/>
      <c r="R1659" s="38"/>
      <c r="S1659" s="38"/>
      <c r="T1659" s="38"/>
      <c r="U1659" s="38"/>
      <c r="V1659" s="38"/>
      <c r="W1659" s="38"/>
      <c r="X1659" s="38"/>
      <c r="Y1659" s="38"/>
      <c r="Z1659" s="38"/>
      <c r="AA1659" s="38"/>
      <c r="AB1659" s="38"/>
      <c r="AC1659" s="38"/>
      <c r="AD1659" s="38"/>
      <c r="AE1659" s="38"/>
      <c r="AF1659" s="38"/>
      <c r="AG1659" s="38"/>
      <c r="AH1659" s="38"/>
    </row>
    <row r="1660" spans="3:34" ht="20.100000000000001" customHeight="1">
      <c r="C1660" s="113"/>
      <c r="D1660" s="114"/>
      <c r="P1660" s="82"/>
      <c r="Q1660" s="82"/>
      <c r="R1660" s="38"/>
      <c r="S1660" s="38"/>
      <c r="T1660" s="38"/>
      <c r="U1660" s="38"/>
      <c r="V1660" s="38"/>
      <c r="W1660" s="38"/>
      <c r="X1660" s="38"/>
      <c r="Y1660" s="38"/>
      <c r="Z1660" s="38"/>
      <c r="AA1660" s="38"/>
      <c r="AB1660" s="38"/>
      <c r="AC1660" s="38"/>
      <c r="AD1660" s="38"/>
      <c r="AE1660" s="38"/>
      <c r="AF1660" s="38"/>
      <c r="AG1660" s="38"/>
      <c r="AH1660" s="38"/>
    </row>
    <row r="1661" spans="3:34" ht="20.100000000000001" customHeight="1">
      <c r="C1661" s="113"/>
      <c r="D1661" s="114"/>
      <c r="P1661" s="82"/>
      <c r="Q1661" s="82"/>
      <c r="R1661" s="38"/>
      <c r="S1661" s="38"/>
      <c r="T1661" s="38"/>
      <c r="U1661" s="38"/>
      <c r="V1661" s="38"/>
      <c r="W1661" s="38"/>
      <c r="X1661" s="38"/>
      <c r="Y1661" s="38"/>
      <c r="Z1661" s="38"/>
      <c r="AA1661" s="38"/>
      <c r="AB1661" s="38"/>
      <c r="AC1661" s="38"/>
      <c r="AD1661" s="38"/>
      <c r="AE1661" s="38"/>
      <c r="AF1661" s="38"/>
      <c r="AG1661" s="38"/>
      <c r="AH1661" s="38"/>
    </row>
    <row r="1662" spans="3:34" ht="20.100000000000001" customHeight="1">
      <c r="C1662" s="113"/>
      <c r="D1662" s="114"/>
      <c r="P1662" s="82"/>
      <c r="Q1662" s="82"/>
      <c r="R1662" s="38"/>
      <c r="S1662" s="38"/>
      <c r="T1662" s="38"/>
      <c r="U1662" s="38"/>
      <c r="V1662" s="38"/>
      <c r="W1662" s="38"/>
      <c r="X1662" s="38"/>
      <c r="Y1662" s="38"/>
      <c r="Z1662" s="38"/>
      <c r="AA1662" s="38"/>
      <c r="AB1662" s="38"/>
      <c r="AC1662" s="38"/>
      <c r="AD1662" s="38"/>
      <c r="AE1662" s="38"/>
      <c r="AF1662" s="38"/>
      <c r="AG1662" s="38"/>
      <c r="AH1662" s="38"/>
    </row>
    <row r="1663" spans="3:34" ht="20.100000000000001" customHeight="1">
      <c r="C1663" s="113"/>
      <c r="D1663" s="114"/>
      <c r="P1663" s="82"/>
      <c r="Q1663" s="82"/>
      <c r="R1663" s="38"/>
      <c r="S1663" s="38"/>
      <c r="T1663" s="38"/>
      <c r="U1663" s="38"/>
      <c r="V1663" s="38"/>
      <c r="W1663" s="38"/>
      <c r="X1663" s="38"/>
      <c r="Y1663" s="38"/>
      <c r="Z1663" s="38"/>
      <c r="AA1663" s="38"/>
      <c r="AB1663" s="38"/>
      <c r="AC1663" s="38"/>
      <c r="AD1663" s="38"/>
      <c r="AE1663" s="38"/>
      <c r="AF1663" s="38"/>
      <c r="AG1663" s="38"/>
      <c r="AH1663" s="38"/>
    </row>
    <row r="1664" spans="3:34" ht="20.100000000000001" customHeight="1">
      <c r="C1664" s="113"/>
      <c r="D1664" s="114"/>
      <c r="P1664" s="82"/>
      <c r="Q1664" s="82"/>
      <c r="R1664" s="38"/>
      <c r="S1664" s="38"/>
      <c r="T1664" s="38"/>
      <c r="U1664" s="38"/>
      <c r="V1664" s="38"/>
      <c r="W1664" s="38"/>
      <c r="X1664" s="38"/>
      <c r="Y1664" s="38"/>
      <c r="Z1664" s="38"/>
      <c r="AA1664" s="38"/>
      <c r="AB1664" s="38"/>
      <c r="AC1664" s="38"/>
      <c r="AD1664" s="38"/>
      <c r="AE1664" s="38"/>
      <c r="AF1664" s="38"/>
      <c r="AG1664" s="38"/>
      <c r="AH1664" s="38"/>
    </row>
    <row r="1665" spans="3:34" ht="20.100000000000001" customHeight="1">
      <c r="C1665" s="113"/>
      <c r="D1665" s="114"/>
      <c r="P1665" s="82"/>
      <c r="Q1665" s="82"/>
      <c r="R1665" s="38"/>
      <c r="S1665" s="38"/>
      <c r="T1665" s="38"/>
      <c r="U1665" s="38"/>
      <c r="V1665" s="38"/>
      <c r="W1665" s="38"/>
      <c r="X1665" s="38"/>
      <c r="Y1665" s="38"/>
      <c r="Z1665" s="38"/>
      <c r="AA1665" s="38"/>
      <c r="AB1665" s="38"/>
      <c r="AC1665" s="38"/>
      <c r="AD1665" s="38"/>
      <c r="AE1665" s="38"/>
      <c r="AF1665" s="38"/>
      <c r="AG1665" s="38"/>
      <c r="AH1665" s="38"/>
    </row>
    <row r="1666" spans="3:34" ht="20.100000000000001" customHeight="1">
      <c r="C1666" s="113"/>
      <c r="D1666" s="114"/>
      <c r="P1666" s="82"/>
      <c r="Q1666" s="82"/>
      <c r="R1666" s="38"/>
      <c r="S1666" s="38"/>
      <c r="T1666" s="38"/>
      <c r="U1666" s="38"/>
      <c r="V1666" s="38"/>
      <c r="W1666" s="38"/>
      <c r="X1666" s="38"/>
      <c r="Y1666" s="38"/>
      <c r="Z1666" s="38"/>
      <c r="AA1666" s="38"/>
      <c r="AB1666" s="38"/>
      <c r="AC1666" s="38"/>
      <c r="AD1666" s="38"/>
      <c r="AE1666" s="38"/>
      <c r="AF1666" s="38"/>
      <c r="AG1666" s="38"/>
      <c r="AH1666" s="38"/>
    </row>
    <row r="1667" spans="3:34" ht="20.100000000000001" customHeight="1">
      <c r="C1667" s="113"/>
      <c r="D1667" s="114"/>
      <c r="P1667" s="82"/>
      <c r="Q1667" s="82"/>
      <c r="R1667" s="38"/>
      <c r="S1667" s="38"/>
      <c r="T1667" s="38"/>
      <c r="U1667" s="38"/>
      <c r="V1667" s="38"/>
      <c r="W1667" s="38"/>
      <c r="X1667" s="38"/>
      <c r="Y1667" s="38"/>
      <c r="Z1667" s="38"/>
      <c r="AA1667" s="38"/>
      <c r="AB1667" s="38"/>
      <c r="AC1667" s="38"/>
      <c r="AD1667" s="38"/>
      <c r="AE1667" s="38"/>
      <c r="AF1667" s="38"/>
      <c r="AG1667" s="38"/>
      <c r="AH1667" s="38"/>
    </row>
    <row r="1668" spans="3:34" ht="20.100000000000001" customHeight="1">
      <c r="C1668" s="113"/>
      <c r="D1668" s="114"/>
      <c r="P1668" s="82"/>
      <c r="Q1668" s="82"/>
      <c r="R1668" s="38"/>
      <c r="S1668" s="38"/>
      <c r="T1668" s="38"/>
      <c r="U1668" s="38"/>
      <c r="V1668" s="38"/>
      <c r="W1668" s="38"/>
      <c r="X1668" s="38"/>
      <c r="Y1668" s="38"/>
      <c r="Z1668" s="38"/>
      <c r="AA1668" s="38"/>
      <c r="AB1668" s="38"/>
      <c r="AC1668" s="38"/>
      <c r="AD1668" s="38"/>
      <c r="AE1668" s="38"/>
      <c r="AF1668" s="38"/>
      <c r="AG1668" s="38"/>
      <c r="AH1668" s="38"/>
    </row>
    <row r="1669" spans="3:34" ht="20.100000000000001" customHeight="1">
      <c r="C1669" s="113"/>
      <c r="D1669" s="114"/>
      <c r="P1669" s="82"/>
      <c r="Q1669" s="82"/>
      <c r="R1669" s="38"/>
      <c r="S1669" s="38"/>
      <c r="T1669" s="38"/>
      <c r="U1669" s="38"/>
      <c r="V1669" s="38"/>
      <c r="W1669" s="38"/>
      <c r="X1669" s="38"/>
      <c r="Y1669" s="38"/>
      <c r="Z1669" s="38"/>
      <c r="AA1669" s="38"/>
      <c r="AB1669" s="38"/>
      <c r="AC1669" s="38"/>
      <c r="AD1669" s="38"/>
      <c r="AE1669" s="38"/>
      <c r="AF1669" s="38"/>
      <c r="AG1669" s="38"/>
      <c r="AH1669" s="38"/>
    </row>
    <row r="1670" spans="3:34" ht="20.100000000000001" customHeight="1">
      <c r="C1670" s="113"/>
      <c r="D1670" s="114"/>
      <c r="P1670" s="82"/>
      <c r="Q1670" s="82"/>
      <c r="R1670" s="38"/>
      <c r="S1670" s="38"/>
      <c r="T1670" s="38"/>
      <c r="U1670" s="38"/>
      <c r="V1670" s="38"/>
      <c r="W1670" s="38"/>
      <c r="X1670" s="38"/>
      <c r="Y1670" s="38"/>
      <c r="Z1670" s="38"/>
      <c r="AA1670" s="38"/>
      <c r="AB1670" s="38"/>
      <c r="AC1670" s="38"/>
      <c r="AD1670" s="38"/>
      <c r="AE1670" s="38"/>
      <c r="AF1670" s="38"/>
      <c r="AG1670" s="38"/>
      <c r="AH1670" s="38"/>
    </row>
    <row r="1671" spans="3:34" ht="20.100000000000001" customHeight="1">
      <c r="C1671" s="113"/>
      <c r="D1671" s="114"/>
      <c r="P1671" s="82"/>
      <c r="Q1671" s="82"/>
      <c r="R1671" s="38"/>
      <c r="S1671" s="38"/>
      <c r="T1671" s="38"/>
      <c r="U1671" s="38"/>
      <c r="V1671" s="38"/>
      <c r="W1671" s="38"/>
      <c r="X1671" s="38"/>
      <c r="Y1671" s="38"/>
      <c r="Z1671" s="38"/>
      <c r="AA1671" s="38"/>
      <c r="AB1671" s="38"/>
      <c r="AC1671" s="38"/>
      <c r="AD1671" s="38"/>
      <c r="AE1671" s="38"/>
      <c r="AF1671" s="38"/>
      <c r="AG1671" s="38"/>
      <c r="AH1671" s="38"/>
    </row>
    <row r="1672" spans="3:34" ht="20.100000000000001" customHeight="1">
      <c r="C1672" s="113"/>
      <c r="D1672" s="114"/>
      <c r="P1672" s="82"/>
      <c r="Q1672" s="82"/>
      <c r="R1672" s="38"/>
      <c r="S1672" s="38"/>
      <c r="T1672" s="38"/>
      <c r="U1672" s="38"/>
      <c r="V1672" s="38"/>
      <c r="W1672" s="38"/>
      <c r="X1672" s="38"/>
      <c r="Y1672" s="38"/>
      <c r="Z1672" s="38"/>
      <c r="AA1672" s="38"/>
      <c r="AB1672" s="38"/>
      <c r="AC1672" s="38"/>
      <c r="AD1672" s="38"/>
      <c r="AE1672" s="38"/>
      <c r="AF1672" s="38"/>
      <c r="AG1672" s="38"/>
      <c r="AH1672" s="38"/>
    </row>
    <row r="1673" spans="3:34" ht="20.100000000000001" customHeight="1">
      <c r="C1673" s="113"/>
      <c r="D1673" s="114"/>
      <c r="P1673" s="82"/>
      <c r="Q1673" s="82"/>
      <c r="R1673" s="38"/>
      <c r="S1673" s="38"/>
      <c r="T1673" s="38"/>
      <c r="U1673" s="38"/>
      <c r="V1673" s="38"/>
      <c r="W1673" s="38"/>
      <c r="X1673" s="38"/>
      <c r="Y1673" s="38"/>
      <c r="Z1673" s="38"/>
      <c r="AA1673" s="38"/>
      <c r="AB1673" s="38"/>
      <c r="AC1673" s="38"/>
      <c r="AD1673" s="38"/>
      <c r="AE1673" s="38"/>
      <c r="AF1673" s="38"/>
      <c r="AG1673" s="38"/>
      <c r="AH1673" s="38"/>
    </row>
    <row r="1674" spans="3:34" ht="20.100000000000001" customHeight="1">
      <c r="C1674" s="113"/>
      <c r="D1674" s="114"/>
      <c r="P1674" s="82"/>
      <c r="Q1674" s="82"/>
      <c r="R1674" s="38"/>
      <c r="S1674" s="38"/>
      <c r="T1674" s="38"/>
      <c r="U1674" s="38"/>
      <c r="V1674" s="38"/>
      <c r="W1674" s="38"/>
      <c r="X1674" s="38"/>
      <c r="Y1674" s="38"/>
      <c r="Z1674" s="38"/>
      <c r="AA1674" s="38"/>
      <c r="AB1674" s="38"/>
      <c r="AC1674" s="38"/>
      <c r="AD1674" s="38"/>
      <c r="AE1674" s="38"/>
      <c r="AF1674" s="38"/>
      <c r="AG1674" s="38"/>
      <c r="AH1674" s="38"/>
    </row>
    <row r="1675" spans="3:34" ht="20.100000000000001" customHeight="1">
      <c r="C1675" s="113"/>
      <c r="D1675" s="114"/>
      <c r="P1675" s="82"/>
      <c r="Q1675" s="82"/>
      <c r="R1675" s="38"/>
      <c r="S1675" s="38"/>
      <c r="T1675" s="38"/>
      <c r="U1675" s="38"/>
      <c r="V1675" s="38"/>
      <c r="W1675" s="38"/>
      <c r="X1675" s="38"/>
      <c r="Y1675" s="38"/>
      <c r="Z1675" s="38"/>
      <c r="AA1675" s="38"/>
      <c r="AB1675" s="38"/>
      <c r="AC1675" s="38"/>
      <c r="AD1675" s="38"/>
      <c r="AE1675" s="38"/>
      <c r="AF1675" s="38"/>
      <c r="AG1675" s="38"/>
      <c r="AH1675" s="38"/>
    </row>
    <row r="1676" spans="3:34" ht="20.100000000000001" customHeight="1">
      <c r="C1676" s="113"/>
      <c r="D1676" s="114"/>
      <c r="P1676" s="82"/>
      <c r="Q1676" s="82"/>
      <c r="R1676" s="38"/>
      <c r="S1676" s="38"/>
      <c r="T1676" s="38"/>
      <c r="U1676" s="38"/>
      <c r="V1676" s="38"/>
      <c r="W1676" s="38"/>
      <c r="X1676" s="38"/>
      <c r="Y1676" s="38"/>
      <c r="Z1676" s="38"/>
      <c r="AA1676" s="38"/>
      <c r="AB1676" s="38"/>
      <c r="AC1676" s="38"/>
      <c r="AD1676" s="38"/>
      <c r="AE1676" s="38"/>
      <c r="AF1676" s="38"/>
      <c r="AG1676" s="38"/>
      <c r="AH1676" s="38"/>
    </row>
    <row r="1677" spans="3:34" ht="20.100000000000001" customHeight="1">
      <c r="C1677" s="113"/>
      <c r="D1677" s="114"/>
      <c r="P1677" s="82"/>
      <c r="Q1677" s="82"/>
      <c r="R1677" s="38"/>
      <c r="S1677" s="38"/>
      <c r="T1677" s="38"/>
      <c r="U1677" s="38"/>
      <c r="V1677" s="38"/>
      <c r="W1677" s="38"/>
      <c r="X1677" s="38"/>
      <c r="Y1677" s="38"/>
      <c r="Z1677" s="38"/>
      <c r="AA1677" s="38"/>
      <c r="AB1677" s="38"/>
      <c r="AC1677" s="38"/>
      <c r="AD1677" s="38"/>
      <c r="AE1677" s="38"/>
      <c r="AF1677" s="38"/>
      <c r="AG1677" s="38"/>
      <c r="AH1677" s="38"/>
    </row>
    <row r="1678" spans="3:34" ht="20.100000000000001" customHeight="1">
      <c r="C1678" s="113"/>
      <c r="D1678" s="114"/>
      <c r="P1678" s="82"/>
      <c r="Q1678" s="82"/>
      <c r="R1678" s="38"/>
      <c r="S1678" s="38"/>
      <c r="T1678" s="38"/>
      <c r="U1678" s="38"/>
      <c r="V1678" s="38"/>
      <c r="W1678" s="38"/>
      <c r="X1678" s="38"/>
      <c r="Y1678" s="38"/>
      <c r="Z1678" s="38"/>
      <c r="AA1678" s="38"/>
      <c r="AB1678" s="38"/>
      <c r="AC1678" s="38"/>
      <c r="AD1678" s="38"/>
      <c r="AE1678" s="38"/>
      <c r="AF1678" s="38"/>
      <c r="AG1678" s="38"/>
      <c r="AH1678" s="38"/>
    </row>
    <row r="1679" spans="3:34" ht="20.100000000000001" customHeight="1">
      <c r="C1679" s="113"/>
      <c r="D1679" s="114"/>
      <c r="P1679" s="82"/>
      <c r="Q1679" s="82"/>
      <c r="R1679" s="38"/>
      <c r="S1679" s="38"/>
      <c r="T1679" s="38"/>
      <c r="U1679" s="38"/>
      <c r="V1679" s="38"/>
      <c r="W1679" s="38"/>
      <c r="X1679" s="38"/>
      <c r="Y1679" s="38"/>
      <c r="Z1679" s="38"/>
      <c r="AA1679" s="38"/>
      <c r="AB1679" s="38"/>
      <c r="AC1679" s="38"/>
      <c r="AD1679" s="38"/>
      <c r="AE1679" s="38"/>
      <c r="AF1679" s="38"/>
      <c r="AG1679" s="38"/>
      <c r="AH1679" s="38"/>
    </row>
    <row r="1680" spans="3:34" ht="20.100000000000001" customHeight="1">
      <c r="C1680" s="113"/>
      <c r="D1680" s="114"/>
      <c r="P1680" s="82"/>
      <c r="Q1680" s="82"/>
      <c r="R1680" s="38"/>
      <c r="S1680" s="38"/>
      <c r="T1680" s="38"/>
      <c r="U1680" s="38"/>
      <c r="V1680" s="38"/>
      <c r="W1680" s="38"/>
      <c r="X1680" s="38"/>
      <c r="Y1680" s="38"/>
      <c r="Z1680" s="38"/>
      <c r="AA1680" s="38"/>
      <c r="AB1680" s="38"/>
      <c r="AC1680" s="38"/>
      <c r="AD1680" s="38"/>
      <c r="AE1680" s="38"/>
      <c r="AF1680" s="38"/>
      <c r="AG1680" s="38"/>
      <c r="AH1680" s="38"/>
    </row>
    <row r="1681" spans="3:34" ht="20.100000000000001" customHeight="1">
      <c r="C1681" s="113"/>
      <c r="D1681" s="114"/>
      <c r="P1681" s="82"/>
      <c r="Q1681" s="82"/>
      <c r="R1681" s="38"/>
      <c r="S1681" s="38"/>
      <c r="T1681" s="38"/>
      <c r="U1681" s="38"/>
      <c r="V1681" s="38"/>
      <c r="W1681" s="38"/>
      <c r="X1681" s="38"/>
      <c r="Y1681" s="38"/>
      <c r="Z1681" s="38"/>
      <c r="AA1681" s="38"/>
      <c r="AB1681" s="38"/>
      <c r="AC1681" s="38"/>
      <c r="AD1681" s="38"/>
      <c r="AE1681" s="38"/>
      <c r="AF1681" s="38"/>
      <c r="AG1681" s="38"/>
      <c r="AH1681" s="38"/>
    </row>
    <row r="1682" spans="3:34" ht="20.100000000000001" customHeight="1">
      <c r="C1682" s="113"/>
      <c r="D1682" s="114"/>
      <c r="P1682" s="82"/>
      <c r="Q1682" s="82"/>
      <c r="R1682" s="38"/>
      <c r="S1682" s="38"/>
      <c r="T1682" s="38"/>
      <c r="U1682" s="38"/>
      <c r="V1682" s="38"/>
      <c r="W1682" s="38"/>
      <c r="X1682" s="38"/>
      <c r="Y1682" s="38"/>
      <c r="Z1682" s="38"/>
      <c r="AA1682" s="38"/>
      <c r="AB1682" s="38"/>
      <c r="AC1682" s="38"/>
      <c r="AD1682" s="38"/>
      <c r="AE1682" s="38"/>
      <c r="AF1682" s="38"/>
      <c r="AG1682" s="38"/>
      <c r="AH1682" s="38"/>
    </row>
    <row r="1683" spans="3:34" ht="20.100000000000001" customHeight="1">
      <c r="C1683" s="113"/>
      <c r="D1683" s="114"/>
      <c r="P1683" s="82"/>
      <c r="Q1683" s="82"/>
      <c r="R1683" s="38"/>
      <c r="S1683" s="38"/>
      <c r="T1683" s="38"/>
      <c r="U1683" s="38"/>
      <c r="V1683" s="38"/>
      <c r="W1683" s="38"/>
      <c r="X1683" s="38"/>
      <c r="Y1683" s="38"/>
      <c r="Z1683" s="38"/>
      <c r="AA1683" s="38"/>
      <c r="AB1683" s="38"/>
      <c r="AC1683" s="38"/>
      <c r="AD1683" s="38"/>
      <c r="AE1683" s="38"/>
      <c r="AF1683" s="38"/>
      <c r="AG1683" s="38"/>
      <c r="AH1683" s="38"/>
    </row>
    <row r="1684" spans="3:34" ht="20.100000000000001" customHeight="1">
      <c r="C1684" s="113"/>
      <c r="D1684" s="114"/>
      <c r="P1684" s="82"/>
      <c r="Q1684" s="82"/>
      <c r="R1684" s="38"/>
      <c r="S1684" s="38"/>
      <c r="T1684" s="38"/>
      <c r="U1684" s="38"/>
      <c r="V1684" s="38"/>
      <c r="W1684" s="38"/>
      <c r="X1684" s="38"/>
      <c r="Y1684" s="38"/>
      <c r="Z1684" s="38"/>
      <c r="AA1684" s="38"/>
      <c r="AB1684" s="38"/>
      <c r="AC1684" s="38"/>
      <c r="AD1684" s="38"/>
      <c r="AE1684" s="38"/>
      <c r="AF1684" s="38"/>
      <c r="AG1684" s="38"/>
      <c r="AH1684" s="38"/>
    </row>
    <row r="1685" spans="3:34" ht="20.100000000000001" customHeight="1">
      <c r="C1685" s="113"/>
      <c r="D1685" s="114"/>
      <c r="P1685" s="82"/>
      <c r="Q1685" s="82"/>
      <c r="R1685" s="38"/>
      <c r="S1685" s="38"/>
      <c r="T1685" s="38"/>
      <c r="U1685" s="38"/>
      <c r="V1685" s="38"/>
      <c r="W1685" s="38"/>
      <c r="X1685" s="38"/>
      <c r="Y1685" s="38"/>
      <c r="Z1685" s="38"/>
      <c r="AA1685" s="38"/>
      <c r="AB1685" s="38"/>
      <c r="AC1685" s="38"/>
      <c r="AD1685" s="38"/>
      <c r="AE1685" s="38"/>
      <c r="AF1685" s="38"/>
      <c r="AG1685" s="38"/>
      <c r="AH1685" s="38"/>
    </row>
    <row r="1686" spans="3:34" ht="20.100000000000001" customHeight="1">
      <c r="C1686" s="113"/>
      <c r="D1686" s="114"/>
      <c r="P1686" s="82"/>
      <c r="Q1686" s="82"/>
      <c r="R1686" s="38"/>
      <c r="S1686" s="38"/>
      <c r="T1686" s="38"/>
      <c r="U1686" s="38"/>
      <c r="V1686" s="38"/>
      <c r="W1686" s="38"/>
      <c r="X1686" s="38"/>
      <c r="Y1686" s="38"/>
      <c r="Z1686" s="38"/>
      <c r="AA1686" s="38"/>
      <c r="AB1686" s="38"/>
      <c r="AC1686" s="38"/>
      <c r="AD1686" s="38"/>
      <c r="AE1686" s="38"/>
      <c r="AF1686" s="38"/>
      <c r="AG1686" s="38"/>
      <c r="AH1686" s="38"/>
    </row>
    <row r="1687" spans="3:34" ht="20.100000000000001" customHeight="1">
      <c r="C1687" s="113"/>
      <c r="D1687" s="114"/>
      <c r="P1687" s="82"/>
      <c r="Q1687" s="82"/>
      <c r="R1687" s="38"/>
      <c r="S1687" s="38"/>
      <c r="T1687" s="38"/>
      <c r="U1687" s="38"/>
      <c r="V1687" s="38"/>
      <c r="W1687" s="38"/>
      <c r="X1687" s="38"/>
      <c r="Y1687" s="38"/>
      <c r="Z1687" s="38"/>
      <c r="AA1687" s="38"/>
      <c r="AB1687" s="38"/>
      <c r="AC1687" s="38"/>
      <c r="AD1687" s="38"/>
      <c r="AE1687" s="38"/>
      <c r="AF1687" s="38"/>
      <c r="AG1687" s="38"/>
      <c r="AH1687" s="38"/>
    </row>
    <row r="1688" spans="3:34" ht="20.100000000000001" customHeight="1">
      <c r="C1688" s="113"/>
      <c r="D1688" s="114"/>
      <c r="P1688" s="82"/>
      <c r="Q1688" s="82"/>
      <c r="R1688" s="38"/>
      <c r="S1688" s="38"/>
      <c r="T1688" s="38"/>
      <c r="U1688" s="38"/>
      <c r="V1688" s="38"/>
      <c r="W1688" s="38"/>
      <c r="X1688" s="38"/>
      <c r="Y1688" s="38"/>
      <c r="Z1688" s="38"/>
      <c r="AA1688" s="38"/>
      <c r="AB1688" s="38"/>
      <c r="AC1688" s="38"/>
      <c r="AD1688" s="38"/>
      <c r="AE1688" s="38"/>
      <c r="AF1688" s="38"/>
      <c r="AG1688" s="38"/>
      <c r="AH1688" s="38"/>
    </row>
    <row r="1689" spans="3:34" ht="20.100000000000001" customHeight="1">
      <c r="C1689" s="113"/>
      <c r="D1689" s="114"/>
      <c r="P1689" s="82"/>
      <c r="Q1689" s="82"/>
      <c r="R1689" s="38"/>
      <c r="S1689" s="38"/>
      <c r="T1689" s="38"/>
      <c r="U1689" s="38"/>
      <c r="V1689" s="38"/>
      <c r="W1689" s="38"/>
      <c r="X1689" s="38"/>
      <c r="Y1689" s="38"/>
      <c r="Z1689" s="38"/>
      <c r="AA1689" s="38"/>
      <c r="AB1689" s="38"/>
      <c r="AC1689" s="38"/>
      <c r="AD1689" s="38"/>
      <c r="AE1689" s="38"/>
      <c r="AF1689" s="38"/>
      <c r="AG1689" s="38"/>
      <c r="AH1689" s="38"/>
    </row>
    <row r="1690" spans="3:34" ht="20.100000000000001" customHeight="1">
      <c r="C1690" s="113"/>
      <c r="D1690" s="114"/>
      <c r="P1690" s="82"/>
      <c r="Q1690" s="82"/>
      <c r="R1690" s="38"/>
      <c r="S1690" s="38"/>
      <c r="T1690" s="38"/>
      <c r="U1690" s="38"/>
      <c r="V1690" s="38"/>
      <c r="W1690" s="38"/>
      <c r="X1690" s="38"/>
      <c r="Y1690" s="38"/>
      <c r="Z1690" s="38"/>
      <c r="AA1690" s="38"/>
      <c r="AB1690" s="38"/>
      <c r="AC1690" s="38"/>
      <c r="AD1690" s="38"/>
      <c r="AE1690" s="38"/>
      <c r="AF1690" s="38"/>
      <c r="AG1690" s="38"/>
      <c r="AH1690" s="38"/>
    </row>
    <row r="1691" spans="3:34" ht="20.100000000000001" customHeight="1">
      <c r="C1691" s="113"/>
      <c r="D1691" s="114"/>
      <c r="P1691" s="82"/>
      <c r="Q1691" s="82"/>
      <c r="R1691" s="38"/>
      <c r="S1691" s="38"/>
      <c r="T1691" s="38"/>
      <c r="U1691" s="38"/>
      <c r="V1691" s="38"/>
      <c r="W1691" s="38"/>
      <c r="X1691" s="38"/>
      <c r="Y1691" s="38"/>
      <c r="Z1691" s="38"/>
      <c r="AA1691" s="38"/>
      <c r="AB1691" s="38"/>
      <c r="AC1691" s="38"/>
      <c r="AD1691" s="38"/>
      <c r="AE1691" s="38"/>
      <c r="AF1691" s="38"/>
      <c r="AG1691" s="38"/>
      <c r="AH1691" s="38"/>
    </row>
    <row r="1692" spans="3:34" ht="20.100000000000001" customHeight="1">
      <c r="C1692" s="113"/>
      <c r="D1692" s="114"/>
      <c r="P1692" s="82"/>
      <c r="Q1692" s="82"/>
      <c r="R1692" s="38"/>
      <c r="S1692" s="38"/>
      <c r="T1692" s="38"/>
      <c r="U1692" s="38"/>
      <c r="V1692" s="38"/>
      <c r="W1692" s="38"/>
      <c r="X1692" s="38"/>
      <c r="Y1692" s="38"/>
      <c r="Z1692" s="38"/>
      <c r="AA1692" s="38"/>
      <c r="AB1692" s="38"/>
      <c r="AC1692" s="38"/>
      <c r="AD1692" s="38"/>
      <c r="AE1692" s="38"/>
      <c r="AF1692" s="38"/>
      <c r="AG1692" s="38"/>
      <c r="AH1692" s="38"/>
    </row>
    <row r="1693" spans="3:34" ht="20.100000000000001" customHeight="1">
      <c r="C1693" s="113"/>
      <c r="D1693" s="114"/>
      <c r="P1693" s="82"/>
      <c r="Q1693" s="82"/>
      <c r="R1693" s="38"/>
      <c r="S1693" s="38"/>
      <c r="T1693" s="38"/>
      <c r="U1693" s="38"/>
      <c r="V1693" s="38"/>
      <c r="W1693" s="38"/>
      <c r="X1693" s="38"/>
      <c r="Y1693" s="38"/>
      <c r="Z1693" s="38"/>
      <c r="AA1693" s="38"/>
      <c r="AB1693" s="38"/>
      <c r="AC1693" s="38"/>
      <c r="AD1693" s="38"/>
      <c r="AE1693" s="38"/>
      <c r="AF1693" s="38"/>
      <c r="AG1693" s="38"/>
      <c r="AH1693" s="38"/>
    </row>
    <row r="1694" spans="3:34" ht="20.100000000000001" customHeight="1">
      <c r="C1694" s="113"/>
      <c r="D1694" s="114"/>
      <c r="P1694" s="82"/>
      <c r="Q1694" s="82"/>
      <c r="R1694" s="38"/>
      <c r="S1694" s="38"/>
      <c r="T1694" s="38"/>
      <c r="U1694" s="38"/>
      <c r="V1694" s="38"/>
      <c r="W1694" s="38"/>
      <c r="X1694" s="38"/>
      <c r="Y1694" s="38"/>
      <c r="Z1694" s="38"/>
      <c r="AA1694" s="38"/>
      <c r="AB1694" s="38"/>
      <c r="AC1694" s="38"/>
      <c r="AD1694" s="38"/>
      <c r="AE1694" s="38"/>
      <c r="AF1694" s="38"/>
      <c r="AG1694" s="38"/>
      <c r="AH1694" s="38"/>
    </row>
    <row r="1695" spans="3:34" ht="20.100000000000001" customHeight="1">
      <c r="C1695" s="113"/>
      <c r="D1695" s="114"/>
      <c r="P1695" s="82"/>
      <c r="Q1695" s="82"/>
      <c r="R1695" s="38"/>
      <c r="S1695" s="38"/>
      <c r="T1695" s="38"/>
      <c r="U1695" s="38"/>
      <c r="V1695" s="38"/>
      <c r="W1695" s="38"/>
      <c r="X1695" s="38"/>
      <c r="Y1695" s="38"/>
      <c r="Z1695" s="38"/>
      <c r="AA1695" s="38"/>
      <c r="AB1695" s="38"/>
      <c r="AC1695" s="38"/>
      <c r="AD1695" s="38"/>
      <c r="AE1695" s="38"/>
      <c r="AF1695" s="38"/>
      <c r="AG1695" s="38"/>
      <c r="AH1695" s="38"/>
    </row>
    <row r="1696" spans="3:34" ht="20.100000000000001" customHeight="1">
      <c r="C1696" s="113"/>
      <c r="D1696" s="114"/>
      <c r="P1696" s="82"/>
      <c r="Q1696" s="82"/>
      <c r="R1696" s="38"/>
      <c r="S1696" s="38"/>
      <c r="T1696" s="38"/>
      <c r="U1696" s="38"/>
      <c r="V1696" s="38"/>
      <c r="W1696" s="38"/>
      <c r="X1696" s="38"/>
      <c r="Y1696" s="38"/>
      <c r="Z1696" s="38"/>
      <c r="AA1696" s="38"/>
      <c r="AB1696" s="38"/>
      <c r="AC1696" s="38"/>
      <c r="AD1696" s="38"/>
      <c r="AE1696" s="38"/>
      <c r="AF1696" s="38"/>
      <c r="AG1696" s="38"/>
      <c r="AH1696" s="38"/>
    </row>
    <row r="1697" spans="3:34" ht="20.100000000000001" customHeight="1">
      <c r="C1697" s="113"/>
      <c r="D1697" s="114"/>
      <c r="P1697" s="82"/>
      <c r="Q1697" s="82"/>
      <c r="R1697" s="38"/>
      <c r="S1697" s="38"/>
      <c r="T1697" s="38"/>
      <c r="U1697" s="38"/>
      <c r="V1697" s="38"/>
      <c r="W1697" s="38"/>
      <c r="X1697" s="38"/>
      <c r="Y1697" s="38"/>
      <c r="Z1697" s="38"/>
      <c r="AA1697" s="38"/>
      <c r="AB1697" s="38"/>
      <c r="AC1697" s="38"/>
      <c r="AD1697" s="38"/>
      <c r="AE1697" s="38"/>
      <c r="AF1697" s="38"/>
      <c r="AG1697" s="38"/>
      <c r="AH1697" s="38"/>
    </row>
    <row r="1698" spans="3:34" ht="20.100000000000001" customHeight="1">
      <c r="C1698" s="113"/>
      <c r="D1698" s="114"/>
      <c r="P1698" s="82"/>
      <c r="Q1698" s="82"/>
      <c r="R1698" s="38"/>
      <c r="S1698" s="38"/>
      <c r="T1698" s="38"/>
      <c r="U1698" s="38"/>
      <c r="V1698" s="38"/>
      <c r="W1698" s="38"/>
      <c r="X1698" s="38"/>
      <c r="Y1698" s="38"/>
      <c r="Z1698" s="38"/>
      <c r="AA1698" s="38"/>
      <c r="AB1698" s="38"/>
      <c r="AC1698" s="38"/>
      <c r="AD1698" s="38"/>
      <c r="AE1698" s="38"/>
      <c r="AF1698" s="38"/>
      <c r="AG1698" s="38"/>
      <c r="AH1698" s="38"/>
    </row>
    <row r="1699" spans="3:34" ht="20.100000000000001" customHeight="1">
      <c r="C1699" s="113"/>
      <c r="D1699" s="114"/>
      <c r="P1699" s="82"/>
      <c r="Q1699" s="82"/>
      <c r="R1699" s="38"/>
      <c r="S1699" s="38"/>
      <c r="T1699" s="38"/>
      <c r="U1699" s="38"/>
      <c r="V1699" s="38"/>
      <c r="W1699" s="38"/>
      <c r="X1699" s="38"/>
      <c r="Y1699" s="38"/>
      <c r="Z1699" s="38"/>
      <c r="AA1699" s="38"/>
      <c r="AB1699" s="38"/>
      <c r="AC1699" s="38"/>
      <c r="AD1699" s="38"/>
      <c r="AE1699" s="38"/>
      <c r="AF1699" s="38"/>
      <c r="AG1699" s="38"/>
      <c r="AH1699" s="38"/>
    </row>
    <row r="1700" spans="3:34" ht="20.100000000000001" customHeight="1">
      <c r="C1700" s="113"/>
      <c r="D1700" s="114"/>
      <c r="P1700" s="82"/>
      <c r="Q1700" s="82"/>
      <c r="R1700" s="38"/>
      <c r="S1700" s="38"/>
      <c r="T1700" s="38"/>
      <c r="U1700" s="38"/>
      <c r="V1700" s="38"/>
      <c r="W1700" s="38"/>
      <c r="X1700" s="38"/>
      <c r="Y1700" s="38"/>
      <c r="Z1700" s="38"/>
      <c r="AA1700" s="38"/>
      <c r="AB1700" s="38"/>
      <c r="AC1700" s="38"/>
      <c r="AD1700" s="38"/>
      <c r="AE1700" s="38"/>
      <c r="AF1700" s="38"/>
      <c r="AG1700" s="38"/>
      <c r="AH1700" s="38"/>
    </row>
    <row r="1701" spans="3:34" ht="20.100000000000001" customHeight="1">
      <c r="C1701" s="113"/>
      <c r="D1701" s="114"/>
      <c r="P1701" s="82"/>
      <c r="Q1701" s="82"/>
      <c r="R1701" s="38"/>
      <c r="S1701" s="38"/>
      <c r="T1701" s="38"/>
      <c r="U1701" s="38"/>
      <c r="V1701" s="38"/>
      <c r="W1701" s="38"/>
      <c r="X1701" s="38"/>
      <c r="Y1701" s="38"/>
      <c r="Z1701" s="38"/>
      <c r="AA1701" s="38"/>
      <c r="AB1701" s="38"/>
      <c r="AC1701" s="38"/>
      <c r="AD1701" s="38"/>
      <c r="AE1701" s="38"/>
      <c r="AF1701" s="38"/>
      <c r="AG1701" s="38"/>
      <c r="AH1701" s="38"/>
    </row>
    <row r="1702" spans="3:34" ht="20.100000000000001" customHeight="1">
      <c r="C1702" s="113"/>
      <c r="D1702" s="114"/>
      <c r="P1702" s="82"/>
      <c r="Q1702" s="82"/>
      <c r="R1702" s="38"/>
      <c r="S1702" s="38"/>
      <c r="T1702" s="38"/>
      <c r="U1702" s="38"/>
      <c r="V1702" s="38"/>
      <c r="W1702" s="38"/>
      <c r="X1702" s="38"/>
      <c r="Y1702" s="38"/>
      <c r="Z1702" s="38"/>
      <c r="AA1702" s="38"/>
      <c r="AB1702" s="38"/>
      <c r="AC1702" s="38"/>
      <c r="AD1702" s="38"/>
      <c r="AE1702" s="38"/>
      <c r="AF1702" s="38"/>
      <c r="AG1702" s="38"/>
      <c r="AH1702" s="38"/>
    </row>
    <row r="1703" spans="3:34" ht="20.100000000000001" customHeight="1">
      <c r="C1703" s="113"/>
      <c r="D1703" s="114"/>
      <c r="P1703" s="82"/>
      <c r="Q1703" s="82"/>
      <c r="R1703" s="38"/>
      <c r="S1703" s="38"/>
      <c r="T1703" s="38"/>
      <c r="U1703" s="38"/>
      <c r="V1703" s="38"/>
      <c r="W1703" s="38"/>
      <c r="X1703" s="38"/>
      <c r="Y1703" s="38"/>
      <c r="Z1703" s="38"/>
      <c r="AA1703" s="38"/>
      <c r="AB1703" s="38"/>
      <c r="AC1703" s="38"/>
      <c r="AD1703" s="38"/>
      <c r="AE1703" s="38"/>
      <c r="AF1703" s="38"/>
      <c r="AG1703" s="38"/>
      <c r="AH1703" s="38"/>
    </row>
    <row r="1704" spans="3:34" ht="20.100000000000001" customHeight="1">
      <c r="C1704" s="113"/>
      <c r="D1704" s="114"/>
      <c r="P1704" s="82"/>
      <c r="Q1704" s="82"/>
      <c r="R1704" s="38"/>
      <c r="S1704" s="38"/>
      <c r="T1704" s="38"/>
      <c r="U1704" s="38"/>
      <c r="V1704" s="38"/>
      <c r="W1704" s="38"/>
      <c r="X1704" s="38"/>
      <c r="Y1704" s="38"/>
      <c r="Z1704" s="38"/>
      <c r="AA1704" s="38"/>
      <c r="AB1704" s="38"/>
      <c r="AC1704" s="38"/>
      <c r="AD1704" s="38"/>
      <c r="AE1704" s="38"/>
      <c r="AF1704" s="38"/>
      <c r="AG1704" s="38"/>
      <c r="AH1704" s="38"/>
    </row>
    <row r="1705" spans="3:34" ht="20.100000000000001" customHeight="1">
      <c r="C1705" s="113"/>
      <c r="D1705" s="114"/>
      <c r="P1705" s="82"/>
      <c r="Q1705" s="82"/>
      <c r="R1705" s="38"/>
      <c r="S1705" s="38"/>
      <c r="T1705" s="38"/>
      <c r="U1705" s="38"/>
      <c r="V1705" s="38"/>
      <c r="W1705" s="38"/>
      <c r="X1705" s="38"/>
      <c r="Y1705" s="38"/>
      <c r="Z1705" s="38"/>
      <c r="AA1705" s="38"/>
      <c r="AB1705" s="38"/>
      <c r="AC1705" s="38"/>
      <c r="AD1705" s="38"/>
      <c r="AE1705" s="38"/>
      <c r="AF1705" s="38"/>
      <c r="AG1705" s="38"/>
      <c r="AH1705" s="38"/>
    </row>
    <row r="1706" spans="3:34" ht="20.100000000000001" customHeight="1">
      <c r="C1706" s="113"/>
      <c r="D1706" s="114"/>
      <c r="P1706" s="82"/>
      <c r="Q1706" s="82"/>
      <c r="R1706" s="38"/>
      <c r="S1706" s="38"/>
      <c r="T1706" s="38"/>
      <c r="U1706" s="38"/>
      <c r="V1706" s="38"/>
      <c r="W1706" s="38"/>
      <c r="X1706" s="38"/>
      <c r="Y1706" s="38"/>
      <c r="Z1706" s="38"/>
      <c r="AA1706" s="38"/>
      <c r="AB1706" s="38"/>
      <c r="AC1706" s="38"/>
      <c r="AD1706" s="38"/>
      <c r="AE1706" s="38"/>
      <c r="AF1706" s="38"/>
      <c r="AG1706" s="38"/>
      <c r="AH1706" s="38"/>
    </row>
    <row r="1707" spans="3:34" ht="20.100000000000001" customHeight="1">
      <c r="C1707" s="113"/>
      <c r="D1707" s="114"/>
      <c r="P1707" s="82"/>
      <c r="Q1707" s="82"/>
      <c r="R1707" s="38"/>
      <c r="S1707" s="38"/>
      <c r="T1707" s="38"/>
      <c r="U1707" s="38"/>
      <c r="V1707" s="38"/>
      <c r="W1707" s="38"/>
      <c r="X1707" s="38"/>
      <c r="Y1707" s="38"/>
      <c r="Z1707" s="38"/>
      <c r="AA1707" s="38"/>
      <c r="AB1707" s="38"/>
      <c r="AC1707" s="38"/>
      <c r="AD1707" s="38"/>
      <c r="AE1707" s="38"/>
      <c r="AF1707" s="38"/>
      <c r="AG1707" s="38"/>
      <c r="AH1707" s="38"/>
    </row>
    <row r="1708" spans="3:34" ht="20.100000000000001" customHeight="1">
      <c r="C1708" s="113"/>
      <c r="D1708" s="114"/>
      <c r="P1708" s="82"/>
      <c r="Q1708" s="82"/>
      <c r="R1708" s="38"/>
      <c r="S1708" s="38"/>
      <c r="T1708" s="38"/>
      <c r="U1708" s="38"/>
      <c r="V1708" s="38"/>
      <c r="W1708" s="38"/>
      <c r="X1708" s="38"/>
      <c r="Y1708" s="38"/>
      <c r="Z1708" s="38"/>
      <c r="AA1708" s="38"/>
      <c r="AB1708" s="38"/>
      <c r="AC1708" s="38"/>
      <c r="AD1708" s="38"/>
      <c r="AE1708" s="38"/>
      <c r="AF1708" s="38"/>
      <c r="AG1708" s="38"/>
      <c r="AH1708" s="38"/>
    </row>
    <row r="1709" spans="3:34" ht="20.100000000000001" customHeight="1">
      <c r="C1709" s="113"/>
      <c r="D1709" s="114"/>
      <c r="P1709" s="82"/>
      <c r="Q1709" s="82"/>
      <c r="R1709" s="38"/>
      <c r="S1709" s="38"/>
      <c r="T1709" s="38"/>
      <c r="U1709" s="38"/>
      <c r="V1709" s="38"/>
      <c r="W1709" s="38"/>
      <c r="X1709" s="38"/>
      <c r="Y1709" s="38"/>
      <c r="Z1709" s="38"/>
      <c r="AA1709" s="38"/>
      <c r="AB1709" s="38"/>
      <c r="AC1709" s="38"/>
      <c r="AD1709" s="38"/>
      <c r="AE1709" s="38"/>
      <c r="AF1709" s="38"/>
      <c r="AG1709" s="38"/>
      <c r="AH1709" s="38"/>
    </row>
    <row r="1710" spans="3:34" ht="20.100000000000001" customHeight="1">
      <c r="C1710" s="113"/>
      <c r="D1710" s="114"/>
      <c r="P1710" s="82"/>
      <c r="Q1710" s="82"/>
      <c r="R1710" s="38"/>
      <c r="S1710" s="38"/>
      <c r="T1710" s="38"/>
      <c r="U1710" s="38"/>
      <c r="V1710" s="38"/>
      <c r="W1710" s="38"/>
      <c r="X1710" s="38"/>
      <c r="Y1710" s="38"/>
      <c r="Z1710" s="38"/>
      <c r="AA1710" s="38"/>
      <c r="AB1710" s="38"/>
      <c r="AC1710" s="38"/>
      <c r="AD1710" s="38"/>
      <c r="AE1710" s="38"/>
      <c r="AF1710" s="38"/>
      <c r="AG1710" s="38"/>
      <c r="AH1710" s="38"/>
    </row>
    <row r="1711" spans="3:34" ht="20.100000000000001" customHeight="1">
      <c r="C1711" s="113"/>
      <c r="D1711" s="114"/>
      <c r="P1711" s="82"/>
      <c r="Q1711" s="82"/>
      <c r="R1711" s="38"/>
      <c r="S1711" s="38"/>
      <c r="T1711" s="38"/>
      <c r="U1711" s="38"/>
      <c r="V1711" s="38"/>
      <c r="W1711" s="38"/>
      <c r="X1711" s="38"/>
      <c r="Y1711" s="38"/>
      <c r="Z1711" s="38"/>
      <c r="AA1711" s="38"/>
      <c r="AB1711" s="38"/>
      <c r="AC1711" s="38"/>
      <c r="AD1711" s="38"/>
      <c r="AE1711" s="38"/>
      <c r="AF1711" s="38"/>
      <c r="AG1711" s="38"/>
      <c r="AH1711" s="38"/>
    </row>
    <row r="1712" spans="3:34" ht="20.100000000000001" customHeight="1">
      <c r="C1712" s="113"/>
      <c r="D1712" s="114"/>
      <c r="P1712" s="82"/>
      <c r="Q1712" s="82"/>
      <c r="R1712" s="38"/>
      <c r="S1712" s="38"/>
      <c r="T1712" s="38"/>
      <c r="U1712" s="38"/>
      <c r="V1712" s="38"/>
      <c r="W1712" s="38"/>
      <c r="X1712" s="38"/>
      <c r="Y1712" s="38"/>
      <c r="Z1712" s="38"/>
      <c r="AA1712" s="38"/>
      <c r="AB1712" s="38"/>
      <c r="AC1712" s="38"/>
      <c r="AD1712" s="38"/>
      <c r="AE1712" s="38"/>
      <c r="AF1712" s="38"/>
      <c r="AG1712" s="38"/>
      <c r="AH1712" s="38"/>
    </row>
    <row r="1713" spans="3:34" ht="20.100000000000001" customHeight="1">
      <c r="C1713" s="113"/>
      <c r="D1713" s="114"/>
      <c r="P1713" s="82"/>
      <c r="Q1713" s="82"/>
      <c r="R1713" s="38"/>
      <c r="S1713" s="38"/>
      <c r="T1713" s="38"/>
      <c r="U1713" s="38"/>
      <c r="V1713" s="38"/>
      <c r="W1713" s="38"/>
      <c r="X1713" s="38"/>
      <c r="Y1713" s="38"/>
      <c r="Z1713" s="38"/>
      <c r="AA1713" s="38"/>
      <c r="AB1713" s="38"/>
      <c r="AC1713" s="38"/>
      <c r="AD1713" s="38"/>
      <c r="AE1713" s="38"/>
      <c r="AF1713" s="38"/>
      <c r="AG1713" s="38"/>
      <c r="AH1713" s="38"/>
    </row>
    <row r="1714" spans="3:34" ht="20.100000000000001" customHeight="1">
      <c r="C1714" s="113"/>
      <c r="D1714" s="114"/>
      <c r="P1714" s="82"/>
      <c r="Q1714" s="82"/>
      <c r="R1714" s="38"/>
      <c r="S1714" s="38"/>
      <c r="T1714" s="38"/>
      <c r="U1714" s="38"/>
      <c r="V1714" s="38"/>
      <c r="W1714" s="38"/>
      <c r="X1714" s="38"/>
      <c r="Y1714" s="38"/>
      <c r="Z1714" s="38"/>
      <c r="AA1714" s="38"/>
      <c r="AB1714" s="38"/>
      <c r="AC1714" s="38"/>
      <c r="AD1714" s="38"/>
      <c r="AE1714" s="38"/>
      <c r="AF1714" s="38"/>
      <c r="AG1714" s="38"/>
      <c r="AH1714" s="38"/>
    </row>
    <row r="1715" spans="3:34" ht="20.100000000000001" customHeight="1">
      <c r="C1715" s="113"/>
      <c r="D1715" s="114"/>
      <c r="P1715" s="82"/>
      <c r="Q1715" s="82"/>
      <c r="R1715" s="38"/>
      <c r="S1715" s="38"/>
      <c r="T1715" s="38"/>
      <c r="U1715" s="38"/>
      <c r="V1715" s="38"/>
      <c r="W1715" s="38"/>
      <c r="X1715" s="38"/>
      <c r="Y1715" s="38"/>
      <c r="Z1715" s="38"/>
      <c r="AA1715" s="38"/>
      <c r="AB1715" s="38"/>
      <c r="AC1715" s="38"/>
      <c r="AD1715" s="38"/>
      <c r="AE1715" s="38"/>
      <c r="AF1715" s="38"/>
      <c r="AG1715" s="38"/>
      <c r="AH1715" s="38"/>
    </row>
    <row r="1716" spans="3:34" ht="20.100000000000001" customHeight="1">
      <c r="C1716" s="113"/>
      <c r="D1716" s="114"/>
      <c r="P1716" s="82"/>
      <c r="Q1716" s="82"/>
      <c r="R1716" s="38"/>
      <c r="S1716" s="38"/>
      <c r="T1716" s="38"/>
      <c r="U1716" s="38"/>
      <c r="V1716" s="38"/>
      <c r="W1716" s="38"/>
      <c r="X1716" s="38"/>
      <c r="Y1716" s="38"/>
      <c r="Z1716" s="38"/>
      <c r="AA1716" s="38"/>
      <c r="AB1716" s="38"/>
      <c r="AC1716" s="38"/>
      <c r="AD1716" s="38"/>
      <c r="AE1716" s="38"/>
      <c r="AF1716" s="38"/>
      <c r="AG1716" s="38"/>
      <c r="AH1716" s="38"/>
    </row>
    <row r="1717" spans="3:34" ht="20.100000000000001" customHeight="1">
      <c r="C1717" s="113"/>
      <c r="D1717" s="114"/>
      <c r="P1717" s="82"/>
      <c r="Q1717" s="82"/>
      <c r="R1717" s="38"/>
      <c r="S1717" s="38"/>
      <c r="T1717" s="38"/>
      <c r="U1717" s="38"/>
      <c r="V1717" s="38"/>
      <c r="W1717" s="38"/>
      <c r="X1717" s="38"/>
      <c r="Y1717" s="38"/>
      <c r="Z1717" s="38"/>
      <c r="AA1717" s="38"/>
      <c r="AB1717" s="38"/>
      <c r="AC1717" s="38"/>
      <c r="AD1717" s="38"/>
      <c r="AE1717" s="38"/>
      <c r="AF1717" s="38"/>
      <c r="AG1717" s="38"/>
      <c r="AH1717" s="38"/>
    </row>
    <row r="1718" spans="3:34" ht="20.100000000000001" customHeight="1">
      <c r="C1718" s="113"/>
      <c r="D1718" s="114"/>
      <c r="P1718" s="82"/>
      <c r="Q1718" s="82"/>
      <c r="R1718" s="38"/>
      <c r="S1718" s="38"/>
      <c r="T1718" s="38"/>
      <c r="U1718" s="38"/>
      <c r="V1718" s="38"/>
      <c r="W1718" s="38"/>
      <c r="X1718" s="38"/>
      <c r="Y1718" s="38"/>
      <c r="Z1718" s="38"/>
      <c r="AA1718" s="38"/>
      <c r="AB1718" s="38"/>
      <c r="AC1718" s="38"/>
      <c r="AD1718" s="38"/>
      <c r="AE1718" s="38"/>
      <c r="AF1718" s="38"/>
      <c r="AG1718" s="38"/>
      <c r="AH1718" s="38"/>
    </row>
    <row r="1719" spans="3:34" ht="20.100000000000001" customHeight="1">
      <c r="C1719" s="113"/>
      <c r="D1719" s="114"/>
      <c r="P1719" s="82"/>
      <c r="Q1719" s="82"/>
      <c r="R1719" s="38"/>
      <c r="S1719" s="38"/>
      <c r="T1719" s="38"/>
      <c r="U1719" s="38"/>
      <c r="V1719" s="38"/>
      <c r="W1719" s="38"/>
      <c r="X1719" s="38"/>
      <c r="Y1719" s="38"/>
      <c r="Z1719" s="38"/>
      <c r="AA1719" s="38"/>
      <c r="AB1719" s="38"/>
      <c r="AC1719" s="38"/>
      <c r="AD1719" s="38"/>
      <c r="AE1719" s="38"/>
      <c r="AF1719" s="38"/>
      <c r="AG1719" s="38"/>
      <c r="AH1719" s="38"/>
    </row>
    <row r="1720" spans="3:34" ht="20.100000000000001" customHeight="1">
      <c r="C1720" s="113"/>
      <c r="D1720" s="114"/>
      <c r="P1720" s="82"/>
      <c r="Q1720" s="82"/>
      <c r="R1720" s="38"/>
      <c r="S1720" s="38"/>
      <c r="T1720" s="38"/>
      <c r="U1720" s="38"/>
      <c r="V1720" s="38"/>
      <c r="W1720" s="38"/>
      <c r="X1720" s="38"/>
      <c r="Y1720" s="38"/>
      <c r="Z1720" s="38"/>
      <c r="AA1720" s="38"/>
      <c r="AB1720" s="38"/>
      <c r="AC1720" s="38"/>
      <c r="AD1720" s="38"/>
      <c r="AE1720" s="38"/>
      <c r="AF1720" s="38"/>
      <c r="AG1720" s="38"/>
      <c r="AH1720" s="38"/>
    </row>
    <row r="1721" spans="3:34" ht="20.100000000000001" customHeight="1">
      <c r="C1721" s="113"/>
      <c r="D1721" s="114"/>
      <c r="P1721" s="82"/>
      <c r="Q1721" s="82"/>
      <c r="R1721" s="38"/>
      <c r="S1721" s="38"/>
      <c r="T1721" s="38"/>
      <c r="U1721" s="38"/>
      <c r="V1721" s="38"/>
      <c r="W1721" s="38"/>
      <c r="X1721" s="38"/>
      <c r="Y1721" s="38"/>
      <c r="Z1721" s="38"/>
      <c r="AA1721" s="38"/>
      <c r="AB1721" s="38"/>
      <c r="AC1721" s="38"/>
      <c r="AD1721" s="38"/>
      <c r="AE1721" s="38"/>
      <c r="AF1721" s="38"/>
      <c r="AG1721" s="38"/>
      <c r="AH1721" s="38"/>
    </row>
    <row r="1722" spans="3:34" ht="20.100000000000001" customHeight="1">
      <c r="C1722" s="113"/>
      <c r="D1722" s="114"/>
      <c r="P1722" s="82"/>
      <c r="Q1722" s="82"/>
      <c r="R1722" s="38"/>
      <c r="S1722" s="38"/>
      <c r="T1722" s="38"/>
      <c r="U1722" s="38"/>
      <c r="V1722" s="38"/>
      <c r="W1722" s="38"/>
      <c r="X1722" s="38"/>
      <c r="Y1722" s="38"/>
      <c r="Z1722" s="38"/>
      <c r="AA1722" s="38"/>
      <c r="AB1722" s="38"/>
      <c r="AC1722" s="38"/>
      <c r="AD1722" s="38"/>
      <c r="AE1722" s="38"/>
      <c r="AF1722" s="38"/>
      <c r="AG1722" s="38"/>
      <c r="AH1722" s="38"/>
    </row>
    <row r="1723" spans="3:34" ht="20.100000000000001" customHeight="1">
      <c r="C1723" s="113"/>
      <c r="D1723" s="114"/>
      <c r="P1723" s="82"/>
      <c r="Q1723" s="82"/>
      <c r="R1723" s="38"/>
      <c r="S1723" s="38"/>
      <c r="T1723" s="38"/>
      <c r="U1723" s="38"/>
      <c r="V1723" s="38"/>
      <c r="W1723" s="38"/>
      <c r="X1723" s="38"/>
      <c r="Y1723" s="38"/>
      <c r="Z1723" s="38"/>
      <c r="AA1723" s="38"/>
      <c r="AB1723" s="38"/>
      <c r="AC1723" s="38"/>
      <c r="AD1723" s="38"/>
      <c r="AE1723" s="38"/>
      <c r="AF1723" s="38"/>
      <c r="AG1723" s="38"/>
      <c r="AH1723" s="38"/>
    </row>
    <row r="1724" spans="3:34" ht="20.100000000000001" customHeight="1">
      <c r="C1724" s="113"/>
      <c r="D1724" s="114"/>
      <c r="P1724" s="82"/>
      <c r="Q1724" s="82"/>
      <c r="R1724" s="38"/>
      <c r="S1724" s="38"/>
      <c r="T1724" s="38"/>
      <c r="U1724" s="38"/>
      <c r="V1724" s="38"/>
      <c r="W1724" s="38"/>
      <c r="X1724" s="38"/>
      <c r="Y1724" s="38"/>
      <c r="Z1724" s="38"/>
      <c r="AA1724" s="38"/>
      <c r="AB1724" s="38"/>
      <c r="AC1724" s="38"/>
      <c r="AD1724" s="38"/>
      <c r="AE1724" s="38"/>
      <c r="AF1724" s="38"/>
      <c r="AG1724" s="38"/>
      <c r="AH1724" s="38"/>
    </row>
    <row r="1725" spans="3:34" ht="20.100000000000001" customHeight="1">
      <c r="C1725" s="113"/>
      <c r="D1725" s="114"/>
      <c r="P1725" s="82"/>
      <c r="Q1725" s="82"/>
      <c r="R1725" s="38"/>
      <c r="S1725" s="38"/>
      <c r="T1725" s="38"/>
      <c r="U1725" s="38"/>
      <c r="V1725" s="38"/>
      <c r="W1725" s="38"/>
      <c r="X1725" s="38"/>
      <c r="Y1725" s="38"/>
      <c r="Z1725" s="38"/>
      <c r="AA1725" s="38"/>
      <c r="AB1725" s="38"/>
      <c r="AC1725" s="38"/>
      <c r="AD1725" s="38"/>
      <c r="AE1725" s="38"/>
      <c r="AF1725" s="38"/>
      <c r="AG1725" s="38"/>
      <c r="AH1725" s="38"/>
    </row>
    <row r="1726" spans="3:34" ht="20.100000000000001" customHeight="1">
      <c r="C1726" s="113"/>
      <c r="D1726" s="114"/>
      <c r="P1726" s="82"/>
      <c r="Q1726" s="82"/>
      <c r="R1726" s="38"/>
      <c r="S1726" s="38"/>
      <c r="T1726" s="38"/>
      <c r="U1726" s="38"/>
      <c r="V1726" s="38"/>
      <c r="W1726" s="38"/>
      <c r="X1726" s="38"/>
      <c r="Y1726" s="38"/>
      <c r="Z1726" s="38"/>
      <c r="AA1726" s="38"/>
      <c r="AB1726" s="38"/>
      <c r="AC1726" s="38"/>
      <c r="AD1726" s="38"/>
      <c r="AE1726" s="38"/>
      <c r="AF1726" s="38"/>
      <c r="AG1726" s="38"/>
      <c r="AH1726" s="38"/>
    </row>
    <row r="1727" spans="3:34" ht="20.100000000000001" customHeight="1">
      <c r="C1727" s="113"/>
      <c r="D1727" s="114"/>
      <c r="P1727" s="82"/>
      <c r="Q1727" s="82"/>
      <c r="R1727" s="38"/>
      <c r="S1727" s="38"/>
      <c r="T1727" s="38"/>
      <c r="U1727" s="38"/>
      <c r="V1727" s="38"/>
      <c r="W1727" s="38"/>
      <c r="X1727" s="38"/>
      <c r="Y1727" s="38"/>
      <c r="Z1727" s="38"/>
      <c r="AA1727" s="38"/>
      <c r="AB1727" s="38"/>
      <c r="AC1727" s="38"/>
      <c r="AD1727" s="38"/>
      <c r="AE1727" s="38"/>
      <c r="AF1727" s="38"/>
      <c r="AG1727" s="38"/>
      <c r="AH1727" s="38"/>
    </row>
    <row r="1728" spans="3:34" ht="20.100000000000001" customHeight="1">
      <c r="C1728" s="113"/>
      <c r="D1728" s="114"/>
      <c r="P1728" s="82"/>
      <c r="Q1728" s="82"/>
      <c r="R1728" s="38"/>
      <c r="S1728" s="38"/>
      <c r="T1728" s="38"/>
      <c r="U1728" s="38"/>
      <c r="V1728" s="38"/>
      <c r="W1728" s="38"/>
      <c r="X1728" s="38"/>
      <c r="Y1728" s="38"/>
      <c r="Z1728" s="38"/>
      <c r="AA1728" s="38"/>
      <c r="AB1728" s="38"/>
      <c r="AC1728" s="38"/>
      <c r="AD1728" s="38"/>
      <c r="AE1728" s="38"/>
      <c r="AF1728" s="38"/>
      <c r="AG1728" s="38"/>
      <c r="AH1728" s="38"/>
    </row>
    <row r="1729" spans="3:34" ht="20.100000000000001" customHeight="1">
      <c r="C1729" s="113"/>
      <c r="D1729" s="114"/>
      <c r="P1729" s="82"/>
      <c r="Q1729" s="82"/>
      <c r="R1729" s="38"/>
      <c r="S1729" s="38"/>
      <c r="T1729" s="38"/>
      <c r="U1729" s="38"/>
      <c r="V1729" s="38"/>
      <c r="W1729" s="38"/>
      <c r="X1729" s="38"/>
      <c r="Y1729" s="38"/>
      <c r="Z1729" s="38"/>
      <c r="AA1729" s="38"/>
      <c r="AB1729" s="38"/>
      <c r="AC1729" s="38"/>
      <c r="AD1729" s="38"/>
      <c r="AE1729" s="38"/>
      <c r="AF1729" s="38"/>
      <c r="AG1729" s="38"/>
      <c r="AH1729" s="38"/>
    </row>
    <row r="1730" spans="3:34" ht="20.100000000000001" customHeight="1">
      <c r="C1730" s="113"/>
      <c r="D1730" s="114"/>
      <c r="P1730" s="82"/>
      <c r="Q1730" s="82"/>
      <c r="R1730" s="38"/>
      <c r="S1730" s="38"/>
      <c r="T1730" s="38"/>
      <c r="U1730" s="38"/>
      <c r="V1730" s="38"/>
      <c r="W1730" s="38"/>
      <c r="X1730" s="38"/>
      <c r="Y1730" s="38"/>
      <c r="Z1730" s="38"/>
      <c r="AA1730" s="38"/>
      <c r="AB1730" s="38"/>
      <c r="AC1730" s="38"/>
      <c r="AD1730" s="38"/>
      <c r="AE1730" s="38"/>
      <c r="AF1730" s="38"/>
      <c r="AG1730" s="38"/>
      <c r="AH1730" s="38"/>
    </row>
    <row r="1731" spans="3:34" ht="20.100000000000001" customHeight="1">
      <c r="C1731" s="113"/>
      <c r="D1731" s="114"/>
      <c r="P1731" s="82"/>
      <c r="Q1731" s="82"/>
      <c r="R1731" s="38"/>
      <c r="S1731" s="38"/>
      <c r="T1731" s="38"/>
      <c r="U1731" s="38"/>
      <c r="V1731" s="38"/>
      <c r="W1731" s="38"/>
      <c r="X1731" s="38"/>
      <c r="Y1731" s="38"/>
      <c r="Z1731" s="38"/>
      <c r="AA1731" s="38"/>
      <c r="AB1731" s="38"/>
      <c r="AC1731" s="38"/>
      <c r="AD1731" s="38"/>
      <c r="AE1731" s="38"/>
      <c r="AF1731" s="38"/>
      <c r="AG1731" s="38"/>
      <c r="AH1731" s="38"/>
    </row>
    <row r="1732" spans="3:34" ht="20.100000000000001" customHeight="1">
      <c r="C1732" s="113"/>
      <c r="D1732" s="114"/>
      <c r="P1732" s="82"/>
      <c r="Q1732" s="82"/>
      <c r="R1732" s="38"/>
      <c r="S1732" s="38"/>
      <c r="T1732" s="38"/>
      <c r="U1732" s="38"/>
      <c r="V1732" s="38"/>
      <c r="W1732" s="38"/>
      <c r="X1732" s="38"/>
      <c r="Y1732" s="38"/>
      <c r="Z1732" s="38"/>
      <c r="AA1732" s="38"/>
      <c r="AB1732" s="38"/>
      <c r="AC1732" s="38"/>
      <c r="AD1732" s="38"/>
      <c r="AE1732" s="38"/>
      <c r="AF1732" s="38"/>
      <c r="AG1732" s="38"/>
      <c r="AH1732" s="38"/>
    </row>
    <row r="1733" spans="3:34" ht="20.100000000000001" customHeight="1">
      <c r="C1733" s="113"/>
      <c r="D1733" s="114"/>
      <c r="P1733" s="82"/>
      <c r="Q1733" s="82"/>
      <c r="R1733" s="38"/>
      <c r="S1733" s="38"/>
      <c r="T1733" s="38"/>
      <c r="U1733" s="38"/>
      <c r="V1733" s="38"/>
      <c r="W1733" s="38"/>
      <c r="X1733" s="38"/>
      <c r="Y1733" s="38"/>
      <c r="Z1733" s="38"/>
      <c r="AA1733" s="38"/>
      <c r="AB1733" s="38"/>
      <c r="AC1733" s="38"/>
      <c r="AD1733" s="38"/>
      <c r="AE1733" s="38"/>
      <c r="AF1733" s="38"/>
      <c r="AG1733" s="38"/>
      <c r="AH1733" s="38"/>
    </row>
    <row r="1734" spans="3:34" ht="20.100000000000001" customHeight="1">
      <c r="C1734" s="113"/>
      <c r="D1734" s="114"/>
      <c r="P1734" s="82"/>
      <c r="Q1734" s="82"/>
      <c r="R1734" s="38"/>
      <c r="S1734" s="38"/>
      <c r="T1734" s="38"/>
      <c r="U1734" s="38"/>
      <c r="V1734" s="38"/>
      <c r="W1734" s="38"/>
      <c r="X1734" s="38"/>
      <c r="Y1734" s="38"/>
      <c r="Z1734" s="38"/>
      <c r="AA1734" s="38"/>
      <c r="AB1734" s="38"/>
      <c r="AC1734" s="38"/>
      <c r="AD1734" s="38"/>
      <c r="AE1734" s="38"/>
      <c r="AF1734" s="38"/>
      <c r="AG1734" s="38"/>
      <c r="AH1734" s="38"/>
    </row>
    <row r="1735" spans="3:34" ht="20.100000000000001" customHeight="1">
      <c r="C1735" s="113"/>
      <c r="D1735" s="114"/>
      <c r="P1735" s="82"/>
      <c r="Q1735" s="82"/>
      <c r="R1735" s="38"/>
      <c r="S1735" s="38"/>
      <c r="T1735" s="38"/>
      <c r="U1735" s="38"/>
      <c r="V1735" s="38"/>
      <c r="W1735" s="38"/>
      <c r="X1735" s="38"/>
      <c r="Y1735" s="38"/>
      <c r="Z1735" s="38"/>
      <c r="AA1735" s="38"/>
      <c r="AB1735" s="38"/>
      <c r="AC1735" s="38"/>
      <c r="AD1735" s="38"/>
      <c r="AE1735" s="38"/>
      <c r="AF1735" s="38"/>
      <c r="AG1735" s="38"/>
      <c r="AH1735" s="38"/>
    </row>
    <row r="1736" spans="3:34" ht="20.100000000000001" customHeight="1">
      <c r="C1736" s="113"/>
      <c r="D1736" s="114"/>
      <c r="P1736" s="82"/>
      <c r="Q1736" s="82"/>
      <c r="R1736" s="38"/>
      <c r="S1736" s="38"/>
      <c r="T1736" s="38"/>
      <c r="U1736" s="38"/>
      <c r="V1736" s="38"/>
      <c r="W1736" s="38"/>
      <c r="X1736" s="38"/>
      <c r="Y1736" s="38"/>
      <c r="Z1736" s="38"/>
      <c r="AA1736" s="38"/>
      <c r="AB1736" s="38"/>
      <c r="AC1736" s="38"/>
      <c r="AD1736" s="38"/>
      <c r="AE1736" s="38"/>
      <c r="AF1736" s="38"/>
      <c r="AG1736" s="38"/>
      <c r="AH1736" s="38"/>
    </row>
    <row r="1737" spans="3:34" ht="20.100000000000001" customHeight="1">
      <c r="C1737" s="113"/>
      <c r="D1737" s="114"/>
      <c r="P1737" s="82"/>
      <c r="Q1737" s="82"/>
      <c r="R1737" s="38"/>
      <c r="S1737" s="38"/>
      <c r="T1737" s="38"/>
      <c r="U1737" s="38"/>
      <c r="V1737" s="38"/>
      <c r="W1737" s="38"/>
      <c r="X1737" s="38"/>
      <c r="Y1737" s="38"/>
      <c r="Z1737" s="38"/>
      <c r="AA1737" s="38"/>
      <c r="AB1737" s="38"/>
      <c r="AC1737" s="38"/>
      <c r="AD1737" s="38"/>
      <c r="AE1737" s="38"/>
      <c r="AF1737" s="38"/>
      <c r="AG1737" s="38"/>
      <c r="AH1737" s="38"/>
    </row>
    <row r="1738" spans="3:34" ht="20.100000000000001" customHeight="1">
      <c r="C1738" s="113"/>
      <c r="D1738" s="114"/>
      <c r="P1738" s="82"/>
      <c r="Q1738" s="82"/>
      <c r="R1738" s="38"/>
      <c r="S1738" s="38"/>
      <c r="T1738" s="38"/>
      <c r="U1738" s="38"/>
      <c r="V1738" s="38"/>
      <c r="W1738" s="38"/>
      <c r="X1738" s="38"/>
      <c r="Y1738" s="38"/>
      <c r="Z1738" s="38"/>
      <c r="AA1738" s="38"/>
      <c r="AB1738" s="38"/>
      <c r="AC1738" s="38"/>
      <c r="AD1738" s="38"/>
      <c r="AE1738" s="38"/>
      <c r="AF1738" s="38"/>
      <c r="AG1738" s="38"/>
      <c r="AH1738" s="38"/>
    </row>
    <row r="1739" spans="3:34" ht="20.100000000000001" customHeight="1">
      <c r="C1739" s="113"/>
      <c r="D1739" s="114"/>
      <c r="P1739" s="82"/>
      <c r="Q1739" s="82"/>
      <c r="R1739" s="38"/>
      <c r="S1739" s="38"/>
      <c r="T1739" s="38"/>
      <c r="U1739" s="38"/>
      <c r="V1739" s="38"/>
      <c r="W1739" s="38"/>
      <c r="X1739" s="38"/>
      <c r="Y1739" s="38"/>
      <c r="Z1739" s="38"/>
      <c r="AA1739" s="38"/>
      <c r="AB1739" s="38"/>
      <c r="AC1739" s="38"/>
      <c r="AD1739" s="38"/>
      <c r="AE1739" s="38"/>
      <c r="AF1739" s="38"/>
      <c r="AG1739" s="38"/>
      <c r="AH1739" s="38"/>
    </row>
    <row r="1740" spans="3:34" ht="20.100000000000001" customHeight="1">
      <c r="C1740" s="113"/>
      <c r="D1740" s="114"/>
      <c r="P1740" s="82"/>
      <c r="Q1740" s="82"/>
      <c r="R1740" s="38"/>
      <c r="S1740" s="38"/>
      <c r="T1740" s="38"/>
      <c r="U1740" s="38"/>
      <c r="V1740" s="38"/>
      <c r="W1740" s="38"/>
      <c r="X1740" s="38"/>
      <c r="Y1740" s="38"/>
      <c r="Z1740" s="38"/>
      <c r="AA1740" s="38"/>
      <c r="AB1740" s="38"/>
      <c r="AC1740" s="38"/>
      <c r="AD1740" s="38"/>
      <c r="AE1740" s="38"/>
      <c r="AF1740" s="38"/>
      <c r="AG1740" s="38"/>
      <c r="AH1740" s="38"/>
    </row>
    <row r="1741" spans="3:34" ht="20.100000000000001" customHeight="1">
      <c r="C1741" s="113"/>
      <c r="D1741" s="114"/>
      <c r="P1741" s="82"/>
      <c r="Q1741" s="82"/>
      <c r="R1741" s="38"/>
      <c r="S1741" s="38"/>
      <c r="T1741" s="38"/>
      <c r="U1741" s="38"/>
      <c r="V1741" s="38"/>
      <c r="W1741" s="38"/>
      <c r="X1741" s="38"/>
      <c r="Y1741" s="38"/>
      <c r="Z1741" s="38"/>
      <c r="AA1741" s="38"/>
      <c r="AB1741" s="38"/>
      <c r="AC1741" s="38"/>
      <c r="AD1741" s="38"/>
      <c r="AE1741" s="38"/>
      <c r="AF1741" s="38"/>
      <c r="AG1741" s="38"/>
      <c r="AH1741" s="38"/>
    </row>
    <row r="1742" spans="3:34" ht="20.100000000000001" customHeight="1">
      <c r="C1742" s="113"/>
      <c r="D1742" s="114"/>
      <c r="P1742" s="82"/>
      <c r="Q1742" s="82"/>
      <c r="R1742" s="38"/>
      <c r="S1742" s="38"/>
      <c r="T1742" s="38"/>
      <c r="U1742" s="38"/>
      <c r="V1742" s="38"/>
      <c r="W1742" s="38"/>
      <c r="X1742" s="38"/>
      <c r="Y1742" s="38"/>
      <c r="Z1742" s="38"/>
      <c r="AA1742" s="38"/>
      <c r="AB1742" s="38"/>
      <c r="AC1742" s="38"/>
      <c r="AD1742" s="38"/>
      <c r="AE1742" s="38"/>
      <c r="AF1742" s="38"/>
      <c r="AG1742" s="38"/>
      <c r="AH1742" s="38"/>
    </row>
    <row r="1743" spans="3:34" ht="20.100000000000001" customHeight="1">
      <c r="C1743" s="113"/>
      <c r="D1743" s="114"/>
      <c r="P1743" s="82"/>
      <c r="Q1743" s="82"/>
      <c r="R1743" s="38"/>
      <c r="S1743" s="38"/>
      <c r="T1743" s="38"/>
      <c r="U1743" s="38"/>
      <c r="V1743" s="38"/>
      <c r="W1743" s="38"/>
      <c r="X1743" s="38"/>
      <c r="Y1743" s="38"/>
      <c r="Z1743" s="38"/>
      <c r="AA1743" s="38"/>
      <c r="AB1743" s="38"/>
      <c r="AC1743" s="38"/>
      <c r="AD1743" s="38"/>
      <c r="AE1743" s="38"/>
      <c r="AF1743" s="38"/>
      <c r="AG1743" s="38"/>
      <c r="AH1743" s="38"/>
    </row>
    <row r="1744" spans="3:34" ht="20.100000000000001" customHeight="1">
      <c r="C1744" s="113"/>
      <c r="D1744" s="114"/>
      <c r="P1744" s="82"/>
      <c r="Q1744" s="82"/>
      <c r="R1744" s="38"/>
      <c r="S1744" s="38"/>
      <c r="T1744" s="38"/>
      <c r="U1744" s="38"/>
      <c r="V1744" s="38"/>
      <c r="W1744" s="38"/>
      <c r="X1744" s="38"/>
      <c r="Y1744" s="38"/>
      <c r="Z1744" s="38"/>
      <c r="AA1744" s="38"/>
      <c r="AB1744" s="38"/>
      <c r="AC1744" s="38"/>
      <c r="AD1744" s="38"/>
      <c r="AE1744" s="38"/>
      <c r="AF1744" s="38"/>
      <c r="AG1744" s="38"/>
      <c r="AH1744" s="38"/>
    </row>
    <row r="1745" spans="3:34" ht="20.100000000000001" customHeight="1">
      <c r="C1745" s="113"/>
      <c r="D1745" s="114"/>
      <c r="P1745" s="82"/>
      <c r="Q1745" s="82"/>
      <c r="R1745" s="38"/>
      <c r="S1745" s="38"/>
      <c r="T1745" s="38"/>
      <c r="U1745" s="38"/>
      <c r="V1745" s="38"/>
      <c r="W1745" s="38"/>
      <c r="X1745" s="38"/>
      <c r="Y1745" s="38"/>
      <c r="Z1745" s="38"/>
      <c r="AA1745" s="38"/>
      <c r="AB1745" s="38"/>
      <c r="AC1745" s="38"/>
      <c r="AD1745" s="38"/>
      <c r="AE1745" s="38"/>
      <c r="AF1745" s="38"/>
      <c r="AG1745" s="38"/>
      <c r="AH1745" s="38"/>
    </row>
    <row r="1746" spans="3:34" ht="20.100000000000001" customHeight="1">
      <c r="C1746" s="113"/>
      <c r="D1746" s="114"/>
      <c r="P1746" s="82"/>
      <c r="Q1746" s="82"/>
      <c r="R1746" s="38"/>
      <c r="S1746" s="38"/>
      <c r="T1746" s="38"/>
      <c r="U1746" s="38"/>
      <c r="V1746" s="38"/>
      <c r="W1746" s="38"/>
      <c r="X1746" s="38"/>
      <c r="Y1746" s="38"/>
      <c r="Z1746" s="38"/>
      <c r="AA1746" s="38"/>
      <c r="AB1746" s="38"/>
      <c r="AC1746" s="38"/>
      <c r="AD1746" s="38"/>
      <c r="AE1746" s="38"/>
      <c r="AF1746" s="38"/>
      <c r="AG1746" s="38"/>
      <c r="AH1746" s="38"/>
    </row>
    <row r="1747" spans="3:34" ht="20.100000000000001" customHeight="1">
      <c r="C1747" s="113"/>
      <c r="D1747" s="114"/>
      <c r="P1747" s="82"/>
      <c r="Q1747" s="82"/>
      <c r="R1747" s="38"/>
      <c r="S1747" s="38"/>
      <c r="T1747" s="38"/>
      <c r="U1747" s="38"/>
      <c r="V1747" s="38"/>
      <c r="W1747" s="38"/>
      <c r="X1747" s="38"/>
      <c r="Y1747" s="38"/>
      <c r="Z1747" s="38"/>
      <c r="AA1747" s="38"/>
      <c r="AB1747" s="38"/>
      <c r="AC1747" s="38"/>
      <c r="AD1747" s="38"/>
      <c r="AE1747" s="38"/>
      <c r="AF1747" s="38"/>
      <c r="AG1747" s="38"/>
      <c r="AH1747" s="38"/>
    </row>
    <row r="1748" spans="3:34" ht="20.100000000000001" customHeight="1">
      <c r="C1748" s="113"/>
      <c r="D1748" s="114"/>
      <c r="P1748" s="82"/>
      <c r="Q1748" s="82"/>
      <c r="R1748" s="38"/>
      <c r="S1748" s="38"/>
      <c r="T1748" s="38"/>
      <c r="U1748" s="38"/>
      <c r="V1748" s="38"/>
      <c r="W1748" s="38"/>
      <c r="X1748" s="38"/>
      <c r="Y1748" s="38"/>
      <c r="Z1748" s="38"/>
      <c r="AA1748" s="38"/>
      <c r="AB1748" s="38"/>
      <c r="AC1748" s="38"/>
      <c r="AD1748" s="38"/>
      <c r="AE1748" s="38"/>
      <c r="AF1748" s="38"/>
      <c r="AG1748" s="38"/>
      <c r="AH1748" s="38"/>
    </row>
    <row r="1749" spans="3:34" ht="20.100000000000001" customHeight="1">
      <c r="C1749" s="113"/>
      <c r="D1749" s="114"/>
      <c r="P1749" s="82"/>
      <c r="Q1749" s="82"/>
      <c r="R1749" s="38"/>
      <c r="S1749" s="38"/>
      <c r="T1749" s="38"/>
      <c r="U1749" s="38"/>
      <c r="V1749" s="38"/>
      <c r="W1749" s="38"/>
      <c r="X1749" s="38"/>
      <c r="Y1749" s="38"/>
      <c r="Z1749" s="38"/>
      <c r="AA1749" s="38"/>
      <c r="AB1749" s="38"/>
      <c r="AC1749" s="38"/>
      <c r="AD1749" s="38"/>
      <c r="AE1749" s="38"/>
      <c r="AF1749" s="38"/>
      <c r="AG1749" s="38"/>
      <c r="AH1749" s="38"/>
    </row>
    <row r="1750" spans="3:34" ht="20.100000000000001" customHeight="1">
      <c r="C1750" s="113"/>
      <c r="D1750" s="114"/>
      <c r="P1750" s="82"/>
      <c r="Q1750" s="82"/>
      <c r="R1750" s="38"/>
      <c r="S1750" s="38"/>
      <c r="T1750" s="38"/>
      <c r="U1750" s="38"/>
      <c r="V1750" s="38"/>
      <c r="W1750" s="38"/>
      <c r="X1750" s="38"/>
      <c r="Y1750" s="38"/>
      <c r="Z1750" s="38"/>
      <c r="AA1750" s="38"/>
      <c r="AB1750" s="38"/>
      <c r="AC1750" s="38"/>
      <c r="AD1750" s="38"/>
      <c r="AE1750" s="38"/>
      <c r="AF1750" s="38"/>
      <c r="AG1750" s="38"/>
      <c r="AH1750" s="38"/>
    </row>
    <row r="1751" spans="3:34" ht="20.100000000000001" customHeight="1">
      <c r="C1751" s="113"/>
      <c r="D1751" s="114"/>
      <c r="P1751" s="82"/>
      <c r="Q1751" s="82"/>
      <c r="R1751" s="38"/>
      <c r="S1751" s="38"/>
      <c r="T1751" s="38"/>
      <c r="U1751" s="38"/>
      <c r="V1751" s="38"/>
      <c r="W1751" s="38"/>
      <c r="X1751" s="38"/>
      <c r="Y1751" s="38"/>
      <c r="Z1751" s="38"/>
      <c r="AA1751" s="38"/>
      <c r="AB1751" s="38"/>
      <c r="AC1751" s="38"/>
      <c r="AD1751" s="38"/>
      <c r="AE1751" s="38"/>
      <c r="AF1751" s="38"/>
      <c r="AG1751" s="38"/>
      <c r="AH1751" s="38"/>
    </row>
    <row r="1752" spans="3:34" ht="20.100000000000001" customHeight="1">
      <c r="C1752" s="113"/>
      <c r="D1752" s="114"/>
      <c r="P1752" s="82"/>
      <c r="Q1752" s="82"/>
      <c r="R1752" s="38"/>
      <c r="S1752" s="38"/>
      <c r="T1752" s="38"/>
      <c r="U1752" s="38"/>
      <c r="V1752" s="38"/>
      <c r="W1752" s="38"/>
      <c r="X1752" s="38"/>
      <c r="Y1752" s="38"/>
      <c r="Z1752" s="38"/>
      <c r="AA1752" s="38"/>
      <c r="AB1752" s="38"/>
      <c r="AC1752" s="38"/>
      <c r="AD1752" s="38"/>
      <c r="AE1752" s="38"/>
      <c r="AF1752" s="38"/>
      <c r="AG1752" s="38"/>
      <c r="AH1752" s="38"/>
    </row>
    <row r="1753" spans="3:34" ht="20.100000000000001" customHeight="1">
      <c r="C1753" s="113"/>
      <c r="D1753" s="114"/>
      <c r="P1753" s="82"/>
      <c r="Q1753" s="82"/>
      <c r="R1753" s="38"/>
      <c r="S1753" s="38"/>
      <c r="T1753" s="38"/>
      <c r="U1753" s="38"/>
      <c r="V1753" s="38"/>
      <c r="W1753" s="38"/>
      <c r="X1753" s="38"/>
      <c r="Y1753" s="38"/>
      <c r="Z1753" s="38"/>
      <c r="AA1753" s="38"/>
      <c r="AB1753" s="38"/>
      <c r="AC1753" s="38"/>
      <c r="AD1753" s="38"/>
      <c r="AE1753" s="38"/>
      <c r="AF1753" s="38"/>
      <c r="AG1753" s="38"/>
      <c r="AH1753" s="38"/>
    </row>
    <row r="1754" spans="3:34" ht="20.100000000000001" customHeight="1">
      <c r="C1754" s="113"/>
      <c r="D1754" s="114"/>
      <c r="P1754" s="82"/>
      <c r="Q1754" s="82"/>
      <c r="R1754" s="38"/>
      <c r="S1754" s="38"/>
      <c r="T1754" s="38"/>
      <c r="U1754" s="38"/>
      <c r="V1754" s="38"/>
      <c r="W1754" s="38"/>
      <c r="X1754" s="38"/>
      <c r="Y1754" s="38"/>
      <c r="Z1754" s="38"/>
      <c r="AA1754" s="38"/>
      <c r="AB1754" s="38"/>
      <c r="AC1754" s="38"/>
      <c r="AD1754" s="38"/>
      <c r="AE1754" s="38"/>
      <c r="AF1754" s="38"/>
      <c r="AG1754" s="38"/>
      <c r="AH1754" s="38"/>
    </row>
    <row r="1755" spans="3:34" ht="20.100000000000001" customHeight="1">
      <c r="C1755" s="113"/>
      <c r="D1755" s="114"/>
      <c r="P1755" s="82"/>
      <c r="Q1755" s="82"/>
      <c r="R1755" s="38"/>
      <c r="S1755" s="38"/>
      <c r="T1755" s="38"/>
      <c r="U1755" s="38"/>
      <c r="V1755" s="38"/>
      <c r="W1755" s="38"/>
      <c r="X1755" s="38"/>
      <c r="Y1755" s="38"/>
      <c r="Z1755" s="38"/>
      <c r="AA1755" s="38"/>
      <c r="AB1755" s="38"/>
      <c r="AC1755" s="38"/>
      <c r="AD1755" s="38"/>
      <c r="AE1755" s="38"/>
      <c r="AF1755" s="38"/>
      <c r="AG1755" s="38"/>
      <c r="AH1755" s="38"/>
    </row>
    <row r="1756" spans="3:34" ht="20.100000000000001" customHeight="1">
      <c r="C1756" s="113"/>
      <c r="D1756" s="114"/>
      <c r="P1756" s="82"/>
      <c r="Q1756" s="82"/>
      <c r="R1756" s="38"/>
      <c r="S1756" s="38"/>
      <c r="T1756" s="38"/>
      <c r="U1756" s="38"/>
      <c r="V1756" s="38"/>
      <c r="W1756" s="38"/>
      <c r="X1756" s="38"/>
      <c r="Y1756" s="38"/>
      <c r="Z1756" s="38"/>
      <c r="AA1756" s="38"/>
      <c r="AB1756" s="38"/>
      <c r="AC1756" s="38"/>
      <c r="AD1756" s="38"/>
      <c r="AE1756" s="38"/>
      <c r="AF1756" s="38"/>
      <c r="AG1756" s="38"/>
      <c r="AH1756" s="38"/>
    </row>
    <row r="1757" spans="3:34" ht="20.100000000000001" customHeight="1">
      <c r="C1757" s="113"/>
      <c r="D1757" s="114"/>
      <c r="P1757" s="82"/>
      <c r="Q1757" s="82"/>
      <c r="R1757" s="38"/>
      <c r="S1757" s="38"/>
      <c r="T1757" s="38"/>
      <c r="U1757" s="38"/>
      <c r="V1757" s="38"/>
      <c r="W1757" s="38"/>
      <c r="X1757" s="38"/>
      <c r="Y1757" s="38"/>
      <c r="Z1757" s="38"/>
      <c r="AA1757" s="38"/>
      <c r="AB1757" s="38"/>
      <c r="AC1757" s="38"/>
      <c r="AD1757" s="38"/>
      <c r="AE1757" s="38"/>
      <c r="AF1757" s="38"/>
      <c r="AG1757" s="38"/>
      <c r="AH1757" s="38"/>
    </row>
    <row r="1758" spans="3:34" ht="20.100000000000001" customHeight="1">
      <c r="C1758" s="113"/>
      <c r="D1758" s="114"/>
      <c r="P1758" s="82"/>
      <c r="Q1758" s="82"/>
      <c r="R1758" s="38"/>
      <c r="S1758" s="38"/>
      <c r="T1758" s="38"/>
      <c r="U1758" s="38"/>
      <c r="V1758" s="38"/>
      <c r="W1758" s="38"/>
      <c r="X1758" s="38"/>
      <c r="Y1758" s="38"/>
      <c r="Z1758" s="38"/>
      <c r="AA1758" s="38"/>
      <c r="AB1758" s="38"/>
      <c r="AC1758" s="38"/>
      <c r="AD1758" s="38"/>
      <c r="AE1758" s="38"/>
      <c r="AF1758" s="38"/>
      <c r="AG1758" s="38"/>
      <c r="AH1758" s="38"/>
    </row>
    <row r="1759" spans="3:34" ht="20.100000000000001" customHeight="1">
      <c r="C1759" s="113"/>
      <c r="D1759" s="114"/>
      <c r="P1759" s="82"/>
      <c r="Q1759" s="82"/>
      <c r="R1759" s="38"/>
      <c r="S1759" s="38"/>
      <c r="T1759" s="38"/>
      <c r="U1759" s="38"/>
      <c r="V1759" s="38"/>
      <c r="W1759" s="38"/>
      <c r="X1759" s="38"/>
      <c r="Y1759" s="38"/>
      <c r="Z1759" s="38"/>
      <c r="AA1759" s="38"/>
      <c r="AB1759" s="38"/>
      <c r="AC1759" s="38"/>
      <c r="AD1759" s="38"/>
      <c r="AE1759" s="38"/>
      <c r="AF1759" s="38"/>
      <c r="AG1759" s="38"/>
      <c r="AH1759" s="38"/>
    </row>
    <row r="1760" spans="3:34" ht="20.100000000000001" customHeight="1">
      <c r="C1760" s="113"/>
      <c r="D1760" s="114"/>
      <c r="P1760" s="82"/>
      <c r="Q1760" s="82"/>
      <c r="R1760" s="38"/>
      <c r="S1760" s="38"/>
      <c r="T1760" s="38"/>
      <c r="U1760" s="38"/>
      <c r="V1760" s="38"/>
      <c r="W1760" s="38"/>
      <c r="X1760" s="38"/>
      <c r="Y1760" s="38"/>
      <c r="Z1760" s="38"/>
      <c r="AA1760" s="38"/>
      <c r="AB1760" s="38"/>
      <c r="AC1760" s="38"/>
      <c r="AD1760" s="38"/>
      <c r="AE1760" s="38"/>
      <c r="AF1760" s="38"/>
      <c r="AG1760" s="38"/>
      <c r="AH1760" s="38"/>
    </row>
    <row r="1761" spans="3:34" ht="20.100000000000001" customHeight="1">
      <c r="C1761" s="113"/>
      <c r="D1761" s="114"/>
      <c r="P1761" s="82"/>
      <c r="Q1761" s="82"/>
      <c r="R1761" s="38"/>
      <c r="S1761" s="38"/>
      <c r="T1761" s="38"/>
      <c r="U1761" s="38"/>
      <c r="V1761" s="38"/>
      <c r="W1761" s="38"/>
      <c r="X1761" s="38"/>
      <c r="Y1761" s="38"/>
      <c r="Z1761" s="38"/>
      <c r="AA1761" s="38"/>
      <c r="AB1761" s="38"/>
      <c r="AC1761" s="38"/>
      <c r="AD1761" s="38"/>
      <c r="AE1761" s="38"/>
      <c r="AF1761" s="38"/>
      <c r="AG1761" s="38"/>
      <c r="AH1761" s="38"/>
    </row>
    <row r="1762" spans="3:34" ht="20.100000000000001" customHeight="1">
      <c r="C1762" s="113"/>
      <c r="D1762" s="114"/>
      <c r="P1762" s="82"/>
      <c r="Q1762" s="82"/>
      <c r="R1762" s="38"/>
      <c r="S1762" s="38"/>
      <c r="T1762" s="38"/>
      <c r="U1762" s="38"/>
      <c r="V1762" s="38"/>
      <c r="W1762" s="38"/>
      <c r="X1762" s="38"/>
      <c r="Y1762" s="38"/>
      <c r="Z1762" s="38"/>
      <c r="AA1762" s="38"/>
      <c r="AB1762" s="38"/>
      <c r="AC1762" s="38"/>
      <c r="AD1762" s="38"/>
      <c r="AE1762" s="38"/>
      <c r="AF1762" s="38"/>
      <c r="AG1762" s="38"/>
      <c r="AH1762" s="38"/>
    </row>
    <row r="1763" spans="3:34" ht="20.100000000000001" customHeight="1">
      <c r="C1763" s="113"/>
      <c r="D1763" s="114"/>
      <c r="P1763" s="82"/>
      <c r="Q1763" s="82"/>
      <c r="R1763" s="38"/>
      <c r="S1763" s="38"/>
      <c r="T1763" s="38"/>
      <c r="U1763" s="38"/>
      <c r="V1763" s="38"/>
      <c r="W1763" s="38"/>
      <c r="X1763" s="38"/>
      <c r="Y1763" s="38"/>
      <c r="Z1763" s="38"/>
      <c r="AA1763" s="38"/>
      <c r="AB1763" s="38"/>
      <c r="AC1763" s="38"/>
      <c r="AD1763" s="38"/>
      <c r="AE1763" s="38"/>
      <c r="AF1763" s="38"/>
      <c r="AG1763" s="38"/>
      <c r="AH1763" s="38"/>
    </row>
    <row r="1764" spans="3:34" ht="20.100000000000001" customHeight="1">
      <c r="C1764" s="113"/>
      <c r="D1764" s="114"/>
      <c r="P1764" s="82"/>
      <c r="Q1764" s="82"/>
      <c r="R1764" s="38"/>
      <c r="S1764" s="38"/>
      <c r="T1764" s="38"/>
      <c r="U1764" s="38"/>
      <c r="V1764" s="38"/>
      <c r="W1764" s="38"/>
      <c r="X1764" s="38"/>
      <c r="Y1764" s="38"/>
      <c r="Z1764" s="38"/>
      <c r="AA1764" s="38"/>
      <c r="AB1764" s="38"/>
      <c r="AC1764" s="38"/>
      <c r="AD1764" s="38"/>
      <c r="AE1764" s="38"/>
      <c r="AF1764" s="38"/>
      <c r="AG1764" s="38"/>
      <c r="AH1764" s="38"/>
    </row>
    <row r="1765" spans="3:34" ht="20.100000000000001" customHeight="1">
      <c r="C1765" s="113"/>
      <c r="D1765" s="114"/>
      <c r="P1765" s="82"/>
      <c r="Q1765" s="82"/>
      <c r="R1765" s="38"/>
      <c r="S1765" s="38"/>
      <c r="T1765" s="38"/>
      <c r="U1765" s="38"/>
      <c r="V1765" s="38"/>
      <c r="W1765" s="38"/>
      <c r="X1765" s="38"/>
      <c r="Y1765" s="38"/>
      <c r="Z1765" s="38"/>
      <c r="AA1765" s="38"/>
      <c r="AB1765" s="38"/>
      <c r="AC1765" s="38"/>
      <c r="AD1765" s="38"/>
      <c r="AE1765" s="38"/>
      <c r="AF1765" s="38"/>
      <c r="AG1765" s="38"/>
      <c r="AH1765" s="38"/>
    </row>
    <row r="1766" spans="3:34" ht="20.100000000000001" customHeight="1">
      <c r="C1766" s="113"/>
      <c r="D1766" s="114"/>
      <c r="P1766" s="82"/>
      <c r="Q1766" s="82"/>
      <c r="R1766" s="38"/>
      <c r="S1766" s="38"/>
      <c r="T1766" s="38"/>
      <c r="U1766" s="38"/>
      <c r="V1766" s="38"/>
      <c r="W1766" s="38"/>
      <c r="X1766" s="38"/>
      <c r="Y1766" s="38"/>
      <c r="Z1766" s="38"/>
      <c r="AA1766" s="38"/>
      <c r="AB1766" s="38"/>
      <c r="AC1766" s="38"/>
      <c r="AD1766" s="38"/>
      <c r="AE1766" s="38"/>
      <c r="AF1766" s="38"/>
      <c r="AG1766" s="38"/>
      <c r="AH1766" s="38"/>
    </row>
    <row r="1767" spans="3:34" ht="20.100000000000001" customHeight="1">
      <c r="C1767" s="113"/>
      <c r="D1767" s="114"/>
      <c r="P1767" s="82"/>
      <c r="Q1767" s="82"/>
      <c r="R1767" s="38"/>
      <c r="S1767" s="38"/>
      <c r="T1767" s="38"/>
      <c r="U1767" s="38"/>
      <c r="V1767" s="38"/>
      <c r="W1767" s="38"/>
      <c r="X1767" s="38"/>
      <c r="Y1767" s="38"/>
      <c r="Z1767" s="38"/>
      <c r="AA1767" s="38"/>
      <c r="AB1767" s="38"/>
      <c r="AC1767" s="38"/>
      <c r="AD1767" s="38"/>
      <c r="AE1767" s="38"/>
      <c r="AF1767" s="38"/>
      <c r="AG1767" s="38"/>
      <c r="AH1767" s="38"/>
    </row>
    <row r="1768" spans="3:34" ht="20.100000000000001" customHeight="1">
      <c r="C1768" s="113"/>
      <c r="D1768" s="114"/>
      <c r="P1768" s="82"/>
      <c r="Q1768" s="82"/>
      <c r="R1768" s="38"/>
      <c r="S1768" s="38"/>
      <c r="T1768" s="38"/>
      <c r="U1768" s="38"/>
      <c r="V1768" s="38"/>
      <c r="W1768" s="38"/>
      <c r="X1768" s="38"/>
      <c r="Y1768" s="38"/>
      <c r="Z1768" s="38"/>
      <c r="AA1768" s="38"/>
      <c r="AB1768" s="38"/>
      <c r="AC1768" s="38"/>
      <c r="AD1768" s="38"/>
      <c r="AE1768" s="38"/>
      <c r="AF1768" s="38"/>
      <c r="AG1768" s="38"/>
      <c r="AH1768" s="38"/>
    </row>
    <row r="1769" spans="3:34" ht="20.100000000000001" customHeight="1">
      <c r="C1769" s="113"/>
      <c r="D1769" s="114"/>
      <c r="P1769" s="82"/>
      <c r="Q1769" s="82"/>
      <c r="R1769" s="38"/>
      <c r="S1769" s="38"/>
      <c r="T1769" s="38"/>
      <c r="U1769" s="38"/>
      <c r="V1769" s="38"/>
      <c r="W1769" s="38"/>
      <c r="X1769" s="38"/>
      <c r="Y1769" s="38"/>
      <c r="Z1769" s="38"/>
      <c r="AA1769" s="38"/>
      <c r="AB1769" s="38"/>
      <c r="AC1769" s="38"/>
      <c r="AD1769" s="38"/>
      <c r="AE1769" s="38"/>
      <c r="AF1769" s="38"/>
      <c r="AG1769" s="38"/>
      <c r="AH1769" s="38"/>
    </row>
    <row r="1770" spans="3:34" ht="20.100000000000001" customHeight="1">
      <c r="C1770" s="113"/>
      <c r="D1770" s="114"/>
      <c r="P1770" s="82"/>
      <c r="Q1770" s="82"/>
      <c r="R1770" s="38"/>
      <c r="S1770" s="38"/>
      <c r="T1770" s="38"/>
      <c r="U1770" s="38"/>
      <c r="V1770" s="38"/>
      <c r="W1770" s="38"/>
      <c r="X1770" s="38"/>
      <c r="Y1770" s="38"/>
      <c r="Z1770" s="38"/>
      <c r="AA1770" s="38"/>
      <c r="AB1770" s="38"/>
      <c r="AC1770" s="38"/>
      <c r="AD1770" s="38"/>
      <c r="AE1770" s="38"/>
      <c r="AF1770" s="38"/>
      <c r="AG1770" s="38"/>
      <c r="AH1770" s="38"/>
    </row>
    <row r="1771" spans="3:34" ht="20.100000000000001" customHeight="1">
      <c r="C1771" s="113"/>
      <c r="D1771" s="114"/>
      <c r="P1771" s="82"/>
      <c r="Q1771" s="82"/>
      <c r="R1771" s="38"/>
      <c r="S1771" s="38"/>
      <c r="T1771" s="38"/>
      <c r="U1771" s="38"/>
      <c r="V1771" s="38"/>
      <c r="W1771" s="38"/>
      <c r="X1771" s="38"/>
      <c r="Y1771" s="38"/>
      <c r="Z1771" s="38"/>
      <c r="AA1771" s="38"/>
      <c r="AB1771" s="38"/>
      <c r="AC1771" s="38"/>
      <c r="AD1771" s="38"/>
      <c r="AE1771" s="38"/>
      <c r="AF1771" s="38"/>
      <c r="AG1771" s="38"/>
      <c r="AH1771" s="38"/>
    </row>
    <row r="1772" spans="3:34" ht="20.100000000000001" customHeight="1">
      <c r="C1772" s="113"/>
      <c r="D1772" s="114"/>
      <c r="P1772" s="82"/>
      <c r="Q1772" s="82"/>
      <c r="R1772" s="38"/>
      <c r="S1772" s="38"/>
      <c r="T1772" s="38"/>
      <c r="U1772" s="38"/>
      <c r="V1772" s="38"/>
      <c r="W1772" s="38"/>
      <c r="X1772" s="38"/>
      <c r="Y1772" s="38"/>
      <c r="Z1772" s="38"/>
      <c r="AA1772" s="38"/>
      <c r="AB1772" s="38"/>
      <c r="AC1772" s="38"/>
      <c r="AD1772" s="38"/>
      <c r="AE1772" s="38"/>
      <c r="AF1772" s="38"/>
      <c r="AG1772" s="38"/>
      <c r="AH1772" s="38"/>
    </row>
    <row r="1773" spans="3:34" ht="20.100000000000001" customHeight="1">
      <c r="C1773" s="113"/>
      <c r="D1773" s="114"/>
      <c r="P1773" s="82"/>
      <c r="Q1773" s="82"/>
      <c r="R1773" s="38"/>
      <c r="S1773" s="38"/>
      <c r="T1773" s="38"/>
      <c r="U1773" s="38"/>
      <c r="V1773" s="38"/>
      <c r="W1773" s="38"/>
      <c r="X1773" s="38"/>
      <c r="Y1773" s="38"/>
      <c r="Z1773" s="38"/>
      <c r="AA1773" s="38"/>
      <c r="AB1773" s="38"/>
      <c r="AC1773" s="38"/>
      <c r="AD1773" s="38"/>
      <c r="AE1773" s="38"/>
      <c r="AF1773" s="38"/>
      <c r="AG1773" s="38"/>
      <c r="AH1773" s="38"/>
    </row>
    <row r="1774" spans="3:34" ht="20.100000000000001" customHeight="1">
      <c r="C1774" s="113"/>
      <c r="D1774" s="114"/>
      <c r="P1774" s="82"/>
      <c r="Q1774" s="82"/>
      <c r="R1774" s="38"/>
      <c r="S1774" s="38"/>
      <c r="T1774" s="38"/>
      <c r="U1774" s="38"/>
      <c r="V1774" s="38"/>
      <c r="W1774" s="38"/>
      <c r="X1774" s="38"/>
      <c r="Y1774" s="38"/>
      <c r="Z1774" s="38"/>
      <c r="AA1774" s="38"/>
      <c r="AB1774" s="38"/>
      <c r="AC1774" s="38"/>
      <c r="AD1774" s="38"/>
      <c r="AE1774" s="38"/>
      <c r="AF1774" s="38"/>
      <c r="AG1774" s="38"/>
      <c r="AH1774" s="38"/>
    </row>
    <row r="1775" spans="3:34" ht="20.100000000000001" customHeight="1">
      <c r="C1775" s="113"/>
      <c r="D1775" s="114"/>
      <c r="P1775" s="82"/>
      <c r="Q1775" s="82"/>
      <c r="R1775" s="38"/>
      <c r="S1775" s="38"/>
      <c r="T1775" s="38"/>
      <c r="U1775" s="38"/>
      <c r="V1775" s="38"/>
      <c r="W1775" s="38"/>
      <c r="X1775" s="38"/>
      <c r="Y1775" s="38"/>
      <c r="Z1775" s="38"/>
      <c r="AA1775" s="38"/>
      <c r="AB1775" s="38"/>
      <c r="AC1775" s="38"/>
      <c r="AD1775" s="38"/>
      <c r="AE1775" s="38"/>
      <c r="AF1775" s="38"/>
      <c r="AG1775" s="38"/>
      <c r="AH1775" s="38"/>
    </row>
    <row r="1776" spans="3:34" ht="20.100000000000001" customHeight="1">
      <c r="C1776" s="113"/>
      <c r="D1776" s="114"/>
      <c r="P1776" s="82"/>
      <c r="Q1776" s="82"/>
      <c r="R1776" s="38"/>
      <c r="S1776" s="38"/>
      <c r="T1776" s="38"/>
      <c r="U1776" s="38"/>
      <c r="V1776" s="38"/>
      <c r="W1776" s="38"/>
      <c r="X1776" s="38"/>
      <c r="Y1776" s="38"/>
      <c r="Z1776" s="38"/>
      <c r="AA1776" s="38"/>
      <c r="AB1776" s="38"/>
      <c r="AC1776" s="38"/>
      <c r="AD1776" s="38"/>
      <c r="AE1776" s="38"/>
      <c r="AF1776" s="38"/>
      <c r="AG1776" s="38"/>
      <c r="AH1776" s="38"/>
    </row>
    <row r="1777" spans="3:34" ht="20.100000000000001" customHeight="1">
      <c r="C1777" s="113"/>
      <c r="D1777" s="114"/>
      <c r="P1777" s="82"/>
      <c r="Q1777" s="82"/>
      <c r="R1777" s="38"/>
      <c r="S1777" s="38"/>
      <c r="T1777" s="38"/>
      <c r="U1777" s="38"/>
      <c r="V1777" s="38"/>
      <c r="W1777" s="38"/>
      <c r="X1777" s="38"/>
      <c r="Y1777" s="38"/>
      <c r="Z1777" s="38"/>
      <c r="AA1777" s="38"/>
      <c r="AB1777" s="38"/>
      <c r="AC1777" s="38"/>
      <c r="AD1777" s="38"/>
      <c r="AE1777" s="38"/>
      <c r="AF1777" s="38"/>
      <c r="AG1777" s="38"/>
      <c r="AH1777" s="38"/>
    </row>
    <row r="1778" spans="3:34" ht="20.100000000000001" customHeight="1">
      <c r="C1778" s="113"/>
      <c r="D1778" s="114"/>
      <c r="P1778" s="82"/>
      <c r="Q1778" s="82"/>
      <c r="R1778" s="38"/>
      <c r="S1778" s="38"/>
      <c r="T1778" s="38"/>
      <c r="U1778" s="38"/>
      <c r="V1778" s="38"/>
      <c r="W1778" s="38"/>
      <c r="X1778" s="38"/>
      <c r="Y1778" s="38"/>
      <c r="Z1778" s="38"/>
      <c r="AA1778" s="38"/>
      <c r="AB1778" s="38"/>
      <c r="AC1778" s="38"/>
      <c r="AD1778" s="38"/>
      <c r="AE1778" s="38"/>
      <c r="AF1778" s="38"/>
      <c r="AG1778" s="38"/>
      <c r="AH1778" s="38"/>
    </row>
    <row r="1779" spans="3:34" ht="20.100000000000001" customHeight="1">
      <c r="C1779" s="113"/>
      <c r="D1779" s="114"/>
      <c r="P1779" s="82"/>
      <c r="Q1779" s="82"/>
      <c r="R1779" s="38"/>
      <c r="S1779" s="38"/>
      <c r="T1779" s="38"/>
      <c r="U1779" s="38"/>
      <c r="V1779" s="38"/>
      <c r="W1779" s="38"/>
      <c r="X1779" s="38"/>
      <c r="Y1779" s="38"/>
      <c r="Z1779" s="38"/>
      <c r="AA1779" s="38"/>
      <c r="AB1779" s="38"/>
      <c r="AC1779" s="38"/>
      <c r="AD1779" s="38"/>
      <c r="AE1779" s="38"/>
      <c r="AF1779" s="38"/>
      <c r="AG1779" s="38"/>
      <c r="AH1779" s="38"/>
    </row>
    <row r="1780" spans="3:34" ht="20.100000000000001" customHeight="1">
      <c r="C1780" s="113"/>
      <c r="D1780" s="114"/>
      <c r="P1780" s="82"/>
      <c r="Q1780" s="82"/>
      <c r="R1780" s="38"/>
      <c r="S1780" s="38"/>
      <c r="T1780" s="38"/>
      <c r="U1780" s="38"/>
      <c r="V1780" s="38"/>
      <c r="W1780" s="38"/>
      <c r="X1780" s="38"/>
      <c r="Y1780" s="38"/>
      <c r="Z1780" s="38"/>
      <c r="AA1780" s="38"/>
      <c r="AB1780" s="38"/>
      <c r="AC1780" s="38"/>
      <c r="AD1780" s="38"/>
      <c r="AE1780" s="38"/>
      <c r="AF1780" s="38"/>
      <c r="AG1780" s="38"/>
      <c r="AH1780" s="38"/>
    </row>
    <row r="1781" spans="3:34" ht="20.100000000000001" customHeight="1">
      <c r="C1781" s="113"/>
      <c r="D1781" s="114"/>
      <c r="P1781" s="82"/>
      <c r="Q1781" s="82"/>
      <c r="R1781" s="38"/>
      <c r="S1781" s="38"/>
      <c r="T1781" s="38"/>
      <c r="U1781" s="38"/>
      <c r="V1781" s="38"/>
      <c r="W1781" s="38"/>
      <c r="X1781" s="38"/>
      <c r="Y1781" s="38"/>
      <c r="Z1781" s="38"/>
      <c r="AA1781" s="38"/>
      <c r="AB1781" s="38"/>
      <c r="AC1781" s="38"/>
      <c r="AD1781" s="38"/>
      <c r="AE1781" s="38"/>
      <c r="AF1781" s="38"/>
      <c r="AG1781" s="38"/>
      <c r="AH1781" s="38"/>
    </row>
    <row r="1782" spans="3:34" ht="20.100000000000001" customHeight="1">
      <c r="C1782" s="113"/>
      <c r="D1782" s="114"/>
      <c r="P1782" s="82"/>
      <c r="Q1782" s="82"/>
      <c r="R1782" s="38"/>
      <c r="S1782" s="38"/>
      <c r="T1782" s="38"/>
      <c r="U1782" s="38"/>
      <c r="V1782" s="38"/>
      <c r="W1782" s="38"/>
      <c r="X1782" s="38"/>
      <c r="Y1782" s="38"/>
      <c r="Z1782" s="38"/>
      <c r="AA1782" s="38"/>
      <c r="AB1782" s="38"/>
      <c r="AC1782" s="38"/>
      <c r="AD1782" s="38"/>
      <c r="AE1782" s="38"/>
      <c r="AF1782" s="38"/>
      <c r="AG1782" s="38"/>
      <c r="AH1782" s="38"/>
    </row>
    <row r="1783" spans="3:34" ht="20.100000000000001" customHeight="1">
      <c r="C1783" s="113"/>
      <c r="D1783" s="114"/>
      <c r="P1783" s="82"/>
      <c r="Q1783" s="82"/>
      <c r="R1783" s="38"/>
      <c r="S1783" s="38"/>
      <c r="T1783" s="38"/>
      <c r="U1783" s="38"/>
      <c r="V1783" s="38"/>
      <c r="W1783" s="38"/>
      <c r="X1783" s="38"/>
      <c r="Y1783" s="38"/>
      <c r="Z1783" s="38"/>
      <c r="AA1783" s="38"/>
      <c r="AB1783" s="38"/>
      <c r="AC1783" s="38"/>
      <c r="AD1783" s="38"/>
      <c r="AE1783" s="38"/>
      <c r="AF1783" s="38"/>
      <c r="AG1783" s="38"/>
      <c r="AH1783" s="38"/>
    </row>
    <row r="1784" spans="3:34" ht="20.100000000000001" customHeight="1">
      <c r="C1784" s="113"/>
      <c r="D1784" s="114"/>
      <c r="P1784" s="82"/>
      <c r="Q1784" s="82"/>
      <c r="R1784" s="38"/>
      <c r="S1784" s="38"/>
      <c r="T1784" s="38"/>
      <c r="U1784" s="38"/>
      <c r="V1784" s="38"/>
      <c r="W1784" s="38"/>
      <c r="X1784" s="38"/>
      <c r="Y1784" s="38"/>
      <c r="Z1784" s="38"/>
      <c r="AA1784" s="38"/>
      <c r="AB1784" s="38"/>
      <c r="AC1784" s="38"/>
      <c r="AD1784" s="38"/>
      <c r="AE1784" s="38"/>
      <c r="AF1784" s="38"/>
      <c r="AG1784" s="38"/>
      <c r="AH1784" s="38"/>
    </row>
    <row r="1785" spans="3:34" ht="20.100000000000001" customHeight="1">
      <c r="C1785" s="113"/>
      <c r="D1785" s="114"/>
      <c r="P1785" s="82"/>
      <c r="Q1785" s="82"/>
      <c r="R1785" s="38"/>
      <c r="S1785" s="38"/>
      <c r="T1785" s="38"/>
      <c r="U1785" s="38"/>
      <c r="V1785" s="38"/>
      <c r="W1785" s="38"/>
      <c r="X1785" s="38"/>
      <c r="Y1785" s="38"/>
      <c r="Z1785" s="38"/>
      <c r="AA1785" s="38"/>
      <c r="AB1785" s="38"/>
      <c r="AC1785" s="38"/>
      <c r="AD1785" s="38"/>
      <c r="AE1785" s="38"/>
      <c r="AF1785" s="38"/>
      <c r="AG1785" s="38"/>
      <c r="AH1785" s="38"/>
    </row>
    <row r="1786" spans="3:34" ht="20.100000000000001" customHeight="1">
      <c r="C1786" s="113"/>
      <c r="D1786" s="114"/>
      <c r="P1786" s="82"/>
      <c r="Q1786" s="82"/>
      <c r="R1786" s="38"/>
      <c r="S1786" s="38"/>
      <c r="T1786" s="38"/>
      <c r="U1786" s="38"/>
      <c r="V1786" s="38"/>
      <c r="W1786" s="38"/>
      <c r="X1786" s="38"/>
      <c r="Y1786" s="38"/>
      <c r="Z1786" s="38"/>
      <c r="AA1786" s="38"/>
      <c r="AB1786" s="38"/>
      <c r="AC1786" s="38"/>
      <c r="AD1786" s="38"/>
      <c r="AE1786" s="38"/>
      <c r="AF1786" s="38"/>
      <c r="AG1786" s="38"/>
      <c r="AH1786" s="38"/>
    </row>
    <row r="1787" spans="3:34" ht="20.100000000000001" customHeight="1">
      <c r="C1787" s="113"/>
      <c r="D1787" s="114"/>
      <c r="P1787" s="82"/>
      <c r="Q1787" s="82"/>
      <c r="R1787" s="38"/>
      <c r="S1787" s="38"/>
      <c r="T1787" s="38"/>
      <c r="U1787" s="38"/>
      <c r="V1787" s="38"/>
      <c r="W1787" s="38"/>
      <c r="X1787" s="38"/>
      <c r="Y1787" s="38"/>
      <c r="Z1787" s="38"/>
      <c r="AA1787" s="38"/>
      <c r="AB1787" s="38"/>
      <c r="AC1787" s="38"/>
      <c r="AD1787" s="38"/>
      <c r="AE1787" s="38"/>
      <c r="AF1787" s="38"/>
      <c r="AG1787" s="38"/>
      <c r="AH1787" s="38"/>
    </row>
    <row r="1788" spans="3:34" ht="20.100000000000001" customHeight="1">
      <c r="C1788" s="113"/>
      <c r="D1788" s="114"/>
      <c r="P1788" s="82"/>
      <c r="Q1788" s="82"/>
      <c r="R1788" s="38"/>
      <c r="S1788" s="38"/>
      <c r="T1788" s="38"/>
      <c r="U1788" s="38"/>
      <c r="V1788" s="38"/>
      <c r="W1788" s="38"/>
      <c r="X1788" s="38"/>
      <c r="Y1788" s="38"/>
      <c r="Z1788" s="38"/>
      <c r="AA1788" s="38"/>
      <c r="AB1788" s="38"/>
      <c r="AC1788" s="38"/>
      <c r="AD1788" s="38"/>
      <c r="AE1788" s="38"/>
      <c r="AF1788" s="38"/>
      <c r="AG1788" s="38"/>
      <c r="AH1788" s="38"/>
    </row>
    <row r="1789" spans="3:34" ht="20.100000000000001" customHeight="1">
      <c r="C1789" s="113"/>
      <c r="D1789" s="114"/>
      <c r="P1789" s="82"/>
      <c r="Q1789" s="82"/>
      <c r="R1789" s="38"/>
      <c r="S1789" s="38"/>
      <c r="T1789" s="38"/>
      <c r="U1789" s="38"/>
      <c r="V1789" s="38"/>
      <c r="W1789" s="38"/>
      <c r="X1789" s="38"/>
      <c r="Y1789" s="38"/>
      <c r="Z1789" s="38"/>
      <c r="AA1789" s="38"/>
      <c r="AB1789" s="38"/>
      <c r="AC1789" s="38"/>
      <c r="AD1789" s="38"/>
      <c r="AE1789" s="38"/>
      <c r="AF1789" s="38"/>
      <c r="AG1789" s="38"/>
      <c r="AH1789" s="38"/>
    </row>
    <row r="1790" spans="3:34" ht="20.100000000000001" customHeight="1">
      <c r="C1790" s="113"/>
      <c r="D1790" s="114"/>
      <c r="P1790" s="82"/>
      <c r="Q1790" s="82"/>
      <c r="R1790" s="38"/>
      <c r="S1790" s="38"/>
      <c r="T1790" s="38"/>
      <c r="U1790" s="38"/>
      <c r="V1790" s="38"/>
      <c r="W1790" s="38"/>
      <c r="X1790" s="38"/>
      <c r="Y1790" s="38"/>
      <c r="Z1790" s="38"/>
      <c r="AA1790" s="38"/>
      <c r="AB1790" s="38"/>
      <c r="AC1790" s="38"/>
      <c r="AD1790" s="38"/>
      <c r="AE1790" s="38"/>
      <c r="AF1790" s="38"/>
      <c r="AG1790" s="38"/>
      <c r="AH1790" s="38"/>
    </row>
    <row r="1791" spans="3:34" ht="20.100000000000001" customHeight="1">
      <c r="C1791" s="113"/>
      <c r="D1791" s="114"/>
      <c r="P1791" s="82"/>
      <c r="Q1791" s="82"/>
      <c r="R1791" s="38"/>
      <c r="S1791" s="38"/>
      <c r="T1791" s="38"/>
      <c r="U1791" s="38"/>
      <c r="V1791" s="38"/>
      <c r="W1791" s="38"/>
      <c r="X1791" s="38"/>
      <c r="Y1791" s="38"/>
      <c r="Z1791" s="38"/>
      <c r="AA1791" s="38"/>
      <c r="AB1791" s="38"/>
      <c r="AC1791" s="38"/>
      <c r="AD1791" s="38"/>
      <c r="AE1791" s="38"/>
      <c r="AF1791" s="38"/>
      <c r="AG1791" s="38"/>
      <c r="AH1791" s="38"/>
    </row>
    <row r="1792" spans="3:34" ht="20.100000000000001" customHeight="1">
      <c r="C1792" s="113"/>
      <c r="D1792" s="114"/>
      <c r="P1792" s="82"/>
      <c r="Q1792" s="82"/>
      <c r="R1792" s="38"/>
      <c r="S1792" s="38"/>
      <c r="T1792" s="38"/>
      <c r="U1792" s="38"/>
      <c r="V1792" s="38"/>
      <c r="W1792" s="38"/>
      <c r="X1792" s="38"/>
      <c r="Y1792" s="38"/>
      <c r="Z1792" s="38"/>
      <c r="AA1792" s="38"/>
      <c r="AB1792" s="38"/>
      <c r="AC1792" s="38"/>
      <c r="AD1792" s="38"/>
      <c r="AE1792" s="38"/>
      <c r="AF1792" s="38"/>
      <c r="AG1792" s="38"/>
      <c r="AH1792" s="38"/>
    </row>
    <row r="1793" spans="3:34" ht="20.100000000000001" customHeight="1">
      <c r="C1793" s="113"/>
      <c r="D1793" s="114"/>
      <c r="P1793" s="82"/>
      <c r="Q1793" s="82"/>
      <c r="R1793" s="38"/>
      <c r="S1793" s="38"/>
      <c r="T1793" s="38"/>
      <c r="U1793" s="38"/>
      <c r="V1793" s="38"/>
      <c r="W1793" s="38"/>
      <c r="X1793" s="38"/>
      <c r="Y1793" s="38"/>
      <c r="Z1793" s="38"/>
      <c r="AA1793" s="38"/>
      <c r="AB1793" s="38"/>
      <c r="AC1793" s="38"/>
      <c r="AD1793" s="38"/>
      <c r="AE1793" s="38"/>
      <c r="AF1793" s="38"/>
      <c r="AG1793" s="38"/>
      <c r="AH1793" s="38"/>
    </row>
    <row r="1794" spans="3:34" ht="20.100000000000001" customHeight="1">
      <c r="C1794" s="113"/>
      <c r="D1794" s="114"/>
      <c r="P1794" s="82"/>
      <c r="Q1794" s="82"/>
      <c r="R1794" s="38"/>
      <c r="S1794" s="38"/>
      <c r="T1794" s="38"/>
      <c r="U1794" s="38"/>
      <c r="V1794" s="38"/>
      <c r="W1794" s="38"/>
      <c r="X1794" s="38"/>
      <c r="Y1794" s="38"/>
      <c r="Z1794" s="38"/>
      <c r="AA1794" s="38"/>
      <c r="AB1794" s="38"/>
      <c r="AC1794" s="38"/>
      <c r="AD1794" s="38"/>
      <c r="AE1794" s="38"/>
      <c r="AF1794" s="38"/>
      <c r="AG1794" s="38"/>
      <c r="AH1794" s="38"/>
    </row>
    <row r="1795" spans="3:34" ht="20.100000000000001" customHeight="1">
      <c r="C1795" s="113"/>
      <c r="D1795" s="114"/>
      <c r="P1795" s="82"/>
      <c r="Q1795" s="82"/>
      <c r="R1795" s="38"/>
      <c r="S1795" s="38"/>
      <c r="T1795" s="38"/>
      <c r="U1795" s="38"/>
      <c r="V1795" s="38"/>
      <c r="W1795" s="38"/>
      <c r="X1795" s="38"/>
      <c r="Y1795" s="38"/>
      <c r="Z1795" s="38"/>
      <c r="AA1795" s="38"/>
      <c r="AB1795" s="38"/>
      <c r="AC1795" s="38"/>
      <c r="AD1795" s="38"/>
      <c r="AE1795" s="38"/>
      <c r="AF1795" s="38"/>
      <c r="AG1795" s="38"/>
      <c r="AH1795" s="38"/>
    </row>
    <row r="1796" spans="3:34" ht="20.100000000000001" customHeight="1">
      <c r="C1796" s="113"/>
      <c r="D1796" s="114"/>
      <c r="P1796" s="82"/>
      <c r="Q1796" s="82"/>
      <c r="R1796" s="38"/>
      <c r="S1796" s="38"/>
      <c r="T1796" s="38"/>
      <c r="U1796" s="38"/>
      <c r="V1796" s="38"/>
      <c r="W1796" s="38"/>
      <c r="X1796" s="38"/>
      <c r="Y1796" s="38"/>
      <c r="Z1796" s="38"/>
      <c r="AA1796" s="38"/>
      <c r="AB1796" s="38"/>
      <c r="AC1796" s="38"/>
      <c r="AD1796" s="38"/>
      <c r="AE1796" s="38"/>
      <c r="AF1796" s="38"/>
      <c r="AG1796" s="38"/>
      <c r="AH1796" s="38"/>
    </row>
    <row r="1797" spans="3:34" ht="20.100000000000001" customHeight="1">
      <c r="C1797" s="113"/>
      <c r="D1797" s="114"/>
      <c r="P1797" s="82"/>
      <c r="Q1797" s="82"/>
      <c r="R1797" s="38"/>
      <c r="S1797" s="38"/>
      <c r="T1797" s="38"/>
      <c r="U1797" s="38"/>
      <c r="V1797" s="38"/>
      <c r="W1797" s="38"/>
      <c r="X1797" s="38"/>
      <c r="Y1797" s="38"/>
      <c r="Z1797" s="38"/>
      <c r="AA1797" s="38"/>
      <c r="AB1797" s="38"/>
      <c r="AC1797" s="38"/>
      <c r="AD1797" s="38"/>
      <c r="AE1797" s="38"/>
      <c r="AF1797" s="38"/>
      <c r="AG1797" s="38"/>
      <c r="AH1797" s="38"/>
    </row>
    <row r="1798" spans="3:34" ht="20.100000000000001" customHeight="1">
      <c r="C1798" s="113"/>
      <c r="D1798" s="114"/>
      <c r="P1798" s="82"/>
      <c r="Q1798" s="82"/>
      <c r="R1798" s="38"/>
      <c r="S1798" s="38"/>
      <c r="T1798" s="38"/>
      <c r="U1798" s="38"/>
      <c r="V1798" s="38"/>
      <c r="W1798" s="38"/>
      <c r="X1798" s="38"/>
      <c r="Y1798" s="38"/>
      <c r="Z1798" s="38"/>
      <c r="AA1798" s="38"/>
      <c r="AB1798" s="38"/>
      <c r="AC1798" s="38"/>
      <c r="AD1798" s="38"/>
      <c r="AE1798" s="38"/>
      <c r="AF1798" s="38"/>
      <c r="AG1798" s="38"/>
      <c r="AH1798" s="38"/>
    </row>
    <row r="1799" spans="3:34" ht="20.100000000000001" customHeight="1">
      <c r="C1799" s="113"/>
      <c r="D1799" s="114"/>
      <c r="P1799" s="82"/>
      <c r="Q1799" s="82"/>
      <c r="R1799" s="38"/>
      <c r="S1799" s="38"/>
      <c r="T1799" s="38"/>
      <c r="U1799" s="38"/>
      <c r="V1799" s="38"/>
      <c r="W1799" s="38"/>
      <c r="X1799" s="38"/>
      <c r="Y1799" s="38"/>
      <c r="Z1799" s="38"/>
      <c r="AA1799" s="38"/>
      <c r="AB1799" s="38"/>
      <c r="AC1799" s="38"/>
      <c r="AD1799" s="38"/>
      <c r="AE1799" s="38"/>
      <c r="AF1799" s="38"/>
      <c r="AG1799" s="38"/>
      <c r="AH1799" s="38"/>
    </row>
    <row r="1800" spans="3:34" ht="20.100000000000001" customHeight="1">
      <c r="C1800" s="113"/>
      <c r="D1800" s="114"/>
      <c r="P1800" s="82"/>
      <c r="Q1800" s="82"/>
      <c r="R1800" s="38"/>
      <c r="S1800" s="38"/>
      <c r="T1800" s="38"/>
      <c r="U1800" s="38"/>
      <c r="V1800" s="38"/>
      <c r="W1800" s="38"/>
      <c r="X1800" s="38"/>
      <c r="Y1800" s="38"/>
      <c r="Z1800" s="38"/>
      <c r="AA1800" s="38"/>
      <c r="AB1800" s="38"/>
      <c r="AC1800" s="38"/>
      <c r="AD1800" s="38"/>
      <c r="AE1800" s="38"/>
      <c r="AF1800" s="38"/>
      <c r="AG1800" s="38"/>
      <c r="AH1800" s="38"/>
    </row>
    <row r="1801" spans="3:34" ht="20.100000000000001" customHeight="1">
      <c r="C1801" s="113"/>
      <c r="D1801" s="114"/>
      <c r="P1801" s="82"/>
      <c r="Q1801" s="82"/>
      <c r="R1801" s="38"/>
      <c r="S1801" s="38"/>
      <c r="T1801" s="38"/>
      <c r="U1801" s="38"/>
      <c r="V1801" s="38"/>
      <c r="W1801" s="38"/>
      <c r="X1801" s="38"/>
      <c r="Y1801" s="38"/>
      <c r="Z1801" s="38"/>
      <c r="AA1801" s="38"/>
      <c r="AB1801" s="38"/>
      <c r="AC1801" s="38"/>
      <c r="AD1801" s="38"/>
      <c r="AE1801" s="38"/>
      <c r="AF1801" s="38"/>
      <c r="AG1801" s="38"/>
      <c r="AH1801" s="38"/>
    </row>
    <row r="1802" spans="3:34" ht="20.100000000000001" customHeight="1">
      <c r="C1802" s="113"/>
      <c r="D1802" s="114"/>
      <c r="P1802" s="82"/>
      <c r="Q1802" s="82"/>
      <c r="R1802" s="38"/>
      <c r="S1802" s="38"/>
      <c r="T1802" s="38"/>
      <c r="U1802" s="38"/>
      <c r="V1802" s="38"/>
      <c r="W1802" s="38"/>
      <c r="X1802" s="38"/>
      <c r="Y1802" s="38"/>
      <c r="Z1802" s="38"/>
      <c r="AA1802" s="38"/>
      <c r="AB1802" s="38"/>
      <c r="AC1802" s="38"/>
      <c r="AD1802" s="38"/>
      <c r="AE1802" s="38"/>
      <c r="AF1802" s="38"/>
      <c r="AG1802" s="38"/>
      <c r="AH1802" s="38"/>
    </row>
    <row r="1803" spans="3:34" ht="20.100000000000001" customHeight="1">
      <c r="C1803" s="113"/>
      <c r="D1803" s="114"/>
      <c r="P1803" s="82"/>
      <c r="Q1803" s="82"/>
      <c r="R1803" s="38"/>
      <c r="S1803" s="38"/>
      <c r="T1803" s="38"/>
      <c r="U1803" s="38"/>
      <c r="V1803" s="38"/>
      <c r="W1803" s="38"/>
      <c r="X1803" s="38"/>
      <c r="Y1803" s="38"/>
      <c r="Z1803" s="38"/>
      <c r="AA1803" s="38"/>
      <c r="AB1803" s="38"/>
      <c r="AC1803" s="38"/>
      <c r="AD1803" s="38"/>
      <c r="AE1803" s="38"/>
      <c r="AF1803" s="38"/>
      <c r="AG1803" s="38"/>
      <c r="AH1803" s="38"/>
    </row>
    <row r="1804" spans="3:34" ht="20.100000000000001" customHeight="1">
      <c r="C1804" s="113"/>
      <c r="D1804" s="114"/>
      <c r="P1804" s="82"/>
      <c r="Q1804" s="82"/>
      <c r="R1804" s="38"/>
      <c r="S1804" s="38"/>
      <c r="T1804" s="38"/>
      <c r="U1804" s="38"/>
      <c r="V1804" s="38"/>
      <c r="W1804" s="38"/>
      <c r="X1804" s="38"/>
      <c r="Y1804" s="38"/>
      <c r="Z1804" s="38"/>
      <c r="AA1804" s="38"/>
      <c r="AB1804" s="38"/>
      <c r="AC1804" s="38"/>
      <c r="AD1804" s="38"/>
      <c r="AE1804" s="38"/>
      <c r="AF1804" s="38"/>
      <c r="AG1804" s="38"/>
      <c r="AH1804" s="38"/>
    </row>
    <row r="1805" spans="3:34" ht="20.100000000000001" customHeight="1">
      <c r="C1805" s="113"/>
      <c r="D1805" s="114"/>
      <c r="P1805" s="82"/>
      <c r="Q1805" s="82"/>
      <c r="R1805" s="38"/>
      <c r="S1805" s="38"/>
      <c r="T1805" s="38"/>
      <c r="U1805" s="38"/>
      <c r="V1805" s="38"/>
      <c r="W1805" s="38"/>
      <c r="X1805" s="38"/>
      <c r="Y1805" s="38"/>
      <c r="Z1805" s="38"/>
      <c r="AA1805" s="38"/>
      <c r="AB1805" s="38"/>
      <c r="AC1805" s="38"/>
      <c r="AD1805" s="38"/>
      <c r="AE1805" s="38"/>
      <c r="AF1805" s="38"/>
      <c r="AG1805" s="38"/>
      <c r="AH1805" s="38"/>
    </row>
    <row r="1806" spans="3:34" ht="20.100000000000001" customHeight="1">
      <c r="C1806" s="113"/>
      <c r="D1806" s="114"/>
      <c r="P1806" s="82"/>
      <c r="Q1806" s="82"/>
      <c r="R1806" s="38"/>
      <c r="S1806" s="38"/>
      <c r="T1806" s="38"/>
      <c r="U1806" s="38"/>
      <c r="V1806" s="38"/>
      <c r="W1806" s="38"/>
      <c r="X1806" s="38"/>
      <c r="Y1806" s="38"/>
      <c r="Z1806" s="38"/>
      <c r="AA1806" s="38"/>
      <c r="AB1806" s="38"/>
      <c r="AC1806" s="38"/>
      <c r="AD1806" s="38"/>
      <c r="AE1806" s="38"/>
      <c r="AF1806" s="38"/>
      <c r="AG1806" s="38"/>
      <c r="AH1806" s="38"/>
    </row>
    <row r="1807" spans="3:34" ht="20.100000000000001" customHeight="1">
      <c r="C1807" s="113"/>
      <c r="D1807" s="114"/>
      <c r="P1807" s="82"/>
      <c r="Q1807" s="82"/>
      <c r="R1807" s="38"/>
      <c r="S1807" s="38"/>
      <c r="T1807" s="38"/>
      <c r="U1807" s="38"/>
      <c r="V1807" s="38"/>
      <c r="W1807" s="38"/>
      <c r="X1807" s="38"/>
      <c r="Y1807" s="38"/>
      <c r="Z1807" s="38"/>
      <c r="AA1807" s="38"/>
      <c r="AB1807" s="38"/>
      <c r="AC1807" s="38"/>
      <c r="AD1807" s="38"/>
      <c r="AE1807" s="38"/>
      <c r="AF1807" s="38"/>
      <c r="AG1807" s="38"/>
      <c r="AH1807" s="38"/>
    </row>
    <row r="1808" spans="3:34" ht="20.100000000000001" customHeight="1">
      <c r="C1808" s="113"/>
      <c r="D1808" s="114"/>
      <c r="P1808" s="82"/>
      <c r="Q1808" s="82"/>
      <c r="R1808" s="38"/>
      <c r="S1808" s="38"/>
      <c r="T1808" s="38"/>
      <c r="U1808" s="38"/>
      <c r="V1808" s="38"/>
      <c r="W1808" s="38"/>
      <c r="X1808" s="38"/>
      <c r="Y1808" s="38"/>
      <c r="Z1808" s="38"/>
      <c r="AA1808" s="38"/>
      <c r="AB1808" s="38"/>
      <c r="AC1808" s="38"/>
      <c r="AD1808" s="38"/>
      <c r="AE1808" s="38"/>
      <c r="AF1808" s="38"/>
      <c r="AG1808" s="38"/>
      <c r="AH1808" s="38"/>
    </row>
    <row r="1809" spans="3:34" ht="20.100000000000001" customHeight="1">
      <c r="C1809" s="113"/>
      <c r="D1809" s="114"/>
      <c r="P1809" s="82"/>
      <c r="Q1809" s="82"/>
      <c r="R1809" s="38"/>
      <c r="S1809" s="38"/>
      <c r="T1809" s="38"/>
      <c r="U1809" s="38"/>
      <c r="V1809" s="38"/>
      <c r="W1809" s="38"/>
      <c r="X1809" s="38"/>
      <c r="Y1809" s="38"/>
      <c r="Z1809" s="38"/>
      <c r="AA1809" s="38"/>
      <c r="AB1809" s="38"/>
      <c r="AC1809" s="38"/>
      <c r="AD1809" s="38"/>
      <c r="AE1809" s="38"/>
      <c r="AF1809" s="38"/>
      <c r="AG1809" s="38"/>
      <c r="AH1809" s="38"/>
    </row>
    <row r="1810" spans="3:34" ht="20.100000000000001" customHeight="1">
      <c r="C1810" s="113"/>
      <c r="D1810" s="114"/>
      <c r="P1810" s="82"/>
      <c r="Q1810" s="82"/>
      <c r="R1810" s="38"/>
      <c r="S1810" s="38"/>
      <c r="T1810" s="38"/>
      <c r="U1810" s="38"/>
      <c r="V1810" s="38"/>
      <c r="W1810" s="38"/>
      <c r="X1810" s="38"/>
      <c r="Y1810" s="38"/>
      <c r="Z1810" s="38"/>
      <c r="AA1810" s="38"/>
      <c r="AB1810" s="38"/>
      <c r="AC1810" s="38"/>
      <c r="AD1810" s="38"/>
      <c r="AE1810" s="38"/>
      <c r="AF1810" s="38"/>
      <c r="AG1810" s="38"/>
      <c r="AH1810" s="38"/>
    </row>
    <row r="1811" spans="3:34" ht="20.100000000000001" customHeight="1">
      <c r="C1811" s="113"/>
      <c r="D1811" s="114"/>
      <c r="P1811" s="82"/>
      <c r="Q1811" s="82"/>
      <c r="R1811" s="38"/>
      <c r="S1811" s="38"/>
      <c r="T1811" s="38"/>
      <c r="U1811" s="38"/>
      <c r="V1811" s="38"/>
      <c r="W1811" s="38"/>
      <c r="X1811" s="38"/>
      <c r="Y1811" s="38"/>
      <c r="Z1811" s="38"/>
      <c r="AA1811" s="38"/>
      <c r="AB1811" s="38"/>
      <c r="AC1811" s="38"/>
      <c r="AD1811" s="38"/>
      <c r="AE1811" s="38"/>
      <c r="AF1811" s="38"/>
      <c r="AG1811" s="38"/>
      <c r="AH1811" s="38"/>
    </row>
    <row r="1812" spans="3:34" ht="20.100000000000001" customHeight="1">
      <c r="C1812" s="113"/>
      <c r="D1812" s="114"/>
      <c r="P1812" s="82"/>
      <c r="Q1812" s="82"/>
      <c r="R1812" s="38"/>
      <c r="S1812" s="38"/>
      <c r="T1812" s="38"/>
      <c r="U1812" s="38"/>
      <c r="V1812" s="38"/>
      <c r="W1812" s="38"/>
      <c r="X1812" s="38"/>
      <c r="Y1812" s="38"/>
      <c r="Z1812" s="38"/>
      <c r="AA1812" s="38"/>
      <c r="AB1812" s="38"/>
      <c r="AC1812" s="38"/>
      <c r="AD1812" s="38"/>
      <c r="AE1812" s="38"/>
      <c r="AF1812" s="38"/>
      <c r="AG1812" s="38"/>
      <c r="AH1812" s="38"/>
    </row>
    <row r="1813" spans="3:34" ht="20.100000000000001" customHeight="1">
      <c r="C1813" s="113"/>
      <c r="D1813" s="114"/>
      <c r="P1813" s="82"/>
      <c r="Q1813" s="82"/>
      <c r="R1813" s="38"/>
      <c r="S1813" s="38"/>
      <c r="T1813" s="38"/>
      <c r="U1813" s="38"/>
      <c r="V1813" s="38"/>
      <c r="W1813" s="38"/>
      <c r="X1813" s="38"/>
      <c r="Y1813" s="38"/>
      <c r="Z1813" s="38"/>
      <c r="AA1813" s="38"/>
      <c r="AB1813" s="38"/>
      <c r="AC1813" s="38"/>
      <c r="AD1813" s="38"/>
      <c r="AE1813" s="38"/>
      <c r="AF1813" s="38"/>
      <c r="AG1813" s="38"/>
      <c r="AH1813" s="38"/>
    </row>
    <row r="1814" spans="3:34" ht="20.100000000000001" customHeight="1">
      <c r="C1814" s="113"/>
      <c r="D1814" s="114"/>
      <c r="P1814" s="82"/>
      <c r="Q1814" s="82"/>
      <c r="R1814" s="38"/>
      <c r="S1814" s="38"/>
      <c r="T1814" s="38"/>
      <c r="U1814" s="38"/>
      <c r="V1814" s="38"/>
      <c r="W1814" s="38"/>
      <c r="X1814" s="38"/>
      <c r="Y1814" s="38"/>
      <c r="Z1814" s="38"/>
      <c r="AA1814" s="38"/>
      <c r="AB1814" s="38"/>
      <c r="AC1814" s="38"/>
      <c r="AD1814" s="38"/>
      <c r="AE1814" s="38"/>
      <c r="AF1814" s="38"/>
      <c r="AG1814" s="38"/>
      <c r="AH1814" s="38"/>
    </row>
    <row r="1815" spans="3:34" ht="20.100000000000001" customHeight="1">
      <c r="C1815" s="113"/>
      <c r="D1815" s="114"/>
      <c r="P1815" s="82"/>
      <c r="Q1815" s="82"/>
      <c r="R1815" s="38"/>
      <c r="S1815" s="38"/>
      <c r="T1815" s="38"/>
      <c r="U1815" s="38"/>
      <c r="V1815" s="38"/>
      <c r="W1815" s="38"/>
      <c r="X1815" s="38"/>
      <c r="Y1815" s="38"/>
      <c r="Z1815" s="38"/>
      <c r="AA1815" s="38"/>
      <c r="AB1815" s="38"/>
      <c r="AC1815" s="38"/>
      <c r="AD1815" s="38"/>
      <c r="AE1815" s="38"/>
      <c r="AF1815" s="38"/>
      <c r="AG1815" s="38"/>
      <c r="AH1815" s="38"/>
    </row>
    <row r="1816" spans="3:34" ht="20.100000000000001" customHeight="1">
      <c r="C1816" s="113"/>
      <c r="D1816" s="114"/>
      <c r="P1816" s="82"/>
      <c r="Q1816" s="82"/>
      <c r="R1816" s="38"/>
      <c r="S1816" s="38"/>
      <c r="T1816" s="38"/>
      <c r="U1816" s="38"/>
      <c r="V1816" s="38"/>
      <c r="W1816" s="38"/>
      <c r="X1816" s="38"/>
      <c r="Y1816" s="38"/>
      <c r="Z1816" s="38"/>
      <c r="AA1816" s="38"/>
      <c r="AB1816" s="38"/>
      <c r="AC1816" s="38"/>
      <c r="AD1816" s="38"/>
      <c r="AE1816" s="38"/>
      <c r="AF1816" s="38"/>
      <c r="AG1816" s="38"/>
      <c r="AH1816" s="38"/>
    </row>
    <row r="1817" spans="3:34" ht="20.100000000000001" customHeight="1">
      <c r="C1817" s="113"/>
      <c r="D1817" s="114"/>
      <c r="P1817" s="82"/>
      <c r="Q1817" s="82"/>
      <c r="R1817" s="38"/>
      <c r="S1817" s="38"/>
      <c r="T1817" s="38"/>
      <c r="U1817" s="38"/>
      <c r="V1817" s="38"/>
      <c r="W1817" s="38"/>
      <c r="X1817" s="38"/>
      <c r="Y1817" s="38"/>
      <c r="Z1817" s="38"/>
      <c r="AA1817" s="38"/>
      <c r="AB1817" s="38"/>
      <c r="AC1817" s="38"/>
      <c r="AD1817" s="38"/>
      <c r="AE1817" s="38"/>
      <c r="AF1817" s="38"/>
      <c r="AG1817" s="38"/>
      <c r="AH1817" s="38"/>
    </row>
    <row r="1818" spans="3:34" ht="20.100000000000001" customHeight="1">
      <c r="C1818" s="113"/>
      <c r="D1818" s="114"/>
      <c r="P1818" s="82"/>
      <c r="Q1818" s="82"/>
      <c r="R1818" s="38"/>
      <c r="S1818" s="38"/>
      <c r="T1818" s="38"/>
      <c r="U1818" s="38"/>
      <c r="V1818" s="38"/>
      <c r="W1818" s="38"/>
      <c r="X1818" s="38"/>
      <c r="Y1818" s="38"/>
      <c r="Z1818" s="38"/>
      <c r="AA1818" s="38"/>
      <c r="AB1818" s="38"/>
      <c r="AC1818" s="38"/>
      <c r="AD1818" s="38"/>
      <c r="AE1818" s="38"/>
      <c r="AF1818" s="38"/>
      <c r="AG1818" s="38"/>
      <c r="AH1818" s="38"/>
    </row>
    <row r="1819" spans="3:34" ht="20.100000000000001" customHeight="1">
      <c r="C1819" s="113"/>
      <c r="D1819" s="114"/>
      <c r="P1819" s="82"/>
      <c r="Q1819" s="82"/>
      <c r="R1819" s="38"/>
      <c r="S1819" s="38"/>
      <c r="T1819" s="38"/>
      <c r="U1819" s="38"/>
      <c r="V1819" s="38"/>
      <c r="W1819" s="38"/>
      <c r="X1819" s="38"/>
      <c r="Y1819" s="38"/>
      <c r="Z1819" s="38"/>
      <c r="AA1819" s="38"/>
      <c r="AB1819" s="38"/>
      <c r="AC1819" s="38"/>
      <c r="AD1819" s="38"/>
      <c r="AE1819" s="38"/>
      <c r="AF1819" s="38"/>
      <c r="AG1819" s="38"/>
      <c r="AH1819" s="38"/>
    </row>
    <row r="1820" spans="3:34" ht="20.100000000000001" customHeight="1">
      <c r="C1820" s="113"/>
      <c r="D1820" s="114"/>
      <c r="P1820" s="82"/>
      <c r="Q1820" s="82"/>
      <c r="R1820" s="38"/>
      <c r="S1820" s="38"/>
      <c r="T1820" s="38"/>
      <c r="U1820" s="38"/>
      <c r="V1820" s="38"/>
      <c r="W1820" s="38"/>
      <c r="X1820" s="38"/>
      <c r="Y1820" s="38"/>
      <c r="Z1820" s="38"/>
      <c r="AA1820" s="38"/>
      <c r="AB1820" s="38"/>
      <c r="AC1820" s="38"/>
      <c r="AD1820" s="38"/>
      <c r="AE1820" s="38"/>
      <c r="AF1820" s="38"/>
      <c r="AG1820" s="38"/>
      <c r="AH1820" s="38"/>
    </row>
    <row r="1821" spans="3:34" ht="20.100000000000001" customHeight="1">
      <c r="C1821" s="113"/>
      <c r="D1821" s="114"/>
      <c r="P1821" s="82"/>
      <c r="Q1821" s="82"/>
      <c r="R1821" s="38"/>
      <c r="S1821" s="38"/>
      <c r="T1821" s="38"/>
      <c r="U1821" s="38"/>
      <c r="V1821" s="38"/>
      <c r="W1821" s="38"/>
      <c r="X1821" s="38"/>
      <c r="Y1821" s="38"/>
      <c r="Z1821" s="38"/>
      <c r="AA1821" s="38"/>
      <c r="AB1821" s="38"/>
      <c r="AC1821" s="38"/>
      <c r="AD1821" s="38"/>
      <c r="AE1821" s="38"/>
      <c r="AF1821" s="38"/>
      <c r="AG1821" s="38"/>
      <c r="AH1821" s="38"/>
    </row>
    <row r="1822" spans="3:34" ht="20.100000000000001" customHeight="1">
      <c r="C1822" s="113"/>
      <c r="D1822" s="114"/>
      <c r="P1822" s="82"/>
      <c r="Q1822" s="82"/>
      <c r="R1822" s="38"/>
      <c r="S1822" s="38"/>
      <c r="T1822" s="38"/>
      <c r="U1822" s="38"/>
      <c r="V1822" s="38"/>
      <c r="W1822" s="38"/>
      <c r="X1822" s="38"/>
      <c r="Y1822" s="38"/>
      <c r="Z1822" s="38"/>
      <c r="AA1822" s="38"/>
      <c r="AB1822" s="38"/>
      <c r="AC1822" s="38"/>
      <c r="AD1822" s="38"/>
      <c r="AE1822" s="38"/>
      <c r="AF1822" s="38"/>
      <c r="AG1822" s="38"/>
      <c r="AH1822" s="38"/>
    </row>
    <row r="1823" spans="3:34" ht="20.100000000000001" customHeight="1">
      <c r="C1823" s="113"/>
      <c r="D1823" s="114"/>
      <c r="P1823" s="82"/>
      <c r="Q1823" s="82"/>
      <c r="R1823" s="38"/>
      <c r="S1823" s="38"/>
      <c r="T1823" s="38"/>
      <c r="U1823" s="38"/>
      <c r="V1823" s="38"/>
      <c r="W1823" s="38"/>
      <c r="X1823" s="38"/>
      <c r="Y1823" s="38"/>
      <c r="Z1823" s="38"/>
      <c r="AA1823" s="38"/>
      <c r="AB1823" s="38"/>
      <c r="AC1823" s="38"/>
      <c r="AD1823" s="38"/>
      <c r="AE1823" s="38"/>
      <c r="AF1823" s="38"/>
      <c r="AG1823" s="38"/>
      <c r="AH1823" s="38"/>
    </row>
    <row r="1824" spans="3:34" ht="20.100000000000001" customHeight="1">
      <c r="C1824" s="113"/>
      <c r="D1824" s="114"/>
      <c r="P1824" s="82"/>
      <c r="Q1824" s="82"/>
      <c r="R1824" s="38"/>
      <c r="S1824" s="38"/>
      <c r="T1824" s="38"/>
      <c r="U1824" s="38"/>
      <c r="V1824" s="38"/>
      <c r="W1824" s="38"/>
      <c r="X1824" s="38"/>
      <c r="Y1824" s="38"/>
      <c r="Z1824" s="38"/>
      <c r="AA1824" s="38"/>
      <c r="AB1824" s="38"/>
      <c r="AC1824" s="38"/>
      <c r="AD1824" s="38"/>
      <c r="AE1824" s="38"/>
      <c r="AF1824" s="38"/>
      <c r="AG1824" s="38"/>
      <c r="AH1824" s="38"/>
    </row>
    <row r="1825" spans="3:34" ht="20.100000000000001" customHeight="1">
      <c r="C1825" s="113"/>
      <c r="D1825" s="114"/>
      <c r="P1825" s="82"/>
      <c r="Q1825" s="82"/>
      <c r="R1825" s="38"/>
      <c r="S1825" s="38"/>
      <c r="T1825" s="38"/>
      <c r="U1825" s="38"/>
      <c r="V1825" s="38"/>
      <c r="W1825" s="38"/>
      <c r="X1825" s="38"/>
      <c r="Y1825" s="38"/>
      <c r="Z1825" s="38"/>
      <c r="AA1825" s="38"/>
      <c r="AB1825" s="38"/>
      <c r="AC1825" s="38"/>
      <c r="AD1825" s="38"/>
      <c r="AE1825" s="38"/>
      <c r="AF1825" s="38"/>
      <c r="AG1825" s="38"/>
      <c r="AH1825" s="38"/>
    </row>
    <row r="1826" spans="3:34" ht="20.100000000000001" customHeight="1">
      <c r="C1826" s="113"/>
      <c r="D1826" s="114"/>
      <c r="P1826" s="82"/>
      <c r="Q1826" s="82"/>
      <c r="R1826" s="38"/>
      <c r="S1826" s="38"/>
      <c r="T1826" s="38"/>
      <c r="U1826" s="38"/>
      <c r="V1826" s="38"/>
      <c r="W1826" s="38"/>
      <c r="X1826" s="38"/>
      <c r="Y1826" s="38"/>
      <c r="Z1826" s="38"/>
      <c r="AA1826" s="38"/>
      <c r="AB1826" s="38"/>
      <c r="AC1826" s="38"/>
      <c r="AD1826" s="38"/>
      <c r="AE1826" s="38"/>
      <c r="AF1826" s="38"/>
      <c r="AG1826" s="38"/>
      <c r="AH1826" s="38"/>
    </row>
    <row r="1827" spans="3:34" ht="20.100000000000001" customHeight="1">
      <c r="C1827" s="113"/>
      <c r="D1827" s="114"/>
      <c r="P1827" s="82"/>
      <c r="Q1827" s="82"/>
      <c r="R1827" s="38"/>
      <c r="S1827" s="38"/>
      <c r="T1827" s="38"/>
      <c r="U1827" s="38"/>
      <c r="V1827" s="38"/>
      <c r="W1827" s="38"/>
      <c r="X1827" s="38"/>
      <c r="Y1827" s="38"/>
      <c r="Z1827" s="38"/>
      <c r="AA1827" s="38"/>
      <c r="AB1827" s="38"/>
      <c r="AC1827" s="38"/>
      <c r="AD1827" s="38"/>
      <c r="AE1827" s="38"/>
      <c r="AF1827" s="38"/>
      <c r="AG1827" s="38"/>
      <c r="AH1827" s="38"/>
    </row>
    <row r="1828" spans="3:34" ht="20.100000000000001" customHeight="1">
      <c r="C1828" s="113"/>
      <c r="D1828" s="114"/>
      <c r="P1828" s="82"/>
      <c r="Q1828" s="82"/>
      <c r="R1828" s="38"/>
      <c r="S1828" s="38"/>
      <c r="T1828" s="38"/>
      <c r="U1828" s="38"/>
      <c r="V1828" s="38"/>
      <c r="W1828" s="38"/>
      <c r="X1828" s="38"/>
      <c r="Y1828" s="38"/>
      <c r="Z1828" s="38"/>
      <c r="AA1828" s="38"/>
      <c r="AB1828" s="38"/>
      <c r="AC1828" s="38"/>
      <c r="AD1828" s="38"/>
      <c r="AE1828" s="38"/>
      <c r="AF1828" s="38"/>
      <c r="AG1828" s="38"/>
      <c r="AH1828" s="38"/>
    </row>
    <row r="1829" spans="3:34" ht="20.100000000000001" customHeight="1">
      <c r="C1829" s="113"/>
      <c r="D1829" s="114"/>
      <c r="P1829" s="82"/>
      <c r="Q1829" s="82"/>
      <c r="R1829" s="38"/>
      <c r="S1829" s="38"/>
      <c r="T1829" s="38"/>
      <c r="U1829" s="38"/>
      <c r="V1829" s="38"/>
      <c r="W1829" s="38"/>
      <c r="X1829" s="38"/>
      <c r="Y1829" s="38"/>
      <c r="Z1829" s="38"/>
      <c r="AA1829" s="38"/>
      <c r="AB1829" s="38"/>
      <c r="AC1829" s="38"/>
      <c r="AD1829" s="38"/>
      <c r="AE1829" s="38"/>
      <c r="AF1829" s="38"/>
      <c r="AG1829" s="38"/>
      <c r="AH1829" s="38"/>
    </row>
    <row r="1830" spans="3:34" ht="20.100000000000001" customHeight="1">
      <c r="C1830" s="113"/>
      <c r="D1830" s="114"/>
      <c r="P1830" s="82"/>
      <c r="Q1830" s="82"/>
      <c r="R1830" s="38"/>
      <c r="S1830" s="38"/>
      <c r="T1830" s="38"/>
      <c r="U1830" s="38"/>
      <c r="V1830" s="38"/>
      <c r="W1830" s="38"/>
      <c r="X1830" s="38"/>
      <c r="Y1830" s="38"/>
      <c r="Z1830" s="38"/>
      <c r="AA1830" s="38"/>
      <c r="AB1830" s="38"/>
      <c r="AC1830" s="38"/>
      <c r="AD1830" s="38"/>
      <c r="AE1830" s="38"/>
      <c r="AF1830" s="38"/>
      <c r="AG1830" s="38"/>
      <c r="AH1830" s="38"/>
    </row>
    <row r="1831" spans="3:34" ht="20.100000000000001" customHeight="1">
      <c r="C1831" s="113"/>
      <c r="D1831" s="114"/>
      <c r="P1831" s="82"/>
      <c r="Q1831" s="82"/>
      <c r="R1831" s="38"/>
      <c r="S1831" s="38"/>
      <c r="T1831" s="38"/>
      <c r="U1831" s="38"/>
      <c r="V1831" s="38"/>
      <c r="W1831" s="38"/>
      <c r="X1831" s="38"/>
      <c r="Y1831" s="38"/>
      <c r="Z1831" s="38"/>
      <c r="AA1831" s="38"/>
      <c r="AB1831" s="38"/>
      <c r="AC1831" s="38"/>
      <c r="AD1831" s="38"/>
      <c r="AE1831" s="38"/>
      <c r="AF1831" s="38"/>
      <c r="AG1831" s="38"/>
      <c r="AH1831" s="38"/>
    </row>
    <row r="1832" spans="3:34" ht="20.100000000000001" customHeight="1">
      <c r="C1832" s="113"/>
      <c r="D1832" s="114"/>
      <c r="P1832" s="82"/>
      <c r="Q1832" s="82"/>
      <c r="R1832" s="38"/>
      <c r="S1832" s="38"/>
      <c r="T1832" s="38"/>
      <c r="U1832" s="38"/>
      <c r="V1832" s="38"/>
      <c r="W1832" s="38"/>
      <c r="X1832" s="38"/>
      <c r="Y1832" s="38"/>
      <c r="Z1832" s="38"/>
      <c r="AA1832" s="38"/>
      <c r="AB1832" s="38"/>
      <c r="AC1832" s="38"/>
      <c r="AD1832" s="38"/>
      <c r="AE1832" s="38"/>
      <c r="AF1832" s="38"/>
      <c r="AG1832" s="38"/>
      <c r="AH1832" s="38"/>
    </row>
    <row r="1833" spans="3:34" ht="20.100000000000001" customHeight="1">
      <c r="C1833" s="113"/>
      <c r="D1833" s="114"/>
      <c r="P1833" s="82"/>
      <c r="Q1833" s="82"/>
      <c r="R1833" s="38"/>
      <c r="S1833" s="38"/>
      <c r="T1833" s="38"/>
      <c r="U1833" s="38"/>
      <c r="V1833" s="38"/>
      <c r="W1833" s="38"/>
      <c r="X1833" s="38"/>
      <c r="Y1833" s="38"/>
      <c r="Z1833" s="38"/>
      <c r="AA1833" s="38"/>
      <c r="AB1833" s="38"/>
      <c r="AC1833" s="38"/>
      <c r="AD1833" s="38"/>
      <c r="AE1833" s="38"/>
      <c r="AF1833" s="38"/>
      <c r="AG1833" s="38"/>
      <c r="AH1833" s="38"/>
    </row>
    <row r="1834" spans="3:34" ht="20.100000000000001" customHeight="1">
      <c r="C1834" s="113"/>
      <c r="D1834" s="114"/>
      <c r="P1834" s="82"/>
      <c r="Q1834" s="82"/>
      <c r="R1834" s="38"/>
      <c r="S1834" s="38"/>
      <c r="T1834" s="38"/>
      <c r="U1834" s="38"/>
      <c r="V1834" s="38"/>
      <c r="W1834" s="38"/>
      <c r="X1834" s="38"/>
      <c r="Y1834" s="38"/>
      <c r="Z1834" s="38"/>
      <c r="AA1834" s="38"/>
      <c r="AB1834" s="38"/>
      <c r="AC1834" s="38"/>
      <c r="AD1834" s="38"/>
      <c r="AE1834" s="38"/>
      <c r="AF1834" s="38"/>
      <c r="AG1834" s="38"/>
      <c r="AH1834" s="38"/>
    </row>
    <row r="1835" spans="3:34" ht="20.100000000000001" customHeight="1">
      <c r="C1835" s="113"/>
      <c r="D1835" s="114"/>
      <c r="P1835" s="82"/>
      <c r="Q1835" s="82"/>
      <c r="R1835" s="38"/>
      <c r="S1835" s="38"/>
      <c r="T1835" s="38"/>
      <c r="U1835" s="38"/>
      <c r="V1835" s="38"/>
      <c r="W1835" s="38"/>
      <c r="X1835" s="38"/>
      <c r="Y1835" s="38"/>
      <c r="Z1835" s="38"/>
      <c r="AA1835" s="38"/>
      <c r="AB1835" s="38"/>
      <c r="AC1835" s="38"/>
      <c r="AD1835" s="38"/>
      <c r="AE1835" s="38"/>
      <c r="AF1835" s="38"/>
      <c r="AG1835" s="38"/>
      <c r="AH1835" s="38"/>
    </row>
    <row r="1836" spans="3:34" ht="20.100000000000001" customHeight="1">
      <c r="C1836" s="113"/>
      <c r="D1836" s="114"/>
      <c r="P1836" s="82"/>
      <c r="Q1836" s="82"/>
      <c r="R1836" s="38"/>
      <c r="S1836" s="38"/>
      <c r="T1836" s="38"/>
      <c r="U1836" s="38"/>
      <c r="V1836" s="38"/>
      <c r="W1836" s="38"/>
      <c r="X1836" s="38"/>
      <c r="Y1836" s="38"/>
      <c r="Z1836" s="38"/>
      <c r="AA1836" s="38"/>
      <c r="AB1836" s="38"/>
      <c r="AC1836" s="38"/>
      <c r="AD1836" s="38"/>
      <c r="AE1836" s="38"/>
      <c r="AF1836" s="38"/>
      <c r="AG1836" s="38"/>
      <c r="AH1836" s="38"/>
    </row>
    <row r="1837" spans="3:34" ht="20.100000000000001" customHeight="1">
      <c r="C1837" s="113"/>
      <c r="D1837" s="114"/>
      <c r="P1837" s="82"/>
      <c r="Q1837" s="82"/>
      <c r="R1837" s="38"/>
      <c r="S1837" s="38"/>
      <c r="T1837" s="38"/>
      <c r="U1837" s="38"/>
      <c r="V1837" s="38"/>
      <c r="W1837" s="38"/>
      <c r="X1837" s="38"/>
      <c r="Y1837" s="38"/>
      <c r="Z1837" s="38"/>
      <c r="AA1837" s="38"/>
      <c r="AB1837" s="38"/>
      <c r="AC1837" s="38"/>
      <c r="AD1837" s="38"/>
      <c r="AE1837" s="38"/>
      <c r="AF1837" s="38"/>
      <c r="AG1837" s="38"/>
      <c r="AH1837" s="38"/>
    </row>
    <row r="1838" spans="3:34" ht="20.100000000000001" customHeight="1">
      <c r="C1838" s="113"/>
      <c r="D1838" s="114"/>
      <c r="P1838" s="82"/>
      <c r="Q1838" s="82"/>
      <c r="R1838" s="38"/>
      <c r="S1838" s="38"/>
      <c r="T1838" s="38"/>
      <c r="U1838" s="38"/>
      <c r="V1838" s="38"/>
      <c r="W1838" s="38"/>
      <c r="X1838" s="38"/>
      <c r="Y1838" s="38"/>
      <c r="Z1838" s="38"/>
      <c r="AA1838" s="38"/>
      <c r="AB1838" s="38"/>
      <c r="AC1838" s="38"/>
      <c r="AD1838" s="38"/>
      <c r="AE1838" s="38"/>
      <c r="AF1838" s="38"/>
      <c r="AG1838" s="38"/>
      <c r="AH1838" s="38"/>
    </row>
    <row r="1839" spans="3:34" ht="20.100000000000001" customHeight="1">
      <c r="C1839" s="113"/>
      <c r="D1839" s="114"/>
      <c r="P1839" s="82"/>
      <c r="Q1839" s="82"/>
      <c r="R1839" s="38"/>
      <c r="S1839" s="38"/>
      <c r="T1839" s="38"/>
      <c r="U1839" s="38"/>
      <c r="V1839" s="38"/>
      <c r="W1839" s="38"/>
      <c r="X1839" s="38"/>
      <c r="Y1839" s="38"/>
      <c r="Z1839" s="38"/>
      <c r="AA1839" s="38"/>
      <c r="AB1839" s="38"/>
      <c r="AC1839" s="38"/>
      <c r="AD1839" s="38"/>
      <c r="AE1839" s="38"/>
      <c r="AF1839" s="38"/>
      <c r="AG1839" s="38"/>
      <c r="AH1839" s="38"/>
    </row>
    <row r="1840" spans="3:34" ht="20.100000000000001" customHeight="1">
      <c r="C1840" s="113"/>
      <c r="D1840" s="114"/>
      <c r="P1840" s="82"/>
      <c r="Q1840" s="82"/>
      <c r="R1840" s="38"/>
      <c r="S1840" s="38"/>
      <c r="T1840" s="38"/>
      <c r="U1840" s="38"/>
      <c r="V1840" s="38"/>
      <c r="W1840" s="38"/>
      <c r="X1840" s="38"/>
      <c r="Y1840" s="38"/>
      <c r="Z1840" s="38"/>
      <c r="AA1840" s="38"/>
      <c r="AB1840" s="38"/>
      <c r="AC1840" s="38"/>
      <c r="AD1840" s="38"/>
      <c r="AE1840" s="38"/>
      <c r="AF1840" s="38"/>
      <c r="AG1840" s="38"/>
      <c r="AH1840" s="38"/>
    </row>
    <row r="1841" spans="3:34" ht="20.100000000000001" customHeight="1">
      <c r="C1841" s="113"/>
      <c r="D1841" s="114"/>
      <c r="P1841" s="82"/>
      <c r="Q1841" s="82"/>
      <c r="R1841" s="38"/>
      <c r="S1841" s="38"/>
      <c r="T1841" s="38"/>
      <c r="U1841" s="38"/>
      <c r="V1841" s="38"/>
      <c r="W1841" s="38"/>
      <c r="X1841" s="38"/>
      <c r="Y1841" s="38"/>
      <c r="Z1841" s="38"/>
      <c r="AA1841" s="38"/>
      <c r="AB1841" s="38"/>
      <c r="AC1841" s="38"/>
      <c r="AD1841" s="38"/>
      <c r="AE1841" s="38"/>
      <c r="AF1841" s="38"/>
      <c r="AG1841" s="38"/>
      <c r="AH1841" s="38"/>
    </row>
    <row r="1842" spans="3:34" ht="20.100000000000001" customHeight="1">
      <c r="C1842" s="113"/>
      <c r="D1842" s="114"/>
      <c r="P1842" s="82"/>
      <c r="Q1842" s="82"/>
      <c r="R1842" s="38"/>
      <c r="S1842" s="38"/>
      <c r="T1842" s="38"/>
      <c r="U1842" s="38"/>
      <c r="V1842" s="38"/>
      <c r="W1842" s="38"/>
      <c r="X1842" s="38"/>
      <c r="Y1842" s="38"/>
      <c r="Z1842" s="38"/>
      <c r="AA1842" s="38"/>
      <c r="AB1842" s="38"/>
      <c r="AC1842" s="38"/>
      <c r="AD1842" s="38"/>
      <c r="AE1842" s="38"/>
      <c r="AF1842" s="38"/>
      <c r="AG1842" s="38"/>
      <c r="AH1842" s="38"/>
    </row>
    <row r="1843" spans="3:34" ht="20.100000000000001" customHeight="1">
      <c r="C1843" s="113"/>
      <c r="D1843" s="114"/>
      <c r="P1843" s="82"/>
      <c r="Q1843" s="82"/>
      <c r="R1843" s="38"/>
      <c r="S1843" s="38"/>
      <c r="T1843" s="38"/>
      <c r="U1843" s="38"/>
      <c r="V1843" s="38"/>
      <c r="W1843" s="38"/>
      <c r="X1843" s="38"/>
      <c r="Y1843" s="38"/>
      <c r="Z1843" s="38"/>
      <c r="AA1843" s="38"/>
      <c r="AB1843" s="38"/>
      <c r="AC1843" s="38"/>
      <c r="AD1843" s="38"/>
      <c r="AE1843" s="38"/>
      <c r="AF1843" s="38"/>
      <c r="AG1843" s="38"/>
      <c r="AH1843" s="38"/>
    </row>
    <row r="1844" spans="3:34" ht="20.100000000000001" customHeight="1">
      <c r="C1844" s="113"/>
      <c r="D1844" s="114"/>
      <c r="P1844" s="82"/>
      <c r="Q1844" s="82"/>
      <c r="R1844" s="38"/>
      <c r="S1844" s="38"/>
      <c r="T1844" s="38"/>
      <c r="U1844" s="38"/>
      <c r="V1844" s="38"/>
      <c r="W1844" s="38"/>
      <c r="X1844" s="38"/>
      <c r="Y1844" s="38"/>
      <c r="Z1844" s="38"/>
      <c r="AA1844" s="38"/>
      <c r="AB1844" s="38"/>
      <c r="AC1844" s="38"/>
      <c r="AD1844" s="38"/>
      <c r="AE1844" s="38"/>
      <c r="AF1844" s="38"/>
      <c r="AG1844" s="38"/>
      <c r="AH1844" s="38"/>
    </row>
    <row r="1845" spans="3:34" ht="20.100000000000001" customHeight="1">
      <c r="C1845" s="113"/>
      <c r="D1845" s="114"/>
      <c r="P1845" s="82"/>
      <c r="Q1845" s="82"/>
      <c r="R1845" s="38"/>
      <c r="S1845" s="38"/>
      <c r="T1845" s="38"/>
      <c r="U1845" s="38"/>
      <c r="V1845" s="38"/>
      <c r="W1845" s="38"/>
      <c r="X1845" s="38"/>
      <c r="Y1845" s="38"/>
      <c r="Z1845" s="38"/>
      <c r="AA1845" s="38"/>
      <c r="AB1845" s="38"/>
      <c r="AC1845" s="38"/>
      <c r="AD1845" s="38"/>
      <c r="AE1845" s="38"/>
      <c r="AF1845" s="38"/>
      <c r="AG1845" s="38"/>
      <c r="AH1845" s="38"/>
    </row>
    <row r="1846" spans="3:34" ht="20.100000000000001" customHeight="1">
      <c r="C1846" s="113"/>
      <c r="D1846" s="114"/>
      <c r="P1846" s="82"/>
      <c r="Q1846" s="82"/>
      <c r="R1846" s="38"/>
      <c r="S1846" s="38"/>
      <c r="T1846" s="38"/>
      <c r="U1846" s="38"/>
      <c r="V1846" s="38"/>
      <c r="W1846" s="38"/>
      <c r="X1846" s="38"/>
      <c r="Y1846" s="38"/>
      <c r="Z1846" s="38"/>
      <c r="AA1846" s="38"/>
      <c r="AB1846" s="38"/>
      <c r="AC1846" s="38"/>
      <c r="AD1846" s="38"/>
      <c r="AE1846" s="38"/>
      <c r="AF1846" s="38"/>
      <c r="AG1846" s="38"/>
      <c r="AH1846" s="38"/>
    </row>
    <row r="1847" spans="3:34" ht="20.100000000000001" customHeight="1">
      <c r="C1847" s="113"/>
      <c r="D1847" s="114"/>
      <c r="P1847" s="82"/>
      <c r="Q1847" s="82"/>
      <c r="R1847" s="38"/>
      <c r="S1847" s="38"/>
      <c r="T1847" s="38"/>
      <c r="U1847" s="38"/>
      <c r="V1847" s="38"/>
      <c r="W1847" s="38"/>
      <c r="X1847" s="38"/>
      <c r="Y1847" s="38"/>
      <c r="Z1847" s="38"/>
      <c r="AA1847" s="38"/>
      <c r="AB1847" s="38"/>
      <c r="AC1847" s="38"/>
      <c r="AD1847" s="38"/>
      <c r="AE1847" s="38"/>
      <c r="AF1847" s="38"/>
      <c r="AG1847" s="38"/>
      <c r="AH1847" s="38"/>
    </row>
    <row r="1848" spans="3:34" ht="20.100000000000001" customHeight="1">
      <c r="C1848" s="113"/>
      <c r="D1848" s="114"/>
      <c r="P1848" s="82"/>
      <c r="Q1848" s="82"/>
      <c r="R1848" s="38"/>
      <c r="S1848" s="38"/>
      <c r="T1848" s="38"/>
      <c r="U1848" s="38"/>
      <c r="V1848" s="38"/>
      <c r="W1848" s="38"/>
      <c r="X1848" s="38"/>
      <c r="Y1848" s="38"/>
      <c r="Z1848" s="38"/>
      <c r="AA1848" s="38"/>
      <c r="AB1848" s="38"/>
      <c r="AC1848" s="38"/>
      <c r="AD1848" s="38"/>
      <c r="AE1848" s="38"/>
      <c r="AF1848" s="38"/>
      <c r="AG1848" s="38"/>
      <c r="AH1848" s="38"/>
    </row>
    <row r="1849" spans="3:34" ht="20.100000000000001" customHeight="1">
      <c r="C1849" s="113"/>
      <c r="D1849" s="114"/>
      <c r="P1849" s="82"/>
      <c r="Q1849" s="82"/>
      <c r="R1849" s="38"/>
      <c r="S1849" s="38"/>
      <c r="T1849" s="38"/>
      <c r="U1849" s="38"/>
      <c r="V1849" s="38"/>
      <c r="W1849" s="38"/>
      <c r="X1849" s="38"/>
      <c r="Y1849" s="38"/>
      <c r="Z1849" s="38"/>
      <c r="AA1849" s="38"/>
      <c r="AB1849" s="38"/>
      <c r="AC1849" s="38"/>
      <c r="AD1849" s="38"/>
      <c r="AE1849" s="38"/>
      <c r="AF1849" s="38"/>
      <c r="AG1849" s="38"/>
      <c r="AH1849" s="38"/>
    </row>
    <row r="1850" spans="3:34" ht="20.100000000000001" customHeight="1">
      <c r="C1850" s="113"/>
      <c r="D1850" s="114"/>
      <c r="P1850" s="82"/>
      <c r="Q1850" s="82"/>
      <c r="R1850" s="38"/>
      <c r="S1850" s="38"/>
      <c r="T1850" s="38"/>
      <c r="U1850" s="38"/>
      <c r="V1850" s="38"/>
      <c r="W1850" s="38"/>
      <c r="X1850" s="38"/>
      <c r="Y1850" s="38"/>
      <c r="Z1850" s="38"/>
      <c r="AA1850" s="38"/>
      <c r="AB1850" s="38"/>
      <c r="AC1850" s="38"/>
      <c r="AD1850" s="38"/>
      <c r="AE1850" s="38"/>
      <c r="AF1850" s="38"/>
      <c r="AG1850" s="38"/>
      <c r="AH1850" s="38"/>
    </row>
    <row r="1851" spans="3:34" ht="20.100000000000001" customHeight="1">
      <c r="C1851" s="113"/>
      <c r="D1851" s="114"/>
      <c r="P1851" s="82"/>
      <c r="Q1851" s="82"/>
      <c r="R1851" s="38"/>
      <c r="S1851" s="38"/>
      <c r="T1851" s="38"/>
      <c r="U1851" s="38"/>
      <c r="V1851" s="38"/>
      <c r="W1851" s="38"/>
      <c r="X1851" s="38"/>
      <c r="Y1851" s="38"/>
      <c r="Z1851" s="38"/>
      <c r="AA1851" s="38"/>
      <c r="AB1851" s="38"/>
      <c r="AC1851" s="38"/>
      <c r="AD1851" s="38"/>
      <c r="AE1851" s="38"/>
      <c r="AF1851" s="38"/>
      <c r="AG1851" s="38"/>
      <c r="AH1851" s="38"/>
    </row>
    <row r="1852" spans="3:34" ht="20.100000000000001" customHeight="1">
      <c r="C1852" s="113"/>
      <c r="D1852" s="114"/>
      <c r="P1852" s="82"/>
      <c r="Q1852" s="82"/>
      <c r="R1852" s="38"/>
      <c r="S1852" s="38"/>
      <c r="T1852" s="38"/>
      <c r="U1852" s="38"/>
      <c r="V1852" s="38"/>
      <c r="W1852" s="38"/>
      <c r="X1852" s="38"/>
      <c r="Y1852" s="38"/>
      <c r="Z1852" s="38"/>
      <c r="AA1852" s="38"/>
      <c r="AB1852" s="38"/>
      <c r="AC1852" s="38"/>
      <c r="AD1852" s="38"/>
      <c r="AE1852" s="38"/>
      <c r="AF1852" s="38"/>
      <c r="AG1852" s="38"/>
      <c r="AH1852" s="38"/>
    </row>
    <row r="1853" spans="3:34" ht="20.100000000000001" customHeight="1">
      <c r="C1853" s="113"/>
      <c r="D1853" s="114"/>
      <c r="P1853" s="82"/>
      <c r="Q1853" s="82"/>
      <c r="R1853" s="38"/>
      <c r="S1853" s="38"/>
      <c r="T1853" s="38"/>
      <c r="U1853" s="38"/>
      <c r="V1853" s="38"/>
      <c r="W1853" s="38"/>
      <c r="X1853" s="38"/>
      <c r="Y1853" s="38"/>
      <c r="Z1853" s="38"/>
      <c r="AA1853" s="38"/>
      <c r="AB1853" s="38"/>
      <c r="AC1853" s="38"/>
      <c r="AD1853" s="38"/>
      <c r="AE1853" s="38"/>
      <c r="AF1853" s="38"/>
      <c r="AG1853" s="38"/>
      <c r="AH1853" s="38"/>
    </row>
    <row r="1854" spans="3:34" ht="20.100000000000001" customHeight="1">
      <c r="C1854" s="113"/>
      <c r="D1854" s="114"/>
      <c r="P1854" s="82"/>
      <c r="Q1854" s="82"/>
      <c r="R1854" s="38"/>
      <c r="S1854" s="38"/>
      <c r="T1854" s="38"/>
      <c r="U1854" s="38"/>
      <c r="V1854" s="38"/>
      <c r="W1854" s="38"/>
      <c r="X1854" s="38"/>
      <c r="Y1854" s="38"/>
      <c r="Z1854" s="38"/>
      <c r="AA1854" s="38"/>
      <c r="AB1854" s="38"/>
      <c r="AC1854" s="38"/>
      <c r="AD1854" s="38"/>
      <c r="AE1854" s="38"/>
      <c r="AF1854" s="38"/>
      <c r="AG1854" s="38"/>
      <c r="AH1854" s="38"/>
    </row>
    <row r="1855" spans="3:34" ht="20.100000000000001" customHeight="1">
      <c r="C1855" s="113"/>
      <c r="D1855" s="114"/>
      <c r="P1855" s="82"/>
      <c r="Q1855" s="82"/>
      <c r="R1855" s="38"/>
      <c r="S1855" s="38"/>
      <c r="T1855" s="38"/>
      <c r="U1855" s="38"/>
      <c r="V1855" s="38"/>
      <c r="W1855" s="38"/>
      <c r="X1855" s="38"/>
      <c r="Y1855" s="38"/>
      <c r="Z1855" s="38"/>
      <c r="AA1855" s="38"/>
      <c r="AB1855" s="38"/>
      <c r="AC1855" s="38"/>
      <c r="AD1855" s="38"/>
      <c r="AE1855" s="38"/>
      <c r="AF1855" s="38"/>
      <c r="AG1855" s="38"/>
      <c r="AH1855" s="38"/>
    </row>
    <row r="1856" spans="3:34" ht="20.100000000000001" customHeight="1">
      <c r="C1856" s="113"/>
      <c r="D1856" s="114"/>
      <c r="P1856" s="82"/>
      <c r="Q1856" s="82"/>
      <c r="R1856" s="38"/>
      <c r="S1856" s="38"/>
      <c r="T1856" s="38"/>
      <c r="U1856" s="38"/>
      <c r="V1856" s="38"/>
      <c r="W1856" s="38"/>
      <c r="X1856" s="38"/>
      <c r="Y1856" s="38"/>
      <c r="Z1856" s="38"/>
      <c r="AA1856" s="38"/>
      <c r="AB1856" s="38"/>
      <c r="AC1856" s="38"/>
      <c r="AD1856" s="38"/>
      <c r="AE1856" s="38"/>
      <c r="AF1856" s="38"/>
      <c r="AG1856" s="38"/>
      <c r="AH1856" s="38"/>
    </row>
    <row r="1857" spans="3:34" ht="20.100000000000001" customHeight="1">
      <c r="C1857" s="113"/>
      <c r="D1857" s="114"/>
      <c r="P1857" s="82"/>
      <c r="Q1857" s="82"/>
      <c r="R1857" s="38"/>
      <c r="S1857" s="38"/>
      <c r="T1857" s="38"/>
      <c r="U1857" s="38"/>
      <c r="V1857" s="38"/>
      <c r="W1857" s="38"/>
      <c r="X1857" s="38"/>
      <c r="Y1857" s="38"/>
      <c r="Z1857" s="38"/>
      <c r="AA1857" s="38"/>
      <c r="AB1857" s="38"/>
      <c r="AC1857" s="38"/>
      <c r="AD1857" s="38"/>
      <c r="AE1857" s="38"/>
      <c r="AF1857" s="38"/>
      <c r="AG1857" s="38"/>
      <c r="AH1857" s="38"/>
    </row>
    <row r="1858" spans="3:34" ht="20.100000000000001" customHeight="1">
      <c r="C1858" s="113"/>
      <c r="D1858" s="114"/>
      <c r="P1858" s="82"/>
      <c r="Q1858" s="82"/>
      <c r="R1858" s="38"/>
      <c r="S1858" s="38"/>
      <c r="T1858" s="38"/>
      <c r="U1858" s="38"/>
      <c r="V1858" s="38"/>
      <c r="W1858" s="38"/>
      <c r="X1858" s="38"/>
      <c r="Y1858" s="38"/>
      <c r="Z1858" s="38"/>
      <c r="AA1858" s="38"/>
      <c r="AB1858" s="38"/>
      <c r="AC1858" s="38"/>
      <c r="AD1858" s="38"/>
      <c r="AE1858" s="38"/>
      <c r="AF1858" s="38"/>
      <c r="AG1858" s="38"/>
      <c r="AH1858" s="38"/>
    </row>
    <row r="1859" spans="3:34" ht="20.100000000000001" customHeight="1">
      <c r="C1859" s="113"/>
      <c r="D1859" s="114"/>
      <c r="P1859" s="82"/>
      <c r="Q1859" s="82"/>
      <c r="R1859" s="38"/>
      <c r="S1859" s="38"/>
      <c r="T1859" s="38"/>
      <c r="U1859" s="38"/>
      <c r="V1859" s="38"/>
      <c r="W1859" s="38"/>
      <c r="X1859" s="38"/>
      <c r="Y1859" s="38"/>
      <c r="Z1859" s="38"/>
      <c r="AA1859" s="38"/>
      <c r="AB1859" s="38"/>
      <c r="AC1859" s="38"/>
      <c r="AD1859" s="38"/>
      <c r="AE1859" s="38"/>
      <c r="AF1859" s="38"/>
      <c r="AG1859" s="38"/>
      <c r="AH1859" s="38"/>
    </row>
    <row r="1860" spans="3:34" ht="20.100000000000001" customHeight="1">
      <c r="C1860" s="113"/>
      <c r="D1860" s="114"/>
      <c r="P1860" s="82"/>
      <c r="Q1860" s="82"/>
      <c r="R1860" s="38"/>
      <c r="S1860" s="38"/>
      <c r="T1860" s="38"/>
      <c r="U1860" s="38"/>
      <c r="V1860" s="38"/>
      <c r="W1860" s="38"/>
      <c r="X1860" s="38"/>
      <c r="Y1860" s="38"/>
      <c r="Z1860" s="38"/>
      <c r="AA1860" s="38"/>
      <c r="AB1860" s="38"/>
      <c r="AC1860" s="38"/>
      <c r="AD1860" s="38"/>
      <c r="AE1860" s="38"/>
      <c r="AF1860" s="38"/>
      <c r="AG1860" s="38"/>
      <c r="AH1860" s="38"/>
    </row>
    <row r="1861" spans="3:34" ht="20.100000000000001" customHeight="1">
      <c r="C1861" s="113"/>
      <c r="D1861" s="114"/>
      <c r="P1861" s="82"/>
      <c r="Q1861" s="82"/>
      <c r="R1861" s="38"/>
      <c r="S1861" s="38"/>
      <c r="T1861" s="38"/>
      <c r="U1861" s="38"/>
      <c r="V1861" s="38"/>
      <c r="W1861" s="38"/>
      <c r="X1861" s="38"/>
      <c r="Y1861" s="38"/>
      <c r="Z1861" s="38"/>
      <c r="AA1861" s="38"/>
      <c r="AB1861" s="38"/>
      <c r="AC1861" s="38"/>
      <c r="AD1861" s="38"/>
      <c r="AE1861" s="38"/>
      <c r="AF1861" s="38"/>
      <c r="AG1861" s="38"/>
      <c r="AH1861" s="38"/>
    </row>
    <row r="1862" spans="3:34" ht="20.100000000000001" customHeight="1">
      <c r="C1862" s="113"/>
      <c r="D1862" s="114"/>
      <c r="P1862" s="82"/>
      <c r="Q1862" s="82"/>
      <c r="R1862" s="38"/>
      <c r="S1862" s="38"/>
      <c r="T1862" s="38"/>
      <c r="U1862" s="38"/>
      <c r="V1862" s="38"/>
      <c r="W1862" s="38"/>
      <c r="X1862" s="38"/>
      <c r="Y1862" s="38"/>
      <c r="Z1862" s="38"/>
      <c r="AA1862" s="38"/>
      <c r="AB1862" s="38"/>
      <c r="AC1862" s="38"/>
      <c r="AD1862" s="38"/>
      <c r="AE1862" s="38"/>
      <c r="AF1862" s="38"/>
      <c r="AG1862" s="38"/>
      <c r="AH1862" s="38"/>
    </row>
    <row r="1863" spans="3:34" ht="20.100000000000001" customHeight="1">
      <c r="C1863" s="113"/>
      <c r="D1863" s="114"/>
      <c r="P1863" s="82"/>
      <c r="Q1863" s="82"/>
      <c r="R1863" s="38"/>
      <c r="S1863" s="38"/>
      <c r="T1863" s="38"/>
      <c r="U1863" s="38"/>
      <c r="V1863" s="38"/>
      <c r="W1863" s="38"/>
      <c r="X1863" s="38"/>
      <c r="Y1863" s="38"/>
      <c r="Z1863" s="38"/>
      <c r="AA1863" s="38"/>
      <c r="AB1863" s="38"/>
      <c r="AC1863" s="38"/>
      <c r="AD1863" s="38"/>
      <c r="AE1863" s="38"/>
      <c r="AF1863" s="38"/>
      <c r="AG1863" s="38"/>
      <c r="AH1863" s="38"/>
    </row>
    <row r="1864" spans="3:34" ht="20.100000000000001" customHeight="1">
      <c r="C1864" s="113"/>
      <c r="D1864" s="114"/>
      <c r="P1864" s="82"/>
      <c r="Q1864" s="82"/>
      <c r="R1864" s="38"/>
      <c r="S1864" s="38"/>
      <c r="T1864" s="38"/>
      <c r="U1864" s="38"/>
      <c r="V1864" s="38"/>
      <c r="W1864" s="38"/>
      <c r="X1864" s="38"/>
      <c r="Y1864" s="38"/>
      <c r="Z1864" s="38"/>
      <c r="AA1864" s="38"/>
      <c r="AB1864" s="38"/>
      <c r="AC1864" s="38"/>
      <c r="AD1864" s="38"/>
      <c r="AE1864" s="38"/>
      <c r="AF1864" s="38"/>
      <c r="AG1864" s="38"/>
      <c r="AH1864" s="38"/>
    </row>
    <row r="1865" spans="3:34" ht="20.100000000000001" customHeight="1">
      <c r="C1865" s="113"/>
      <c r="D1865" s="114"/>
      <c r="P1865" s="82"/>
      <c r="Q1865" s="82"/>
      <c r="R1865" s="38"/>
      <c r="S1865" s="38"/>
      <c r="T1865" s="38"/>
      <c r="U1865" s="38"/>
      <c r="V1865" s="38"/>
      <c r="W1865" s="38"/>
      <c r="X1865" s="38"/>
      <c r="Y1865" s="38"/>
      <c r="Z1865" s="38"/>
      <c r="AA1865" s="38"/>
      <c r="AB1865" s="38"/>
      <c r="AC1865" s="38"/>
      <c r="AD1865" s="38"/>
      <c r="AE1865" s="38"/>
      <c r="AF1865" s="38"/>
      <c r="AG1865" s="38"/>
      <c r="AH1865" s="38"/>
    </row>
    <row r="1866" spans="3:34" ht="20.100000000000001" customHeight="1">
      <c r="C1866" s="113"/>
      <c r="D1866" s="114"/>
      <c r="P1866" s="82"/>
      <c r="Q1866" s="82"/>
      <c r="R1866" s="38"/>
      <c r="S1866" s="38"/>
      <c r="T1866" s="38"/>
      <c r="U1866" s="38"/>
      <c r="V1866" s="38"/>
      <c r="W1866" s="38"/>
      <c r="X1866" s="38"/>
      <c r="Y1866" s="38"/>
      <c r="Z1866" s="38"/>
      <c r="AA1866" s="38"/>
      <c r="AB1866" s="38"/>
      <c r="AC1866" s="38"/>
      <c r="AD1866" s="38"/>
      <c r="AE1866" s="38"/>
      <c r="AF1866" s="38"/>
      <c r="AG1866" s="38"/>
      <c r="AH1866" s="38"/>
    </row>
    <row r="1867" spans="3:34" ht="20.100000000000001" customHeight="1">
      <c r="C1867" s="113"/>
      <c r="D1867" s="114"/>
      <c r="P1867" s="82"/>
      <c r="Q1867" s="82"/>
      <c r="R1867" s="38"/>
      <c r="S1867" s="38"/>
      <c r="T1867" s="38"/>
      <c r="U1867" s="38"/>
      <c r="V1867" s="38"/>
      <c r="W1867" s="38"/>
      <c r="X1867" s="38"/>
      <c r="Y1867" s="38"/>
      <c r="Z1867" s="38"/>
      <c r="AA1867" s="38"/>
      <c r="AB1867" s="38"/>
      <c r="AC1867" s="38"/>
      <c r="AD1867" s="38"/>
      <c r="AE1867" s="38"/>
      <c r="AF1867" s="38"/>
      <c r="AG1867" s="38"/>
      <c r="AH1867" s="38"/>
    </row>
    <row r="1868" spans="3:34" ht="20.100000000000001" customHeight="1">
      <c r="C1868" s="113"/>
      <c r="D1868" s="114"/>
      <c r="P1868" s="82"/>
      <c r="Q1868" s="82"/>
      <c r="R1868" s="38"/>
      <c r="S1868" s="38"/>
      <c r="T1868" s="38"/>
      <c r="U1868" s="38"/>
      <c r="V1868" s="38"/>
      <c r="W1868" s="38"/>
      <c r="X1868" s="38"/>
      <c r="Y1868" s="38"/>
      <c r="Z1868" s="38"/>
      <c r="AA1868" s="38"/>
      <c r="AB1868" s="38"/>
      <c r="AC1868" s="38"/>
      <c r="AD1868" s="38"/>
      <c r="AE1868" s="38"/>
      <c r="AF1868" s="38"/>
      <c r="AG1868" s="38"/>
      <c r="AH1868" s="38"/>
    </row>
    <row r="1869" spans="3:34" ht="20.100000000000001" customHeight="1">
      <c r="C1869" s="113"/>
      <c r="D1869" s="114"/>
      <c r="P1869" s="82"/>
      <c r="Q1869" s="82"/>
      <c r="R1869" s="38"/>
      <c r="S1869" s="38"/>
      <c r="T1869" s="38"/>
      <c r="U1869" s="38"/>
      <c r="V1869" s="38"/>
      <c r="W1869" s="38"/>
      <c r="X1869" s="38"/>
      <c r="Y1869" s="38"/>
      <c r="Z1869" s="38"/>
      <c r="AA1869" s="38"/>
      <c r="AB1869" s="38"/>
      <c r="AC1869" s="38"/>
      <c r="AD1869" s="38"/>
      <c r="AE1869" s="38"/>
      <c r="AF1869" s="38"/>
      <c r="AG1869" s="38"/>
      <c r="AH1869" s="38"/>
    </row>
    <row r="1870" spans="3:34" ht="20.100000000000001" customHeight="1">
      <c r="C1870" s="113"/>
      <c r="D1870" s="114"/>
      <c r="P1870" s="82"/>
      <c r="Q1870" s="82"/>
      <c r="R1870" s="38"/>
      <c r="S1870" s="38"/>
      <c r="T1870" s="38"/>
      <c r="U1870" s="38"/>
      <c r="V1870" s="38"/>
      <c r="W1870" s="38"/>
      <c r="X1870" s="38"/>
      <c r="Y1870" s="38"/>
      <c r="Z1870" s="38"/>
      <c r="AA1870" s="38"/>
      <c r="AB1870" s="38"/>
      <c r="AC1870" s="38"/>
      <c r="AD1870" s="38"/>
      <c r="AE1870" s="38"/>
      <c r="AF1870" s="38"/>
      <c r="AG1870" s="38"/>
      <c r="AH1870" s="38"/>
    </row>
    <row r="1871" spans="3:34" ht="20.100000000000001" customHeight="1">
      <c r="C1871" s="113"/>
      <c r="D1871" s="114"/>
      <c r="P1871" s="82"/>
      <c r="Q1871" s="82"/>
      <c r="R1871" s="38"/>
      <c r="S1871" s="38"/>
      <c r="T1871" s="38"/>
      <c r="U1871" s="38"/>
      <c r="V1871" s="38"/>
      <c r="W1871" s="38"/>
      <c r="X1871" s="38"/>
      <c r="Y1871" s="38"/>
      <c r="Z1871" s="38"/>
      <c r="AA1871" s="38"/>
      <c r="AB1871" s="38"/>
      <c r="AC1871" s="38"/>
      <c r="AD1871" s="38"/>
      <c r="AE1871" s="38"/>
      <c r="AF1871" s="38"/>
      <c r="AG1871" s="38"/>
      <c r="AH1871" s="38"/>
    </row>
    <row r="1872" spans="3:34" ht="20.100000000000001" customHeight="1">
      <c r="C1872" s="113"/>
      <c r="D1872" s="114"/>
      <c r="P1872" s="82"/>
      <c r="Q1872" s="82"/>
      <c r="R1872" s="38"/>
      <c r="S1872" s="38"/>
      <c r="T1872" s="38"/>
      <c r="U1872" s="38"/>
      <c r="V1872" s="38"/>
      <c r="W1872" s="38"/>
      <c r="X1872" s="38"/>
      <c r="Y1872" s="38"/>
      <c r="Z1872" s="38"/>
      <c r="AA1872" s="38"/>
      <c r="AB1872" s="38"/>
      <c r="AC1872" s="38"/>
      <c r="AD1872" s="38"/>
      <c r="AE1872" s="38"/>
      <c r="AF1872" s="38"/>
      <c r="AG1872" s="38"/>
      <c r="AH1872" s="38"/>
    </row>
    <row r="1873" spans="3:34" ht="20.100000000000001" customHeight="1">
      <c r="C1873" s="113"/>
      <c r="D1873" s="114"/>
      <c r="P1873" s="82"/>
      <c r="Q1873" s="82"/>
      <c r="R1873" s="38"/>
      <c r="S1873" s="38"/>
      <c r="T1873" s="38"/>
      <c r="U1873" s="38"/>
      <c r="V1873" s="38"/>
      <c r="W1873" s="38"/>
      <c r="X1873" s="38"/>
      <c r="Y1873" s="38"/>
      <c r="Z1873" s="38"/>
      <c r="AA1873" s="38"/>
      <c r="AB1873" s="38"/>
      <c r="AC1873" s="38"/>
      <c r="AD1873" s="38"/>
      <c r="AE1873" s="38"/>
      <c r="AF1873" s="38"/>
      <c r="AG1873" s="38"/>
      <c r="AH1873" s="38"/>
    </row>
    <row r="1874" spans="3:34" ht="20.100000000000001" customHeight="1">
      <c r="C1874" s="113"/>
      <c r="D1874" s="114"/>
      <c r="P1874" s="82"/>
      <c r="Q1874" s="82"/>
      <c r="R1874" s="38"/>
      <c r="S1874" s="38"/>
      <c r="T1874" s="38"/>
      <c r="U1874" s="38"/>
      <c r="V1874" s="38"/>
      <c r="W1874" s="38"/>
      <c r="X1874" s="38"/>
      <c r="Y1874" s="38"/>
      <c r="Z1874" s="38"/>
      <c r="AA1874" s="38"/>
      <c r="AB1874" s="38"/>
      <c r="AC1874" s="38"/>
      <c r="AD1874" s="38"/>
      <c r="AE1874" s="38"/>
      <c r="AF1874" s="38"/>
      <c r="AG1874" s="38"/>
      <c r="AH1874" s="38"/>
    </row>
    <row r="1875" spans="3:34" ht="20.100000000000001" customHeight="1">
      <c r="C1875" s="113"/>
      <c r="D1875" s="114"/>
      <c r="P1875" s="82"/>
      <c r="Q1875" s="82"/>
      <c r="R1875" s="38"/>
      <c r="S1875" s="38"/>
      <c r="T1875" s="38"/>
      <c r="U1875" s="38"/>
      <c r="V1875" s="38"/>
      <c r="W1875" s="38"/>
      <c r="X1875" s="38"/>
      <c r="Y1875" s="38"/>
      <c r="Z1875" s="38"/>
      <c r="AA1875" s="38"/>
      <c r="AB1875" s="38"/>
      <c r="AC1875" s="38"/>
      <c r="AD1875" s="38"/>
      <c r="AE1875" s="38"/>
      <c r="AF1875" s="38"/>
      <c r="AG1875" s="38"/>
      <c r="AH1875" s="38"/>
    </row>
    <row r="1876" spans="3:34" ht="20.100000000000001" customHeight="1">
      <c r="C1876" s="113"/>
      <c r="D1876" s="114"/>
      <c r="P1876" s="82"/>
      <c r="Q1876" s="82"/>
      <c r="R1876" s="38"/>
      <c r="S1876" s="38"/>
      <c r="T1876" s="38"/>
      <c r="U1876" s="38"/>
      <c r="V1876" s="38"/>
      <c r="W1876" s="38"/>
      <c r="X1876" s="38"/>
      <c r="Y1876" s="38"/>
      <c r="Z1876" s="38"/>
      <c r="AA1876" s="38"/>
      <c r="AB1876" s="38"/>
      <c r="AC1876" s="38"/>
      <c r="AD1876" s="38"/>
      <c r="AE1876" s="38"/>
      <c r="AF1876" s="38"/>
      <c r="AG1876" s="38"/>
      <c r="AH1876" s="38"/>
    </row>
    <row r="1877" spans="3:34" ht="20.100000000000001" customHeight="1">
      <c r="C1877" s="113"/>
      <c r="D1877" s="114"/>
      <c r="P1877" s="82"/>
      <c r="Q1877" s="82"/>
      <c r="R1877" s="38"/>
      <c r="S1877" s="38"/>
      <c r="T1877" s="38"/>
      <c r="U1877" s="38"/>
      <c r="V1877" s="38"/>
      <c r="W1877" s="38"/>
      <c r="X1877" s="38"/>
      <c r="Y1877" s="38"/>
      <c r="Z1877" s="38"/>
      <c r="AA1877" s="38"/>
      <c r="AB1877" s="38"/>
      <c r="AC1877" s="38"/>
      <c r="AD1877" s="38"/>
      <c r="AE1877" s="38"/>
      <c r="AF1877" s="38"/>
      <c r="AG1877" s="38"/>
      <c r="AH1877" s="38"/>
    </row>
    <row r="1878" spans="3:34" ht="20.100000000000001" customHeight="1">
      <c r="C1878" s="113"/>
      <c r="D1878" s="114"/>
      <c r="P1878" s="82"/>
      <c r="Q1878" s="82"/>
      <c r="R1878" s="38"/>
      <c r="S1878" s="38"/>
      <c r="T1878" s="38"/>
      <c r="U1878" s="38"/>
      <c r="V1878" s="38"/>
      <c r="W1878" s="38"/>
      <c r="X1878" s="38"/>
      <c r="Y1878" s="38"/>
      <c r="Z1878" s="38"/>
      <c r="AA1878" s="38"/>
      <c r="AB1878" s="38"/>
      <c r="AC1878" s="38"/>
      <c r="AD1878" s="38"/>
      <c r="AE1878" s="38"/>
      <c r="AF1878" s="38"/>
      <c r="AG1878" s="38"/>
      <c r="AH1878" s="38"/>
    </row>
    <row r="1879" spans="3:34" ht="20.100000000000001" customHeight="1">
      <c r="C1879" s="113"/>
      <c r="D1879" s="114"/>
      <c r="P1879" s="82"/>
      <c r="Q1879" s="82"/>
      <c r="R1879" s="38"/>
      <c r="S1879" s="38"/>
      <c r="T1879" s="38"/>
      <c r="U1879" s="38"/>
      <c r="V1879" s="38"/>
      <c r="W1879" s="38"/>
      <c r="X1879" s="38"/>
      <c r="Y1879" s="38"/>
      <c r="Z1879" s="38"/>
      <c r="AA1879" s="38"/>
      <c r="AB1879" s="38"/>
      <c r="AC1879" s="38"/>
      <c r="AD1879" s="38"/>
      <c r="AE1879" s="38"/>
      <c r="AF1879" s="38"/>
      <c r="AG1879" s="38"/>
      <c r="AH1879" s="38"/>
    </row>
    <row r="1880" spans="3:34" ht="20.100000000000001" customHeight="1">
      <c r="C1880" s="113"/>
      <c r="D1880" s="114"/>
      <c r="P1880" s="82"/>
      <c r="Q1880" s="82"/>
      <c r="R1880" s="38"/>
      <c r="S1880" s="38"/>
      <c r="T1880" s="38"/>
      <c r="U1880" s="38"/>
      <c r="V1880" s="38"/>
      <c r="W1880" s="38"/>
      <c r="X1880" s="38"/>
      <c r="Y1880" s="38"/>
      <c r="Z1880" s="38"/>
      <c r="AA1880" s="38"/>
      <c r="AB1880" s="38"/>
      <c r="AC1880" s="38"/>
      <c r="AD1880" s="38"/>
      <c r="AE1880" s="38"/>
      <c r="AF1880" s="38"/>
      <c r="AG1880" s="38"/>
      <c r="AH1880" s="38"/>
    </row>
    <row r="1881" spans="3:34" ht="20.100000000000001" customHeight="1">
      <c r="C1881" s="113"/>
      <c r="D1881" s="114"/>
      <c r="P1881" s="82"/>
      <c r="Q1881" s="82"/>
      <c r="R1881" s="38"/>
      <c r="S1881" s="38"/>
      <c r="T1881" s="38"/>
      <c r="U1881" s="38"/>
      <c r="V1881" s="38"/>
      <c r="W1881" s="38"/>
      <c r="X1881" s="38"/>
      <c r="Y1881" s="38"/>
      <c r="Z1881" s="38"/>
      <c r="AA1881" s="38"/>
      <c r="AB1881" s="38"/>
      <c r="AC1881" s="38"/>
      <c r="AD1881" s="38"/>
      <c r="AE1881" s="38"/>
      <c r="AF1881" s="38"/>
      <c r="AG1881" s="38"/>
      <c r="AH1881" s="38"/>
    </row>
    <row r="1882" spans="3:34" ht="20.100000000000001" customHeight="1">
      <c r="C1882" s="113"/>
      <c r="D1882" s="114"/>
      <c r="P1882" s="82"/>
      <c r="Q1882" s="82"/>
      <c r="R1882" s="38"/>
      <c r="S1882" s="38"/>
      <c r="T1882" s="38"/>
      <c r="U1882" s="38"/>
      <c r="V1882" s="38"/>
      <c r="W1882" s="38"/>
      <c r="X1882" s="38"/>
      <c r="Y1882" s="38"/>
      <c r="Z1882" s="38"/>
      <c r="AA1882" s="38"/>
      <c r="AB1882" s="38"/>
      <c r="AC1882" s="38"/>
      <c r="AD1882" s="38"/>
      <c r="AE1882" s="38"/>
      <c r="AF1882" s="38"/>
      <c r="AG1882" s="38"/>
      <c r="AH1882" s="38"/>
    </row>
    <row r="1883" spans="3:34" ht="20.100000000000001" customHeight="1">
      <c r="C1883" s="113"/>
      <c r="D1883" s="114"/>
      <c r="P1883" s="82"/>
      <c r="Q1883" s="82"/>
      <c r="R1883" s="38"/>
      <c r="S1883" s="38"/>
      <c r="T1883" s="38"/>
      <c r="U1883" s="38"/>
      <c r="V1883" s="38"/>
      <c r="W1883" s="38"/>
      <c r="X1883" s="38"/>
      <c r="Y1883" s="38"/>
      <c r="Z1883" s="38"/>
      <c r="AA1883" s="38"/>
      <c r="AB1883" s="38"/>
      <c r="AC1883" s="38"/>
      <c r="AD1883" s="38"/>
      <c r="AE1883" s="38"/>
      <c r="AF1883" s="38"/>
      <c r="AG1883" s="38"/>
      <c r="AH1883" s="38"/>
    </row>
    <row r="1884" spans="3:34" ht="20.100000000000001" customHeight="1">
      <c r="C1884" s="113"/>
      <c r="D1884" s="114"/>
      <c r="P1884" s="82"/>
      <c r="Q1884" s="82"/>
      <c r="R1884" s="38"/>
      <c r="S1884" s="38"/>
      <c r="T1884" s="38"/>
      <c r="U1884" s="38"/>
      <c r="V1884" s="38"/>
      <c r="W1884" s="38"/>
      <c r="X1884" s="38"/>
      <c r="Y1884" s="38"/>
      <c r="Z1884" s="38"/>
      <c r="AA1884" s="38"/>
      <c r="AB1884" s="38"/>
      <c r="AC1884" s="38"/>
      <c r="AD1884" s="38"/>
      <c r="AE1884" s="38"/>
      <c r="AF1884" s="38"/>
      <c r="AG1884" s="38"/>
      <c r="AH1884" s="38"/>
    </row>
    <row r="1885" spans="3:34" ht="20.100000000000001" customHeight="1">
      <c r="C1885" s="113"/>
      <c r="D1885" s="114"/>
      <c r="P1885" s="82"/>
      <c r="Q1885" s="82"/>
      <c r="R1885" s="38"/>
      <c r="S1885" s="38"/>
      <c r="T1885" s="38"/>
      <c r="U1885" s="38"/>
      <c r="V1885" s="38"/>
      <c r="W1885" s="38"/>
      <c r="X1885" s="38"/>
      <c r="Y1885" s="38"/>
      <c r="Z1885" s="38"/>
      <c r="AA1885" s="38"/>
      <c r="AB1885" s="38"/>
      <c r="AC1885" s="38"/>
      <c r="AD1885" s="38"/>
      <c r="AE1885" s="38"/>
      <c r="AF1885" s="38"/>
      <c r="AG1885" s="38"/>
      <c r="AH1885" s="38"/>
    </row>
    <row r="1886" spans="3:34" ht="20.100000000000001" customHeight="1">
      <c r="C1886" s="113"/>
      <c r="D1886" s="114"/>
      <c r="P1886" s="82"/>
      <c r="Q1886" s="82"/>
      <c r="R1886" s="38"/>
      <c r="S1886" s="38"/>
      <c r="T1886" s="38"/>
      <c r="U1886" s="38"/>
      <c r="V1886" s="38"/>
      <c r="W1886" s="38"/>
      <c r="X1886" s="38"/>
      <c r="Y1886" s="38"/>
      <c r="Z1886" s="38"/>
      <c r="AA1886" s="38"/>
      <c r="AB1886" s="38"/>
      <c r="AC1886" s="38"/>
      <c r="AD1886" s="38"/>
      <c r="AE1886" s="38"/>
      <c r="AF1886" s="38"/>
      <c r="AG1886" s="38"/>
      <c r="AH1886" s="38"/>
    </row>
    <row r="1887" spans="3:34" ht="20.100000000000001" customHeight="1">
      <c r="C1887" s="113"/>
      <c r="D1887" s="114"/>
      <c r="P1887" s="82"/>
      <c r="Q1887" s="82"/>
      <c r="R1887" s="38"/>
      <c r="S1887" s="38"/>
      <c r="T1887" s="38"/>
      <c r="U1887" s="38"/>
      <c r="V1887" s="38"/>
      <c r="W1887" s="38"/>
      <c r="X1887" s="38"/>
      <c r="Y1887" s="38"/>
      <c r="Z1887" s="38"/>
      <c r="AA1887" s="38"/>
      <c r="AB1887" s="38"/>
      <c r="AC1887" s="38"/>
      <c r="AD1887" s="38"/>
      <c r="AE1887" s="38"/>
      <c r="AF1887" s="38"/>
      <c r="AG1887" s="38"/>
      <c r="AH1887" s="38"/>
    </row>
    <row r="1888" spans="3:34" ht="20.100000000000001" customHeight="1">
      <c r="C1888" s="113"/>
      <c r="D1888" s="114"/>
      <c r="P1888" s="82"/>
      <c r="Q1888" s="82"/>
      <c r="R1888" s="38"/>
      <c r="S1888" s="38"/>
      <c r="T1888" s="38"/>
      <c r="U1888" s="38"/>
      <c r="V1888" s="38"/>
      <c r="W1888" s="38"/>
      <c r="X1888" s="38"/>
      <c r="Y1888" s="38"/>
      <c r="Z1888" s="38"/>
      <c r="AA1888" s="38"/>
      <c r="AB1888" s="38"/>
      <c r="AC1888" s="38"/>
      <c r="AD1888" s="38"/>
      <c r="AE1888" s="38"/>
      <c r="AF1888" s="38"/>
      <c r="AG1888" s="38"/>
      <c r="AH1888" s="38"/>
    </row>
    <row r="1889" spans="3:34" ht="20.100000000000001" customHeight="1">
      <c r="C1889" s="113"/>
      <c r="D1889" s="114"/>
      <c r="P1889" s="82"/>
      <c r="Q1889" s="82"/>
      <c r="R1889" s="38"/>
      <c r="S1889" s="38"/>
      <c r="T1889" s="38"/>
      <c r="U1889" s="38"/>
      <c r="V1889" s="38"/>
      <c r="W1889" s="38"/>
      <c r="X1889" s="38"/>
      <c r="Y1889" s="38"/>
      <c r="Z1889" s="38"/>
      <c r="AA1889" s="38"/>
      <c r="AB1889" s="38"/>
      <c r="AC1889" s="38"/>
      <c r="AD1889" s="38"/>
      <c r="AE1889" s="38"/>
      <c r="AF1889" s="38"/>
      <c r="AG1889" s="38"/>
      <c r="AH1889" s="38"/>
    </row>
    <row r="1890" spans="3:34" ht="20.100000000000001" customHeight="1">
      <c r="C1890" s="113"/>
      <c r="D1890" s="114"/>
      <c r="P1890" s="82"/>
      <c r="Q1890" s="82"/>
      <c r="R1890" s="38"/>
      <c r="S1890" s="38"/>
      <c r="T1890" s="38"/>
      <c r="U1890" s="38"/>
      <c r="V1890" s="38"/>
      <c r="W1890" s="38"/>
      <c r="X1890" s="38"/>
      <c r="Y1890" s="38"/>
      <c r="Z1890" s="38"/>
      <c r="AA1890" s="38"/>
      <c r="AB1890" s="38"/>
      <c r="AC1890" s="38"/>
      <c r="AD1890" s="38"/>
      <c r="AE1890" s="38"/>
      <c r="AF1890" s="38"/>
      <c r="AG1890" s="38"/>
      <c r="AH1890" s="38"/>
    </row>
    <row r="1891" spans="3:34" ht="20.100000000000001" customHeight="1">
      <c r="C1891" s="113"/>
      <c r="D1891" s="114"/>
      <c r="P1891" s="82"/>
      <c r="Q1891" s="82"/>
      <c r="R1891" s="38"/>
      <c r="S1891" s="38"/>
      <c r="T1891" s="38"/>
      <c r="U1891" s="38"/>
      <c r="V1891" s="38"/>
      <c r="W1891" s="38"/>
      <c r="X1891" s="38"/>
      <c r="Y1891" s="38"/>
      <c r="Z1891" s="38"/>
      <c r="AA1891" s="38"/>
      <c r="AB1891" s="38"/>
      <c r="AC1891" s="38"/>
      <c r="AD1891" s="38"/>
      <c r="AE1891" s="38"/>
      <c r="AF1891" s="38"/>
      <c r="AG1891" s="38"/>
      <c r="AH1891" s="38"/>
    </row>
    <row r="1892" spans="3:34" ht="20.100000000000001" customHeight="1">
      <c r="C1892" s="113"/>
      <c r="D1892" s="114"/>
      <c r="P1892" s="82"/>
      <c r="Q1892" s="82"/>
      <c r="R1892" s="38"/>
      <c r="S1892" s="38"/>
      <c r="T1892" s="38"/>
      <c r="U1892" s="38"/>
      <c r="V1892" s="38"/>
      <c r="W1892" s="38"/>
      <c r="X1892" s="38"/>
      <c r="Y1892" s="38"/>
      <c r="Z1892" s="38"/>
      <c r="AA1892" s="38"/>
      <c r="AB1892" s="38"/>
      <c r="AC1892" s="38"/>
      <c r="AD1892" s="38"/>
      <c r="AE1892" s="38"/>
      <c r="AF1892" s="38"/>
      <c r="AG1892" s="38"/>
      <c r="AH1892" s="38"/>
    </row>
    <row r="1893" spans="3:34" ht="20.100000000000001" customHeight="1">
      <c r="C1893" s="113"/>
      <c r="D1893" s="114"/>
      <c r="P1893" s="82"/>
      <c r="Q1893" s="82"/>
      <c r="R1893" s="38"/>
      <c r="S1893" s="38"/>
      <c r="T1893" s="38"/>
      <c r="U1893" s="38"/>
      <c r="V1893" s="38"/>
      <c r="W1893" s="38"/>
      <c r="X1893" s="38"/>
      <c r="Y1893" s="38"/>
      <c r="Z1893" s="38"/>
      <c r="AA1893" s="38"/>
      <c r="AB1893" s="38"/>
      <c r="AC1893" s="38"/>
      <c r="AD1893" s="38"/>
      <c r="AE1893" s="38"/>
      <c r="AF1893" s="38"/>
      <c r="AG1893" s="38"/>
      <c r="AH1893" s="38"/>
    </row>
    <row r="1894" spans="3:34" ht="20.100000000000001" customHeight="1">
      <c r="C1894" s="113"/>
      <c r="D1894" s="114"/>
      <c r="P1894" s="82"/>
      <c r="Q1894" s="82"/>
      <c r="R1894" s="38"/>
      <c r="S1894" s="38"/>
      <c r="T1894" s="38"/>
      <c r="U1894" s="38"/>
      <c r="V1894" s="38"/>
      <c r="W1894" s="38"/>
      <c r="X1894" s="38"/>
      <c r="Y1894" s="38"/>
      <c r="Z1894" s="38"/>
      <c r="AA1894" s="38"/>
      <c r="AB1894" s="38"/>
      <c r="AC1894" s="38"/>
      <c r="AD1894" s="38"/>
      <c r="AE1894" s="38"/>
      <c r="AF1894" s="38"/>
      <c r="AG1894" s="38"/>
      <c r="AH1894" s="38"/>
    </row>
    <row r="1895" spans="3:34" ht="20.100000000000001" customHeight="1">
      <c r="C1895" s="113"/>
      <c r="D1895" s="114"/>
      <c r="P1895" s="82"/>
      <c r="Q1895" s="82"/>
      <c r="R1895" s="38"/>
      <c r="S1895" s="38"/>
      <c r="T1895" s="38"/>
      <c r="U1895" s="38"/>
      <c r="V1895" s="38"/>
      <c r="W1895" s="38"/>
      <c r="X1895" s="38"/>
      <c r="Y1895" s="38"/>
      <c r="Z1895" s="38"/>
      <c r="AA1895" s="38"/>
      <c r="AB1895" s="38"/>
      <c r="AC1895" s="38"/>
      <c r="AD1895" s="38"/>
      <c r="AE1895" s="38"/>
      <c r="AF1895" s="38"/>
      <c r="AG1895" s="38"/>
      <c r="AH1895" s="38"/>
    </row>
    <row r="1896" spans="3:34" ht="20.100000000000001" customHeight="1">
      <c r="C1896" s="113"/>
      <c r="D1896" s="114"/>
      <c r="P1896" s="82"/>
      <c r="Q1896" s="82"/>
      <c r="R1896" s="38"/>
      <c r="S1896" s="38"/>
      <c r="T1896" s="38"/>
      <c r="U1896" s="38"/>
      <c r="V1896" s="38"/>
      <c r="W1896" s="38"/>
      <c r="X1896" s="38"/>
      <c r="Y1896" s="38"/>
      <c r="Z1896" s="38"/>
      <c r="AA1896" s="38"/>
      <c r="AB1896" s="38"/>
      <c r="AC1896" s="38"/>
      <c r="AD1896" s="38"/>
      <c r="AE1896" s="38"/>
      <c r="AF1896" s="38"/>
      <c r="AG1896" s="38"/>
      <c r="AH1896" s="38"/>
    </row>
    <row r="1897" spans="3:34" ht="20.100000000000001" customHeight="1">
      <c r="C1897" s="113"/>
      <c r="D1897" s="114"/>
      <c r="P1897" s="82"/>
      <c r="Q1897" s="82"/>
      <c r="R1897" s="38"/>
      <c r="S1897" s="38"/>
      <c r="T1897" s="38"/>
      <c r="U1897" s="38"/>
      <c r="V1897" s="38"/>
      <c r="W1897" s="38"/>
      <c r="X1897" s="38"/>
      <c r="Y1897" s="38"/>
      <c r="Z1897" s="38"/>
      <c r="AA1897" s="38"/>
      <c r="AB1897" s="38"/>
      <c r="AC1897" s="38"/>
      <c r="AD1897" s="38"/>
      <c r="AE1897" s="38"/>
      <c r="AF1897" s="38"/>
      <c r="AG1897" s="38"/>
      <c r="AH1897" s="38"/>
    </row>
    <row r="1898" spans="3:34" ht="20.100000000000001" customHeight="1">
      <c r="C1898" s="113"/>
      <c r="D1898" s="114"/>
      <c r="P1898" s="82"/>
      <c r="Q1898" s="82"/>
      <c r="R1898" s="38"/>
      <c r="S1898" s="38"/>
      <c r="T1898" s="38"/>
      <c r="U1898" s="38"/>
      <c r="V1898" s="38"/>
      <c r="W1898" s="38"/>
      <c r="X1898" s="38"/>
      <c r="Y1898" s="38"/>
      <c r="Z1898" s="38"/>
      <c r="AA1898" s="38"/>
      <c r="AB1898" s="38"/>
      <c r="AC1898" s="38"/>
      <c r="AD1898" s="38"/>
      <c r="AE1898" s="38"/>
      <c r="AF1898" s="38"/>
      <c r="AG1898" s="38"/>
      <c r="AH1898" s="38"/>
    </row>
    <row r="1899" spans="3:34" ht="20.100000000000001" customHeight="1">
      <c r="C1899" s="113"/>
      <c r="D1899" s="114"/>
      <c r="P1899" s="82"/>
      <c r="Q1899" s="82"/>
      <c r="R1899" s="38"/>
      <c r="S1899" s="38"/>
      <c r="T1899" s="38"/>
      <c r="U1899" s="38"/>
      <c r="V1899" s="38"/>
      <c r="W1899" s="38"/>
      <c r="X1899" s="38"/>
      <c r="Y1899" s="38"/>
      <c r="Z1899" s="38"/>
      <c r="AA1899" s="38"/>
      <c r="AB1899" s="38"/>
      <c r="AC1899" s="38"/>
      <c r="AD1899" s="38"/>
      <c r="AE1899" s="38"/>
      <c r="AF1899" s="38"/>
      <c r="AG1899" s="38"/>
      <c r="AH1899" s="38"/>
    </row>
    <row r="1900" spans="3:34" ht="20.100000000000001" customHeight="1">
      <c r="C1900" s="113"/>
      <c r="D1900" s="114"/>
      <c r="P1900" s="82"/>
      <c r="Q1900" s="82"/>
      <c r="R1900" s="38"/>
      <c r="S1900" s="38"/>
      <c r="T1900" s="38"/>
      <c r="U1900" s="38"/>
      <c r="V1900" s="38"/>
      <c r="W1900" s="38"/>
      <c r="X1900" s="38"/>
      <c r="Y1900" s="38"/>
      <c r="Z1900" s="38"/>
      <c r="AA1900" s="38"/>
      <c r="AB1900" s="38"/>
      <c r="AC1900" s="38"/>
      <c r="AD1900" s="38"/>
      <c r="AE1900" s="38"/>
      <c r="AF1900" s="38"/>
      <c r="AG1900" s="38"/>
      <c r="AH1900" s="38"/>
    </row>
    <row r="1901" spans="3:34" ht="20.100000000000001" customHeight="1">
      <c r="C1901" s="113"/>
      <c r="D1901" s="114"/>
      <c r="P1901" s="82"/>
      <c r="Q1901" s="82"/>
      <c r="R1901" s="38"/>
      <c r="S1901" s="38"/>
      <c r="T1901" s="38"/>
      <c r="U1901" s="38"/>
      <c r="V1901" s="38"/>
      <c r="W1901" s="38"/>
      <c r="X1901" s="38"/>
      <c r="Y1901" s="38"/>
      <c r="Z1901" s="38"/>
      <c r="AA1901" s="38"/>
      <c r="AB1901" s="38"/>
      <c r="AC1901" s="38"/>
      <c r="AD1901" s="38"/>
      <c r="AE1901" s="38"/>
      <c r="AF1901" s="38"/>
      <c r="AG1901" s="38"/>
      <c r="AH1901" s="38"/>
    </row>
    <row r="1902" spans="3:34" ht="20.100000000000001" customHeight="1">
      <c r="C1902" s="113"/>
      <c r="D1902" s="114"/>
      <c r="P1902" s="82"/>
      <c r="Q1902" s="82"/>
      <c r="R1902" s="38"/>
      <c r="S1902" s="38"/>
      <c r="T1902" s="38"/>
      <c r="U1902" s="38"/>
      <c r="V1902" s="38"/>
      <c r="W1902" s="38"/>
      <c r="X1902" s="38"/>
      <c r="Y1902" s="38"/>
      <c r="Z1902" s="38"/>
      <c r="AA1902" s="38"/>
      <c r="AB1902" s="38"/>
      <c r="AC1902" s="38"/>
      <c r="AD1902" s="38"/>
      <c r="AE1902" s="38"/>
      <c r="AF1902" s="38"/>
      <c r="AG1902" s="38"/>
      <c r="AH1902" s="38"/>
    </row>
    <row r="1903" spans="3:34" ht="20.100000000000001" customHeight="1">
      <c r="C1903" s="113"/>
      <c r="D1903" s="114"/>
      <c r="P1903" s="82"/>
      <c r="Q1903" s="82"/>
      <c r="R1903" s="38"/>
      <c r="S1903" s="38"/>
      <c r="T1903" s="38"/>
      <c r="U1903" s="38"/>
      <c r="V1903" s="38"/>
      <c r="W1903" s="38"/>
      <c r="X1903" s="38"/>
      <c r="Y1903" s="38"/>
      <c r="Z1903" s="38"/>
      <c r="AA1903" s="38"/>
      <c r="AB1903" s="38"/>
      <c r="AC1903" s="38"/>
      <c r="AD1903" s="38"/>
      <c r="AE1903" s="38"/>
      <c r="AF1903" s="38"/>
      <c r="AG1903" s="38"/>
      <c r="AH1903" s="38"/>
    </row>
    <row r="1904" spans="3:34" ht="20.100000000000001" customHeight="1">
      <c r="C1904" s="113"/>
      <c r="D1904" s="114"/>
      <c r="P1904" s="82"/>
      <c r="Q1904" s="82"/>
      <c r="R1904" s="38"/>
      <c r="S1904" s="38"/>
      <c r="T1904" s="38"/>
      <c r="U1904" s="38"/>
      <c r="V1904" s="38"/>
      <c r="W1904" s="38"/>
      <c r="X1904" s="38"/>
      <c r="Y1904" s="38"/>
      <c r="Z1904" s="38"/>
      <c r="AA1904" s="38"/>
      <c r="AB1904" s="38"/>
      <c r="AC1904" s="38"/>
      <c r="AD1904" s="38"/>
      <c r="AE1904" s="38"/>
      <c r="AF1904" s="38"/>
      <c r="AG1904" s="38"/>
      <c r="AH1904" s="38"/>
    </row>
    <row r="1905" spans="3:34" ht="20.100000000000001" customHeight="1">
      <c r="C1905" s="113"/>
      <c r="D1905" s="114"/>
      <c r="P1905" s="82"/>
      <c r="Q1905" s="82"/>
      <c r="R1905" s="38"/>
      <c r="S1905" s="38"/>
      <c r="T1905" s="38"/>
      <c r="U1905" s="38"/>
      <c r="V1905" s="38"/>
      <c r="W1905" s="38"/>
      <c r="X1905" s="38"/>
      <c r="Y1905" s="38"/>
      <c r="Z1905" s="38"/>
      <c r="AA1905" s="38"/>
      <c r="AB1905" s="38"/>
      <c r="AC1905" s="38"/>
      <c r="AD1905" s="38"/>
      <c r="AE1905" s="38"/>
      <c r="AF1905" s="38"/>
      <c r="AG1905" s="38"/>
      <c r="AH1905" s="38"/>
    </row>
    <row r="1906" spans="3:34" ht="20.100000000000001" customHeight="1">
      <c r="C1906" s="113"/>
      <c r="D1906" s="114"/>
      <c r="P1906" s="82"/>
      <c r="Q1906" s="82"/>
      <c r="R1906" s="38"/>
      <c r="S1906" s="38"/>
      <c r="T1906" s="38"/>
      <c r="U1906" s="38"/>
      <c r="V1906" s="38"/>
      <c r="W1906" s="38"/>
      <c r="X1906" s="38"/>
      <c r="Y1906" s="38"/>
      <c r="Z1906" s="38"/>
      <c r="AA1906" s="38"/>
      <c r="AB1906" s="38"/>
      <c r="AC1906" s="38"/>
      <c r="AD1906" s="38"/>
      <c r="AE1906" s="38"/>
      <c r="AF1906" s="38"/>
      <c r="AG1906" s="38"/>
      <c r="AH1906" s="38"/>
    </row>
    <row r="1907" spans="3:34" ht="20.100000000000001" customHeight="1">
      <c r="C1907" s="113"/>
      <c r="D1907" s="114"/>
      <c r="P1907" s="82"/>
      <c r="Q1907" s="82"/>
      <c r="R1907" s="38"/>
      <c r="S1907" s="38"/>
      <c r="T1907" s="38"/>
      <c r="U1907" s="38"/>
      <c r="V1907" s="38"/>
      <c r="W1907" s="38"/>
      <c r="X1907" s="38"/>
      <c r="Y1907" s="38"/>
      <c r="Z1907" s="38"/>
      <c r="AA1907" s="38"/>
      <c r="AB1907" s="38"/>
      <c r="AC1907" s="38"/>
      <c r="AD1907" s="38"/>
      <c r="AE1907" s="38"/>
      <c r="AF1907" s="38"/>
      <c r="AG1907" s="38"/>
      <c r="AH1907" s="38"/>
    </row>
    <row r="1908" spans="3:34" ht="20.100000000000001" customHeight="1">
      <c r="C1908" s="113"/>
      <c r="D1908" s="114"/>
      <c r="P1908" s="82"/>
      <c r="Q1908" s="82"/>
      <c r="R1908" s="38"/>
      <c r="S1908" s="38"/>
      <c r="T1908" s="38"/>
      <c r="U1908" s="38"/>
      <c r="V1908" s="38"/>
      <c r="W1908" s="38"/>
      <c r="X1908" s="38"/>
      <c r="Y1908" s="38"/>
      <c r="Z1908" s="38"/>
      <c r="AA1908" s="38"/>
      <c r="AB1908" s="38"/>
      <c r="AC1908" s="38"/>
      <c r="AD1908" s="38"/>
      <c r="AE1908" s="38"/>
      <c r="AF1908" s="38"/>
      <c r="AG1908" s="38"/>
      <c r="AH1908" s="38"/>
    </row>
    <row r="1909" spans="3:34" ht="20.100000000000001" customHeight="1">
      <c r="C1909" s="113"/>
      <c r="D1909" s="114"/>
      <c r="P1909" s="82"/>
      <c r="Q1909" s="82"/>
      <c r="R1909" s="38"/>
      <c r="S1909" s="38"/>
      <c r="T1909" s="38"/>
      <c r="U1909" s="38"/>
      <c r="V1909" s="38"/>
      <c r="W1909" s="38"/>
      <c r="X1909" s="38"/>
      <c r="Y1909" s="38"/>
      <c r="Z1909" s="38"/>
      <c r="AA1909" s="38"/>
      <c r="AB1909" s="38"/>
      <c r="AC1909" s="38"/>
      <c r="AD1909" s="38"/>
      <c r="AE1909" s="38"/>
      <c r="AF1909" s="38"/>
      <c r="AG1909" s="38"/>
      <c r="AH1909" s="38"/>
    </row>
    <row r="1910" spans="3:34" ht="20.100000000000001" customHeight="1">
      <c r="C1910" s="113"/>
      <c r="D1910" s="114"/>
      <c r="P1910" s="82"/>
      <c r="Q1910" s="82"/>
      <c r="R1910" s="38"/>
      <c r="S1910" s="38"/>
      <c r="T1910" s="38"/>
      <c r="U1910" s="38"/>
      <c r="V1910" s="38"/>
      <c r="W1910" s="38"/>
      <c r="X1910" s="38"/>
      <c r="Y1910" s="38"/>
      <c r="Z1910" s="38"/>
      <c r="AA1910" s="38"/>
      <c r="AB1910" s="38"/>
      <c r="AC1910" s="38"/>
      <c r="AD1910" s="38"/>
      <c r="AE1910" s="38"/>
      <c r="AF1910" s="38"/>
      <c r="AG1910" s="38"/>
      <c r="AH1910" s="38"/>
    </row>
    <row r="1911" spans="3:34" ht="20.100000000000001" customHeight="1">
      <c r="C1911" s="113"/>
      <c r="D1911" s="114"/>
      <c r="P1911" s="82"/>
      <c r="Q1911" s="82"/>
      <c r="R1911" s="38"/>
      <c r="S1911" s="38"/>
      <c r="T1911" s="38"/>
      <c r="U1911" s="38"/>
      <c r="V1911" s="38"/>
      <c r="W1911" s="38"/>
      <c r="X1911" s="38"/>
      <c r="Y1911" s="38"/>
      <c r="Z1911" s="38"/>
      <c r="AA1911" s="38"/>
      <c r="AB1911" s="38"/>
      <c r="AC1911" s="38"/>
      <c r="AD1911" s="38"/>
      <c r="AE1911" s="38"/>
      <c r="AF1911" s="38"/>
      <c r="AG1911" s="38"/>
      <c r="AH1911" s="38"/>
    </row>
    <row r="1912" spans="3:34" ht="20.100000000000001" customHeight="1">
      <c r="C1912" s="113"/>
      <c r="D1912" s="114"/>
      <c r="P1912" s="82"/>
      <c r="Q1912" s="82"/>
      <c r="R1912" s="38"/>
      <c r="S1912" s="38"/>
      <c r="T1912" s="38"/>
      <c r="U1912" s="38"/>
      <c r="V1912" s="38"/>
      <c r="W1912" s="38"/>
      <c r="X1912" s="38"/>
      <c r="Y1912" s="38"/>
      <c r="Z1912" s="38"/>
      <c r="AA1912" s="38"/>
      <c r="AB1912" s="38"/>
      <c r="AC1912" s="38"/>
      <c r="AD1912" s="38"/>
      <c r="AE1912" s="38"/>
      <c r="AF1912" s="38"/>
      <c r="AG1912" s="38"/>
      <c r="AH1912" s="38"/>
    </row>
    <row r="1913" spans="3:34" ht="20.100000000000001" customHeight="1">
      <c r="C1913" s="113"/>
      <c r="D1913" s="114"/>
      <c r="P1913" s="82"/>
      <c r="Q1913" s="82"/>
      <c r="R1913" s="38"/>
      <c r="S1913" s="38"/>
      <c r="T1913" s="38"/>
      <c r="U1913" s="38"/>
      <c r="V1913" s="38"/>
      <c r="W1913" s="38"/>
      <c r="X1913" s="38"/>
      <c r="Y1913" s="38"/>
      <c r="Z1913" s="38"/>
      <c r="AA1913" s="38"/>
      <c r="AB1913" s="38"/>
      <c r="AC1913" s="38"/>
      <c r="AD1913" s="38"/>
      <c r="AE1913" s="38"/>
      <c r="AF1913" s="38"/>
      <c r="AG1913" s="38"/>
      <c r="AH1913" s="38"/>
    </row>
    <row r="1914" spans="3:34" ht="20.100000000000001" customHeight="1">
      <c r="C1914" s="113"/>
      <c r="D1914" s="114"/>
      <c r="P1914" s="82"/>
      <c r="Q1914" s="82"/>
      <c r="R1914" s="38"/>
      <c r="S1914" s="38"/>
      <c r="T1914" s="38"/>
      <c r="U1914" s="38"/>
      <c r="V1914" s="38"/>
      <c r="W1914" s="38"/>
      <c r="X1914" s="38"/>
      <c r="Y1914" s="38"/>
      <c r="Z1914" s="38"/>
      <c r="AA1914" s="38"/>
      <c r="AB1914" s="38"/>
      <c r="AC1914" s="38"/>
      <c r="AD1914" s="38"/>
      <c r="AE1914" s="38"/>
      <c r="AF1914" s="38"/>
      <c r="AG1914" s="38"/>
      <c r="AH1914" s="38"/>
    </row>
    <row r="1915" spans="3:34" ht="20.100000000000001" customHeight="1">
      <c r="C1915" s="113"/>
      <c r="D1915" s="114"/>
      <c r="P1915" s="82"/>
      <c r="Q1915" s="82"/>
      <c r="R1915" s="38"/>
      <c r="S1915" s="38"/>
      <c r="T1915" s="38"/>
      <c r="U1915" s="38"/>
      <c r="V1915" s="38"/>
      <c r="W1915" s="38"/>
      <c r="X1915" s="38"/>
      <c r="Y1915" s="38"/>
      <c r="Z1915" s="38"/>
      <c r="AA1915" s="38"/>
      <c r="AB1915" s="38"/>
      <c r="AC1915" s="38"/>
      <c r="AD1915" s="38"/>
      <c r="AE1915" s="38"/>
      <c r="AF1915" s="38"/>
      <c r="AG1915" s="38"/>
      <c r="AH1915" s="38"/>
    </row>
    <row r="1916" spans="3:34" ht="20.100000000000001" customHeight="1">
      <c r="C1916" s="113"/>
      <c r="D1916" s="114"/>
      <c r="P1916" s="82"/>
      <c r="Q1916" s="82"/>
      <c r="R1916" s="38"/>
      <c r="S1916" s="38"/>
      <c r="T1916" s="38"/>
      <c r="U1916" s="38"/>
      <c r="V1916" s="38"/>
      <c r="W1916" s="38"/>
      <c r="X1916" s="38"/>
      <c r="Y1916" s="38"/>
      <c r="Z1916" s="38"/>
      <c r="AA1916" s="38"/>
      <c r="AB1916" s="38"/>
      <c r="AC1916" s="38"/>
      <c r="AD1916" s="38"/>
      <c r="AE1916" s="38"/>
      <c r="AF1916" s="38"/>
      <c r="AG1916" s="38"/>
      <c r="AH1916" s="38"/>
    </row>
    <row r="1917" spans="3:34" ht="20.100000000000001" customHeight="1">
      <c r="C1917" s="113"/>
      <c r="D1917" s="114"/>
      <c r="P1917" s="82"/>
      <c r="Q1917" s="82"/>
      <c r="R1917" s="38"/>
      <c r="S1917" s="38"/>
      <c r="T1917" s="38"/>
      <c r="U1917" s="38"/>
      <c r="V1917" s="38"/>
      <c r="W1917" s="38"/>
      <c r="X1917" s="38"/>
      <c r="Y1917" s="38"/>
      <c r="Z1917" s="38"/>
      <c r="AA1917" s="38"/>
      <c r="AB1917" s="38"/>
      <c r="AC1917" s="38"/>
      <c r="AD1917" s="38"/>
      <c r="AE1917" s="38"/>
      <c r="AF1917" s="38"/>
      <c r="AG1917" s="38"/>
      <c r="AH1917" s="38"/>
    </row>
    <row r="1918" spans="3:34" ht="20.100000000000001" customHeight="1">
      <c r="C1918" s="113"/>
      <c r="D1918" s="114"/>
      <c r="P1918" s="82"/>
      <c r="Q1918" s="82"/>
      <c r="R1918" s="38"/>
      <c r="S1918" s="38"/>
      <c r="T1918" s="38"/>
      <c r="U1918" s="38"/>
      <c r="V1918" s="38"/>
      <c r="W1918" s="38"/>
      <c r="X1918" s="38"/>
      <c r="Y1918" s="38"/>
      <c r="Z1918" s="38"/>
      <c r="AA1918" s="38"/>
      <c r="AB1918" s="38"/>
      <c r="AC1918" s="38"/>
      <c r="AD1918" s="38"/>
      <c r="AE1918" s="38"/>
      <c r="AF1918" s="38"/>
      <c r="AG1918" s="38"/>
      <c r="AH1918" s="38"/>
    </row>
    <row r="1919" spans="3:34" ht="20.100000000000001" customHeight="1">
      <c r="C1919" s="113"/>
      <c r="D1919" s="114"/>
      <c r="P1919" s="82"/>
      <c r="Q1919" s="82"/>
      <c r="R1919" s="38"/>
      <c r="S1919" s="38"/>
      <c r="T1919" s="38"/>
      <c r="U1919" s="38"/>
      <c r="V1919" s="38"/>
      <c r="W1919" s="38"/>
      <c r="X1919" s="38"/>
      <c r="Y1919" s="38"/>
      <c r="Z1919" s="38"/>
      <c r="AA1919" s="38"/>
      <c r="AB1919" s="38"/>
      <c r="AC1919" s="38"/>
      <c r="AD1919" s="38"/>
      <c r="AE1919" s="38"/>
      <c r="AF1919" s="38"/>
      <c r="AG1919" s="38"/>
      <c r="AH1919" s="38"/>
    </row>
    <row r="1920" spans="3:34" ht="20.100000000000001" customHeight="1">
      <c r="C1920" s="113"/>
      <c r="D1920" s="114"/>
      <c r="P1920" s="82"/>
      <c r="Q1920" s="82"/>
      <c r="R1920" s="38"/>
      <c r="S1920" s="38"/>
      <c r="T1920" s="38"/>
      <c r="U1920" s="38"/>
      <c r="V1920" s="38"/>
      <c r="W1920" s="38"/>
      <c r="X1920" s="38"/>
      <c r="Y1920" s="38"/>
      <c r="Z1920" s="38"/>
      <c r="AA1920" s="38"/>
      <c r="AB1920" s="38"/>
      <c r="AC1920" s="38"/>
      <c r="AD1920" s="38"/>
      <c r="AE1920" s="38"/>
      <c r="AF1920" s="38"/>
      <c r="AG1920" s="38"/>
      <c r="AH1920" s="38"/>
    </row>
    <row r="1921" spans="3:34" ht="20.100000000000001" customHeight="1">
      <c r="C1921" s="113"/>
      <c r="D1921" s="114"/>
      <c r="P1921" s="82"/>
      <c r="Q1921" s="82"/>
      <c r="R1921" s="38"/>
      <c r="S1921" s="38"/>
      <c r="T1921" s="38"/>
      <c r="U1921" s="38"/>
      <c r="V1921" s="38"/>
      <c r="W1921" s="38"/>
      <c r="X1921" s="38"/>
      <c r="Y1921" s="38"/>
      <c r="Z1921" s="38"/>
      <c r="AA1921" s="38"/>
      <c r="AB1921" s="38"/>
      <c r="AC1921" s="38"/>
      <c r="AD1921" s="38"/>
      <c r="AE1921" s="38"/>
      <c r="AF1921" s="38"/>
      <c r="AG1921" s="38"/>
      <c r="AH1921" s="38"/>
    </row>
    <row r="1922" spans="3:34" ht="20.100000000000001" customHeight="1">
      <c r="C1922" s="113"/>
      <c r="D1922" s="114"/>
      <c r="P1922" s="82"/>
      <c r="Q1922" s="82"/>
      <c r="R1922" s="38"/>
      <c r="S1922" s="38"/>
      <c r="T1922" s="38"/>
      <c r="U1922" s="38"/>
      <c r="V1922" s="38"/>
      <c r="W1922" s="38"/>
      <c r="X1922" s="38"/>
      <c r="Y1922" s="38"/>
      <c r="Z1922" s="38"/>
      <c r="AA1922" s="38"/>
      <c r="AB1922" s="38"/>
      <c r="AC1922" s="38"/>
      <c r="AD1922" s="38"/>
      <c r="AE1922" s="38"/>
      <c r="AF1922" s="38"/>
      <c r="AG1922" s="38"/>
      <c r="AH1922" s="38"/>
    </row>
    <row r="1923" spans="3:34" ht="20.100000000000001" customHeight="1">
      <c r="C1923" s="113"/>
      <c r="D1923" s="114"/>
      <c r="P1923" s="82"/>
      <c r="Q1923" s="82"/>
      <c r="R1923" s="38"/>
      <c r="S1923" s="38"/>
      <c r="T1923" s="38"/>
      <c r="U1923" s="38"/>
      <c r="V1923" s="38"/>
      <c r="W1923" s="38"/>
      <c r="X1923" s="38"/>
      <c r="Y1923" s="38"/>
      <c r="Z1923" s="38"/>
      <c r="AA1923" s="38"/>
      <c r="AB1923" s="38"/>
      <c r="AC1923" s="38"/>
      <c r="AD1923" s="38"/>
      <c r="AE1923" s="38"/>
      <c r="AF1923" s="38"/>
      <c r="AG1923" s="38"/>
      <c r="AH1923" s="38"/>
    </row>
    <row r="1924" spans="3:34" ht="20.100000000000001" customHeight="1">
      <c r="C1924" s="113"/>
      <c r="D1924" s="114"/>
      <c r="P1924" s="82"/>
      <c r="Q1924" s="82"/>
      <c r="R1924" s="38"/>
      <c r="S1924" s="38"/>
      <c r="T1924" s="38"/>
      <c r="U1924" s="38"/>
      <c r="V1924" s="38"/>
      <c r="W1924" s="38"/>
      <c r="X1924" s="38"/>
      <c r="Y1924" s="38"/>
      <c r="Z1924" s="38"/>
      <c r="AA1924" s="38"/>
      <c r="AB1924" s="38"/>
      <c r="AC1924" s="38"/>
      <c r="AD1924" s="38"/>
      <c r="AE1924" s="38"/>
      <c r="AF1924" s="38"/>
      <c r="AG1924" s="38"/>
      <c r="AH1924" s="38"/>
    </row>
    <row r="1925" spans="3:34" ht="20.100000000000001" customHeight="1">
      <c r="C1925" s="113"/>
      <c r="D1925" s="114"/>
      <c r="P1925" s="82"/>
      <c r="Q1925" s="82"/>
      <c r="R1925" s="38"/>
      <c r="S1925" s="38"/>
      <c r="T1925" s="38"/>
      <c r="U1925" s="38"/>
      <c r="V1925" s="38"/>
      <c r="W1925" s="38"/>
      <c r="X1925" s="38"/>
      <c r="Y1925" s="38"/>
      <c r="Z1925" s="38"/>
      <c r="AA1925" s="38"/>
      <c r="AB1925" s="38"/>
      <c r="AC1925" s="38"/>
      <c r="AD1925" s="38"/>
      <c r="AE1925" s="38"/>
      <c r="AF1925" s="38"/>
      <c r="AG1925" s="38"/>
      <c r="AH1925" s="38"/>
    </row>
    <row r="1926" spans="3:34" ht="20.100000000000001" customHeight="1">
      <c r="C1926" s="113"/>
      <c r="D1926" s="114"/>
      <c r="P1926" s="82"/>
      <c r="Q1926" s="82"/>
      <c r="R1926" s="38"/>
      <c r="S1926" s="38"/>
      <c r="T1926" s="38"/>
      <c r="U1926" s="38"/>
      <c r="V1926" s="38"/>
      <c r="W1926" s="38"/>
      <c r="X1926" s="38"/>
      <c r="Y1926" s="38"/>
      <c r="Z1926" s="38"/>
      <c r="AA1926" s="38"/>
      <c r="AB1926" s="38"/>
      <c r="AC1926" s="38"/>
      <c r="AD1926" s="38"/>
      <c r="AE1926" s="38"/>
      <c r="AF1926" s="38"/>
      <c r="AG1926" s="38"/>
      <c r="AH1926" s="38"/>
    </row>
    <row r="1927" spans="3:34" ht="20.100000000000001" customHeight="1">
      <c r="C1927" s="113"/>
      <c r="D1927" s="114"/>
      <c r="P1927" s="82"/>
      <c r="Q1927" s="82"/>
      <c r="R1927" s="38"/>
      <c r="S1927" s="38"/>
      <c r="T1927" s="38"/>
      <c r="U1927" s="38"/>
      <c r="V1927" s="38"/>
      <c r="W1927" s="38"/>
      <c r="X1927" s="38"/>
      <c r="Y1927" s="38"/>
      <c r="Z1927" s="38"/>
      <c r="AA1927" s="38"/>
      <c r="AB1927" s="38"/>
      <c r="AC1927" s="38"/>
      <c r="AD1927" s="38"/>
      <c r="AE1927" s="38"/>
      <c r="AF1927" s="38"/>
      <c r="AG1927" s="38"/>
      <c r="AH1927" s="38"/>
    </row>
    <row r="1928" spans="3:34" ht="20.100000000000001" customHeight="1">
      <c r="C1928" s="113"/>
      <c r="D1928" s="114"/>
      <c r="P1928" s="82"/>
      <c r="Q1928" s="82"/>
      <c r="R1928" s="38"/>
      <c r="S1928" s="38"/>
      <c r="T1928" s="38"/>
      <c r="U1928" s="38"/>
      <c r="V1928" s="38"/>
      <c r="W1928" s="38"/>
      <c r="X1928" s="38"/>
      <c r="Y1928" s="38"/>
      <c r="Z1928" s="38"/>
      <c r="AA1928" s="38"/>
      <c r="AB1928" s="38"/>
      <c r="AC1928" s="38"/>
      <c r="AD1928" s="38"/>
      <c r="AE1928" s="38"/>
      <c r="AF1928" s="38"/>
      <c r="AG1928" s="38"/>
      <c r="AH1928" s="38"/>
    </row>
    <row r="1929" spans="3:34" ht="20.100000000000001" customHeight="1">
      <c r="C1929" s="113"/>
      <c r="D1929" s="114"/>
      <c r="P1929" s="82"/>
      <c r="Q1929" s="82"/>
      <c r="R1929" s="38"/>
      <c r="S1929" s="38"/>
      <c r="T1929" s="38"/>
      <c r="U1929" s="38"/>
      <c r="V1929" s="38"/>
      <c r="W1929" s="38"/>
      <c r="X1929" s="38"/>
      <c r="Y1929" s="38"/>
      <c r="Z1929" s="38"/>
      <c r="AA1929" s="38"/>
      <c r="AB1929" s="38"/>
      <c r="AC1929" s="38"/>
      <c r="AD1929" s="38"/>
      <c r="AE1929" s="38"/>
      <c r="AF1929" s="38"/>
      <c r="AG1929" s="38"/>
      <c r="AH1929" s="38"/>
    </row>
    <row r="1930" spans="3:34" ht="20.100000000000001" customHeight="1">
      <c r="C1930" s="113"/>
      <c r="D1930" s="114"/>
      <c r="P1930" s="82"/>
      <c r="Q1930" s="82"/>
      <c r="R1930" s="38"/>
      <c r="S1930" s="38"/>
      <c r="T1930" s="38"/>
      <c r="U1930" s="38"/>
      <c r="V1930" s="38"/>
      <c r="W1930" s="38"/>
      <c r="X1930" s="38"/>
      <c r="Y1930" s="38"/>
      <c r="Z1930" s="38"/>
      <c r="AA1930" s="38"/>
      <c r="AB1930" s="38"/>
      <c r="AC1930" s="38"/>
      <c r="AD1930" s="38"/>
      <c r="AE1930" s="38"/>
      <c r="AF1930" s="38"/>
      <c r="AG1930" s="38"/>
      <c r="AH1930" s="38"/>
    </row>
    <row r="1931" spans="3:34" ht="20.100000000000001" customHeight="1">
      <c r="C1931" s="113"/>
      <c r="D1931" s="114"/>
      <c r="P1931" s="82"/>
      <c r="Q1931" s="82"/>
      <c r="R1931" s="38"/>
      <c r="S1931" s="38"/>
      <c r="T1931" s="38"/>
      <c r="U1931" s="38"/>
      <c r="V1931" s="38"/>
      <c r="W1931" s="38"/>
      <c r="X1931" s="38"/>
      <c r="Y1931" s="38"/>
      <c r="Z1931" s="38"/>
      <c r="AA1931" s="38"/>
      <c r="AB1931" s="38"/>
      <c r="AC1931" s="38"/>
      <c r="AD1931" s="38"/>
      <c r="AE1931" s="38"/>
      <c r="AF1931" s="38"/>
      <c r="AG1931" s="38"/>
      <c r="AH1931" s="38"/>
    </row>
    <row r="1932" spans="3:34" ht="20.100000000000001" customHeight="1">
      <c r="C1932" s="113"/>
      <c r="D1932" s="114"/>
      <c r="P1932" s="82"/>
      <c r="Q1932" s="82"/>
      <c r="R1932" s="38"/>
      <c r="S1932" s="38"/>
      <c r="T1932" s="38"/>
      <c r="U1932" s="38"/>
      <c r="V1932" s="38"/>
      <c r="W1932" s="38"/>
      <c r="X1932" s="38"/>
      <c r="Y1932" s="38"/>
      <c r="Z1932" s="38"/>
      <c r="AA1932" s="38"/>
      <c r="AB1932" s="38"/>
      <c r="AC1932" s="38"/>
      <c r="AD1932" s="38"/>
      <c r="AE1932" s="38"/>
      <c r="AF1932" s="38"/>
      <c r="AG1932" s="38"/>
      <c r="AH1932" s="38"/>
    </row>
    <row r="1933" spans="3:34" ht="20.100000000000001" customHeight="1">
      <c r="C1933" s="113"/>
      <c r="D1933" s="114"/>
      <c r="P1933" s="82"/>
      <c r="Q1933" s="82"/>
      <c r="R1933" s="38"/>
      <c r="S1933" s="38"/>
      <c r="T1933" s="38"/>
      <c r="U1933" s="38"/>
      <c r="V1933" s="38"/>
      <c r="W1933" s="38"/>
      <c r="X1933" s="38"/>
      <c r="Y1933" s="38"/>
      <c r="Z1933" s="38"/>
      <c r="AA1933" s="38"/>
      <c r="AB1933" s="38"/>
      <c r="AC1933" s="38"/>
      <c r="AD1933" s="38"/>
      <c r="AE1933" s="38"/>
      <c r="AF1933" s="38"/>
      <c r="AG1933" s="38"/>
      <c r="AH1933" s="38"/>
    </row>
    <row r="1934" spans="3:34" ht="20.100000000000001" customHeight="1">
      <c r="C1934" s="113"/>
      <c r="D1934" s="114"/>
      <c r="P1934" s="82"/>
      <c r="Q1934" s="82"/>
      <c r="R1934" s="38"/>
      <c r="S1934" s="38"/>
      <c r="T1934" s="38"/>
      <c r="U1934" s="38"/>
      <c r="V1934" s="38"/>
      <c r="W1934" s="38"/>
      <c r="X1934" s="38"/>
      <c r="Y1934" s="38"/>
      <c r="Z1934" s="38"/>
      <c r="AA1934" s="38"/>
      <c r="AB1934" s="38"/>
      <c r="AC1934" s="38"/>
      <c r="AD1934" s="38"/>
      <c r="AE1934" s="38"/>
      <c r="AF1934" s="38"/>
      <c r="AG1934" s="38"/>
      <c r="AH1934" s="38"/>
    </row>
    <row r="1935" spans="3:34" ht="20.100000000000001" customHeight="1">
      <c r="C1935" s="113"/>
      <c r="D1935" s="114"/>
      <c r="P1935" s="82"/>
      <c r="Q1935" s="82"/>
      <c r="R1935" s="38"/>
      <c r="S1935" s="38"/>
      <c r="T1935" s="38"/>
      <c r="U1935" s="38"/>
      <c r="V1935" s="38"/>
      <c r="W1935" s="38"/>
      <c r="X1935" s="38"/>
      <c r="Y1935" s="38"/>
      <c r="Z1935" s="38"/>
      <c r="AA1935" s="38"/>
      <c r="AB1935" s="38"/>
      <c r="AC1935" s="38"/>
      <c r="AD1935" s="38"/>
      <c r="AE1935" s="38"/>
      <c r="AF1935" s="38"/>
      <c r="AG1935" s="38"/>
      <c r="AH1935" s="38"/>
    </row>
    <row r="1936" spans="3:34" ht="20.100000000000001" customHeight="1">
      <c r="C1936" s="113"/>
      <c r="D1936" s="114"/>
      <c r="P1936" s="82"/>
      <c r="Q1936" s="82"/>
      <c r="R1936" s="38"/>
      <c r="S1936" s="38"/>
      <c r="T1936" s="38"/>
      <c r="U1936" s="38"/>
      <c r="V1936" s="38"/>
      <c r="W1936" s="38"/>
      <c r="X1936" s="38"/>
      <c r="Y1936" s="38"/>
      <c r="Z1936" s="38"/>
      <c r="AA1936" s="38"/>
      <c r="AB1936" s="38"/>
      <c r="AC1936" s="38"/>
      <c r="AD1936" s="38"/>
      <c r="AE1936" s="38"/>
      <c r="AF1936" s="38"/>
      <c r="AG1936" s="38"/>
      <c r="AH1936" s="38"/>
    </row>
    <row r="1937" spans="3:34" ht="20.100000000000001" customHeight="1">
      <c r="C1937" s="113"/>
      <c r="D1937" s="114"/>
      <c r="P1937" s="82"/>
      <c r="Q1937" s="82"/>
      <c r="R1937" s="38"/>
      <c r="S1937" s="38"/>
      <c r="T1937" s="38"/>
      <c r="U1937" s="38"/>
      <c r="V1937" s="38"/>
      <c r="W1937" s="38"/>
      <c r="X1937" s="38"/>
      <c r="Y1937" s="38"/>
      <c r="Z1937" s="38"/>
      <c r="AA1937" s="38"/>
      <c r="AB1937" s="38"/>
      <c r="AC1937" s="38"/>
      <c r="AD1937" s="38"/>
      <c r="AE1937" s="38"/>
      <c r="AF1937" s="38"/>
      <c r="AG1937" s="38"/>
      <c r="AH1937" s="38"/>
    </row>
    <row r="1938" spans="3:34" ht="20.100000000000001" customHeight="1">
      <c r="C1938" s="113"/>
      <c r="D1938" s="114"/>
      <c r="P1938" s="82"/>
      <c r="Q1938" s="82"/>
      <c r="R1938" s="38"/>
      <c r="S1938" s="38"/>
      <c r="T1938" s="38"/>
      <c r="U1938" s="38"/>
      <c r="V1938" s="38"/>
      <c r="W1938" s="38"/>
      <c r="X1938" s="38"/>
      <c r="Y1938" s="38"/>
      <c r="Z1938" s="38"/>
      <c r="AA1938" s="38"/>
      <c r="AB1938" s="38"/>
      <c r="AC1938" s="38"/>
      <c r="AD1938" s="38"/>
      <c r="AE1938" s="38"/>
      <c r="AF1938" s="38"/>
      <c r="AG1938" s="38"/>
      <c r="AH1938" s="38"/>
    </row>
    <row r="1939" spans="3:34" ht="20.100000000000001" customHeight="1">
      <c r="C1939" s="113"/>
      <c r="D1939" s="114"/>
      <c r="P1939" s="82"/>
      <c r="Q1939" s="82"/>
      <c r="R1939" s="38"/>
      <c r="S1939" s="38"/>
      <c r="T1939" s="38"/>
      <c r="U1939" s="38"/>
      <c r="V1939" s="38"/>
      <c r="W1939" s="38"/>
      <c r="X1939" s="38"/>
      <c r="Y1939" s="38"/>
      <c r="Z1939" s="38"/>
      <c r="AA1939" s="38"/>
      <c r="AB1939" s="38"/>
      <c r="AC1939" s="38"/>
      <c r="AD1939" s="38"/>
      <c r="AE1939" s="38"/>
      <c r="AF1939" s="38"/>
      <c r="AG1939" s="38"/>
      <c r="AH1939" s="38"/>
    </row>
    <row r="1940" spans="3:34" ht="20.100000000000001" customHeight="1">
      <c r="C1940" s="113"/>
      <c r="D1940" s="114"/>
      <c r="P1940" s="82"/>
      <c r="Q1940" s="82"/>
      <c r="R1940" s="38"/>
      <c r="S1940" s="38"/>
      <c r="T1940" s="38"/>
      <c r="U1940" s="38"/>
      <c r="V1940" s="38"/>
      <c r="W1940" s="38"/>
      <c r="X1940" s="38"/>
      <c r="Y1940" s="38"/>
      <c r="Z1940" s="38"/>
      <c r="AA1940" s="38"/>
      <c r="AB1940" s="38"/>
      <c r="AC1940" s="38"/>
      <c r="AD1940" s="38"/>
      <c r="AE1940" s="38"/>
      <c r="AF1940" s="38"/>
      <c r="AG1940" s="38"/>
      <c r="AH1940" s="38"/>
    </row>
    <row r="1941" spans="3:34" ht="20.100000000000001" customHeight="1">
      <c r="C1941" s="113"/>
      <c r="D1941" s="114"/>
      <c r="P1941" s="82"/>
      <c r="Q1941" s="82"/>
      <c r="R1941" s="38"/>
      <c r="S1941" s="38"/>
      <c r="T1941" s="38"/>
      <c r="U1941" s="38"/>
      <c r="V1941" s="38"/>
      <c r="W1941" s="38"/>
      <c r="X1941" s="38"/>
      <c r="Y1941" s="38"/>
      <c r="Z1941" s="38"/>
      <c r="AA1941" s="38"/>
      <c r="AB1941" s="38"/>
      <c r="AC1941" s="38"/>
      <c r="AD1941" s="38"/>
      <c r="AE1941" s="38"/>
      <c r="AF1941" s="38"/>
      <c r="AG1941" s="38"/>
      <c r="AH1941" s="38"/>
    </row>
    <row r="1942" spans="3:34" ht="20.100000000000001" customHeight="1">
      <c r="C1942" s="113"/>
      <c r="D1942" s="114"/>
      <c r="P1942" s="82"/>
      <c r="Q1942" s="82"/>
      <c r="R1942" s="38"/>
      <c r="S1942" s="38"/>
      <c r="T1942" s="38"/>
      <c r="U1942" s="38"/>
      <c r="V1942" s="38"/>
      <c r="W1942" s="38"/>
      <c r="X1942" s="38"/>
      <c r="Y1942" s="38"/>
      <c r="Z1942" s="38"/>
      <c r="AA1942" s="38"/>
      <c r="AB1942" s="38"/>
      <c r="AC1942" s="38"/>
      <c r="AD1942" s="38"/>
      <c r="AE1942" s="38"/>
      <c r="AF1942" s="38"/>
      <c r="AG1942" s="38"/>
      <c r="AH1942" s="38"/>
    </row>
    <row r="1943" spans="3:34" ht="20.100000000000001" customHeight="1">
      <c r="C1943" s="113"/>
      <c r="D1943" s="114"/>
      <c r="P1943" s="82"/>
      <c r="Q1943" s="82"/>
      <c r="R1943" s="38"/>
      <c r="S1943" s="38"/>
      <c r="T1943" s="38"/>
      <c r="U1943" s="38"/>
      <c r="V1943" s="38"/>
      <c r="W1943" s="38"/>
      <c r="X1943" s="38"/>
      <c r="Y1943" s="38"/>
      <c r="Z1943" s="38"/>
      <c r="AA1943" s="38"/>
      <c r="AB1943" s="38"/>
      <c r="AC1943" s="38"/>
      <c r="AD1943" s="38"/>
      <c r="AE1943" s="38"/>
      <c r="AF1943" s="38"/>
      <c r="AG1943" s="38"/>
      <c r="AH1943" s="38"/>
    </row>
    <row r="1944" spans="3:34" ht="20.100000000000001" customHeight="1">
      <c r="C1944" s="113"/>
      <c r="D1944" s="114"/>
      <c r="P1944" s="82"/>
      <c r="Q1944" s="82"/>
      <c r="R1944" s="38"/>
      <c r="S1944" s="38"/>
      <c r="T1944" s="38"/>
      <c r="U1944" s="38"/>
      <c r="V1944" s="38"/>
      <c r="W1944" s="38"/>
      <c r="X1944" s="38"/>
      <c r="Y1944" s="38"/>
      <c r="Z1944" s="38"/>
      <c r="AA1944" s="38"/>
      <c r="AB1944" s="38"/>
      <c r="AC1944" s="38"/>
      <c r="AD1944" s="38"/>
      <c r="AE1944" s="38"/>
      <c r="AF1944" s="38"/>
      <c r="AG1944" s="38"/>
      <c r="AH1944" s="38"/>
    </row>
    <row r="1945" spans="3:34" ht="20.100000000000001" customHeight="1">
      <c r="C1945" s="113"/>
      <c r="D1945" s="114"/>
      <c r="P1945" s="82"/>
      <c r="Q1945" s="82"/>
      <c r="R1945" s="38"/>
      <c r="S1945" s="38"/>
      <c r="T1945" s="38"/>
      <c r="U1945" s="38"/>
      <c r="V1945" s="38"/>
      <c r="W1945" s="38"/>
      <c r="X1945" s="38"/>
      <c r="Y1945" s="38"/>
      <c r="Z1945" s="38"/>
      <c r="AA1945" s="38"/>
      <c r="AB1945" s="38"/>
      <c r="AC1945" s="38"/>
      <c r="AD1945" s="38"/>
      <c r="AE1945" s="38"/>
      <c r="AF1945" s="38"/>
      <c r="AG1945" s="38"/>
      <c r="AH1945" s="38"/>
    </row>
    <row r="1946" spans="3:34" ht="20.100000000000001" customHeight="1">
      <c r="C1946" s="113"/>
      <c r="D1946" s="114"/>
      <c r="P1946" s="82"/>
      <c r="Q1946" s="82"/>
      <c r="R1946" s="38"/>
      <c r="S1946" s="38"/>
      <c r="T1946" s="38"/>
      <c r="U1946" s="38"/>
      <c r="V1946" s="38"/>
      <c r="W1946" s="38"/>
      <c r="X1946" s="38"/>
      <c r="Y1946" s="38"/>
      <c r="Z1946" s="38"/>
      <c r="AA1946" s="38"/>
      <c r="AB1946" s="38"/>
      <c r="AC1946" s="38"/>
      <c r="AD1946" s="38"/>
      <c r="AE1946" s="38"/>
      <c r="AF1946" s="38"/>
      <c r="AG1946" s="38"/>
      <c r="AH1946" s="38"/>
    </row>
    <row r="1947" spans="3:34" ht="20.100000000000001" customHeight="1">
      <c r="C1947" s="113"/>
      <c r="D1947" s="114"/>
      <c r="P1947" s="82"/>
      <c r="Q1947" s="82"/>
      <c r="R1947" s="38"/>
      <c r="S1947" s="38"/>
      <c r="T1947" s="38"/>
      <c r="U1947" s="38"/>
      <c r="V1947" s="38"/>
      <c r="W1947" s="38"/>
      <c r="X1947" s="38"/>
      <c r="Y1947" s="38"/>
      <c r="Z1947" s="38"/>
      <c r="AA1947" s="38"/>
      <c r="AB1947" s="38"/>
      <c r="AC1947" s="38"/>
      <c r="AD1947" s="38"/>
      <c r="AE1947" s="38"/>
      <c r="AF1947" s="38"/>
      <c r="AG1947" s="38"/>
      <c r="AH1947" s="38"/>
    </row>
    <row r="1948" spans="3:34" ht="20.100000000000001" customHeight="1">
      <c r="C1948" s="113"/>
      <c r="D1948" s="114"/>
      <c r="P1948" s="82"/>
      <c r="Q1948" s="82"/>
      <c r="R1948" s="38"/>
      <c r="S1948" s="38"/>
      <c r="T1948" s="38"/>
      <c r="U1948" s="38"/>
      <c r="V1948" s="38"/>
      <c r="W1948" s="38"/>
      <c r="X1948" s="38"/>
      <c r="Y1948" s="38"/>
      <c r="Z1948" s="38"/>
      <c r="AA1948" s="38"/>
      <c r="AB1948" s="38"/>
      <c r="AC1948" s="38"/>
      <c r="AD1948" s="38"/>
      <c r="AE1948" s="38"/>
      <c r="AF1948" s="38"/>
      <c r="AG1948" s="38"/>
      <c r="AH1948" s="38"/>
    </row>
    <row r="1949" spans="3:34" ht="20.100000000000001" customHeight="1">
      <c r="C1949" s="113"/>
      <c r="D1949" s="114"/>
      <c r="P1949" s="82"/>
      <c r="Q1949" s="82"/>
      <c r="R1949" s="38"/>
      <c r="S1949" s="38"/>
      <c r="T1949" s="38"/>
      <c r="U1949" s="38"/>
      <c r="V1949" s="38"/>
      <c r="W1949" s="38"/>
      <c r="X1949" s="38"/>
      <c r="Y1949" s="38"/>
      <c r="Z1949" s="38"/>
      <c r="AA1949" s="38"/>
      <c r="AB1949" s="38"/>
      <c r="AC1949" s="38"/>
      <c r="AD1949" s="38"/>
      <c r="AE1949" s="38"/>
      <c r="AF1949" s="38"/>
      <c r="AG1949" s="38"/>
      <c r="AH1949" s="38"/>
    </row>
    <row r="1950" spans="3:34" ht="20.100000000000001" customHeight="1">
      <c r="C1950" s="113"/>
      <c r="D1950" s="114"/>
      <c r="P1950" s="82"/>
      <c r="Q1950" s="82"/>
      <c r="R1950" s="38"/>
      <c r="S1950" s="38"/>
      <c r="T1950" s="38"/>
      <c r="U1950" s="38"/>
      <c r="V1950" s="38"/>
      <c r="W1950" s="38"/>
      <c r="X1950" s="38"/>
      <c r="Y1950" s="38"/>
      <c r="Z1950" s="38"/>
      <c r="AA1950" s="38"/>
      <c r="AB1950" s="38"/>
      <c r="AC1950" s="38"/>
      <c r="AD1950" s="38"/>
      <c r="AE1950" s="38"/>
      <c r="AF1950" s="38"/>
      <c r="AG1950" s="38"/>
      <c r="AH1950" s="38"/>
    </row>
    <row r="1951" spans="3:34" ht="20.100000000000001" customHeight="1">
      <c r="C1951" s="113"/>
      <c r="D1951" s="114"/>
      <c r="P1951" s="82"/>
      <c r="Q1951" s="82"/>
      <c r="R1951" s="38"/>
      <c r="S1951" s="38"/>
      <c r="T1951" s="38"/>
      <c r="U1951" s="38"/>
      <c r="V1951" s="38"/>
      <c r="W1951" s="38"/>
      <c r="X1951" s="38"/>
      <c r="Y1951" s="38"/>
      <c r="Z1951" s="38"/>
      <c r="AA1951" s="38"/>
      <c r="AB1951" s="38"/>
      <c r="AC1951" s="38"/>
      <c r="AD1951" s="38"/>
      <c r="AE1951" s="38"/>
      <c r="AF1951" s="38"/>
      <c r="AG1951" s="38"/>
      <c r="AH1951" s="38"/>
    </row>
    <row r="1952" spans="3:34" ht="20.100000000000001" customHeight="1">
      <c r="C1952" s="113"/>
      <c r="D1952" s="114"/>
      <c r="P1952" s="82"/>
      <c r="Q1952" s="82"/>
      <c r="R1952" s="38"/>
      <c r="S1952" s="38"/>
      <c r="T1952" s="38"/>
      <c r="U1952" s="38"/>
      <c r="V1952" s="38"/>
      <c r="W1952" s="38"/>
      <c r="X1952" s="38"/>
      <c r="Y1952" s="38"/>
      <c r="Z1952" s="38"/>
      <c r="AA1952" s="38"/>
      <c r="AB1952" s="38"/>
      <c r="AC1952" s="38"/>
      <c r="AD1952" s="38"/>
      <c r="AE1952" s="38"/>
      <c r="AF1952" s="38"/>
      <c r="AG1952" s="38"/>
      <c r="AH1952" s="38"/>
    </row>
    <row r="1953" spans="3:34" ht="20.100000000000001" customHeight="1">
      <c r="C1953" s="113"/>
      <c r="D1953" s="114"/>
      <c r="P1953" s="82"/>
      <c r="Q1953" s="82"/>
      <c r="R1953" s="38"/>
      <c r="S1953" s="38"/>
      <c r="T1953" s="38"/>
      <c r="U1953" s="38"/>
      <c r="V1953" s="38"/>
      <c r="W1953" s="38"/>
      <c r="X1953" s="38"/>
      <c r="Y1953" s="38"/>
      <c r="Z1953" s="38"/>
      <c r="AA1953" s="38"/>
      <c r="AB1953" s="38"/>
      <c r="AC1953" s="38"/>
      <c r="AD1953" s="38"/>
      <c r="AE1953" s="38"/>
      <c r="AF1953" s="38"/>
      <c r="AG1953" s="38"/>
      <c r="AH1953" s="38"/>
    </row>
    <row r="1954" spans="3:34" ht="20.100000000000001" customHeight="1">
      <c r="C1954" s="113"/>
      <c r="D1954" s="114"/>
      <c r="P1954" s="82"/>
      <c r="Q1954" s="82"/>
      <c r="R1954" s="38"/>
      <c r="S1954" s="38"/>
      <c r="T1954" s="38"/>
      <c r="U1954" s="38"/>
      <c r="V1954" s="38"/>
      <c r="W1954" s="38"/>
      <c r="X1954" s="38"/>
      <c r="Y1954" s="38"/>
      <c r="Z1954" s="38"/>
      <c r="AA1954" s="38"/>
      <c r="AB1954" s="38"/>
      <c r="AC1954" s="38"/>
      <c r="AD1954" s="38"/>
      <c r="AE1954" s="38"/>
      <c r="AF1954" s="38"/>
      <c r="AG1954" s="38"/>
      <c r="AH1954" s="38"/>
    </row>
    <row r="1955" spans="3:34" ht="20.100000000000001" customHeight="1">
      <c r="C1955" s="113"/>
      <c r="D1955" s="114"/>
      <c r="P1955" s="82"/>
      <c r="Q1955" s="82"/>
      <c r="R1955" s="38"/>
      <c r="S1955" s="38"/>
      <c r="T1955" s="38"/>
      <c r="U1955" s="38"/>
      <c r="V1955" s="38"/>
      <c r="W1955" s="38"/>
      <c r="X1955" s="38"/>
      <c r="Y1955" s="38"/>
      <c r="Z1955" s="38"/>
      <c r="AA1955" s="38"/>
      <c r="AB1955" s="38"/>
      <c r="AC1955" s="38"/>
      <c r="AD1955" s="38"/>
      <c r="AE1955" s="38"/>
      <c r="AF1955" s="38"/>
      <c r="AG1955" s="38"/>
      <c r="AH1955" s="38"/>
    </row>
    <row r="1956" spans="3:34" ht="20.100000000000001" customHeight="1">
      <c r="C1956" s="113"/>
      <c r="D1956" s="114"/>
      <c r="P1956" s="82"/>
      <c r="Q1956" s="82"/>
      <c r="R1956" s="38"/>
      <c r="S1956" s="38"/>
      <c r="T1956" s="38"/>
      <c r="U1956" s="38"/>
      <c r="V1956" s="38"/>
      <c r="W1956" s="38"/>
      <c r="X1956" s="38"/>
      <c r="Y1956" s="38"/>
      <c r="Z1956" s="38"/>
      <c r="AA1956" s="38"/>
      <c r="AB1956" s="38"/>
      <c r="AC1956" s="38"/>
      <c r="AD1956" s="38"/>
      <c r="AE1956" s="38"/>
      <c r="AF1956" s="38"/>
      <c r="AG1956" s="38"/>
      <c r="AH1956" s="38"/>
    </row>
    <row r="1957" spans="3:34" ht="20.100000000000001" customHeight="1">
      <c r="C1957" s="113"/>
      <c r="D1957" s="114"/>
      <c r="P1957" s="82"/>
      <c r="Q1957" s="82"/>
      <c r="R1957" s="38"/>
      <c r="S1957" s="38"/>
      <c r="T1957" s="38"/>
      <c r="U1957" s="38"/>
      <c r="V1957" s="38"/>
      <c r="W1957" s="38"/>
      <c r="X1957" s="38"/>
      <c r="Y1957" s="38"/>
      <c r="Z1957" s="38"/>
      <c r="AA1957" s="38"/>
      <c r="AB1957" s="38"/>
      <c r="AC1957" s="38"/>
      <c r="AD1957" s="38"/>
      <c r="AE1957" s="38"/>
      <c r="AF1957" s="38"/>
      <c r="AG1957" s="38"/>
      <c r="AH1957" s="38"/>
    </row>
    <row r="1958" spans="3:34" ht="20.100000000000001" customHeight="1">
      <c r="C1958" s="113"/>
      <c r="D1958" s="114"/>
      <c r="P1958" s="82"/>
      <c r="Q1958" s="82"/>
      <c r="R1958" s="38"/>
      <c r="S1958" s="38"/>
      <c r="T1958" s="38"/>
      <c r="U1958" s="38"/>
      <c r="V1958" s="38"/>
      <c r="W1958" s="38"/>
      <c r="X1958" s="38"/>
      <c r="Y1958" s="38"/>
      <c r="Z1958" s="38"/>
      <c r="AA1958" s="38"/>
      <c r="AB1958" s="38"/>
      <c r="AC1958" s="38"/>
      <c r="AD1958" s="38"/>
      <c r="AE1958" s="38"/>
      <c r="AF1958" s="38"/>
      <c r="AG1958" s="38"/>
      <c r="AH1958" s="38"/>
    </row>
    <row r="1959" spans="3:34" ht="20.100000000000001" customHeight="1">
      <c r="C1959" s="113"/>
      <c r="D1959" s="114"/>
      <c r="P1959" s="82"/>
      <c r="Q1959" s="82"/>
      <c r="R1959" s="38"/>
      <c r="S1959" s="38"/>
      <c r="T1959" s="38"/>
      <c r="U1959" s="38"/>
      <c r="V1959" s="38"/>
      <c r="W1959" s="38"/>
      <c r="X1959" s="38"/>
      <c r="Y1959" s="38"/>
      <c r="Z1959" s="38"/>
      <c r="AA1959" s="38"/>
      <c r="AB1959" s="38"/>
      <c r="AC1959" s="38"/>
      <c r="AD1959" s="38"/>
      <c r="AE1959" s="38"/>
      <c r="AF1959" s="38"/>
      <c r="AG1959" s="38"/>
      <c r="AH1959" s="38"/>
    </row>
    <row r="1960" spans="3:34" ht="20.100000000000001" customHeight="1">
      <c r="C1960" s="113"/>
      <c r="D1960" s="114"/>
      <c r="P1960" s="82"/>
      <c r="Q1960" s="82"/>
      <c r="R1960" s="38"/>
      <c r="S1960" s="38"/>
      <c r="T1960" s="38"/>
      <c r="U1960" s="38"/>
      <c r="V1960" s="38"/>
      <c r="W1960" s="38"/>
      <c r="X1960" s="38"/>
      <c r="Y1960" s="38"/>
      <c r="Z1960" s="38"/>
      <c r="AA1960" s="38"/>
      <c r="AB1960" s="38"/>
      <c r="AC1960" s="38"/>
      <c r="AD1960" s="38"/>
      <c r="AE1960" s="38"/>
      <c r="AF1960" s="38"/>
      <c r="AG1960" s="38"/>
      <c r="AH1960" s="38"/>
    </row>
    <row r="1961" spans="3:34" ht="20.100000000000001" customHeight="1">
      <c r="C1961" s="113"/>
      <c r="D1961" s="114"/>
      <c r="P1961" s="82"/>
      <c r="Q1961" s="82"/>
      <c r="R1961" s="38"/>
      <c r="S1961" s="38"/>
      <c r="T1961" s="38"/>
      <c r="U1961" s="38"/>
      <c r="V1961" s="38"/>
      <c r="W1961" s="38"/>
      <c r="X1961" s="38"/>
      <c r="Y1961" s="38"/>
      <c r="Z1961" s="38"/>
      <c r="AA1961" s="38"/>
      <c r="AB1961" s="38"/>
      <c r="AC1961" s="38"/>
      <c r="AD1961" s="38"/>
      <c r="AE1961" s="38"/>
      <c r="AF1961" s="38"/>
      <c r="AG1961" s="38"/>
      <c r="AH1961" s="38"/>
    </row>
    <row r="1962" spans="3:34" ht="20.100000000000001" customHeight="1">
      <c r="C1962" s="113"/>
      <c r="D1962" s="114"/>
      <c r="P1962" s="82"/>
      <c r="Q1962" s="82"/>
      <c r="R1962" s="38"/>
      <c r="S1962" s="38"/>
      <c r="T1962" s="38"/>
      <c r="U1962" s="38"/>
      <c r="V1962" s="38"/>
      <c r="W1962" s="38"/>
      <c r="X1962" s="38"/>
      <c r="Y1962" s="38"/>
      <c r="Z1962" s="38"/>
      <c r="AA1962" s="38"/>
      <c r="AB1962" s="38"/>
      <c r="AC1962" s="38"/>
      <c r="AD1962" s="38"/>
      <c r="AE1962" s="38"/>
      <c r="AF1962" s="38"/>
      <c r="AG1962" s="38"/>
      <c r="AH1962" s="38"/>
    </row>
    <row r="1963" spans="3:34" ht="20.100000000000001" customHeight="1">
      <c r="C1963" s="113"/>
      <c r="D1963" s="114"/>
      <c r="P1963" s="82"/>
      <c r="Q1963" s="82"/>
      <c r="R1963" s="38"/>
      <c r="S1963" s="38"/>
      <c r="T1963" s="38"/>
      <c r="U1963" s="38"/>
      <c r="V1963" s="38"/>
      <c r="W1963" s="38"/>
      <c r="X1963" s="38"/>
      <c r="Y1963" s="38"/>
      <c r="Z1963" s="38"/>
      <c r="AA1963" s="38"/>
      <c r="AB1963" s="38"/>
      <c r="AC1963" s="38"/>
      <c r="AD1963" s="38"/>
      <c r="AE1963" s="38"/>
      <c r="AF1963" s="38"/>
      <c r="AG1963" s="38"/>
      <c r="AH1963" s="38"/>
    </row>
    <row r="1964" spans="3:34" ht="20.100000000000001" customHeight="1">
      <c r="C1964" s="113"/>
      <c r="D1964" s="114"/>
      <c r="P1964" s="82"/>
      <c r="Q1964" s="82"/>
      <c r="R1964" s="38"/>
      <c r="S1964" s="38"/>
      <c r="T1964" s="38"/>
      <c r="U1964" s="38"/>
      <c r="V1964" s="38"/>
      <c r="W1964" s="38"/>
      <c r="X1964" s="38"/>
      <c r="Y1964" s="38"/>
      <c r="Z1964" s="38"/>
      <c r="AA1964" s="38"/>
      <c r="AB1964" s="38"/>
      <c r="AC1964" s="38"/>
      <c r="AD1964" s="38"/>
      <c r="AE1964" s="38"/>
      <c r="AF1964" s="38"/>
      <c r="AG1964" s="38"/>
      <c r="AH1964" s="38"/>
    </row>
    <row r="1965" spans="3:34" ht="20.100000000000001" customHeight="1">
      <c r="C1965" s="113"/>
      <c r="D1965" s="114"/>
      <c r="P1965" s="82"/>
      <c r="Q1965" s="82"/>
      <c r="R1965" s="38"/>
      <c r="S1965" s="38"/>
      <c r="T1965" s="38"/>
      <c r="U1965" s="38"/>
      <c r="V1965" s="38"/>
      <c r="W1965" s="38"/>
      <c r="X1965" s="38"/>
      <c r="Y1965" s="38"/>
      <c r="Z1965" s="38"/>
      <c r="AA1965" s="38"/>
      <c r="AB1965" s="38"/>
      <c r="AC1965" s="38"/>
      <c r="AD1965" s="38"/>
      <c r="AE1965" s="38"/>
      <c r="AF1965" s="38"/>
      <c r="AG1965" s="38"/>
      <c r="AH1965" s="38"/>
    </row>
    <row r="1966" spans="3:34" ht="20.100000000000001" customHeight="1">
      <c r="C1966" s="113"/>
      <c r="D1966" s="114"/>
      <c r="P1966" s="82"/>
      <c r="Q1966" s="82"/>
      <c r="R1966" s="38"/>
      <c r="S1966" s="38"/>
      <c r="T1966" s="38"/>
      <c r="U1966" s="38"/>
      <c r="V1966" s="38"/>
      <c r="W1966" s="38"/>
      <c r="X1966" s="38"/>
      <c r="Y1966" s="38"/>
      <c r="Z1966" s="38"/>
      <c r="AA1966" s="38"/>
      <c r="AB1966" s="38"/>
      <c r="AC1966" s="38"/>
      <c r="AD1966" s="38"/>
      <c r="AE1966" s="38"/>
      <c r="AF1966" s="38"/>
      <c r="AG1966" s="38"/>
      <c r="AH1966" s="38"/>
    </row>
    <row r="1967" spans="3:34" ht="20.100000000000001" customHeight="1">
      <c r="C1967" s="113"/>
      <c r="D1967" s="114"/>
      <c r="P1967" s="82"/>
      <c r="Q1967" s="82"/>
      <c r="R1967" s="38"/>
      <c r="S1967" s="38"/>
      <c r="T1967" s="38"/>
      <c r="U1967" s="38"/>
      <c r="V1967" s="38"/>
      <c r="W1967" s="38"/>
      <c r="X1967" s="38"/>
      <c r="Y1967" s="38"/>
      <c r="Z1967" s="38"/>
      <c r="AA1967" s="38"/>
      <c r="AB1967" s="38"/>
      <c r="AC1967" s="38"/>
      <c r="AD1967" s="38"/>
      <c r="AE1967" s="38"/>
      <c r="AF1967" s="38"/>
      <c r="AG1967" s="38"/>
      <c r="AH1967" s="38"/>
    </row>
    <row r="1968" spans="3:34" ht="20.100000000000001" customHeight="1">
      <c r="C1968" s="113"/>
      <c r="D1968" s="114"/>
      <c r="P1968" s="82"/>
      <c r="Q1968" s="82"/>
      <c r="R1968" s="38"/>
      <c r="S1968" s="38"/>
      <c r="T1968" s="38"/>
      <c r="U1968" s="38"/>
      <c r="V1968" s="38"/>
      <c r="W1968" s="38"/>
      <c r="X1968" s="38"/>
      <c r="Y1968" s="38"/>
      <c r="Z1968" s="38"/>
      <c r="AA1968" s="38"/>
      <c r="AB1968" s="38"/>
      <c r="AC1968" s="38"/>
      <c r="AD1968" s="38"/>
      <c r="AE1968" s="38"/>
      <c r="AF1968" s="38"/>
      <c r="AG1968" s="38"/>
      <c r="AH1968" s="38"/>
    </row>
    <row r="1969" spans="3:34" ht="20.100000000000001" customHeight="1">
      <c r="C1969" s="113"/>
      <c r="D1969" s="114"/>
      <c r="P1969" s="82"/>
      <c r="Q1969" s="82"/>
      <c r="R1969" s="38"/>
      <c r="S1969" s="38"/>
      <c r="T1969" s="38"/>
      <c r="U1969" s="38"/>
      <c r="V1969" s="38"/>
      <c r="W1969" s="38"/>
      <c r="X1969" s="38"/>
      <c r="Y1969" s="38"/>
      <c r="Z1969" s="38"/>
      <c r="AA1969" s="38"/>
      <c r="AB1969" s="38"/>
      <c r="AC1969" s="38"/>
      <c r="AD1969" s="38"/>
      <c r="AE1969" s="38"/>
      <c r="AF1969" s="38"/>
      <c r="AG1969" s="38"/>
      <c r="AH1969" s="38"/>
    </row>
    <row r="1970" spans="3:34" ht="20.100000000000001" customHeight="1">
      <c r="C1970" s="113"/>
      <c r="D1970" s="114"/>
      <c r="P1970" s="82"/>
      <c r="Q1970" s="82"/>
      <c r="R1970" s="38"/>
      <c r="S1970" s="38"/>
      <c r="T1970" s="38"/>
      <c r="U1970" s="38"/>
      <c r="V1970" s="38"/>
      <c r="W1970" s="38"/>
      <c r="X1970" s="38"/>
      <c r="Y1970" s="38"/>
      <c r="Z1970" s="38"/>
      <c r="AA1970" s="38"/>
      <c r="AB1970" s="38"/>
      <c r="AC1970" s="38"/>
      <c r="AD1970" s="38"/>
      <c r="AE1970" s="38"/>
      <c r="AF1970" s="38"/>
      <c r="AG1970" s="38"/>
      <c r="AH1970" s="38"/>
    </row>
    <row r="1971" spans="3:34" ht="20.100000000000001" customHeight="1">
      <c r="C1971" s="113"/>
      <c r="D1971" s="114"/>
      <c r="P1971" s="82"/>
      <c r="Q1971" s="82"/>
      <c r="R1971" s="38"/>
      <c r="S1971" s="38"/>
      <c r="T1971" s="38"/>
      <c r="U1971" s="38"/>
      <c r="V1971" s="38"/>
      <c r="W1971" s="38"/>
      <c r="X1971" s="38"/>
      <c r="Y1971" s="38"/>
      <c r="Z1971" s="38"/>
      <c r="AA1971" s="38"/>
      <c r="AB1971" s="38"/>
      <c r="AC1971" s="38"/>
      <c r="AD1971" s="38"/>
      <c r="AE1971" s="38"/>
      <c r="AF1971" s="38"/>
      <c r="AG1971" s="38"/>
      <c r="AH1971" s="38"/>
    </row>
    <row r="1972" spans="3:34" ht="20.100000000000001" customHeight="1">
      <c r="C1972" s="113"/>
      <c r="D1972" s="114"/>
      <c r="P1972" s="82"/>
      <c r="Q1972" s="82"/>
      <c r="R1972" s="38"/>
      <c r="S1972" s="38"/>
      <c r="T1972" s="38"/>
      <c r="U1972" s="38"/>
      <c r="V1972" s="38"/>
      <c r="W1972" s="38"/>
      <c r="X1972" s="38"/>
      <c r="Y1972" s="38"/>
      <c r="Z1972" s="38"/>
      <c r="AA1972" s="38"/>
      <c r="AB1972" s="38"/>
      <c r="AC1972" s="38"/>
      <c r="AD1972" s="38"/>
      <c r="AE1972" s="38"/>
      <c r="AF1972" s="38"/>
      <c r="AG1972" s="38"/>
      <c r="AH1972" s="38"/>
    </row>
    <row r="1973" spans="3:34" ht="20.100000000000001" customHeight="1">
      <c r="C1973" s="113"/>
      <c r="D1973" s="114"/>
      <c r="P1973" s="82"/>
      <c r="Q1973" s="82"/>
      <c r="R1973" s="38"/>
      <c r="S1973" s="38"/>
      <c r="T1973" s="38"/>
      <c r="U1973" s="38"/>
      <c r="V1973" s="38"/>
      <c r="W1973" s="38"/>
      <c r="X1973" s="38"/>
      <c r="Y1973" s="38"/>
      <c r="Z1973" s="38"/>
      <c r="AA1973" s="38"/>
      <c r="AB1973" s="38"/>
      <c r="AC1973" s="38"/>
      <c r="AD1973" s="38"/>
      <c r="AE1973" s="38"/>
      <c r="AF1973" s="38"/>
      <c r="AG1973" s="38"/>
      <c r="AH1973" s="38"/>
    </row>
    <row r="1974" spans="3:34" ht="20.100000000000001" customHeight="1">
      <c r="C1974" s="113"/>
      <c r="D1974" s="114"/>
      <c r="P1974" s="82"/>
      <c r="Q1974" s="82"/>
      <c r="R1974" s="38"/>
      <c r="S1974" s="38"/>
      <c r="T1974" s="38"/>
      <c r="U1974" s="38"/>
      <c r="V1974" s="38"/>
      <c r="W1974" s="38"/>
      <c r="X1974" s="38"/>
      <c r="Y1974" s="38"/>
      <c r="Z1974" s="38"/>
      <c r="AA1974" s="38"/>
      <c r="AB1974" s="38"/>
      <c r="AC1974" s="38"/>
      <c r="AD1974" s="38"/>
      <c r="AE1974" s="38"/>
      <c r="AF1974" s="38"/>
      <c r="AG1974" s="38"/>
      <c r="AH1974" s="38"/>
    </row>
    <row r="1975" spans="3:34" ht="20.100000000000001" customHeight="1">
      <c r="C1975" s="113"/>
      <c r="D1975" s="114"/>
      <c r="P1975" s="82"/>
      <c r="Q1975" s="82"/>
      <c r="R1975" s="38"/>
      <c r="S1975" s="38"/>
      <c r="T1975" s="38"/>
      <c r="U1975" s="38"/>
      <c r="V1975" s="38"/>
      <c r="W1975" s="38"/>
      <c r="X1975" s="38"/>
      <c r="Y1975" s="38"/>
      <c r="Z1975" s="38"/>
      <c r="AA1975" s="38"/>
      <c r="AB1975" s="38"/>
      <c r="AC1975" s="38"/>
      <c r="AD1975" s="38"/>
      <c r="AE1975" s="38"/>
      <c r="AF1975" s="38"/>
      <c r="AG1975" s="38"/>
      <c r="AH1975" s="38"/>
    </row>
    <row r="1976" spans="3:34" ht="20.100000000000001" customHeight="1">
      <c r="C1976" s="113"/>
      <c r="D1976" s="114"/>
      <c r="P1976" s="82"/>
      <c r="Q1976" s="82"/>
      <c r="R1976" s="38"/>
      <c r="S1976" s="38"/>
      <c r="T1976" s="38"/>
      <c r="U1976" s="38"/>
      <c r="V1976" s="38"/>
      <c r="W1976" s="38"/>
      <c r="X1976" s="38"/>
      <c r="Y1976" s="38"/>
      <c r="Z1976" s="38"/>
      <c r="AA1976" s="38"/>
      <c r="AB1976" s="38"/>
      <c r="AC1976" s="38"/>
      <c r="AD1976" s="38"/>
      <c r="AE1976" s="38"/>
      <c r="AF1976" s="38"/>
      <c r="AG1976" s="38"/>
      <c r="AH1976" s="38"/>
    </row>
    <row r="1977" spans="3:34" ht="20.100000000000001" customHeight="1">
      <c r="C1977" s="113"/>
      <c r="D1977" s="114"/>
      <c r="P1977" s="82"/>
      <c r="Q1977" s="82"/>
      <c r="R1977" s="38"/>
      <c r="S1977" s="38"/>
      <c r="T1977" s="38"/>
      <c r="U1977" s="38"/>
      <c r="V1977" s="38"/>
      <c r="W1977" s="38"/>
      <c r="X1977" s="38"/>
      <c r="Y1977" s="38"/>
      <c r="Z1977" s="38"/>
      <c r="AA1977" s="38"/>
      <c r="AB1977" s="38"/>
      <c r="AC1977" s="38"/>
      <c r="AD1977" s="38"/>
      <c r="AE1977" s="38"/>
      <c r="AF1977" s="38"/>
      <c r="AG1977" s="38"/>
      <c r="AH1977" s="38"/>
    </row>
    <row r="1978" spans="3:34" ht="20.100000000000001" customHeight="1">
      <c r="C1978" s="113"/>
      <c r="D1978" s="114"/>
      <c r="P1978" s="82"/>
      <c r="Q1978" s="82"/>
      <c r="R1978" s="38"/>
      <c r="S1978" s="38"/>
      <c r="T1978" s="38"/>
      <c r="U1978" s="38"/>
      <c r="V1978" s="38"/>
      <c r="W1978" s="38"/>
      <c r="X1978" s="38"/>
      <c r="Y1978" s="38"/>
      <c r="Z1978" s="38"/>
      <c r="AA1978" s="38"/>
      <c r="AB1978" s="38"/>
      <c r="AC1978" s="38"/>
      <c r="AD1978" s="38"/>
      <c r="AE1978" s="38"/>
      <c r="AF1978" s="38"/>
      <c r="AG1978" s="38"/>
      <c r="AH1978" s="38"/>
    </row>
    <row r="1979" spans="3:34" ht="20.100000000000001" customHeight="1">
      <c r="C1979" s="113"/>
      <c r="D1979" s="114"/>
      <c r="P1979" s="82"/>
      <c r="Q1979" s="82"/>
      <c r="R1979" s="38"/>
      <c r="S1979" s="38"/>
      <c r="T1979" s="38"/>
      <c r="U1979" s="38"/>
      <c r="V1979" s="38"/>
      <c r="W1979" s="38"/>
      <c r="X1979" s="38"/>
      <c r="Y1979" s="38"/>
      <c r="Z1979" s="38"/>
      <c r="AA1979" s="38"/>
      <c r="AB1979" s="38"/>
      <c r="AC1979" s="38"/>
      <c r="AD1979" s="38"/>
      <c r="AE1979" s="38"/>
      <c r="AF1979" s="38"/>
      <c r="AG1979" s="38"/>
      <c r="AH1979" s="38"/>
    </row>
    <row r="1980" spans="3:34" ht="20.100000000000001" customHeight="1">
      <c r="C1980" s="113"/>
      <c r="D1980" s="114"/>
      <c r="P1980" s="82"/>
      <c r="Q1980" s="82"/>
      <c r="R1980" s="38"/>
      <c r="S1980" s="38"/>
      <c r="T1980" s="38"/>
      <c r="U1980" s="38"/>
      <c r="V1980" s="38"/>
      <c r="W1980" s="38"/>
      <c r="X1980" s="38"/>
      <c r="Y1980" s="38"/>
      <c r="Z1980" s="38"/>
      <c r="AA1980" s="38"/>
      <c r="AB1980" s="38"/>
      <c r="AC1980" s="38"/>
      <c r="AD1980" s="38"/>
      <c r="AE1980" s="38"/>
      <c r="AF1980" s="38"/>
      <c r="AG1980" s="38"/>
      <c r="AH1980" s="38"/>
    </row>
    <row r="1981" spans="3:34" ht="20.100000000000001" customHeight="1">
      <c r="C1981" s="113"/>
      <c r="D1981" s="114"/>
      <c r="P1981" s="82"/>
      <c r="Q1981" s="82"/>
      <c r="R1981" s="38"/>
      <c r="S1981" s="38"/>
      <c r="T1981" s="38"/>
      <c r="U1981" s="38"/>
      <c r="V1981" s="38"/>
      <c r="W1981" s="38"/>
      <c r="X1981" s="38"/>
      <c r="Y1981" s="38"/>
      <c r="Z1981" s="38"/>
      <c r="AA1981" s="38"/>
      <c r="AB1981" s="38"/>
      <c r="AC1981" s="38"/>
      <c r="AD1981" s="38"/>
      <c r="AE1981" s="38"/>
      <c r="AF1981" s="38"/>
      <c r="AG1981" s="38"/>
      <c r="AH1981" s="38"/>
    </row>
    <row r="1982" spans="3:34" ht="20.100000000000001" customHeight="1">
      <c r="C1982" s="113"/>
      <c r="D1982" s="114"/>
      <c r="P1982" s="82"/>
      <c r="Q1982" s="82"/>
      <c r="R1982" s="38"/>
      <c r="S1982" s="38"/>
      <c r="T1982" s="38"/>
      <c r="U1982" s="38"/>
      <c r="V1982" s="38"/>
      <c r="W1982" s="38"/>
      <c r="X1982" s="38"/>
      <c r="Y1982" s="38"/>
      <c r="Z1982" s="38"/>
      <c r="AA1982" s="38"/>
      <c r="AB1982" s="38"/>
      <c r="AC1982" s="38"/>
      <c r="AD1982" s="38"/>
      <c r="AE1982" s="38"/>
      <c r="AF1982" s="38"/>
      <c r="AG1982" s="38"/>
      <c r="AH1982" s="38"/>
    </row>
    <row r="1983" spans="3:34" ht="20.100000000000001" customHeight="1">
      <c r="C1983" s="113"/>
      <c r="D1983" s="114"/>
      <c r="P1983" s="82"/>
      <c r="Q1983" s="82"/>
      <c r="R1983" s="38"/>
      <c r="S1983" s="38"/>
      <c r="T1983" s="38"/>
      <c r="U1983" s="38"/>
      <c r="V1983" s="38"/>
      <c r="W1983" s="38"/>
      <c r="X1983" s="38"/>
      <c r="Y1983" s="38"/>
      <c r="Z1983" s="38"/>
      <c r="AA1983" s="38"/>
      <c r="AB1983" s="38"/>
      <c r="AC1983" s="38"/>
      <c r="AD1983" s="38"/>
      <c r="AE1983" s="38"/>
      <c r="AF1983" s="38"/>
      <c r="AG1983" s="38"/>
      <c r="AH1983" s="38"/>
    </row>
    <row r="1984" spans="3:34" ht="20.100000000000001" customHeight="1">
      <c r="C1984" s="113"/>
      <c r="D1984" s="114"/>
      <c r="P1984" s="82"/>
      <c r="Q1984" s="82"/>
      <c r="R1984" s="38"/>
      <c r="S1984" s="38"/>
      <c r="T1984" s="38"/>
      <c r="U1984" s="38"/>
      <c r="V1984" s="38"/>
      <c r="W1984" s="38"/>
      <c r="X1984" s="38"/>
      <c r="Y1984" s="38"/>
      <c r="Z1984" s="38"/>
      <c r="AA1984" s="38"/>
      <c r="AB1984" s="38"/>
      <c r="AC1984" s="38"/>
      <c r="AD1984" s="38"/>
      <c r="AE1984" s="38"/>
      <c r="AF1984" s="38"/>
      <c r="AG1984" s="38"/>
      <c r="AH1984" s="38"/>
    </row>
    <row r="1985" spans="3:34" ht="20.100000000000001" customHeight="1">
      <c r="C1985" s="113"/>
      <c r="D1985" s="114"/>
      <c r="P1985" s="82"/>
      <c r="Q1985" s="82"/>
      <c r="R1985" s="38"/>
      <c r="S1985" s="38"/>
      <c r="T1985" s="38"/>
      <c r="U1985" s="38"/>
      <c r="V1985" s="38"/>
      <c r="W1985" s="38"/>
      <c r="X1985" s="38"/>
      <c r="Y1985" s="38"/>
      <c r="Z1985" s="38"/>
      <c r="AA1985" s="38"/>
      <c r="AB1985" s="38"/>
      <c r="AC1985" s="38"/>
      <c r="AD1985" s="38"/>
      <c r="AE1985" s="38"/>
      <c r="AF1985" s="38"/>
      <c r="AG1985" s="38"/>
      <c r="AH1985" s="38"/>
    </row>
    <row r="1986" spans="3:34" ht="20.100000000000001" customHeight="1">
      <c r="C1986" s="113"/>
      <c r="D1986" s="114"/>
      <c r="P1986" s="82"/>
      <c r="Q1986" s="82"/>
      <c r="R1986" s="38"/>
      <c r="S1986" s="38"/>
      <c r="T1986" s="38"/>
      <c r="U1986" s="38"/>
      <c r="V1986" s="38"/>
      <c r="W1986" s="38"/>
      <c r="X1986" s="38"/>
      <c r="Y1986" s="38"/>
      <c r="Z1986" s="38"/>
      <c r="AA1986" s="38"/>
      <c r="AB1986" s="38"/>
      <c r="AC1986" s="38"/>
      <c r="AD1986" s="38"/>
      <c r="AE1986" s="38"/>
      <c r="AF1986" s="38"/>
      <c r="AG1986" s="38"/>
      <c r="AH1986" s="38"/>
    </row>
    <row r="1987" spans="3:34" ht="20.100000000000001" customHeight="1">
      <c r="C1987" s="113"/>
      <c r="D1987" s="114"/>
      <c r="P1987" s="82"/>
      <c r="Q1987" s="82"/>
      <c r="R1987" s="38"/>
      <c r="S1987" s="38"/>
      <c r="T1987" s="38"/>
      <c r="U1987" s="38"/>
      <c r="V1987" s="38"/>
      <c r="W1987" s="38"/>
      <c r="X1987" s="38"/>
      <c r="Y1987" s="38"/>
      <c r="Z1987" s="38"/>
      <c r="AA1987" s="38"/>
      <c r="AB1987" s="38"/>
      <c r="AC1987" s="38"/>
      <c r="AD1987" s="38"/>
      <c r="AE1987" s="38"/>
      <c r="AF1987" s="38"/>
      <c r="AG1987" s="38"/>
      <c r="AH1987" s="38"/>
    </row>
    <row r="1988" spans="3:34" ht="20.100000000000001" customHeight="1">
      <c r="C1988" s="113"/>
      <c r="D1988" s="114"/>
      <c r="P1988" s="82"/>
      <c r="Q1988" s="82"/>
      <c r="R1988" s="38"/>
      <c r="S1988" s="38"/>
      <c r="T1988" s="38"/>
      <c r="U1988" s="38"/>
      <c r="V1988" s="38"/>
      <c r="W1988" s="38"/>
      <c r="X1988" s="38"/>
      <c r="Y1988" s="38"/>
      <c r="Z1988" s="38"/>
      <c r="AA1988" s="38"/>
      <c r="AB1988" s="38"/>
      <c r="AC1988" s="38"/>
      <c r="AD1988" s="38"/>
      <c r="AE1988" s="38"/>
      <c r="AF1988" s="38"/>
      <c r="AG1988" s="38"/>
      <c r="AH1988" s="38"/>
    </row>
    <row r="1989" spans="3:34" ht="20.100000000000001" customHeight="1">
      <c r="C1989" s="113"/>
      <c r="D1989" s="114"/>
      <c r="P1989" s="82"/>
      <c r="Q1989" s="82"/>
      <c r="R1989" s="38"/>
      <c r="S1989" s="38"/>
      <c r="T1989" s="38"/>
      <c r="U1989" s="38"/>
      <c r="V1989" s="38"/>
      <c r="W1989" s="38"/>
      <c r="X1989" s="38"/>
      <c r="Y1989" s="38"/>
      <c r="Z1989" s="38"/>
      <c r="AA1989" s="38"/>
      <c r="AB1989" s="38"/>
      <c r="AC1989" s="38"/>
      <c r="AD1989" s="38"/>
      <c r="AE1989" s="38"/>
      <c r="AF1989" s="38"/>
      <c r="AG1989" s="38"/>
      <c r="AH1989" s="38"/>
    </row>
    <row r="1990" spans="3:34" ht="20.100000000000001" customHeight="1">
      <c r="C1990" s="113"/>
      <c r="D1990" s="114"/>
      <c r="P1990" s="82"/>
      <c r="Q1990" s="82"/>
      <c r="R1990" s="38"/>
      <c r="S1990" s="38"/>
      <c r="T1990" s="38"/>
      <c r="U1990" s="38"/>
      <c r="V1990" s="38"/>
      <c r="W1990" s="38"/>
      <c r="X1990" s="38"/>
      <c r="Y1990" s="38"/>
      <c r="Z1990" s="38"/>
      <c r="AA1990" s="38"/>
      <c r="AB1990" s="38"/>
      <c r="AC1990" s="38"/>
      <c r="AD1990" s="38"/>
      <c r="AE1990" s="38"/>
      <c r="AF1990" s="38"/>
      <c r="AG1990" s="38"/>
      <c r="AH1990" s="38"/>
    </row>
    <row r="1991" spans="3:34" ht="20.100000000000001" customHeight="1">
      <c r="C1991" s="113"/>
      <c r="D1991" s="114"/>
      <c r="P1991" s="82"/>
      <c r="Q1991" s="82"/>
      <c r="R1991" s="38"/>
      <c r="S1991" s="38"/>
      <c r="T1991" s="38"/>
      <c r="U1991" s="38"/>
      <c r="V1991" s="38"/>
      <c r="W1991" s="38"/>
      <c r="X1991" s="38"/>
      <c r="Y1991" s="38"/>
      <c r="Z1991" s="38"/>
      <c r="AA1991" s="38"/>
      <c r="AB1991" s="38"/>
      <c r="AC1991" s="38"/>
      <c r="AD1991" s="38"/>
      <c r="AE1991" s="38"/>
      <c r="AF1991" s="38"/>
      <c r="AG1991" s="38"/>
      <c r="AH1991" s="38"/>
    </row>
    <row r="1992" spans="3:34" ht="20.100000000000001" customHeight="1">
      <c r="C1992" s="113"/>
      <c r="D1992" s="114"/>
      <c r="P1992" s="82"/>
      <c r="Q1992" s="82"/>
      <c r="R1992" s="38"/>
      <c r="S1992" s="38"/>
      <c r="T1992" s="38"/>
      <c r="U1992" s="38"/>
      <c r="V1992" s="38"/>
      <c r="W1992" s="38"/>
      <c r="X1992" s="38"/>
      <c r="Y1992" s="38"/>
      <c r="Z1992" s="38"/>
      <c r="AA1992" s="38"/>
      <c r="AB1992" s="38"/>
      <c r="AC1992" s="38"/>
      <c r="AD1992" s="38"/>
      <c r="AE1992" s="38"/>
      <c r="AF1992" s="38"/>
      <c r="AG1992" s="38"/>
      <c r="AH1992" s="38"/>
    </row>
    <row r="1993" spans="3:34" ht="20.100000000000001" customHeight="1">
      <c r="C1993" s="113"/>
      <c r="D1993" s="114"/>
      <c r="P1993" s="82"/>
      <c r="Q1993" s="82"/>
      <c r="R1993" s="38"/>
      <c r="S1993" s="38"/>
      <c r="T1993" s="38"/>
      <c r="U1993" s="38"/>
      <c r="V1993" s="38"/>
      <c r="W1993" s="38"/>
      <c r="X1993" s="38"/>
      <c r="Y1993" s="38"/>
      <c r="Z1993" s="38"/>
      <c r="AA1993" s="38"/>
      <c r="AB1993" s="38"/>
      <c r="AC1993" s="38"/>
      <c r="AD1993" s="38"/>
      <c r="AE1993" s="38"/>
      <c r="AF1993" s="38"/>
      <c r="AG1993" s="38"/>
      <c r="AH1993" s="38"/>
    </row>
    <row r="1994" spans="3:34" ht="20.100000000000001" customHeight="1">
      <c r="C1994" s="113"/>
      <c r="D1994" s="114"/>
      <c r="P1994" s="82"/>
      <c r="Q1994" s="82"/>
      <c r="R1994" s="38"/>
      <c r="S1994" s="38"/>
      <c r="T1994" s="38"/>
      <c r="U1994" s="38"/>
      <c r="V1994" s="38"/>
      <c r="W1994" s="38"/>
      <c r="X1994" s="38"/>
      <c r="Y1994" s="38"/>
      <c r="Z1994" s="38"/>
      <c r="AA1994" s="38"/>
      <c r="AB1994" s="38"/>
      <c r="AC1994" s="38"/>
      <c r="AD1994" s="38"/>
      <c r="AE1994" s="38"/>
      <c r="AF1994" s="38"/>
      <c r="AG1994" s="38"/>
      <c r="AH1994" s="38"/>
    </row>
    <row r="1995" spans="3:34" ht="20.100000000000001" customHeight="1">
      <c r="C1995" s="113"/>
      <c r="D1995" s="114"/>
      <c r="P1995" s="82"/>
      <c r="Q1995" s="82"/>
      <c r="R1995" s="38"/>
      <c r="S1995" s="38"/>
      <c r="T1995" s="38"/>
      <c r="U1995" s="38"/>
      <c r="V1995" s="38"/>
      <c r="W1995" s="38"/>
      <c r="X1995" s="38"/>
      <c r="Y1995" s="38"/>
      <c r="Z1995" s="38"/>
      <c r="AA1995" s="38"/>
      <c r="AB1995" s="38"/>
      <c r="AC1995" s="38"/>
      <c r="AD1995" s="38"/>
      <c r="AE1995" s="38"/>
      <c r="AF1995" s="38"/>
      <c r="AG1995" s="38"/>
      <c r="AH1995" s="38"/>
    </row>
    <row r="1996" spans="3:34" ht="20.100000000000001" customHeight="1">
      <c r="C1996" s="113"/>
      <c r="D1996" s="114"/>
      <c r="P1996" s="82"/>
      <c r="Q1996" s="82"/>
      <c r="R1996" s="38"/>
      <c r="S1996" s="38"/>
      <c r="T1996" s="38"/>
      <c r="U1996" s="38"/>
      <c r="V1996" s="38"/>
      <c r="W1996" s="38"/>
      <c r="X1996" s="38"/>
      <c r="Y1996" s="38"/>
      <c r="Z1996" s="38"/>
      <c r="AA1996" s="38"/>
      <c r="AB1996" s="38"/>
      <c r="AC1996" s="38"/>
      <c r="AD1996" s="38"/>
      <c r="AE1996" s="38"/>
      <c r="AF1996" s="38"/>
      <c r="AG1996" s="38"/>
      <c r="AH1996" s="38"/>
    </row>
    <row r="1997" spans="3:34" ht="20.100000000000001" customHeight="1">
      <c r="C1997" s="113"/>
      <c r="D1997" s="114"/>
      <c r="P1997" s="82"/>
      <c r="Q1997" s="82"/>
      <c r="R1997" s="38"/>
      <c r="S1997" s="38"/>
      <c r="T1997" s="38"/>
      <c r="U1997" s="38"/>
      <c r="V1997" s="38"/>
      <c r="W1997" s="38"/>
      <c r="X1997" s="38"/>
      <c r="Y1997" s="38"/>
      <c r="Z1997" s="38"/>
      <c r="AA1997" s="38"/>
      <c r="AB1997" s="38"/>
      <c r="AC1997" s="38"/>
      <c r="AD1997" s="38"/>
      <c r="AE1997" s="38"/>
      <c r="AF1997" s="38"/>
      <c r="AG1997" s="38"/>
      <c r="AH1997" s="38"/>
    </row>
    <row r="1998" spans="3:34" ht="20.100000000000001" customHeight="1">
      <c r="C1998" s="113"/>
      <c r="D1998" s="114"/>
      <c r="P1998" s="82"/>
      <c r="Q1998" s="82"/>
      <c r="R1998" s="38"/>
      <c r="S1998" s="38"/>
      <c r="T1998" s="38"/>
      <c r="U1998" s="38"/>
      <c r="V1998" s="38"/>
      <c r="W1998" s="38"/>
      <c r="X1998" s="38"/>
      <c r="Y1998" s="38"/>
      <c r="Z1998" s="38"/>
      <c r="AA1998" s="38"/>
      <c r="AB1998" s="38"/>
      <c r="AC1998" s="38"/>
      <c r="AD1998" s="38"/>
      <c r="AE1998" s="38"/>
      <c r="AF1998" s="38"/>
      <c r="AG1998" s="38"/>
      <c r="AH1998" s="38"/>
    </row>
    <row r="1999" spans="3:34" ht="20.100000000000001" customHeight="1">
      <c r="C1999" s="113"/>
      <c r="D1999" s="114"/>
      <c r="P1999" s="82"/>
      <c r="Q1999" s="82"/>
      <c r="R1999" s="38"/>
      <c r="S1999" s="38"/>
      <c r="T1999" s="38"/>
      <c r="U1999" s="38"/>
      <c r="V1999" s="38"/>
      <c r="W1999" s="38"/>
      <c r="X1999" s="38"/>
      <c r="Y1999" s="38"/>
      <c r="Z1999" s="38"/>
      <c r="AA1999" s="38"/>
      <c r="AB1999" s="38"/>
      <c r="AC1999" s="38"/>
      <c r="AD1999" s="38"/>
      <c r="AE1999" s="38"/>
      <c r="AF1999" s="38"/>
      <c r="AG1999" s="38"/>
      <c r="AH1999" s="38"/>
    </row>
    <row r="2000" spans="3:34" ht="20.100000000000001" customHeight="1">
      <c r="C2000" s="113"/>
      <c r="D2000" s="114"/>
      <c r="P2000" s="82"/>
      <c r="Q2000" s="82"/>
      <c r="R2000" s="38"/>
      <c r="S2000" s="38"/>
      <c r="T2000" s="38"/>
      <c r="U2000" s="38"/>
      <c r="V2000" s="38"/>
      <c r="W2000" s="38"/>
      <c r="X2000" s="38"/>
      <c r="Y2000" s="38"/>
      <c r="Z2000" s="38"/>
      <c r="AA2000" s="38"/>
      <c r="AB2000" s="38"/>
      <c r="AC2000" s="38"/>
      <c r="AD2000" s="38"/>
      <c r="AE2000" s="38"/>
      <c r="AF2000" s="38"/>
      <c r="AG2000" s="38"/>
      <c r="AH2000" s="38"/>
    </row>
    <row r="2001" spans="3:34" ht="20.100000000000001" customHeight="1">
      <c r="C2001" s="113"/>
      <c r="D2001" s="114"/>
      <c r="P2001" s="82"/>
      <c r="Q2001" s="82"/>
      <c r="R2001" s="38"/>
      <c r="S2001" s="38"/>
      <c r="T2001" s="38"/>
      <c r="U2001" s="38"/>
      <c r="V2001" s="38"/>
      <c r="W2001" s="38"/>
      <c r="X2001" s="38"/>
      <c r="Y2001" s="38"/>
      <c r="Z2001" s="38"/>
      <c r="AA2001" s="38"/>
      <c r="AB2001" s="38"/>
      <c r="AC2001" s="38"/>
      <c r="AD2001" s="38"/>
      <c r="AE2001" s="38"/>
      <c r="AF2001" s="38"/>
      <c r="AG2001" s="38"/>
      <c r="AH2001" s="38"/>
    </row>
    <row r="2002" spans="3:34" ht="20.100000000000001" customHeight="1">
      <c r="C2002" s="113"/>
      <c r="D2002" s="114"/>
      <c r="P2002" s="82"/>
      <c r="Q2002" s="82"/>
      <c r="R2002" s="38"/>
      <c r="S2002" s="38"/>
      <c r="T2002" s="38"/>
      <c r="U2002" s="38"/>
      <c r="V2002" s="38"/>
      <c r="W2002" s="38"/>
      <c r="X2002" s="38"/>
      <c r="Y2002" s="38"/>
      <c r="Z2002" s="38"/>
      <c r="AA2002" s="38"/>
      <c r="AB2002" s="38"/>
      <c r="AC2002" s="38"/>
      <c r="AD2002" s="38"/>
      <c r="AE2002" s="38"/>
      <c r="AF2002" s="38"/>
      <c r="AG2002" s="38"/>
      <c r="AH2002" s="38"/>
    </row>
    <row r="2003" spans="3:34" ht="20.100000000000001" customHeight="1">
      <c r="C2003" s="113"/>
      <c r="D2003" s="114"/>
      <c r="P2003" s="82"/>
      <c r="Q2003" s="82"/>
      <c r="R2003" s="38"/>
      <c r="S2003" s="38"/>
      <c r="T2003" s="38"/>
      <c r="U2003" s="38"/>
      <c r="V2003" s="38"/>
      <c r="W2003" s="38"/>
      <c r="X2003" s="38"/>
      <c r="Y2003" s="38"/>
      <c r="Z2003" s="38"/>
      <c r="AA2003" s="38"/>
      <c r="AB2003" s="38"/>
      <c r="AC2003" s="38"/>
      <c r="AD2003" s="38"/>
      <c r="AE2003" s="38"/>
      <c r="AF2003" s="38"/>
      <c r="AG2003" s="38"/>
      <c r="AH2003" s="38"/>
    </row>
    <row r="2004" spans="3:34" ht="20.100000000000001" customHeight="1">
      <c r="C2004" s="113"/>
      <c r="D2004" s="114"/>
      <c r="P2004" s="82"/>
      <c r="Q2004" s="82"/>
      <c r="R2004" s="38"/>
      <c r="S2004" s="38"/>
      <c r="T2004" s="38"/>
      <c r="U2004" s="38"/>
      <c r="V2004" s="38"/>
      <c r="W2004" s="38"/>
      <c r="X2004" s="38"/>
      <c r="Y2004" s="38"/>
      <c r="Z2004" s="38"/>
      <c r="AA2004" s="38"/>
      <c r="AB2004" s="38"/>
      <c r="AC2004" s="38"/>
      <c r="AD2004" s="38"/>
      <c r="AE2004" s="38"/>
      <c r="AF2004" s="38"/>
      <c r="AG2004" s="38"/>
      <c r="AH2004" s="38"/>
    </row>
    <row r="2005" spans="3:34" ht="20.100000000000001" customHeight="1">
      <c r="C2005" s="113"/>
      <c r="D2005" s="114"/>
      <c r="P2005" s="82"/>
      <c r="Q2005" s="82"/>
      <c r="R2005" s="38"/>
      <c r="S2005" s="38"/>
      <c r="T2005" s="38"/>
      <c r="U2005" s="38"/>
      <c r="V2005" s="38"/>
      <c r="W2005" s="38"/>
      <c r="X2005" s="38"/>
      <c r="Y2005" s="38"/>
      <c r="Z2005" s="38"/>
      <c r="AA2005" s="38"/>
      <c r="AB2005" s="38"/>
      <c r="AC2005" s="38"/>
      <c r="AD2005" s="38"/>
      <c r="AE2005" s="38"/>
      <c r="AF2005" s="38"/>
      <c r="AG2005" s="38"/>
      <c r="AH2005" s="38"/>
    </row>
    <row r="2006" spans="3:34" ht="20.100000000000001" customHeight="1">
      <c r="C2006" s="113"/>
      <c r="D2006" s="114"/>
      <c r="P2006" s="82"/>
      <c r="Q2006" s="82"/>
      <c r="R2006" s="38"/>
      <c r="S2006" s="38"/>
      <c r="T2006" s="38"/>
      <c r="U2006" s="38"/>
      <c r="V2006" s="38"/>
      <c r="W2006" s="38"/>
      <c r="X2006" s="38"/>
      <c r="Y2006" s="38"/>
      <c r="Z2006" s="38"/>
      <c r="AA2006" s="38"/>
      <c r="AB2006" s="38"/>
      <c r="AC2006" s="38"/>
      <c r="AD2006" s="38"/>
      <c r="AE2006" s="38"/>
      <c r="AF2006" s="38"/>
      <c r="AG2006" s="38"/>
      <c r="AH2006" s="38"/>
    </row>
    <row r="2007" spans="3:34" ht="20.100000000000001" customHeight="1">
      <c r="C2007" s="113"/>
      <c r="D2007" s="114"/>
      <c r="P2007" s="82"/>
      <c r="Q2007" s="82"/>
      <c r="R2007" s="38"/>
      <c r="S2007" s="38"/>
      <c r="T2007" s="38"/>
      <c r="U2007" s="38"/>
      <c r="V2007" s="38"/>
      <c r="W2007" s="38"/>
      <c r="X2007" s="38"/>
      <c r="Y2007" s="38"/>
      <c r="Z2007" s="38"/>
      <c r="AA2007" s="38"/>
      <c r="AB2007" s="38"/>
      <c r="AC2007" s="38"/>
      <c r="AD2007" s="38"/>
      <c r="AE2007" s="38"/>
      <c r="AF2007" s="38"/>
      <c r="AG2007" s="38"/>
      <c r="AH2007" s="38"/>
    </row>
    <row r="2008" spans="3:34" ht="20.100000000000001" customHeight="1">
      <c r="C2008" s="113"/>
      <c r="D2008" s="114"/>
      <c r="P2008" s="82"/>
      <c r="Q2008" s="82"/>
      <c r="R2008" s="38"/>
      <c r="S2008" s="38"/>
      <c r="T2008" s="38"/>
      <c r="U2008" s="38"/>
      <c r="V2008" s="38"/>
      <c r="W2008" s="38"/>
      <c r="X2008" s="38"/>
      <c r="Y2008" s="38"/>
      <c r="Z2008" s="38"/>
      <c r="AA2008" s="38"/>
      <c r="AB2008" s="38"/>
      <c r="AC2008" s="38"/>
      <c r="AD2008" s="38"/>
      <c r="AE2008" s="38"/>
      <c r="AF2008" s="38"/>
      <c r="AG2008" s="38"/>
      <c r="AH2008" s="38"/>
    </row>
    <row r="2009" spans="3:34" ht="20.100000000000001" customHeight="1">
      <c r="C2009" s="113"/>
      <c r="D2009" s="114"/>
      <c r="P2009" s="82"/>
      <c r="Q2009" s="82"/>
      <c r="R2009" s="38"/>
      <c r="S2009" s="38"/>
      <c r="T2009" s="38"/>
      <c r="U2009" s="38"/>
      <c r="V2009" s="38"/>
      <c r="W2009" s="38"/>
      <c r="X2009" s="38"/>
      <c r="Y2009" s="38"/>
      <c r="Z2009" s="38"/>
      <c r="AA2009" s="38"/>
      <c r="AB2009" s="38"/>
      <c r="AC2009" s="38"/>
      <c r="AD2009" s="38"/>
      <c r="AE2009" s="38"/>
      <c r="AF2009" s="38"/>
      <c r="AG2009" s="38"/>
      <c r="AH2009" s="38"/>
    </row>
    <row r="2010" spans="3:34" ht="20.100000000000001" customHeight="1">
      <c r="C2010" s="113"/>
      <c r="D2010" s="114"/>
      <c r="P2010" s="82"/>
      <c r="Q2010" s="82"/>
      <c r="R2010" s="38"/>
      <c r="S2010" s="38"/>
      <c r="T2010" s="38"/>
      <c r="U2010" s="38"/>
      <c r="V2010" s="38"/>
      <c r="W2010" s="38"/>
      <c r="X2010" s="38"/>
      <c r="Y2010" s="38"/>
      <c r="Z2010" s="38"/>
      <c r="AA2010" s="38"/>
      <c r="AB2010" s="38"/>
      <c r="AC2010" s="38"/>
      <c r="AD2010" s="38"/>
      <c r="AE2010" s="38"/>
      <c r="AF2010" s="38"/>
      <c r="AG2010" s="38"/>
      <c r="AH2010" s="38"/>
    </row>
    <row r="2011" spans="3:34" ht="20.100000000000001" customHeight="1">
      <c r="C2011" s="113"/>
      <c r="D2011" s="114"/>
      <c r="P2011" s="82"/>
      <c r="Q2011" s="82"/>
      <c r="R2011" s="38"/>
      <c r="S2011" s="38"/>
      <c r="T2011" s="38"/>
      <c r="U2011" s="38"/>
      <c r="V2011" s="38"/>
      <c r="W2011" s="38"/>
      <c r="X2011" s="38"/>
      <c r="Y2011" s="38"/>
      <c r="Z2011" s="38"/>
      <c r="AA2011" s="38"/>
      <c r="AB2011" s="38"/>
      <c r="AC2011" s="38"/>
      <c r="AD2011" s="38"/>
      <c r="AE2011" s="38"/>
      <c r="AF2011" s="38"/>
      <c r="AG2011" s="38"/>
      <c r="AH2011" s="38"/>
    </row>
    <row r="2012" spans="3:34" ht="20.100000000000001" customHeight="1">
      <c r="C2012" s="113"/>
      <c r="D2012" s="114"/>
      <c r="P2012" s="82"/>
      <c r="Q2012" s="82"/>
      <c r="R2012" s="38"/>
      <c r="S2012" s="38"/>
      <c r="T2012" s="38"/>
      <c r="U2012" s="38"/>
      <c r="V2012" s="38"/>
      <c r="W2012" s="38"/>
      <c r="X2012" s="38"/>
      <c r="Y2012" s="38"/>
      <c r="Z2012" s="38"/>
      <c r="AA2012" s="38"/>
      <c r="AB2012" s="38"/>
      <c r="AC2012" s="38"/>
      <c r="AD2012" s="38"/>
      <c r="AE2012" s="38"/>
      <c r="AF2012" s="38"/>
      <c r="AG2012" s="38"/>
      <c r="AH2012" s="38"/>
    </row>
    <row r="2013" spans="3:34" ht="20.100000000000001" customHeight="1">
      <c r="C2013" s="113"/>
      <c r="D2013" s="114"/>
      <c r="P2013" s="82"/>
      <c r="Q2013" s="82"/>
      <c r="R2013" s="38"/>
      <c r="S2013" s="38"/>
      <c r="T2013" s="38"/>
      <c r="U2013" s="38"/>
      <c r="V2013" s="38"/>
      <c r="W2013" s="38"/>
      <c r="X2013" s="38"/>
      <c r="Y2013" s="38"/>
      <c r="Z2013" s="38"/>
      <c r="AA2013" s="38"/>
      <c r="AB2013" s="38"/>
      <c r="AC2013" s="38"/>
      <c r="AD2013" s="38"/>
      <c r="AE2013" s="38"/>
      <c r="AF2013" s="38"/>
      <c r="AG2013" s="38"/>
      <c r="AH2013" s="38"/>
    </row>
    <row r="2014" spans="3:34" ht="20.100000000000001" customHeight="1">
      <c r="C2014" s="113"/>
      <c r="D2014" s="114"/>
      <c r="P2014" s="82"/>
      <c r="Q2014" s="82"/>
      <c r="R2014" s="38"/>
      <c r="S2014" s="38"/>
      <c r="T2014" s="38"/>
      <c r="U2014" s="38"/>
      <c r="V2014" s="38"/>
      <c r="W2014" s="38"/>
      <c r="X2014" s="38"/>
      <c r="Y2014" s="38"/>
      <c r="Z2014" s="38"/>
      <c r="AA2014" s="38"/>
      <c r="AB2014" s="38"/>
      <c r="AC2014" s="38"/>
      <c r="AD2014" s="38"/>
      <c r="AE2014" s="38"/>
      <c r="AF2014" s="38"/>
      <c r="AG2014" s="38"/>
      <c r="AH2014" s="38"/>
    </row>
    <row r="2015" spans="3:34" ht="20.100000000000001" customHeight="1">
      <c r="C2015" s="113"/>
      <c r="D2015" s="114"/>
      <c r="P2015" s="82"/>
      <c r="Q2015" s="82"/>
      <c r="R2015" s="38"/>
      <c r="S2015" s="38"/>
      <c r="T2015" s="38"/>
      <c r="U2015" s="38"/>
      <c r="V2015" s="38"/>
      <c r="W2015" s="38"/>
      <c r="X2015" s="38"/>
      <c r="Y2015" s="38"/>
      <c r="Z2015" s="38"/>
      <c r="AA2015" s="38"/>
      <c r="AB2015" s="38"/>
      <c r="AC2015" s="38"/>
      <c r="AD2015" s="38"/>
      <c r="AE2015" s="38"/>
      <c r="AF2015" s="38"/>
      <c r="AG2015" s="38"/>
      <c r="AH2015" s="38"/>
    </row>
    <row r="2016" spans="3:34" ht="20.100000000000001" customHeight="1">
      <c r="C2016" s="113"/>
      <c r="D2016" s="114"/>
      <c r="P2016" s="82"/>
      <c r="Q2016" s="82"/>
      <c r="R2016" s="38"/>
      <c r="S2016" s="38"/>
      <c r="T2016" s="38"/>
      <c r="U2016" s="38"/>
      <c r="V2016" s="38"/>
      <c r="W2016" s="38"/>
      <c r="X2016" s="38"/>
      <c r="Y2016" s="38"/>
      <c r="Z2016" s="38"/>
      <c r="AA2016" s="38"/>
      <c r="AB2016" s="38"/>
      <c r="AC2016" s="38"/>
      <c r="AD2016" s="38"/>
      <c r="AE2016" s="38"/>
      <c r="AF2016" s="38"/>
      <c r="AG2016" s="38"/>
      <c r="AH2016" s="38"/>
    </row>
    <row r="2017" spans="3:34" ht="20.100000000000001" customHeight="1">
      <c r="C2017" s="113"/>
      <c r="D2017" s="114"/>
      <c r="P2017" s="82"/>
      <c r="Q2017" s="82"/>
      <c r="R2017" s="38"/>
      <c r="S2017" s="38"/>
      <c r="T2017" s="38"/>
      <c r="U2017" s="38"/>
      <c r="V2017" s="38"/>
      <c r="W2017" s="38"/>
      <c r="X2017" s="38"/>
      <c r="Y2017" s="38"/>
      <c r="Z2017" s="38"/>
      <c r="AA2017" s="38"/>
      <c r="AB2017" s="38"/>
      <c r="AC2017" s="38"/>
      <c r="AD2017" s="38"/>
      <c r="AE2017" s="38"/>
      <c r="AF2017" s="38"/>
      <c r="AG2017" s="38"/>
      <c r="AH2017" s="38"/>
    </row>
    <row r="2018" spans="3:34" ht="20.100000000000001" customHeight="1">
      <c r="C2018" s="113"/>
      <c r="D2018" s="114"/>
      <c r="P2018" s="82"/>
      <c r="Q2018" s="82"/>
      <c r="R2018" s="38"/>
      <c r="S2018" s="38"/>
      <c r="T2018" s="38"/>
      <c r="U2018" s="38"/>
      <c r="V2018" s="38"/>
      <c r="W2018" s="38"/>
      <c r="X2018" s="38"/>
      <c r="Y2018" s="38"/>
      <c r="Z2018" s="38"/>
      <c r="AA2018" s="38"/>
      <c r="AB2018" s="38"/>
      <c r="AC2018" s="38"/>
      <c r="AD2018" s="38"/>
      <c r="AE2018" s="38"/>
      <c r="AF2018" s="38"/>
      <c r="AG2018" s="38"/>
      <c r="AH2018" s="38"/>
    </row>
    <row r="2019" spans="3:34" ht="20.100000000000001" customHeight="1">
      <c r="C2019" s="113"/>
      <c r="D2019" s="114"/>
      <c r="P2019" s="82"/>
      <c r="Q2019" s="82"/>
      <c r="R2019" s="38"/>
      <c r="S2019" s="38"/>
      <c r="T2019" s="38"/>
      <c r="U2019" s="38"/>
      <c r="V2019" s="38"/>
      <c r="W2019" s="38"/>
      <c r="X2019" s="38"/>
      <c r="Y2019" s="38"/>
      <c r="Z2019" s="38"/>
      <c r="AA2019" s="38"/>
      <c r="AB2019" s="38"/>
      <c r="AC2019" s="38"/>
      <c r="AD2019" s="38"/>
      <c r="AE2019" s="38"/>
      <c r="AF2019" s="38"/>
      <c r="AG2019" s="38"/>
      <c r="AH2019" s="38"/>
    </row>
    <row r="2020" spans="3:34" ht="20.100000000000001" customHeight="1">
      <c r="C2020" s="113"/>
      <c r="D2020" s="114"/>
      <c r="P2020" s="82"/>
      <c r="Q2020" s="82"/>
      <c r="R2020" s="38"/>
      <c r="S2020" s="38"/>
      <c r="T2020" s="38"/>
      <c r="U2020" s="38"/>
      <c r="V2020" s="38"/>
      <c r="W2020" s="38"/>
      <c r="X2020" s="38"/>
      <c r="Y2020" s="38"/>
      <c r="Z2020" s="38"/>
      <c r="AA2020" s="38"/>
      <c r="AB2020" s="38"/>
      <c r="AC2020" s="38"/>
      <c r="AD2020" s="38"/>
      <c r="AE2020" s="38"/>
      <c r="AF2020" s="38"/>
      <c r="AG2020" s="38"/>
      <c r="AH2020" s="38"/>
    </row>
    <row r="2021" spans="3:34" ht="20.100000000000001" customHeight="1">
      <c r="C2021" s="113"/>
      <c r="D2021" s="114"/>
      <c r="P2021" s="82"/>
      <c r="Q2021" s="82"/>
      <c r="R2021" s="38"/>
      <c r="S2021" s="38"/>
      <c r="T2021" s="38"/>
      <c r="U2021" s="38"/>
      <c r="V2021" s="38"/>
      <c r="W2021" s="38"/>
      <c r="X2021" s="38"/>
      <c r="Y2021" s="38"/>
      <c r="Z2021" s="38"/>
      <c r="AA2021" s="38"/>
      <c r="AB2021" s="38"/>
      <c r="AC2021" s="38"/>
      <c r="AD2021" s="38"/>
      <c r="AE2021" s="38"/>
      <c r="AF2021" s="38"/>
      <c r="AG2021" s="38"/>
      <c r="AH2021" s="38"/>
    </row>
    <row r="2022" spans="3:34" ht="20.100000000000001" customHeight="1">
      <c r="C2022" s="113"/>
      <c r="D2022" s="114"/>
      <c r="P2022" s="82"/>
      <c r="Q2022" s="82"/>
      <c r="R2022" s="38"/>
      <c r="S2022" s="38"/>
      <c r="T2022" s="38"/>
      <c r="U2022" s="38"/>
      <c r="V2022" s="38"/>
      <c r="W2022" s="38"/>
      <c r="X2022" s="38"/>
      <c r="Y2022" s="38"/>
      <c r="Z2022" s="38"/>
      <c r="AA2022" s="38"/>
      <c r="AB2022" s="38"/>
      <c r="AC2022" s="38"/>
      <c r="AD2022" s="38"/>
      <c r="AE2022" s="38"/>
      <c r="AF2022" s="38"/>
      <c r="AG2022" s="38"/>
      <c r="AH2022" s="38"/>
    </row>
    <row r="2023" spans="3:34" ht="20.100000000000001" customHeight="1">
      <c r="C2023" s="113"/>
      <c r="D2023" s="114"/>
      <c r="P2023" s="82"/>
      <c r="Q2023" s="82"/>
      <c r="R2023" s="38"/>
      <c r="S2023" s="38"/>
      <c r="T2023" s="38"/>
      <c r="U2023" s="38"/>
      <c r="V2023" s="38"/>
      <c r="W2023" s="38"/>
      <c r="X2023" s="38"/>
      <c r="Y2023" s="38"/>
      <c r="Z2023" s="38"/>
      <c r="AA2023" s="38"/>
      <c r="AB2023" s="38"/>
      <c r="AC2023" s="38"/>
      <c r="AD2023" s="38"/>
      <c r="AE2023" s="38"/>
      <c r="AF2023" s="38"/>
      <c r="AG2023" s="38"/>
      <c r="AH2023" s="38"/>
    </row>
    <row r="2024" spans="3:34" ht="20.100000000000001" customHeight="1">
      <c r="C2024" s="113"/>
      <c r="D2024" s="114"/>
      <c r="P2024" s="82"/>
      <c r="Q2024" s="82"/>
      <c r="R2024" s="38"/>
      <c r="S2024" s="38"/>
      <c r="T2024" s="38"/>
      <c r="U2024" s="38"/>
      <c r="V2024" s="38"/>
      <c r="W2024" s="38"/>
      <c r="X2024" s="38"/>
      <c r="Y2024" s="38"/>
      <c r="Z2024" s="38"/>
      <c r="AA2024" s="38"/>
      <c r="AB2024" s="38"/>
      <c r="AC2024" s="38"/>
      <c r="AD2024" s="38"/>
      <c r="AE2024" s="38"/>
      <c r="AF2024" s="38"/>
      <c r="AG2024" s="38"/>
      <c r="AH2024" s="38"/>
    </row>
    <row r="2025" spans="3:34" ht="20.100000000000001" customHeight="1">
      <c r="C2025" s="113"/>
      <c r="D2025" s="114"/>
      <c r="P2025" s="82"/>
      <c r="Q2025" s="82"/>
      <c r="R2025" s="38"/>
      <c r="S2025" s="38"/>
      <c r="T2025" s="38"/>
      <c r="U2025" s="38"/>
      <c r="V2025" s="38"/>
      <c r="W2025" s="38"/>
      <c r="X2025" s="38"/>
      <c r="Y2025" s="38"/>
      <c r="Z2025" s="38"/>
      <c r="AA2025" s="38"/>
      <c r="AB2025" s="38"/>
      <c r="AC2025" s="38"/>
      <c r="AD2025" s="38"/>
      <c r="AE2025" s="38"/>
      <c r="AF2025" s="38"/>
      <c r="AG2025" s="38"/>
      <c r="AH2025" s="38"/>
    </row>
    <row r="2026" spans="3:34" ht="20.100000000000001" customHeight="1">
      <c r="C2026" s="113"/>
      <c r="D2026" s="114"/>
      <c r="P2026" s="82"/>
      <c r="Q2026" s="82"/>
      <c r="R2026" s="38"/>
      <c r="S2026" s="38"/>
      <c r="T2026" s="38"/>
      <c r="U2026" s="38"/>
      <c r="V2026" s="38"/>
      <c r="W2026" s="38"/>
      <c r="X2026" s="38"/>
      <c r="Y2026" s="38"/>
      <c r="Z2026" s="38"/>
      <c r="AA2026" s="38"/>
      <c r="AB2026" s="38"/>
      <c r="AC2026" s="38"/>
      <c r="AD2026" s="38"/>
      <c r="AE2026" s="38"/>
      <c r="AF2026" s="38"/>
      <c r="AG2026" s="38"/>
      <c r="AH2026" s="38"/>
    </row>
    <row r="2027" spans="3:34" ht="20.100000000000001" customHeight="1">
      <c r="C2027" s="113"/>
      <c r="D2027" s="114"/>
      <c r="P2027" s="82"/>
      <c r="Q2027" s="82"/>
      <c r="R2027" s="38"/>
      <c r="S2027" s="38"/>
      <c r="T2027" s="38"/>
      <c r="U2027" s="38"/>
      <c r="V2027" s="38"/>
      <c r="W2027" s="38"/>
      <c r="X2027" s="38"/>
      <c r="Y2027" s="38"/>
      <c r="Z2027" s="38"/>
      <c r="AA2027" s="38"/>
      <c r="AB2027" s="38"/>
      <c r="AC2027" s="38"/>
      <c r="AD2027" s="38"/>
      <c r="AE2027" s="38"/>
      <c r="AF2027" s="38"/>
      <c r="AG2027" s="38"/>
      <c r="AH2027" s="38"/>
    </row>
    <row r="2028" spans="3:34" ht="20.100000000000001" customHeight="1">
      <c r="C2028" s="113"/>
      <c r="D2028" s="114"/>
      <c r="P2028" s="82"/>
      <c r="Q2028" s="82"/>
      <c r="R2028" s="38"/>
      <c r="S2028" s="38"/>
      <c r="T2028" s="38"/>
      <c r="U2028" s="38"/>
      <c r="V2028" s="38"/>
      <c r="W2028" s="38"/>
      <c r="X2028" s="38"/>
      <c r="Y2028" s="38"/>
      <c r="Z2028" s="38"/>
      <c r="AA2028" s="38"/>
      <c r="AB2028" s="38"/>
      <c r="AC2028" s="38"/>
      <c r="AD2028" s="38"/>
      <c r="AE2028" s="38"/>
      <c r="AF2028" s="38"/>
      <c r="AG2028" s="38"/>
      <c r="AH2028" s="38"/>
    </row>
    <row r="2029" spans="3:34" ht="20.100000000000001" customHeight="1">
      <c r="C2029" s="113"/>
      <c r="D2029" s="114"/>
      <c r="P2029" s="82"/>
      <c r="Q2029" s="82"/>
      <c r="R2029" s="38"/>
      <c r="S2029" s="38"/>
      <c r="T2029" s="38"/>
      <c r="U2029" s="38"/>
      <c r="V2029" s="38"/>
      <c r="W2029" s="38"/>
      <c r="X2029" s="38"/>
      <c r="Y2029" s="38"/>
      <c r="Z2029" s="38"/>
      <c r="AA2029" s="38"/>
      <c r="AB2029" s="38"/>
      <c r="AC2029" s="38"/>
      <c r="AD2029" s="38"/>
      <c r="AE2029" s="38"/>
      <c r="AF2029" s="38"/>
      <c r="AG2029" s="38"/>
      <c r="AH2029" s="38"/>
    </row>
    <row r="2030" spans="3:34" ht="20.100000000000001" customHeight="1">
      <c r="C2030" s="113"/>
      <c r="D2030" s="114"/>
      <c r="P2030" s="82"/>
      <c r="Q2030" s="82"/>
      <c r="R2030" s="38"/>
      <c r="S2030" s="38"/>
      <c r="T2030" s="38"/>
      <c r="U2030" s="38"/>
      <c r="V2030" s="38"/>
      <c r="W2030" s="38"/>
      <c r="X2030" s="38"/>
      <c r="Y2030" s="38"/>
      <c r="Z2030" s="38"/>
      <c r="AA2030" s="38"/>
      <c r="AB2030" s="38"/>
      <c r="AC2030" s="38"/>
      <c r="AD2030" s="38"/>
      <c r="AE2030" s="38"/>
      <c r="AF2030" s="38"/>
      <c r="AG2030" s="38"/>
      <c r="AH2030" s="38"/>
    </row>
    <row r="2031" spans="3:34" ht="20.100000000000001" customHeight="1">
      <c r="C2031" s="113"/>
      <c r="D2031" s="114"/>
      <c r="P2031" s="82"/>
      <c r="Q2031" s="82"/>
      <c r="R2031" s="38"/>
      <c r="S2031" s="38"/>
      <c r="T2031" s="38"/>
      <c r="U2031" s="38"/>
      <c r="V2031" s="38"/>
      <c r="W2031" s="38"/>
      <c r="X2031" s="38"/>
      <c r="Y2031" s="38"/>
      <c r="Z2031" s="38"/>
      <c r="AA2031" s="38"/>
      <c r="AB2031" s="38"/>
      <c r="AC2031" s="38"/>
      <c r="AD2031" s="38"/>
      <c r="AE2031" s="38"/>
      <c r="AF2031" s="38"/>
      <c r="AG2031" s="38"/>
      <c r="AH2031" s="38"/>
    </row>
    <row r="2032" spans="3:34" ht="20.100000000000001" customHeight="1">
      <c r="C2032" s="113"/>
      <c r="D2032" s="114"/>
      <c r="P2032" s="82"/>
      <c r="Q2032" s="82"/>
      <c r="R2032" s="38"/>
      <c r="S2032" s="38"/>
      <c r="T2032" s="38"/>
      <c r="U2032" s="38"/>
      <c r="V2032" s="38"/>
      <c r="W2032" s="38"/>
      <c r="X2032" s="38"/>
      <c r="Y2032" s="38"/>
      <c r="Z2032" s="38"/>
      <c r="AA2032" s="38"/>
      <c r="AB2032" s="38"/>
      <c r="AC2032" s="38"/>
      <c r="AD2032" s="38"/>
      <c r="AE2032" s="38"/>
      <c r="AF2032" s="38"/>
      <c r="AG2032" s="38"/>
      <c r="AH2032" s="38"/>
    </row>
    <row r="2033" spans="3:34" ht="20.100000000000001" customHeight="1">
      <c r="C2033" s="113"/>
      <c r="D2033" s="114"/>
      <c r="P2033" s="82"/>
      <c r="Q2033" s="82"/>
      <c r="R2033" s="38"/>
      <c r="S2033" s="38"/>
      <c r="T2033" s="38"/>
      <c r="U2033" s="38"/>
      <c r="V2033" s="38"/>
      <c r="W2033" s="38"/>
      <c r="X2033" s="38"/>
      <c r="Y2033" s="38"/>
      <c r="Z2033" s="38"/>
      <c r="AA2033" s="38"/>
      <c r="AB2033" s="38"/>
      <c r="AC2033" s="38"/>
      <c r="AD2033" s="38"/>
      <c r="AE2033" s="38"/>
      <c r="AF2033" s="38"/>
      <c r="AG2033" s="38"/>
      <c r="AH2033" s="38"/>
    </row>
    <row r="2034" spans="3:34" ht="20.100000000000001" customHeight="1">
      <c r="C2034" s="113"/>
      <c r="D2034" s="114"/>
      <c r="P2034" s="82"/>
      <c r="Q2034" s="82"/>
      <c r="R2034" s="38"/>
      <c r="S2034" s="38"/>
      <c r="T2034" s="38"/>
      <c r="U2034" s="38"/>
      <c r="V2034" s="38"/>
      <c r="W2034" s="38"/>
      <c r="X2034" s="38"/>
      <c r="Y2034" s="38"/>
      <c r="Z2034" s="38"/>
      <c r="AA2034" s="38"/>
      <c r="AB2034" s="38"/>
      <c r="AC2034" s="38"/>
      <c r="AD2034" s="38"/>
      <c r="AE2034" s="38"/>
      <c r="AF2034" s="38"/>
      <c r="AG2034" s="38"/>
      <c r="AH2034" s="38"/>
    </row>
    <row r="2035" spans="3:34" ht="20.100000000000001" customHeight="1">
      <c r="C2035" s="113"/>
      <c r="D2035" s="114"/>
      <c r="P2035" s="82"/>
      <c r="Q2035" s="82"/>
      <c r="R2035" s="38"/>
      <c r="S2035" s="38"/>
      <c r="T2035" s="38"/>
      <c r="U2035" s="38"/>
      <c r="V2035" s="38"/>
      <c r="W2035" s="38"/>
      <c r="X2035" s="38"/>
      <c r="Y2035" s="38"/>
      <c r="Z2035" s="38"/>
      <c r="AA2035" s="38"/>
      <c r="AB2035" s="38"/>
      <c r="AC2035" s="38"/>
      <c r="AD2035" s="38"/>
      <c r="AE2035" s="38"/>
      <c r="AF2035" s="38"/>
      <c r="AG2035" s="38"/>
      <c r="AH2035" s="38"/>
    </row>
    <row r="2036" spans="3:34" ht="20.100000000000001" customHeight="1">
      <c r="C2036" s="113"/>
      <c r="D2036" s="114"/>
      <c r="P2036" s="82"/>
      <c r="Q2036" s="82"/>
      <c r="R2036" s="38"/>
      <c r="S2036" s="38"/>
      <c r="T2036" s="38"/>
      <c r="U2036" s="38"/>
      <c r="V2036" s="38"/>
      <c r="W2036" s="38"/>
      <c r="X2036" s="38"/>
      <c r="Y2036" s="38"/>
      <c r="Z2036" s="38"/>
      <c r="AA2036" s="38"/>
      <c r="AB2036" s="38"/>
      <c r="AC2036" s="38"/>
      <c r="AD2036" s="38"/>
      <c r="AE2036" s="38"/>
      <c r="AF2036" s="38"/>
      <c r="AG2036" s="38"/>
      <c r="AH2036" s="38"/>
    </row>
    <row r="2037" spans="3:34" ht="20.100000000000001" customHeight="1">
      <c r="C2037" s="113"/>
      <c r="D2037" s="114"/>
      <c r="P2037" s="82"/>
      <c r="Q2037" s="82"/>
      <c r="R2037" s="38"/>
      <c r="S2037" s="38"/>
      <c r="T2037" s="38"/>
      <c r="U2037" s="38"/>
      <c r="V2037" s="38"/>
      <c r="W2037" s="38"/>
      <c r="X2037" s="38"/>
      <c r="Y2037" s="38"/>
      <c r="Z2037" s="38"/>
      <c r="AA2037" s="38"/>
      <c r="AB2037" s="38"/>
      <c r="AC2037" s="38"/>
      <c r="AD2037" s="38"/>
      <c r="AE2037" s="38"/>
      <c r="AF2037" s="38"/>
      <c r="AG2037" s="38"/>
      <c r="AH2037" s="38"/>
    </row>
    <row r="2038" spans="3:34" ht="20.100000000000001" customHeight="1">
      <c r="C2038" s="113"/>
      <c r="D2038" s="114"/>
      <c r="P2038" s="82"/>
      <c r="Q2038" s="82"/>
      <c r="R2038" s="38"/>
      <c r="S2038" s="38"/>
      <c r="T2038" s="38"/>
      <c r="U2038" s="38"/>
      <c r="V2038" s="38"/>
      <c r="W2038" s="38"/>
      <c r="X2038" s="38"/>
      <c r="Y2038" s="38"/>
      <c r="Z2038" s="38"/>
      <c r="AA2038" s="38"/>
      <c r="AB2038" s="38"/>
      <c r="AC2038" s="38"/>
      <c r="AD2038" s="38"/>
      <c r="AE2038" s="38"/>
      <c r="AF2038" s="38"/>
      <c r="AG2038" s="38"/>
      <c r="AH2038" s="38"/>
    </row>
    <row r="2039" spans="3:34" ht="20.100000000000001" customHeight="1">
      <c r="C2039" s="113"/>
      <c r="D2039" s="114"/>
      <c r="P2039" s="82"/>
      <c r="Q2039" s="82"/>
      <c r="R2039" s="38"/>
      <c r="S2039" s="38"/>
      <c r="T2039" s="38"/>
      <c r="U2039" s="38"/>
      <c r="V2039" s="38"/>
      <c r="W2039" s="38"/>
      <c r="X2039" s="38"/>
      <c r="Y2039" s="38"/>
      <c r="Z2039" s="38"/>
      <c r="AA2039" s="38"/>
      <c r="AB2039" s="38"/>
      <c r="AC2039" s="38"/>
      <c r="AD2039" s="38"/>
      <c r="AE2039" s="38"/>
      <c r="AF2039" s="38"/>
      <c r="AG2039" s="38"/>
      <c r="AH2039" s="38"/>
    </row>
    <row r="2040" spans="3:34" ht="20.100000000000001" customHeight="1">
      <c r="C2040" s="113"/>
      <c r="D2040" s="114"/>
      <c r="P2040" s="82"/>
      <c r="Q2040" s="82"/>
      <c r="R2040" s="38"/>
      <c r="S2040" s="38"/>
      <c r="T2040" s="38"/>
      <c r="U2040" s="38"/>
      <c r="V2040" s="38"/>
      <c r="W2040" s="38"/>
      <c r="X2040" s="38"/>
      <c r="Y2040" s="38"/>
      <c r="Z2040" s="38"/>
      <c r="AA2040" s="38"/>
      <c r="AB2040" s="38"/>
      <c r="AC2040" s="38"/>
      <c r="AD2040" s="38"/>
      <c r="AE2040" s="38"/>
      <c r="AF2040" s="38"/>
      <c r="AG2040" s="38"/>
      <c r="AH2040" s="38"/>
    </row>
    <row r="2041" spans="3:34" ht="20.100000000000001" customHeight="1">
      <c r="C2041" s="113"/>
      <c r="D2041" s="114"/>
      <c r="P2041" s="82"/>
      <c r="Q2041" s="82"/>
      <c r="R2041" s="38"/>
      <c r="S2041" s="38"/>
      <c r="T2041" s="38"/>
      <c r="U2041" s="38"/>
      <c r="V2041" s="38"/>
      <c r="W2041" s="38"/>
      <c r="X2041" s="38"/>
      <c r="Y2041" s="38"/>
      <c r="Z2041" s="38"/>
      <c r="AA2041" s="38"/>
      <c r="AB2041" s="38"/>
      <c r="AC2041" s="38"/>
      <c r="AD2041" s="38"/>
      <c r="AE2041" s="38"/>
      <c r="AF2041" s="38"/>
      <c r="AG2041" s="38"/>
      <c r="AH2041" s="38"/>
    </row>
    <row r="2042" spans="3:34" ht="20.100000000000001" customHeight="1">
      <c r="C2042" s="113"/>
      <c r="D2042" s="114"/>
      <c r="P2042" s="82"/>
      <c r="Q2042" s="82"/>
      <c r="R2042" s="38"/>
      <c r="S2042" s="38"/>
      <c r="T2042" s="38"/>
      <c r="U2042" s="38"/>
      <c r="V2042" s="38"/>
      <c r="W2042" s="38"/>
      <c r="X2042" s="38"/>
      <c r="Y2042" s="38"/>
      <c r="Z2042" s="38"/>
      <c r="AA2042" s="38"/>
      <c r="AB2042" s="38"/>
      <c r="AC2042" s="38"/>
      <c r="AD2042" s="38"/>
      <c r="AE2042" s="38"/>
      <c r="AF2042" s="38"/>
      <c r="AG2042" s="38"/>
      <c r="AH2042" s="38"/>
    </row>
    <row r="2043" spans="3:34" ht="20.100000000000001" customHeight="1">
      <c r="C2043" s="113"/>
      <c r="D2043" s="114"/>
      <c r="P2043" s="82"/>
      <c r="Q2043" s="82"/>
      <c r="R2043" s="38"/>
      <c r="S2043" s="38"/>
      <c r="T2043" s="38"/>
      <c r="U2043" s="38"/>
      <c r="V2043" s="38"/>
      <c r="W2043" s="38"/>
      <c r="X2043" s="38"/>
      <c r="Y2043" s="38"/>
      <c r="Z2043" s="38"/>
      <c r="AA2043" s="38"/>
      <c r="AB2043" s="38"/>
      <c r="AC2043" s="38"/>
      <c r="AD2043" s="38"/>
      <c r="AE2043" s="38"/>
      <c r="AF2043" s="38"/>
      <c r="AG2043" s="38"/>
      <c r="AH2043" s="38"/>
    </row>
    <row r="2044" spans="3:34" ht="20.100000000000001" customHeight="1">
      <c r="C2044" s="113"/>
      <c r="D2044" s="114"/>
      <c r="P2044" s="82"/>
      <c r="Q2044" s="82"/>
      <c r="R2044" s="38"/>
      <c r="S2044" s="38"/>
      <c r="T2044" s="38"/>
      <c r="U2044" s="38"/>
      <c r="V2044" s="38"/>
      <c r="W2044" s="38"/>
      <c r="X2044" s="38"/>
      <c r="Y2044" s="38"/>
      <c r="Z2044" s="38"/>
      <c r="AA2044" s="38"/>
      <c r="AB2044" s="38"/>
      <c r="AC2044" s="38"/>
      <c r="AD2044" s="38"/>
      <c r="AE2044" s="38"/>
      <c r="AF2044" s="38"/>
      <c r="AG2044" s="38"/>
      <c r="AH2044" s="38"/>
    </row>
    <row r="2045" spans="3:34" ht="20.100000000000001" customHeight="1">
      <c r="C2045" s="113"/>
      <c r="D2045" s="114"/>
      <c r="P2045" s="82"/>
      <c r="Q2045" s="82"/>
      <c r="R2045" s="38"/>
      <c r="S2045" s="38"/>
      <c r="T2045" s="38"/>
      <c r="U2045" s="38"/>
      <c r="V2045" s="38"/>
      <c r="W2045" s="38"/>
      <c r="X2045" s="38"/>
      <c r="Y2045" s="38"/>
      <c r="Z2045" s="38"/>
      <c r="AA2045" s="38"/>
      <c r="AB2045" s="38"/>
      <c r="AC2045" s="38"/>
      <c r="AD2045" s="38"/>
      <c r="AE2045" s="38"/>
      <c r="AF2045" s="38"/>
      <c r="AG2045" s="38"/>
      <c r="AH2045" s="38"/>
    </row>
    <row r="2046" spans="3:34" ht="20.100000000000001" customHeight="1">
      <c r="C2046" s="113"/>
      <c r="D2046" s="114"/>
      <c r="P2046" s="82"/>
      <c r="Q2046" s="82"/>
      <c r="R2046" s="38"/>
      <c r="S2046" s="38"/>
      <c r="T2046" s="38"/>
      <c r="U2046" s="38"/>
      <c r="V2046" s="38"/>
      <c r="W2046" s="38"/>
      <c r="X2046" s="38"/>
      <c r="Y2046" s="38"/>
      <c r="Z2046" s="38"/>
      <c r="AA2046" s="38"/>
      <c r="AB2046" s="38"/>
      <c r="AC2046" s="38"/>
      <c r="AD2046" s="38"/>
      <c r="AE2046" s="38"/>
      <c r="AF2046" s="38"/>
      <c r="AG2046" s="38"/>
      <c r="AH2046" s="38"/>
    </row>
    <row r="2047" spans="3:34" ht="20.100000000000001" customHeight="1">
      <c r="C2047" s="113"/>
      <c r="D2047" s="114"/>
      <c r="P2047" s="82"/>
      <c r="Q2047" s="82"/>
      <c r="R2047" s="38"/>
      <c r="S2047" s="38"/>
      <c r="T2047" s="38"/>
      <c r="U2047" s="38"/>
      <c r="V2047" s="38"/>
      <c r="W2047" s="38"/>
      <c r="X2047" s="38"/>
      <c r="Y2047" s="38"/>
      <c r="Z2047" s="38"/>
      <c r="AA2047" s="38"/>
      <c r="AB2047" s="38"/>
      <c r="AC2047" s="38"/>
      <c r="AD2047" s="38"/>
      <c r="AE2047" s="38"/>
      <c r="AF2047" s="38"/>
      <c r="AG2047" s="38"/>
      <c r="AH2047" s="38"/>
    </row>
    <row r="2048" spans="3:34" ht="20.100000000000001" customHeight="1">
      <c r="C2048" s="113"/>
      <c r="D2048" s="114"/>
      <c r="P2048" s="82"/>
      <c r="Q2048" s="82"/>
      <c r="R2048" s="38"/>
      <c r="S2048" s="38"/>
      <c r="T2048" s="38"/>
      <c r="U2048" s="38"/>
      <c r="V2048" s="38"/>
      <c r="W2048" s="38"/>
      <c r="X2048" s="38"/>
      <c r="Y2048" s="38"/>
      <c r="Z2048" s="38"/>
      <c r="AA2048" s="38"/>
      <c r="AB2048" s="38"/>
      <c r="AC2048" s="38"/>
      <c r="AD2048" s="38"/>
      <c r="AE2048" s="38"/>
      <c r="AF2048" s="38"/>
      <c r="AG2048" s="38"/>
      <c r="AH2048" s="38"/>
    </row>
    <row r="2049" spans="3:34" ht="20.100000000000001" customHeight="1">
      <c r="C2049" s="113"/>
      <c r="D2049" s="114"/>
      <c r="P2049" s="82"/>
      <c r="Q2049" s="82"/>
      <c r="R2049" s="38"/>
      <c r="S2049" s="38"/>
      <c r="T2049" s="38"/>
      <c r="U2049" s="38"/>
      <c r="V2049" s="38"/>
      <c r="W2049" s="38"/>
      <c r="X2049" s="38"/>
      <c r="Y2049" s="38"/>
      <c r="Z2049" s="38"/>
      <c r="AA2049" s="38"/>
      <c r="AB2049" s="38"/>
      <c r="AC2049" s="38"/>
      <c r="AD2049" s="38"/>
      <c r="AE2049" s="38"/>
      <c r="AF2049" s="38"/>
      <c r="AG2049" s="38"/>
      <c r="AH2049" s="38"/>
    </row>
    <row r="2050" spans="3:34" ht="20.100000000000001" customHeight="1">
      <c r="C2050" s="113"/>
      <c r="D2050" s="114"/>
      <c r="P2050" s="82"/>
      <c r="Q2050" s="82"/>
      <c r="R2050" s="38"/>
      <c r="S2050" s="38"/>
      <c r="T2050" s="38"/>
      <c r="U2050" s="38"/>
      <c r="V2050" s="38"/>
      <c r="W2050" s="38"/>
      <c r="X2050" s="38"/>
      <c r="Y2050" s="38"/>
      <c r="Z2050" s="38"/>
      <c r="AA2050" s="38"/>
      <c r="AB2050" s="38"/>
      <c r="AC2050" s="38"/>
      <c r="AD2050" s="38"/>
      <c r="AE2050" s="38"/>
      <c r="AF2050" s="38"/>
      <c r="AG2050" s="38"/>
      <c r="AH2050" s="38"/>
    </row>
    <row r="2051" spans="3:34" ht="20.100000000000001" customHeight="1">
      <c r="C2051" s="113"/>
      <c r="D2051" s="114"/>
      <c r="P2051" s="82"/>
      <c r="Q2051" s="82"/>
      <c r="R2051" s="38"/>
      <c r="S2051" s="38"/>
      <c r="T2051" s="38"/>
      <c r="U2051" s="38"/>
      <c r="V2051" s="38"/>
      <c r="W2051" s="38"/>
      <c r="X2051" s="38"/>
      <c r="Y2051" s="38"/>
      <c r="Z2051" s="38"/>
      <c r="AA2051" s="38"/>
      <c r="AB2051" s="38"/>
      <c r="AC2051" s="38"/>
      <c r="AD2051" s="38"/>
      <c r="AE2051" s="38"/>
      <c r="AF2051" s="38"/>
      <c r="AG2051" s="38"/>
      <c r="AH2051" s="38"/>
    </row>
    <row r="2052" spans="3:34" ht="20.100000000000001" customHeight="1">
      <c r="C2052" s="113"/>
      <c r="D2052" s="114"/>
      <c r="P2052" s="82"/>
      <c r="Q2052" s="82"/>
      <c r="R2052" s="38"/>
      <c r="S2052" s="38"/>
      <c r="T2052" s="38"/>
      <c r="U2052" s="38"/>
      <c r="V2052" s="38"/>
      <c r="W2052" s="38"/>
      <c r="X2052" s="38"/>
      <c r="Y2052" s="38"/>
      <c r="Z2052" s="38"/>
      <c r="AA2052" s="38"/>
      <c r="AB2052" s="38"/>
      <c r="AC2052" s="38"/>
      <c r="AD2052" s="38"/>
      <c r="AE2052" s="38"/>
      <c r="AF2052" s="38"/>
      <c r="AG2052" s="38"/>
      <c r="AH2052" s="38"/>
    </row>
    <row r="2053" spans="3:34" ht="20.100000000000001" customHeight="1">
      <c r="C2053" s="113"/>
      <c r="D2053" s="114"/>
      <c r="P2053" s="82"/>
      <c r="Q2053" s="82"/>
      <c r="R2053" s="38"/>
      <c r="S2053" s="38"/>
      <c r="T2053" s="38"/>
      <c r="U2053" s="38"/>
      <c r="V2053" s="38"/>
      <c r="W2053" s="38"/>
      <c r="X2053" s="38"/>
      <c r="Y2053" s="38"/>
      <c r="Z2053" s="38"/>
      <c r="AA2053" s="38"/>
      <c r="AB2053" s="38"/>
      <c r="AC2053" s="38"/>
      <c r="AD2053" s="38"/>
      <c r="AE2053" s="38"/>
      <c r="AF2053" s="38"/>
      <c r="AG2053" s="38"/>
      <c r="AH2053" s="38"/>
    </row>
    <row r="2054" spans="3:34" ht="20.100000000000001" customHeight="1">
      <c r="C2054" s="113"/>
      <c r="D2054" s="114"/>
      <c r="P2054" s="82"/>
      <c r="Q2054" s="82"/>
      <c r="R2054" s="38"/>
      <c r="S2054" s="38"/>
      <c r="T2054" s="38"/>
      <c r="U2054" s="38"/>
      <c r="V2054" s="38"/>
      <c r="W2054" s="38"/>
      <c r="X2054" s="38"/>
      <c r="Y2054" s="38"/>
      <c r="Z2054" s="38"/>
      <c r="AA2054" s="38"/>
      <c r="AB2054" s="38"/>
      <c r="AC2054" s="38"/>
      <c r="AD2054" s="38"/>
      <c r="AE2054" s="38"/>
      <c r="AF2054" s="38"/>
      <c r="AG2054" s="38"/>
      <c r="AH2054" s="38"/>
    </row>
    <row r="2055" spans="3:34" ht="20.100000000000001" customHeight="1">
      <c r="C2055" s="113"/>
      <c r="D2055" s="114"/>
      <c r="P2055" s="82"/>
      <c r="Q2055" s="82"/>
      <c r="R2055" s="38"/>
      <c r="S2055" s="38"/>
      <c r="T2055" s="38"/>
      <c r="U2055" s="38"/>
      <c r="V2055" s="38"/>
      <c r="W2055" s="38"/>
      <c r="X2055" s="38"/>
      <c r="Y2055" s="38"/>
      <c r="Z2055" s="38"/>
      <c r="AA2055" s="38"/>
      <c r="AB2055" s="38"/>
      <c r="AC2055" s="38"/>
      <c r="AD2055" s="38"/>
      <c r="AE2055" s="38"/>
      <c r="AF2055" s="38"/>
      <c r="AG2055" s="38"/>
      <c r="AH2055" s="38"/>
    </row>
    <row r="2056" spans="3:34" ht="20.100000000000001" customHeight="1">
      <c r="C2056" s="113"/>
      <c r="D2056" s="114"/>
      <c r="P2056" s="82"/>
      <c r="Q2056" s="82"/>
      <c r="R2056" s="38"/>
      <c r="S2056" s="38"/>
      <c r="T2056" s="38"/>
      <c r="U2056" s="38"/>
      <c r="V2056" s="38"/>
      <c r="W2056" s="38"/>
      <c r="X2056" s="38"/>
      <c r="Y2056" s="38"/>
      <c r="Z2056" s="38"/>
      <c r="AA2056" s="38"/>
      <c r="AB2056" s="38"/>
      <c r="AC2056" s="38"/>
      <c r="AD2056" s="38"/>
      <c r="AE2056" s="38"/>
      <c r="AF2056" s="38"/>
      <c r="AG2056" s="38"/>
      <c r="AH2056" s="38"/>
    </row>
    <row r="2057" spans="3:34" ht="20.100000000000001" customHeight="1">
      <c r="C2057" s="113"/>
      <c r="D2057" s="114"/>
      <c r="P2057" s="82"/>
      <c r="Q2057" s="82"/>
      <c r="R2057" s="38"/>
      <c r="S2057" s="38"/>
      <c r="T2057" s="38"/>
      <c r="U2057" s="38"/>
      <c r="V2057" s="38"/>
      <c r="W2057" s="38"/>
      <c r="X2057" s="38"/>
      <c r="Y2057" s="38"/>
      <c r="Z2057" s="38"/>
      <c r="AA2057" s="38"/>
      <c r="AB2057" s="38"/>
      <c r="AC2057" s="38"/>
      <c r="AD2057" s="38"/>
      <c r="AE2057" s="38"/>
      <c r="AF2057" s="38"/>
      <c r="AG2057" s="38"/>
      <c r="AH2057" s="38"/>
    </row>
    <row r="2058" spans="3:34" ht="20.100000000000001" customHeight="1">
      <c r="C2058" s="113"/>
      <c r="D2058" s="114"/>
      <c r="P2058" s="82"/>
      <c r="Q2058" s="82"/>
      <c r="R2058" s="38"/>
      <c r="S2058" s="38"/>
      <c r="T2058" s="38"/>
      <c r="U2058" s="38"/>
      <c r="V2058" s="38"/>
      <c r="W2058" s="38"/>
      <c r="X2058" s="38"/>
      <c r="Y2058" s="38"/>
      <c r="Z2058" s="38"/>
      <c r="AA2058" s="38"/>
      <c r="AB2058" s="38"/>
      <c r="AC2058" s="38"/>
      <c r="AD2058" s="38"/>
      <c r="AE2058" s="38"/>
      <c r="AF2058" s="38"/>
      <c r="AG2058" s="38"/>
      <c r="AH2058" s="38"/>
    </row>
    <row r="2059" spans="3:34" ht="20.100000000000001" customHeight="1">
      <c r="C2059" s="113"/>
      <c r="D2059" s="114"/>
      <c r="P2059" s="82"/>
      <c r="Q2059" s="82"/>
      <c r="R2059" s="38"/>
      <c r="S2059" s="38"/>
      <c r="T2059" s="38"/>
      <c r="U2059" s="38"/>
      <c r="V2059" s="38"/>
      <c r="W2059" s="38"/>
      <c r="X2059" s="38"/>
      <c r="Y2059" s="38"/>
      <c r="Z2059" s="38"/>
      <c r="AA2059" s="38"/>
      <c r="AB2059" s="38"/>
      <c r="AC2059" s="38"/>
      <c r="AD2059" s="38"/>
      <c r="AE2059" s="38"/>
      <c r="AF2059" s="38"/>
      <c r="AG2059" s="38"/>
      <c r="AH2059" s="38"/>
    </row>
    <row r="2060" spans="3:34" ht="20.100000000000001" customHeight="1">
      <c r="C2060" s="113"/>
      <c r="D2060" s="114"/>
      <c r="P2060" s="82"/>
      <c r="Q2060" s="82"/>
      <c r="R2060" s="38"/>
      <c r="S2060" s="38"/>
      <c r="T2060" s="38"/>
      <c r="U2060" s="38"/>
      <c r="V2060" s="38"/>
      <c r="W2060" s="38"/>
      <c r="X2060" s="38"/>
      <c r="Y2060" s="38"/>
      <c r="Z2060" s="38"/>
      <c r="AA2060" s="38"/>
      <c r="AB2060" s="38"/>
      <c r="AC2060" s="38"/>
      <c r="AD2060" s="38"/>
      <c r="AE2060" s="38"/>
      <c r="AF2060" s="38"/>
      <c r="AG2060" s="38"/>
      <c r="AH2060" s="38"/>
    </row>
    <row r="2061" spans="3:34" ht="20.100000000000001" customHeight="1">
      <c r="C2061" s="113"/>
      <c r="D2061" s="114"/>
      <c r="P2061" s="82"/>
      <c r="Q2061" s="82"/>
      <c r="R2061" s="38"/>
      <c r="S2061" s="38"/>
      <c r="T2061" s="38"/>
      <c r="U2061" s="38"/>
      <c r="V2061" s="38"/>
      <c r="W2061" s="38"/>
      <c r="X2061" s="38"/>
      <c r="Y2061" s="38"/>
      <c r="Z2061" s="38"/>
      <c r="AA2061" s="38"/>
      <c r="AB2061" s="38"/>
      <c r="AC2061" s="38"/>
      <c r="AD2061" s="38"/>
      <c r="AE2061" s="38"/>
      <c r="AF2061" s="38"/>
      <c r="AG2061" s="38"/>
      <c r="AH2061" s="38"/>
    </row>
    <row r="2062" spans="3:34" ht="20.100000000000001" customHeight="1">
      <c r="C2062" s="113"/>
      <c r="D2062" s="114"/>
      <c r="P2062" s="82"/>
      <c r="Q2062" s="82"/>
      <c r="R2062" s="38"/>
      <c r="S2062" s="38"/>
      <c r="T2062" s="38"/>
      <c r="U2062" s="38"/>
      <c r="V2062" s="38"/>
      <c r="W2062" s="38"/>
      <c r="X2062" s="38"/>
      <c r="Y2062" s="38"/>
      <c r="Z2062" s="38"/>
      <c r="AA2062" s="38"/>
      <c r="AB2062" s="38"/>
      <c r="AC2062" s="38"/>
      <c r="AD2062" s="38"/>
      <c r="AE2062" s="38"/>
      <c r="AF2062" s="38"/>
      <c r="AG2062" s="38"/>
      <c r="AH2062" s="38"/>
    </row>
    <row r="2063" spans="3:34" ht="20.100000000000001" customHeight="1">
      <c r="C2063" s="113"/>
      <c r="D2063" s="114"/>
      <c r="P2063" s="82"/>
      <c r="Q2063" s="82"/>
      <c r="R2063" s="38"/>
      <c r="S2063" s="38"/>
      <c r="T2063" s="38"/>
      <c r="U2063" s="38"/>
      <c r="V2063" s="38"/>
      <c r="W2063" s="38"/>
      <c r="X2063" s="38"/>
      <c r="Y2063" s="38"/>
      <c r="Z2063" s="38"/>
      <c r="AA2063" s="38"/>
      <c r="AB2063" s="38"/>
      <c r="AC2063" s="38"/>
      <c r="AD2063" s="38"/>
      <c r="AE2063" s="38"/>
      <c r="AF2063" s="38"/>
      <c r="AG2063" s="38"/>
      <c r="AH2063" s="38"/>
    </row>
    <row r="2064" spans="3:34" ht="20.100000000000001" customHeight="1">
      <c r="C2064" s="113"/>
      <c r="D2064" s="114"/>
      <c r="P2064" s="82"/>
      <c r="Q2064" s="82"/>
      <c r="R2064" s="38"/>
      <c r="S2064" s="38"/>
      <c r="T2064" s="38"/>
      <c r="U2064" s="38"/>
      <c r="V2064" s="38"/>
      <c r="W2064" s="38"/>
      <c r="X2064" s="38"/>
      <c r="Y2064" s="38"/>
      <c r="Z2064" s="38"/>
      <c r="AA2064" s="38"/>
      <c r="AB2064" s="38"/>
      <c r="AC2064" s="38"/>
      <c r="AD2064" s="38"/>
      <c r="AE2064" s="38"/>
      <c r="AF2064" s="38"/>
      <c r="AG2064" s="38"/>
      <c r="AH2064" s="38"/>
    </row>
    <row r="2065" spans="3:34" ht="20.100000000000001" customHeight="1">
      <c r="C2065" s="113"/>
      <c r="D2065" s="114"/>
      <c r="P2065" s="82"/>
      <c r="Q2065" s="82"/>
      <c r="R2065" s="38"/>
      <c r="S2065" s="38"/>
      <c r="T2065" s="38"/>
      <c r="U2065" s="38"/>
      <c r="V2065" s="38"/>
      <c r="W2065" s="38"/>
      <c r="X2065" s="38"/>
      <c r="Y2065" s="38"/>
      <c r="Z2065" s="38"/>
      <c r="AA2065" s="38"/>
      <c r="AB2065" s="38"/>
      <c r="AC2065" s="38"/>
      <c r="AD2065" s="38"/>
      <c r="AE2065" s="38"/>
      <c r="AF2065" s="38"/>
      <c r="AG2065" s="38"/>
      <c r="AH2065" s="38"/>
    </row>
    <row r="2066" spans="3:34" ht="20.100000000000001" customHeight="1">
      <c r="C2066" s="113"/>
      <c r="D2066" s="114"/>
      <c r="P2066" s="82"/>
      <c r="Q2066" s="82"/>
      <c r="R2066" s="38"/>
      <c r="S2066" s="38"/>
      <c r="T2066" s="38"/>
      <c r="U2066" s="38"/>
      <c r="V2066" s="38"/>
      <c r="W2066" s="38"/>
      <c r="X2066" s="38"/>
      <c r="Y2066" s="38"/>
      <c r="Z2066" s="38"/>
      <c r="AA2066" s="38"/>
      <c r="AB2066" s="38"/>
      <c r="AC2066" s="38"/>
      <c r="AD2066" s="38"/>
      <c r="AE2066" s="38"/>
      <c r="AF2066" s="38"/>
      <c r="AG2066" s="38"/>
      <c r="AH2066" s="38"/>
    </row>
    <row r="2067" spans="3:34" ht="20.100000000000001" customHeight="1">
      <c r="C2067" s="113"/>
      <c r="D2067" s="114"/>
      <c r="P2067" s="82"/>
      <c r="Q2067" s="82"/>
      <c r="R2067" s="38"/>
      <c r="S2067" s="38"/>
      <c r="T2067" s="38"/>
      <c r="U2067" s="38"/>
      <c r="V2067" s="38"/>
      <c r="W2067" s="38"/>
      <c r="X2067" s="38"/>
      <c r="Y2067" s="38"/>
      <c r="Z2067" s="38"/>
      <c r="AA2067" s="38"/>
      <c r="AB2067" s="38"/>
      <c r="AC2067" s="38"/>
      <c r="AD2067" s="38"/>
      <c r="AE2067" s="38"/>
      <c r="AF2067" s="38"/>
      <c r="AG2067" s="38"/>
      <c r="AH2067" s="38"/>
    </row>
    <row r="2068" spans="3:34" ht="20.100000000000001" customHeight="1">
      <c r="C2068" s="113"/>
      <c r="D2068" s="114"/>
      <c r="P2068" s="82"/>
      <c r="Q2068" s="82"/>
      <c r="R2068" s="38"/>
      <c r="S2068" s="38"/>
      <c r="T2068" s="38"/>
      <c r="U2068" s="38"/>
      <c r="V2068" s="38"/>
      <c r="W2068" s="38"/>
      <c r="X2068" s="38"/>
      <c r="Y2068" s="38"/>
      <c r="Z2068" s="38"/>
      <c r="AA2068" s="38"/>
      <c r="AB2068" s="38"/>
      <c r="AC2068" s="38"/>
      <c r="AD2068" s="38"/>
      <c r="AE2068" s="38"/>
      <c r="AF2068" s="38"/>
      <c r="AG2068" s="38"/>
      <c r="AH2068" s="38"/>
    </row>
    <row r="2069" spans="3:34" ht="20.100000000000001" customHeight="1">
      <c r="C2069" s="113"/>
      <c r="D2069" s="114"/>
      <c r="P2069" s="82"/>
      <c r="Q2069" s="82"/>
      <c r="R2069" s="38"/>
      <c r="S2069" s="38"/>
      <c r="T2069" s="38"/>
      <c r="U2069" s="38"/>
      <c r="V2069" s="38"/>
      <c r="W2069" s="38"/>
      <c r="X2069" s="38"/>
      <c r="Y2069" s="38"/>
      <c r="Z2069" s="38"/>
      <c r="AA2069" s="38"/>
      <c r="AB2069" s="38"/>
      <c r="AC2069" s="38"/>
      <c r="AD2069" s="38"/>
      <c r="AE2069" s="38"/>
      <c r="AF2069" s="38"/>
      <c r="AG2069" s="38"/>
      <c r="AH2069" s="38"/>
    </row>
    <row r="2070" spans="3:34" ht="20.100000000000001" customHeight="1">
      <c r="C2070" s="113"/>
      <c r="D2070" s="114"/>
      <c r="P2070" s="82"/>
      <c r="Q2070" s="82"/>
      <c r="R2070" s="38"/>
      <c r="S2070" s="38"/>
      <c r="T2070" s="38"/>
      <c r="U2070" s="38"/>
      <c r="V2070" s="38"/>
      <c r="W2070" s="38"/>
      <c r="X2070" s="38"/>
      <c r="Y2070" s="38"/>
      <c r="Z2070" s="38"/>
      <c r="AA2070" s="38"/>
      <c r="AB2070" s="38"/>
      <c r="AC2070" s="38"/>
      <c r="AD2070" s="38"/>
      <c r="AE2070" s="38"/>
      <c r="AF2070" s="38"/>
      <c r="AG2070" s="38"/>
      <c r="AH2070" s="38"/>
    </row>
    <row r="2071" spans="3:34" ht="20.100000000000001" customHeight="1">
      <c r="C2071" s="113"/>
      <c r="D2071" s="114"/>
      <c r="P2071" s="82"/>
      <c r="Q2071" s="82"/>
      <c r="R2071" s="38"/>
      <c r="S2071" s="38"/>
      <c r="T2071" s="38"/>
      <c r="U2071" s="38"/>
      <c r="V2071" s="38"/>
      <c r="W2071" s="38"/>
      <c r="X2071" s="38"/>
      <c r="Y2071" s="38"/>
      <c r="Z2071" s="38"/>
      <c r="AA2071" s="38"/>
      <c r="AB2071" s="38"/>
      <c r="AC2071" s="38"/>
      <c r="AD2071" s="38"/>
      <c r="AE2071" s="38"/>
      <c r="AF2071" s="38"/>
      <c r="AG2071" s="38"/>
      <c r="AH2071" s="38"/>
    </row>
    <row r="2072" spans="3:34" ht="20.100000000000001" customHeight="1">
      <c r="C2072" s="113"/>
      <c r="D2072" s="114"/>
      <c r="P2072" s="82"/>
      <c r="Q2072" s="82"/>
      <c r="R2072" s="38"/>
      <c r="S2072" s="38"/>
      <c r="T2072" s="38"/>
      <c r="U2072" s="38"/>
      <c r="V2072" s="38"/>
      <c r="W2072" s="38"/>
      <c r="X2072" s="38"/>
      <c r="Y2072" s="38"/>
      <c r="Z2072" s="38"/>
      <c r="AA2072" s="38"/>
      <c r="AB2072" s="38"/>
      <c r="AC2072" s="38"/>
      <c r="AD2072" s="38"/>
      <c r="AE2072" s="38"/>
      <c r="AF2072" s="38"/>
      <c r="AG2072" s="38"/>
      <c r="AH2072" s="38"/>
    </row>
    <row r="2073" spans="3:34" ht="20.100000000000001" customHeight="1">
      <c r="C2073" s="113"/>
      <c r="D2073" s="114"/>
      <c r="P2073" s="82"/>
      <c r="Q2073" s="82"/>
      <c r="R2073" s="38"/>
      <c r="S2073" s="38"/>
      <c r="T2073" s="38"/>
      <c r="U2073" s="38"/>
      <c r="V2073" s="38"/>
      <c r="W2073" s="38"/>
      <c r="X2073" s="38"/>
      <c r="Y2073" s="38"/>
      <c r="Z2073" s="38"/>
      <c r="AA2073" s="38"/>
      <c r="AB2073" s="38"/>
      <c r="AC2073" s="38"/>
      <c r="AD2073" s="38"/>
      <c r="AE2073" s="38"/>
      <c r="AF2073" s="38"/>
      <c r="AG2073" s="38"/>
      <c r="AH2073" s="38"/>
    </row>
    <row r="2074" spans="3:34" ht="20.100000000000001" customHeight="1">
      <c r="C2074" s="113"/>
      <c r="D2074" s="114"/>
      <c r="P2074" s="82"/>
      <c r="Q2074" s="82"/>
      <c r="R2074" s="38"/>
      <c r="S2074" s="38"/>
      <c r="T2074" s="38"/>
      <c r="U2074" s="38"/>
      <c r="V2074" s="38"/>
      <c r="W2074" s="38"/>
      <c r="X2074" s="38"/>
      <c r="Y2074" s="38"/>
      <c r="Z2074" s="38"/>
      <c r="AA2074" s="38"/>
      <c r="AB2074" s="38"/>
      <c r="AC2074" s="38"/>
      <c r="AD2074" s="38"/>
      <c r="AE2074" s="38"/>
      <c r="AF2074" s="38"/>
      <c r="AG2074" s="38"/>
      <c r="AH2074" s="38"/>
    </row>
    <row r="2075" spans="3:34" ht="20.100000000000001" customHeight="1">
      <c r="C2075" s="113"/>
      <c r="D2075" s="114"/>
      <c r="P2075" s="82"/>
      <c r="Q2075" s="82"/>
      <c r="R2075" s="38"/>
      <c r="S2075" s="38"/>
      <c r="T2075" s="38"/>
      <c r="U2075" s="38"/>
      <c r="V2075" s="38"/>
      <c r="W2075" s="38"/>
      <c r="X2075" s="38"/>
      <c r="Y2075" s="38"/>
      <c r="Z2075" s="38"/>
      <c r="AA2075" s="38"/>
      <c r="AB2075" s="38"/>
      <c r="AC2075" s="38"/>
      <c r="AD2075" s="38"/>
      <c r="AE2075" s="38"/>
      <c r="AF2075" s="38"/>
      <c r="AG2075" s="38"/>
      <c r="AH2075" s="38"/>
    </row>
    <row r="2076" spans="3:34" ht="20.100000000000001" customHeight="1">
      <c r="C2076" s="113"/>
      <c r="D2076" s="114"/>
      <c r="P2076" s="82"/>
      <c r="Q2076" s="82"/>
      <c r="R2076" s="38"/>
      <c r="S2076" s="38"/>
      <c r="T2076" s="38"/>
      <c r="U2076" s="38"/>
      <c r="V2076" s="38"/>
      <c r="W2076" s="38"/>
      <c r="X2076" s="38"/>
      <c r="Y2076" s="38"/>
      <c r="Z2076" s="38"/>
      <c r="AA2076" s="38"/>
      <c r="AB2076" s="38"/>
      <c r="AC2076" s="38"/>
      <c r="AD2076" s="38"/>
      <c r="AE2076" s="38"/>
      <c r="AF2076" s="38"/>
      <c r="AG2076" s="38"/>
      <c r="AH2076" s="38"/>
    </row>
    <row r="2077" spans="3:34" ht="20.100000000000001" customHeight="1">
      <c r="C2077" s="113"/>
      <c r="D2077" s="114"/>
      <c r="P2077" s="82"/>
      <c r="Q2077" s="82"/>
      <c r="R2077" s="38"/>
      <c r="S2077" s="38"/>
      <c r="T2077" s="38"/>
      <c r="U2077" s="38"/>
      <c r="V2077" s="38"/>
      <c r="W2077" s="38"/>
      <c r="X2077" s="38"/>
      <c r="Y2077" s="38"/>
      <c r="Z2077" s="38"/>
      <c r="AA2077" s="38"/>
      <c r="AB2077" s="38"/>
      <c r="AC2077" s="38"/>
      <c r="AD2077" s="38"/>
      <c r="AE2077" s="38"/>
      <c r="AF2077" s="38"/>
      <c r="AG2077" s="38"/>
      <c r="AH2077" s="38"/>
    </row>
    <row r="2078" spans="3:34" ht="20.100000000000001" customHeight="1">
      <c r="C2078" s="113"/>
      <c r="D2078" s="114"/>
      <c r="P2078" s="82"/>
      <c r="Q2078" s="82"/>
      <c r="R2078" s="38"/>
      <c r="S2078" s="38"/>
      <c r="T2078" s="38"/>
      <c r="U2078" s="38"/>
      <c r="V2078" s="38"/>
      <c r="W2078" s="38"/>
      <c r="X2078" s="38"/>
      <c r="Y2078" s="38"/>
      <c r="Z2078" s="38"/>
      <c r="AA2078" s="38"/>
      <c r="AB2078" s="38"/>
      <c r="AC2078" s="38"/>
      <c r="AD2078" s="38"/>
      <c r="AE2078" s="38"/>
      <c r="AF2078" s="38"/>
      <c r="AG2078" s="38"/>
      <c r="AH2078" s="38"/>
    </row>
    <row r="2079" spans="3:34" ht="20.100000000000001" customHeight="1">
      <c r="C2079" s="113"/>
      <c r="D2079" s="114"/>
      <c r="P2079" s="82"/>
      <c r="Q2079" s="82"/>
      <c r="R2079" s="38"/>
      <c r="S2079" s="38"/>
      <c r="T2079" s="38"/>
      <c r="U2079" s="38"/>
      <c r="V2079" s="38"/>
      <c r="W2079" s="38"/>
      <c r="X2079" s="38"/>
      <c r="Y2079" s="38"/>
      <c r="Z2079" s="38"/>
      <c r="AA2079" s="38"/>
      <c r="AB2079" s="38"/>
      <c r="AC2079" s="38"/>
      <c r="AD2079" s="38"/>
      <c r="AE2079" s="38"/>
      <c r="AF2079" s="38"/>
      <c r="AG2079" s="38"/>
      <c r="AH2079" s="38"/>
    </row>
    <row r="2080" spans="3:34" ht="20.100000000000001" customHeight="1">
      <c r="C2080" s="113"/>
      <c r="D2080" s="114"/>
      <c r="P2080" s="82"/>
      <c r="Q2080" s="82"/>
      <c r="R2080" s="38"/>
      <c r="S2080" s="38"/>
      <c r="T2080" s="38"/>
      <c r="U2080" s="38"/>
      <c r="V2080" s="38"/>
      <c r="W2080" s="38"/>
      <c r="X2080" s="38"/>
      <c r="Y2080" s="38"/>
      <c r="Z2080" s="38"/>
      <c r="AA2080" s="38"/>
      <c r="AB2080" s="38"/>
      <c r="AC2080" s="38"/>
      <c r="AD2080" s="38"/>
      <c r="AE2080" s="38"/>
      <c r="AF2080" s="38"/>
      <c r="AG2080" s="38"/>
      <c r="AH2080" s="38"/>
    </row>
    <row r="2081" spans="3:34" ht="20.100000000000001" customHeight="1">
      <c r="C2081" s="113"/>
      <c r="D2081" s="114"/>
      <c r="P2081" s="82"/>
      <c r="Q2081" s="82"/>
      <c r="R2081" s="38"/>
      <c r="S2081" s="38"/>
      <c r="T2081" s="38"/>
      <c r="U2081" s="38"/>
      <c r="V2081" s="38"/>
      <c r="W2081" s="38"/>
      <c r="X2081" s="38"/>
      <c r="Y2081" s="38"/>
      <c r="Z2081" s="38"/>
      <c r="AA2081" s="38"/>
      <c r="AB2081" s="38"/>
      <c r="AC2081" s="38"/>
      <c r="AD2081" s="38"/>
      <c r="AE2081" s="38"/>
      <c r="AF2081" s="38"/>
      <c r="AG2081" s="38"/>
      <c r="AH2081" s="38"/>
    </row>
    <row r="2082" spans="3:34" ht="20.100000000000001" customHeight="1">
      <c r="C2082" s="113"/>
      <c r="D2082" s="114"/>
      <c r="P2082" s="82"/>
      <c r="Q2082" s="82"/>
      <c r="R2082" s="38"/>
      <c r="S2082" s="38"/>
      <c r="T2082" s="38"/>
      <c r="U2082" s="38"/>
      <c r="V2082" s="38"/>
      <c r="W2082" s="38"/>
      <c r="X2082" s="38"/>
      <c r="Y2082" s="38"/>
      <c r="Z2082" s="38"/>
      <c r="AA2082" s="38"/>
      <c r="AB2082" s="38"/>
      <c r="AC2082" s="38"/>
      <c r="AD2082" s="38"/>
      <c r="AE2082" s="38"/>
      <c r="AF2082" s="38"/>
      <c r="AG2082" s="38"/>
      <c r="AH2082" s="38"/>
    </row>
    <row r="2083" spans="3:34" ht="20.100000000000001" customHeight="1">
      <c r="C2083" s="113"/>
      <c r="D2083" s="114"/>
      <c r="P2083" s="82"/>
      <c r="Q2083" s="82"/>
      <c r="R2083" s="38"/>
      <c r="S2083" s="38"/>
      <c r="T2083" s="38"/>
      <c r="U2083" s="38"/>
      <c r="V2083" s="38"/>
      <c r="W2083" s="38"/>
      <c r="X2083" s="38"/>
      <c r="Y2083" s="38"/>
      <c r="Z2083" s="38"/>
      <c r="AA2083" s="38"/>
      <c r="AB2083" s="38"/>
      <c r="AC2083" s="38"/>
      <c r="AD2083" s="38"/>
      <c r="AE2083" s="38"/>
      <c r="AF2083" s="38"/>
      <c r="AG2083" s="38"/>
      <c r="AH2083" s="38"/>
    </row>
    <row r="2084" spans="3:34" ht="20.100000000000001" customHeight="1">
      <c r="C2084" s="113"/>
      <c r="D2084" s="114"/>
      <c r="P2084" s="82"/>
      <c r="Q2084" s="82"/>
      <c r="R2084" s="38"/>
      <c r="S2084" s="38"/>
      <c r="T2084" s="38"/>
      <c r="U2084" s="38"/>
      <c r="V2084" s="38"/>
      <c r="W2084" s="38"/>
      <c r="X2084" s="38"/>
      <c r="Y2084" s="38"/>
      <c r="Z2084" s="38"/>
      <c r="AA2084" s="38"/>
      <c r="AB2084" s="38"/>
      <c r="AC2084" s="38"/>
      <c r="AD2084" s="38"/>
      <c r="AE2084" s="38"/>
      <c r="AF2084" s="38"/>
      <c r="AG2084" s="38"/>
      <c r="AH2084" s="38"/>
    </row>
    <row r="2085" spans="3:34" ht="20.100000000000001" customHeight="1">
      <c r="C2085" s="113"/>
      <c r="D2085" s="114"/>
      <c r="P2085" s="82"/>
      <c r="Q2085" s="82"/>
      <c r="R2085" s="38"/>
      <c r="S2085" s="38"/>
      <c r="T2085" s="38"/>
      <c r="U2085" s="38"/>
      <c r="V2085" s="38"/>
      <c r="W2085" s="38"/>
      <c r="X2085" s="38"/>
      <c r="Y2085" s="38"/>
      <c r="Z2085" s="38"/>
      <c r="AA2085" s="38"/>
      <c r="AB2085" s="38"/>
      <c r="AC2085" s="38"/>
      <c r="AD2085" s="38"/>
      <c r="AE2085" s="38"/>
      <c r="AF2085" s="38"/>
      <c r="AG2085" s="38"/>
      <c r="AH2085" s="38"/>
    </row>
    <row r="2086" spans="3:34" ht="20.100000000000001" customHeight="1">
      <c r="C2086" s="113"/>
      <c r="D2086" s="114"/>
      <c r="P2086" s="82"/>
      <c r="Q2086" s="82"/>
      <c r="R2086" s="38"/>
      <c r="S2086" s="38"/>
      <c r="T2086" s="38"/>
      <c r="U2086" s="38"/>
      <c r="V2086" s="38"/>
      <c r="W2086" s="38"/>
      <c r="X2086" s="38"/>
      <c r="Y2086" s="38"/>
      <c r="Z2086" s="38"/>
      <c r="AA2086" s="38"/>
      <c r="AB2086" s="38"/>
      <c r="AC2086" s="38"/>
      <c r="AD2086" s="38"/>
      <c r="AE2086" s="38"/>
      <c r="AF2086" s="38"/>
      <c r="AG2086" s="38"/>
      <c r="AH2086" s="38"/>
    </row>
    <row r="2087" spans="3:34" ht="20.100000000000001" customHeight="1">
      <c r="C2087" s="113"/>
      <c r="D2087" s="114"/>
      <c r="P2087" s="82"/>
      <c r="Q2087" s="82"/>
      <c r="R2087" s="38"/>
      <c r="S2087" s="38"/>
      <c r="T2087" s="38"/>
      <c r="U2087" s="38"/>
      <c r="V2087" s="38"/>
      <c r="W2087" s="38"/>
      <c r="X2087" s="38"/>
      <c r="Y2087" s="38"/>
      <c r="Z2087" s="38"/>
      <c r="AA2087" s="38"/>
      <c r="AB2087" s="38"/>
      <c r="AC2087" s="38"/>
      <c r="AD2087" s="38"/>
      <c r="AE2087" s="38"/>
      <c r="AF2087" s="38"/>
      <c r="AG2087" s="38"/>
      <c r="AH2087" s="38"/>
    </row>
    <row r="2088" spans="3:34" ht="20.100000000000001" customHeight="1">
      <c r="C2088" s="113"/>
      <c r="D2088" s="114"/>
      <c r="P2088" s="82"/>
      <c r="Q2088" s="82"/>
      <c r="R2088" s="38"/>
      <c r="S2088" s="38"/>
      <c r="T2088" s="38"/>
      <c r="U2088" s="38"/>
      <c r="V2088" s="38"/>
      <c r="W2088" s="38"/>
      <c r="X2088" s="38"/>
      <c r="Y2088" s="38"/>
      <c r="Z2088" s="38"/>
      <c r="AA2088" s="38"/>
      <c r="AB2088" s="38"/>
      <c r="AC2088" s="38"/>
      <c r="AD2088" s="38"/>
      <c r="AE2088" s="38"/>
      <c r="AF2088" s="38"/>
      <c r="AG2088" s="38"/>
      <c r="AH2088" s="38"/>
    </row>
    <row r="2089" spans="3:34" ht="20.100000000000001" customHeight="1">
      <c r="C2089" s="113"/>
      <c r="D2089" s="114"/>
      <c r="P2089" s="82"/>
      <c r="Q2089" s="82"/>
      <c r="R2089" s="38"/>
      <c r="S2089" s="38"/>
      <c r="T2089" s="38"/>
      <c r="U2089" s="38"/>
      <c r="V2089" s="38"/>
      <c r="W2089" s="38"/>
      <c r="X2089" s="38"/>
      <c r="Y2089" s="38"/>
      <c r="Z2089" s="38"/>
      <c r="AA2089" s="38"/>
      <c r="AB2089" s="38"/>
      <c r="AC2089" s="38"/>
      <c r="AD2089" s="38"/>
      <c r="AE2089" s="38"/>
      <c r="AF2089" s="38"/>
      <c r="AG2089" s="38"/>
      <c r="AH2089" s="38"/>
    </row>
    <row r="2090" spans="3:34" ht="20.100000000000001" customHeight="1">
      <c r="C2090" s="113"/>
      <c r="D2090" s="114"/>
      <c r="P2090" s="82"/>
      <c r="Q2090" s="82"/>
      <c r="R2090" s="38"/>
      <c r="S2090" s="38"/>
      <c r="T2090" s="38"/>
      <c r="U2090" s="38"/>
      <c r="V2090" s="38"/>
      <c r="W2090" s="38"/>
      <c r="X2090" s="38"/>
      <c r="Y2090" s="38"/>
      <c r="Z2090" s="38"/>
      <c r="AA2090" s="38"/>
      <c r="AB2090" s="38"/>
      <c r="AC2090" s="38"/>
      <c r="AD2090" s="38"/>
      <c r="AE2090" s="38"/>
      <c r="AF2090" s="38"/>
      <c r="AG2090" s="38"/>
      <c r="AH2090" s="38"/>
    </row>
    <row r="2091" spans="3:34" ht="20.100000000000001" customHeight="1">
      <c r="C2091" s="113"/>
      <c r="D2091" s="114"/>
      <c r="P2091" s="82"/>
      <c r="Q2091" s="82"/>
      <c r="R2091" s="38"/>
      <c r="S2091" s="38"/>
      <c r="T2091" s="38"/>
      <c r="U2091" s="38"/>
      <c r="V2091" s="38"/>
      <c r="W2091" s="38"/>
      <c r="X2091" s="38"/>
      <c r="Y2091" s="38"/>
      <c r="Z2091" s="38"/>
      <c r="AA2091" s="38"/>
      <c r="AB2091" s="38"/>
      <c r="AC2091" s="38"/>
      <c r="AD2091" s="38"/>
      <c r="AE2091" s="38"/>
      <c r="AF2091" s="38"/>
      <c r="AG2091" s="38"/>
      <c r="AH2091" s="38"/>
    </row>
    <row r="2092" spans="3:34" ht="20.100000000000001" customHeight="1">
      <c r="C2092" s="113"/>
      <c r="D2092" s="114"/>
      <c r="P2092" s="82"/>
      <c r="Q2092" s="82"/>
      <c r="R2092" s="38"/>
      <c r="S2092" s="38"/>
      <c r="T2092" s="38"/>
      <c r="U2092" s="38"/>
      <c r="V2092" s="38"/>
      <c r="W2092" s="38"/>
      <c r="X2092" s="38"/>
      <c r="Y2092" s="38"/>
      <c r="Z2092" s="38"/>
      <c r="AA2092" s="38"/>
      <c r="AB2092" s="38"/>
      <c r="AC2092" s="38"/>
      <c r="AD2092" s="38"/>
      <c r="AE2092" s="38"/>
      <c r="AF2092" s="38"/>
      <c r="AG2092" s="38"/>
      <c r="AH2092" s="38"/>
    </row>
    <row r="2093" spans="3:34" ht="20.100000000000001" customHeight="1">
      <c r="C2093" s="113"/>
      <c r="D2093" s="114"/>
      <c r="P2093" s="82"/>
      <c r="Q2093" s="82"/>
      <c r="R2093" s="38"/>
      <c r="S2093" s="38"/>
      <c r="T2093" s="38"/>
      <c r="U2093" s="38"/>
      <c r="V2093" s="38"/>
      <c r="W2093" s="38"/>
      <c r="X2093" s="38"/>
      <c r="Y2093" s="38"/>
      <c r="Z2093" s="38"/>
      <c r="AA2093" s="38"/>
      <c r="AB2093" s="38"/>
      <c r="AC2093" s="38"/>
      <c r="AD2093" s="38"/>
      <c r="AE2093" s="38"/>
      <c r="AF2093" s="38"/>
      <c r="AG2093" s="38"/>
      <c r="AH2093" s="38"/>
    </row>
    <row r="2094" spans="3:34" ht="20.100000000000001" customHeight="1">
      <c r="C2094" s="113"/>
      <c r="D2094" s="114"/>
      <c r="P2094" s="82"/>
      <c r="Q2094" s="82"/>
      <c r="R2094" s="38"/>
      <c r="S2094" s="38"/>
      <c r="T2094" s="38"/>
      <c r="U2094" s="38"/>
      <c r="V2094" s="38"/>
      <c r="W2094" s="38"/>
      <c r="X2094" s="38"/>
      <c r="Y2094" s="38"/>
      <c r="Z2094" s="38"/>
      <c r="AA2094" s="38"/>
      <c r="AB2094" s="38"/>
      <c r="AC2094" s="38"/>
      <c r="AD2094" s="38"/>
      <c r="AE2094" s="38"/>
      <c r="AF2094" s="38"/>
      <c r="AG2094" s="38"/>
      <c r="AH2094" s="38"/>
    </row>
    <row r="2095" spans="3:34" ht="20.100000000000001" customHeight="1">
      <c r="C2095" s="113"/>
      <c r="D2095" s="114"/>
      <c r="P2095" s="82"/>
      <c r="Q2095" s="82"/>
      <c r="R2095" s="38"/>
      <c r="S2095" s="38"/>
      <c r="T2095" s="38"/>
      <c r="U2095" s="38"/>
      <c r="V2095" s="38"/>
      <c r="W2095" s="38"/>
      <c r="X2095" s="38"/>
      <c r="Y2095" s="38"/>
      <c r="Z2095" s="38"/>
      <c r="AA2095" s="38"/>
      <c r="AB2095" s="38"/>
      <c r="AC2095" s="38"/>
      <c r="AD2095" s="38"/>
      <c r="AE2095" s="38"/>
      <c r="AF2095" s="38"/>
      <c r="AG2095" s="38"/>
      <c r="AH2095" s="38"/>
    </row>
    <row r="2096" spans="3:34" ht="20.100000000000001" customHeight="1">
      <c r="C2096" s="113"/>
      <c r="D2096" s="114"/>
      <c r="P2096" s="82"/>
      <c r="Q2096" s="82"/>
      <c r="R2096" s="38"/>
      <c r="S2096" s="38"/>
      <c r="T2096" s="38"/>
      <c r="U2096" s="38"/>
      <c r="V2096" s="38"/>
      <c r="W2096" s="38"/>
      <c r="X2096" s="38"/>
      <c r="Y2096" s="38"/>
      <c r="Z2096" s="38"/>
      <c r="AA2096" s="38"/>
      <c r="AB2096" s="38"/>
      <c r="AC2096" s="38"/>
      <c r="AD2096" s="38"/>
      <c r="AE2096" s="38"/>
      <c r="AF2096" s="38"/>
      <c r="AG2096" s="38"/>
      <c r="AH2096" s="38"/>
    </row>
    <row r="2097" spans="3:34" ht="20.100000000000001" customHeight="1">
      <c r="C2097" s="113"/>
      <c r="D2097" s="114"/>
      <c r="P2097" s="82"/>
      <c r="Q2097" s="82"/>
      <c r="R2097" s="38"/>
      <c r="S2097" s="38"/>
      <c r="T2097" s="38"/>
      <c r="U2097" s="38"/>
      <c r="V2097" s="38"/>
      <c r="W2097" s="38"/>
      <c r="X2097" s="38"/>
      <c r="Y2097" s="38"/>
      <c r="Z2097" s="38"/>
      <c r="AA2097" s="38"/>
      <c r="AB2097" s="38"/>
      <c r="AC2097" s="38"/>
      <c r="AD2097" s="38"/>
      <c r="AE2097" s="38"/>
      <c r="AF2097" s="38"/>
      <c r="AG2097" s="38"/>
      <c r="AH2097" s="38"/>
    </row>
    <row r="2098" spans="3:34" ht="20.100000000000001" customHeight="1">
      <c r="C2098" s="113"/>
      <c r="D2098" s="114"/>
      <c r="P2098" s="82"/>
      <c r="Q2098" s="82"/>
      <c r="R2098" s="38"/>
      <c r="S2098" s="38"/>
      <c r="T2098" s="38"/>
      <c r="U2098" s="38"/>
      <c r="V2098" s="38"/>
      <c r="W2098" s="38"/>
      <c r="X2098" s="38"/>
      <c r="Y2098" s="38"/>
      <c r="Z2098" s="38"/>
      <c r="AA2098" s="38"/>
      <c r="AB2098" s="38"/>
      <c r="AC2098" s="38"/>
      <c r="AD2098" s="38"/>
      <c r="AE2098" s="38"/>
      <c r="AF2098" s="38"/>
      <c r="AG2098" s="38"/>
      <c r="AH2098" s="38"/>
    </row>
    <row r="2099" spans="3:34" ht="20.100000000000001" customHeight="1">
      <c r="C2099" s="113"/>
      <c r="D2099" s="114"/>
      <c r="P2099" s="82"/>
      <c r="Q2099" s="82"/>
      <c r="R2099" s="38"/>
      <c r="S2099" s="38"/>
      <c r="T2099" s="38"/>
      <c r="U2099" s="38"/>
      <c r="V2099" s="38"/>
      <c r="W2099" s="38"/>
      <c r="X2099" s="38"/>
      <c r="Y2099" s="38"/>
      <c r="Z2099" s="38"/>
      <c r="AA2099" s="38"/>
      <c r="AB2099" s="38"/>
      <c r="AC2099" s="38"/>
      <c r="AD2099" s="38"/>
      <c r="AE2099" s="38"/>
      <c r="AF2099" s="38"/>
      <c r="AG2099" s="38"/>
      <c r="AH2099" s="38"/>
    </row>
    <row r="2100" spans="3:34" ht="20.100000000000001" customHeight="1">
      <c r="C2100" s="113"/>
      <c r="D2100" s="114"/>
      <c r="P2100" s="82"/>
      <c r="Q2100" s="82"/>
      <c r="R2100" s="38"/>
      <c r="S2100" s="38"/>
      <c r="T2100" s="38"/>
      <c r="U2100" s="38"/>
      <c r="V2100" s="38"/>
      <c r="W2100" s="38"/>
      <c r="X2100" s="38"/>
      <c r="Y2100" s="38"/>
      <c r="Z2100" s="38"/>
      <c r="AA2100" s="38"/>
      <c r="AB2100" s="38"/>
      <c r="AC2100" s="38"/>
      <c r="AD2100" s="38"/>
      <c r="AE2100" s="38"/>
      <c r="AF2100" s="38"/>
      <c r="AG2100" s="38"/>
      <c r="AH2100" s="38"/>
    </row>
    <row r="2101" spans="3:34" ht="20.100000000000001" customHeight="1">
      <c r="C2101" s="113"/>
      <c r="D2101" s="114"/>
      <c r="P2101" s="82"/>
      <c r="Q2101" s="82"/>
      <c r="R2101" s="38"/>
      <c r="S2101" s="38"/>
      <c r="T2101" s="38"/>
      <c r="U2101" s="38"/>
      <c r="V2101" s="38"/>
      <c r="W2101" s="38"/>
      <c r="X2101" s="38"/>
      <c r="Y2101" s="38"/>
      <c r="Z2101" s="38"/>
      <c r="AA2101" s="38"/>
      <c r="AB2101" s="38"/>
      <c r="AC2101" s="38"/>
      <c r="AD2101" s="38"/>
      <c r="AE2101" s="38"/>
      <c r="AF2101" s="38"/>
      <c r="AG2101" s="38"/>
      <c r="AH2101" s="38"/>
    </row>
    <row r="2102" spans="3:34" ht="20.100000000000001" customHeight="1">
      <c r="C2102" s="113"/>
      <c r="D2102" s="114"/>
      <c r="P2102" s="82"/>
      <c r="Q2102" s="82"/>
      <c r="R2102" s="38"/>
      <c r="S2102" s="38"/>
      <c r="T2102" s="38"/>
      <c r="U2102" s="38"/>
      <c r="V2102" s="38"/>
      <c r="W2102" s="38"/>
      <c r="X2102" s="38"/>
      <c r="Y2102" s="38"/>
      <c r="Z2102" s="38"/>
      <c r="AA2102" s="38"/>
      <c r="AB2102" s="38"/>
      <c r="AC2102" s="38"/>
      <c r="AD2102" s="38"/>
      <c r="AE2102" s="38"/>
      <c r="AF2102" s="38"/>
      <c r="AG2102" s="38"/>
      <c r="AH2102" s="38"/>
    </row>
    <row r="2103" spans="3:34" ht="20.100000000000001" customHeight="1">
      <c r="C2103" s="113"/>
      <c r="D2103" s="114"/>
      <c r="P2103" s="82"/>
      <c r="Q2103" s="82"/>
      <c r="R2103" s="38"/>
      <c r="S2103" s="38"/>
      <c r="T2103" s="38"/>
      <c r="U2103" s="38"/>
      <c r="V2103" s="38"/>
      <c r="W2103" s="38"/>
      <c r="X2103" s="38"/>
      <c r="Y2103" s="38"/>
      <c r="Z2103" s="38"/>
      <c r="AA2103" s="38"/>
      <c r="AB2103" s="38"/>
      <c r="AC2103" s="38"/>
      <c r="AD2103" s="38"/>
      <c r="AE2103" s="38"/>
      <c r="AF2103" s="38"/>
      <c r="AG2103" s="38"/>
      <c r="AH2103" s="38"/>
    </row>
    <row r="2104" spans="3:34" ht="20.100000000000001" customHeight="1">
      <c r="C2104" s="113"/>
      <c r="D2104" s="114"/>
      <c r="P2104" s="82"/>
      <c r="Q2104" s="82"/>
      <c r="R2104" s="38"/>
      <c r="S2104" s="38"/>
      <c r="T2104" s="38"/>
      <c r="U2104" s="38"/>
      <c r="V2104" s="38"/>
      <c r="W2104" s="38"/>
      <c r="X2104" s="38"/>
      <c r="Y2104" s="38"/>
      <c r="Z2104" s="38"/>
      <c r="AA2104" s="38"/>
      <c r="AB2104" s="38"/>
      <c r="AC2104" s="38"/>
      <c r="AD2104" s="38"/>
      <c r="AE2104" s="38"/>
      <c r="AF2104" s="38"/>
      <c r="AG2104" s="38"/>
      <c r="AH2104" s="38"/>
    </row>
    <row r="2105" spans="3:34" ht="20.100000000000001" customHeight="1">
      <c r="C2105" s="113"/>
      <c r="D2105" s="114"/>
      <c r="P2105" s="82"/>
      <c r="Q2105" s="82"/>
      <c r="R2105" s="38"/>
      <c r="S2105" s="38"/>
      <c r="T2105" s="38"/>
      <c r="U2105" s="38"/>
      <c r="V2105" s="38"/>
      <c r="W2105" s="38"/>
      <c r="X2105" s="38"/>
      <c r="Y2105" s="38"/>
      <c r="Z2105" s="38"/>
      <c r="AA2105" s="38"/>
      <c r="AB2105" s="38"/>
      <c r="AC2105" s="38"/>
      <c r="AD2105" s="38"/>
      <c r="AE2105" s="38"/>
      <c r="AF2105" s="38"/>
      <c r="AG2105" s="38"/>
      <c r="AH2105" s="38"/>
    </row>
    <row r="2106" spans="3:34" ht="20.100000000000001" customHeight="1">
      <c r="C2106" s="113"/>
      <c r="D2106" s="114"/>
      <c r="P2106" s="82"/>
      <c r="Q2106" s="82"/>
      <c r="R2106" s="38"/>
      <c r="S2106" s="38"/>
      <c r="T2106" s="38"/>
      <c r="U2106" s="38"/>
      <c r="V2106" s="38"/>
      <c r="W2106" s="38"/>
      <c r="X2106" s="38"/>
      <c r="Y2106" s="38"/>
      <c r="Z2106" s="38"/>
      <c r="AA2106" s="38"/>
      <c r="AB2106" s="38"/>
      <c r="AC2106" s="38"/>
      <c r="AD2106" s="38"/>
      <c r="AE2106" s="38"/>
      <c r="AF2106" s="38"/>
      <c r="AG2106" s="38"/>
      <c r="AH2106" s="38"/>
    </row>
    <row r="2107" spans="3:34" ht="20.100000000000001" customHeight="1">
      <c r="C2107" s="113"/>
      <c r="D2107" s="114"/>
      <c r="P2107" s="82"/>
      <c r="Q2107" s="82"/>
      <c r="R2107" s="38"/>
      <c r="S2107" s="38"/>
      <c r="T2107" s="38"/>
      <c r="U2107" s="38"/>
      <c r="V2107" s="38"/>
      <c r="W2107" s="38"/>
      <c r="X2107" s="38"/>
      <c r="Y2107" s="38"/>
      <c r="Z2107" s="38"/>
      <c r="AA2107" s="38"/>
      <c r="AB2107" s="38"/>
      <c r="AC2107" s="38"/>
      <c r="AD2107" s="38"/>
      <c r="AE2107" s="38"/>
      <c r="AF2107" s="38"/>
      <c r="AG2107" s="38"/>
      <c r="AH2107" s="38"/>
    </row>
    <row r="2108" spans="3:34" ht="20.100000000000001" customHeight="1">
      <c r="C2108" s="113"/>
      <c r="D2108" s="114"/>
      <c r="P2108" s="82"/>
      <c r="Q2108" s="82"/>
      <c r="R2108" s="38"/>
      <c r="S2108" s="38"/>
      <c r="T2108" s="38"/>
      <c r="U2108" s="38"/>
      <c r="V2108" s="38"/>
      <c r="W2108" s="38"/>
      <c r="X2108" s="38"/>
      <c r="Y2108" s="38"/>
      <c r="Z2108" s="38"/>
      <c r="AA2108" s="38"/>
      <c r="AB2108" s="38"/>
      <c r="AC2108" s="38"/>
      <c r="AD2108" s="38"/>
      <c r="AE2108" s="38"/>
      <c r="AF2108" s="38"/>
      <c r="AG2108" s="38"/>
      <c r="AH2108" s="38"/>
    </row>
    <row r="2109" spans="3:34" ht="20.100000000000001" customHeight="1">
      <c r="C2109" s="113"/>
      <c r="D2109" s="114"/>
      <c r="P2109" s="82"/>
      <c r="Q2109" s="82"/>
      <c r="R2109" s="38"/>
      <c r="S2109" s="38"/>
      <c r="T2109" s="38"/>
      <c r="U2109" s="38"/>
      <c r="V2109" s="38"/>
      <c r="W2109" s="38"/>
      <c r="X2109" s="38"/>
      <c r="Y2109" s="38"/>
      <c r="Z2109" s="38"/>
      <c r="AA2109" s="38"/>
      <c r="AB2109" s="38"/>
      <c r="AC2109" s="38"/>
      <c r="AD2109" s="38"/>
      <c r="AE2109" s="38"/>
      <c r="AF2109" s="38"/>
      <c r="AG2109" s="38"/>
      <c r="AH2109" s="38"/>
    </row>
    <row r="2110" spans="3:34" ht="20.100000000000001" customHeight="1">
      <c r="C2110" s="113"/>
      <c r="D2110" s="114"/>
      <c r="P2110" s="82"/>
      <c r="Q2110" s="82"/>
      <c r="R2110" s="38"/>
      <c r="S2110" s="38"/>
      <c r="T2110" s="38"/>
      <c r="U2110" s="38"/>
      <c r="V2110" s="38"/>
      <c r="W2110" s="38"/>
      <c r="X2110" s="38"/>
      <c r="Y2110" s="38"/>
      <c r="Z2110" s="38"/>
      <c r="AA2110" s="38"/>
      <c r="AB2110" s="38"/>
      <c r="AC2110" s="38"/>
      <c r="AD2110" s="38"/>
      <c r="AE2110" s="38"/>
      <c r="AF2110" s="38"/>
      <c r="AG2110" s="38"/>
      <c r="AH2110" s="38"/>
    </row>
    <row r="2111" spans="3:34" ht="20.100000000000001" customHeight="1">
      <c r="C2111" s="113"/>
      <c r="D2111" s="114"/>
      <c r="P2111" s="82"/>
      <c r="Q2111" s="82"/>
      <c r="R2111" s="38"/>
      <c r="S2111" s="38"/>
      <c r="T2111" s="38"/>
      <c r="U2111" s="38"/>
      <c r="V2111" s="38"/>
      <c r="W2111" s="38"/>
      <c r="X2111" s="38"/>
      <c r="Y2111" s="38"/>
      <c r="Z2111" s="38"/>
      <c r="AA2111" s="38"/>
      <c r="AB2111" s="38"/>
      <c r="AC2111" s="38"/>
      <c r="AD2111" s="38"/>
      <c r="AE2111" s="38"/>
      <c r="AF2111" s="38"/>
      <c r="AG2111" s="38"/>
      <c r="AH2111" s="38"/>
    </row>
    <row r="2112" spans="3:34" ht="20.100000000000001" customHeight="1">
      <c r="C2112" s="113"/>
      <c r="D2112" s="114"/>
      <c r="P2112" s="82"/>
      <c r="Q2112" s="82"/>
      <c r="R2112" s="38"/>
      <c r="S2112" s="38"/>
      <c r="T2112" s="38"/>
      <c r="U2112" s="38"/>
      <c r="V2112" s="38"/>
      <c r="W2112" s="38"/>
      <c r="X2112" s="38"/>
      <c r="Y2112" s="38"/>
      <c r="Z2112" s="38"/>
      <c r="AA2112" s="38"/>
      <c r="AB2112" s="38"/>
      <c r="AC2112" s="38"/>
      <c r="AD2112" s="38"/>
      <c r="AE2112" s="38"/>
      <c r="AF2112" s="38"/>
      <c r="AG2112" s="38"/>
      <c r="AH2112" s="38"/>
    </row>
    <row r="2113" spans="3:34" ht="20.100000000000001" customHeight="1">
      <c r="C2113" s="113"/>
      <c r="D2113" s="114"/>
      <c r="P2113" s="82"/>
      <c r="Q2113" s="82"/>
      <c r="R2113" s="38"/>
      <c r="S2113" s="38"/>
      <c r="T2113" s="38"/>
      <c r="U2113" s="38"/>
      <c r="V2113" s="38"/>
      <c r="W2113" s="38"/>
      <c r="X2113" s="38"/>
      <c r="Y2113" s="38"/>
      <c r="Z2113" s="38"/>
      <c r="AA2113" s="38"/>
      <c r="AB2113" s="38"/>
      <c r="AC2113" s="38"/>
      <c r="AD2113" s="38"/>
      <c r="AE2113" s="38"/>
      <c r="AF2113" s="38"/>
      <c r="AG2113" s="38"/>
      <c r="AH2113" s="38"/>
    </row>
    <row r="2114" spans="3:34" ht="20.100000000000001" customHeight="1">
      <c r="C2114" s="113"/>
      <c r="D2114" s="114"/>
      <c r="P2114" s="82"/>
      <c r="Q2114" s="82"/>
      <c r="R2114" s="38"/>
      <c r="S2114" s="38"/>
      <c r="T2114" s="38"/>
      <c r="U2114" s="38"/>
      <c r="V2114" s="38"/>
      <c r="W2114" s="38"/>
      <c r="X2114" s="38"/>
      <c r="Y2114" s="38"/>
      <c r="Z2114" s="38"/>
      <c r="AA2114" s="38"/>
      <c r="AB2114" s="38"/>
      <c r="AC2114" s="38"/>
      <c r="AD2114" s="38"/>
      <c r="AE2114" s="38"/>
      <c r="AF2114" s="38"/>
      <c r="AG2114" s="38"/>
      <c r="AH2114" s="38"/>
    </row>
    <row r="2115" spans="3:34" ht="20.100000000000001" customHeight="1">
      <c r="C2115" s="113"/>
      <c r="D2115" s="114"/>
      <c r="P2115" s="82"/>
      <c r="Q2115" s="82"/>
      <c r="R2115" s="38"/>
      <c r="S2115" s="38"/>
      <c r="T2115" s="38"/>
      <c r="U2115" s="38"/>
      <c r="V2115" s="38"/>
      <c r="W2115" s="38"/>
      <c r="X2115" s="38"/>
      <c r="Y2115" s="38"/>
      <c r="Z2115" s="38"/>
      <c r="AA2115" s="38"/>
      <c r="AB2115" s="38"/>
      <c r="AC2115" s="38"/>
      <c r="AD2115" s="38"/>
      <c r="AE2115" s="38"/>
      <c r="AF2115" s="38"/>
      <c r="AG2115" s="38"/>
      <c r="AH2115" s="38"/>
    </row>
    <row r="2116" spans="3:34" ht="20.100000000000001" customHeight="1">
      <c r="C2116" s="113"/>
      <c r="D2116" s="114"/>
      <c r="P2116" s="82"/>
      <c r="Q2116" s="82"/>
      <c r="R2116" s="38"/>
      <c r="S2116" s="38"/>
      <c r="T2116" s="38"/>
      <c r="U2116" s="38"/>
      <c r="V2116" s="38"/>
      <c r="W2116" s="38"/>
      <c r="X2116" s="38"/>
      <c r="Y2116" s="38"/>
      <c r="Z2116" s="38"/>
      <c r="AA2116" s="38"/>
      <c r="AB2116" s="38"/>
      <c r="AC2116" s="38"/>
      <c r="AD2116" s="38"/>
      <c r="AE2116" s="38"/>
      <c r="AF2116" s="38"/>
      <c r="AG2116" s="38"/>
      <c r="AH2116" s="38"/>
    </row>
    <row r="2117" spans="3:34" ht="20.100000000000001" customHeight="1">
      <c r="C2117" s="113"/>
      <c r="D2117" s="114"/>
      <c r="P2117" s="82"/>
      <c r="Q2117" s="82"/>
      <c r="R2117" s="38"/>
      <c r="S2117" s="38"/>
      <c r="T2117" s="38"/>
      <c r="U2117" s="38"/>
      <c r="V2117" s="38"/>
      <c r="W2117" s="38"/>
      <c r="X2117" s="38"/>
      <c r="Y2117" s="38"/>
      <c r="Z2117" s="38"/>
      <c r="AA2117" s="38"/>
      <c r="AB2117" s="38"/>
      <c r="AC2117" s="38"/>
      <c r="AD2117" s="38"/>
      <c r="AE2117" s="38"/>
      <c r="AF2117" s="38"/>
      <c r="AG2117" s="38"/>
      <c r="AH2117" s="38"/>
    </row>
    <row r="2118" spans="3:34" ht="20.100000000000001" customHeight="1">
      <c r="C2118" s="113"/>
      <c r="D2118" s="114"/>
      <c r="P2118" s="82"/>
      <c r="Q2118" s="82"/>
      <c r="R2118" s="38"/>
      <c r="S2118" s="38"/>
      <c r="T2118" s="38"/>
      <c r="U2118" s="38"/>
      <c r="V2118" s="38"/>
      <c r="W2118" s="38"/>
      <c r="X2118" s="38"/>
      <c r="Y2118" s="38"/>
      <c r="Z2118" s="38"/>
      <c r="AA2118" s="38"/>
      <c r="AB2118" s="38"/>
      <c r="AC2118" s="38"/>
      <c r="AD2118" s="38"/>
      <c r="AE2118" s="38"/>
      <c r="AF2118" s="38"/>
      <c r="AG2118" s="38"/>
      <c r="AH2118" s="38"/>
    </row>
    <row r="2119" spans="3:34" ht="20.100000000000001" customHeight="1">
      <c r="C2119" s="113"/>
      <c r="D2119" s="114"/>
      <c r="P2119" s="82"/>
      <c r="Q2119" s="82"/>
      <c r="R2119" s="38"/>
      <c r="S2119" s="38"/>
      <c r="T2119" s="38"/>
      <c r="U2119" s="38"/>
      <c r="V2119" s="38"/>
      <c r="W2119" s="38"/>
      <c r="X2119" s="38"/>
      <c r="Y2119" s="38"/>
      <c r="Z2119" s="38"/>
      <c r="AA2119" s="38"/>
      <c r="AB2119" s="38"/>
      <c r="AC2119" s="38"/>
      <c r="AD2119" s="38"/>
      <c r="AE2119" s="38"/>
      <c r="AF2119" s="38"/>
      <c r="AG2119" s="38"/>
      <c r="AH2119" s="38"/>
    </row>
    <row r="2120" spans="3:34" ht="20.100000000000001" customHeight="1">
      <c r="C2120" s="113"/>
      <c r="D2120" s="114"/>
      <c r="P2120" s="82"/>
      <c r="Q2120" s="82"/>
      <c r="R2120" s="38"/>
      <c r="S2120" s="38"/>
      <c r="T2120" s="38"/>
      <c r="U2120" s="38"/>
      <c r="V2120" s="38"/>
      <c r="W2120" s="38"/>
      <c r="X2120" s="38"/>
      <c r="Y2120" s="38"/>
      <c r="Z2120" s="38"/>
      <c r="AA2120" s="38"/>
      <c r="AB2120" s="38"/>
      <c r="AC2120" s="38"/>
      <c r="AD2120" s="38"/>
      <c r="AE2120" s="38"/>
      <c r="AF2120" s="38"/>
      <c r="AG2120" s="38"/>
      <c r="AH2120" s="38"/>
    </row>
    <row r="2121" spans="3:34" ht="20.100000000000001" customHeight="1">
      <c r="C2121" s="113"/>
      <c r="D2121" s="114"/>
      <c r="P2121" s="82"/>
      <c r="Q2121" s="82"/>
      <c r="R2121" s="38"/>
      <c r="S2121" s="38"/>
      <c r="T2121" s="38"/>
      <c r="U2121" s="38"/>
      <c r="V2121" s="38"/>
      <c r="W2121" s="38"/>
      <c r="X2121" s="38"/>
      <c r="Y2121" s="38"/>
      <c r="Z2121" s="38"/>
      <c r="AA2121" s="38"/>
      <c r="AB2121" s="38"/>
      <c r="AC2121" s="38"/>
      <c r="AD2121" s="38"/>
      <c r="AE2121" s="38"/>
      <c r="AF2121" s="38"/>
      <c r="AG2121" s="38"/>
      <c r="AH2121" s="38"/>
    </row>
    <row r="2122" spans="3:34" ht="20.100000000000001" customHeight="1">
      <c r="C2122" s="113"/>
      <c r="D2122" s="114"/>
      <c r="P2122" s="82"/>
      <c r="Q2122" s="82"/>
      <c r="R2122" s="38"/>
      <c r="S2122" s="38"/>
      <c r="T2122" s="38"/>
      <c r="U2122" s="38"/>
      <c r="V2122" s="38"/>
      <c r="W2122" s="38"/>
      <c r="X2122" s="38"/>
      <c r="Y2122" s="38"/>
      <c r="Z2122" s="38"/>
      <c r="AA2122" s="38"/>
      <c r="AB2122" s="38"/>
      <c r="AC2122" s="38"/>
      <c r="AD2122" s="38"/>
      <c r="AE2122" s="38"/>
      <c r="AF2122" s="38"/>
      <c r="AG2122" s="38"/>
      <c r="AH2122" s="38"/>
    </row>
    <row r="2123" spans="3:34" ht="20.100000000000001" customHeight="1">
      <c r="C2123" s="113"/>
      <c r="D2123" s="114"/>
      <c r="P2123" s="82"/>
      <c r="Q2123" s="82"/>
      <c r="R2123" s="38"/>
      <c r="S2123" s="38"/>
      <c r="T2123" s="38"/>
      <c r="U2123" s="38"/>
      <c r="V2123" s="38"/>
      <c r="W2123" s="38"/>
      <c r="X2123" s="38"/>
      <c r="Y2123" s="38"/>
      <c r="Z2123" s="38"/>
      <c r="AA2123" s="38"/>
      <c r="AB2123" s="38"/>
      <c r="AC2123" s="38"/>
      <c r="AD2123" s="38"/>
      <c r="AE2123" s="38"/>
      <c r="AF2123" s="38"/>
      <c r="AG2123" s="38"/>
      <c r="AH2123" s="38"/>
    </row>
    <row r="2124" spans="3:34" ht="20.100000000000001" customHeight="1">
      <c r="C2124" s="113"/>
      <c r="D2124" s="114"/>
      <c r="P2124" s="82"/>
      <c r="Q2124" s="82"/>
      <c r="R2124" s="38"/>
      <c r="S2124" s="38"/>
      <c r="T2124" s="38"/>
      <c r="U2124" s="38"/>
      <c r="V2124" s="38"/>
      <c r="W2124" s="38"/>
      <c r="X2124" s="38"/>
      <c r="Y2124" s="38"/>
      <c r="Z2124" s="38"/>
      <c r="AA2124" s="38"/>
      <c r="AB2124" s="38"/>
      <c r="AC2124" s="38"/>
      <c r="AD2124" s="38"/>
      <c r="AE2124" s="38"/>
      <c r="AF2124" s="38"/>
      <c r="AG2124" s="38"/>
      <c r="AH2124" s="38"/>
    </row>
    <row r="2125" spans="3:34" ht="20.100000000000001" customHeight="1">
      <c r="C2125" s="113"/>
      <c r="D2125" s="114"/>
      <c r="P2125" s="82"/>
      <c r="Q2125" s="82"/>
      <c r="R2125" s="38"/>
      <c r="S2125" s="38"/>
      <c r="T2125" s="38"/>
      <c r="U2125" s="38"/>
      <c r="V2125" s="38"/>
      <c r="W2125" s="38"/>
      <c r="X2125" s="38"/>
      <c r="Y2125" s="38"/>
      <c r="Z2125" s="38"/>
      <c r="AA2125" s="38"/>
      <c r="AB2125" s="38"/>
      <c r="AC2125" s="38"/>
      <c r="AD2125" s="38"/>
      <c r="AE2125" s="38"/>
      <c r="AF2125" s="38"/>
      <c r="AG2125" s="38"/>
      <c r="AH2125" s="38"/>
    </row>
    <row r="2126" spans="3:34" ht="20.100000000000001" customHeight="1">
      <c r="C2126" s="113"/>
      <c r="D2126" s="114"/>
      <c r="P2126" s="82"/>
      <c r="Q2126" s="82"/>
      <c r="R2126" s="38"/>
      <c r="S2126" s="38"/>
      <c r="T2126" s="38"/>
      <c r="U2126" s="38"/>
      <c r="V2126" s="38"/>
      <c r="W2126" s="38"/>
      <c r="X2126" s="38"/>
      <c r="Y2126" s="38"/>
      <c r="Z2126" s="38"/>
      <c r="AA2126" s="38"/>
      <c r="AB2126" s="38"/>
      <c r="AC2126" s="38"/>
      <c r="AD2126" s="38"/>
      <c r="AE2126" s="38"/>
      <c r="AF2126" s="38"/>
      <c r="AG2126" s="38"/>
      <c r="AH2126" s="38"/>
    </row>
    <row r="2127" spans="3:34" ht="20.100000000000001" customHeight="1">
      <c r="C2127" s="113"/>
      <c r="D2127" s="114"/>
      <c r="P2127" s="82"/>
      <c r="Q2127" s="82"/>
      <c r="R2127" s="38"/>
      <c r="S2127" s="38"/>
      <c r="T2127" s="38"/>
      <c r="U2127" s="38"/>
      <c r="V2127" s="38"/>
      <c r="W2127" s="38"/>
      <c r="X2127" s="38"/>
      <c r="Y2127" s="38"/>
      <c r="Z2127" s="38"/>
      <c r="AA2127" s="38"/>
      <c r="AB2127" s="38"/>
      <c r="AC2127" s="38"/>
      <c r="AD2127" s="38"/>
      <c r="AE2127" s="38"/>
      <c r="AF2127" s="38"/>
      <c r="AG2127" s="38"/>
      <c r="AH2127" s="38"/>
    </row>
    <row r="2128" spans="3:34" ht="20.100000000000001" customHeight="1">
      <c r="C2128" s="113"/>
      <c r="D2128" s="114"/>
      <c r="P2128" s="82"/>
      <c r="Q2128" s="82"/>
      <c r="R2128" s="38"/>
      <c r="S2128" s="38"/>
      <c r="T2128" s="38"/>
      <c r="U2128" s="38"/>
      <c r="V2128" s="38"/>
      <c r="W2128" s="38"/>
      <c r="X2128" s="38"/>
      <c r="Y2128" s="38"/>
      <c r="Z2128" s="38"/>
      <c r="AA2128" s="38"/>
      <c r="AB2128" s="38"/>
      <c r="AC2128" s="38"/>
      <c r="AD2128" s="38"/>
      <c r="AE2128" s="38"/>
      <c r="AF2128" s="38"/>
      <c r="AG2128" s="38"/>
      <c r="AH2128" s="38"/>
    </row>
    <row r="2129" spans="3:34" ht="20.100000000000001" customHeight="1">
      <c r="C2129" s="113"/>
      <c r="D2129" s="114"/>
      <c r="P2129" s="82"/>
      <c r="Q2129" s="82"/>
      <c r="R2129" s="38"/>
      <c r="S2129" s="38"/>
      <c r="T2129" s="38"/>
      <c r="U2129" s="38"/>
      <c r="V2129" s="38"/>
      <c r="W2129" s="38"/>
      <c r="X2129" s="38"/>
      <c r="Y2129" s="38"/>
      <c r="Z2129" s="38"/>
      <c r="AA2129" s="38"/>
      <c r="AB2129" s="38"/>
      <c r="AC2129" s="38"/>
      <c r="AD2129" s="38"/>
      <c r="AE2129" s="38"/>
      <c r="AF2129" s="38"/>
      <c r="AG2129" s="38"/>
      <c r="AH2129" s="38"/>
    </row>
    <row r="2130" spans="3:34" ht="20.100000000000001" customHeight="1">
      <c r="C2130" s="113"/>
      <c r="D2130" s="114"/>
      <c r="P2130" s="82"/>
      <c r="Q2130" s="82"/>
      <c r="R2130" s="38"/>
      <c r="S2130" s="38"/>
      <c r="T2130" s="38"/>
      <c r="U2130" s="38"/>
      <c r="V2130" s="38"/>
      <c r="W2130" s="38"/>
      <c r="X2130" s="38"/>
      <c r="Y2130" s="38"/>
      <c r="Z2130" s="38"/>
      <c r="AA2130" s="38"/>
      <c r="AB2130" s="38"/>
      <c r="AC2130" s="38"/>
      <c r="AD2130" s="38"/>
      <c r="AE2130" s="38"/>
      <c r="AF2130" s="38"/>
      <c r="AG2130" s="38"/>
      <c r="AH2130" s="38"/>
    </row>
    <row r="2131" spans="3:34" ht="20.100000000000001" customHeight="1">
      <c r="C2131" s="113"/>
      <c r="D2131" s="114"/>
      <c r="P2131" s="82"/>
      <c r="Q2131" s="82"/>
      <c r="R2131" s="38"/>
      <c r="S2131" s="38"/>
      <c r="T2131" s="38"/>
      <c r="U2131" s="38"/>
      <c r="V2131" s="38"/>
      <c r="W2131" s="38"/>
      <c r="X2131" s="38"/>
      <c r="Y2131" s="38"/>
      <c r="Z2131" s="38"/>
      <c r="AA2131" s="38"/>
      <c r="AB2131" s="38"/>
      <c r="AC2131" s="38"/>
      <c r="AD2131" s="38"/>
      <c r="AE2131" s="38"/>
      <c r="AF2131" s="38"/>
      <c r="AG2131" s="38"/>
      <c r="AH2131" s="38"/>
    </row>
    <row r="2132" spans="3:34" ht="20.100000000000001" customHeight="1">
      <c r="C2132" s="113"/>
      <c r="D2132" s="114"/>
      <c r="P2132" s="82"/>
      <c r="Q2132" s="82"/>
      <c r="R2132" s="38"/>
      <c r="S2132" s="38"/>
      <c r="T2132" s="38"/>
      <c r="U2132" s="38"/>
      <c r="V2132" s="38"/>
      <c r="W2132" s="38"/>
      <c r="X2132" s="38"/>
      <c r="Y2132" s="38"/>
      <c r="Z2132" s="38"/>
      <c r="AA2132" s="38"/>
      <c r="AB2132" s="38"/>
      <c r="AC2132" s="38"/>
      <c r="AD2132" s="38"/>
      <c r="AE2132" s="38"/>
      <c r="AF2132" s="38"/>
      <c r="AG2132" s="38"/>
      <c r="AH2132" s="38"/>
    </row>
    <row r="2133" spans="3:34" ht="20.100000000000001" customHeight="1">
      <c r="C2133" s="113"/>
      <c r="D2133" s="114"/>
      <c r="P2133" s="82"/>
      <c r="Q2133" s="82"/>
      <c r="R2133" s="38"/>
      <c r="S2133" s="38"/>
      <c r="T2133" s="38"/>
      <c r="U2133" s="38"/>
      <c r="V2133" s="38"/>
      <c r="W2133" s="38"/>
      <c r="X2133" s="38"/>
      <c r="Y2133" s="38"/>
      <c r="Z2133" s="38"/>
      <c r="AA2133" s="38"/>
      <c r="AB2133" s="38"/>
      <c r="AC2133" s="38"/>
      <c r="AD2133" s="38"/>
      <c r="AE2133" s="38"/>
      <c r="AF2133" s="38"/>
      <c r="AG2133" s="38"/>
      <c r="AH2133" s="38"/>
    </row>
    <row r="2134" spans="3:34" ht="20.100000000000001" customHeight="1">
      <c r="C2134" s="113"/>
      <c r="D2134" s="114"/>
      <c r="P2134" s="82"/>
      <c r="Q2134" s="82"/>
      <c r="R2134" s="38"/>
      <c r="S2134" s="38"/>
      <c r="T2134" s="38"/>
      <c r="U2134" s="38"/>
      <c r="V2134" s="38"/>
      <c r="W2134" s="38"/>
      <c r="X2134" s="38"/>
      <c r="Y2134" s="38"/>
      <c r="Z2134" s="38"/>
      <c r="AA2134" s="38"/>
      <c r="AB2134" s="38"/>
      <c r="AC2134" s="38"/>
      <c r="AD2134" s="38"/>
      <c r="AE2134" s="38"/>
      <c r="AF2134" s="38"/>
      <c r="AG2134" s="38"/>
      <c r="AH2134" s="38"/>
    </row>
    <row r="2135" spans="3:34" ht="20.100000000000001" customHeight="1">
      <c r="C2135" s="113"/>
      <c r="D2135" s="114"/>
      <c r="P2135" s="82"/>
      <c r="Q2135" s="82"/>
      <c r="R2135" s="38"/>
      <c r="S2135" s="38"/>
      <c r="T2135" s="38"/>
      <c r="U2135" s="38"/>
      <c r="V2135" s="38"/>
      <c r="W2135" s="38"/>
      <c r="X2135" s="38"/>
      <c r="Y2135" s="38"/>
      <c r="Z2135" s="38"/>
      <c r="AA2135" s="38"/>
      <c r="AB2135" s="38"/>
      <c r="AC2135" s="38"/>
      <c r="AD2135" s="38"/>
      <c r="AE2135" s="38"/>
      <c r="AF2135" s="38"/>
      <c r="AG2135" s="38"/>
      <c r="AH2135" s="38"/>
    </row>
    <row r="2136" spans="3:34" ht="20.100000000000001" customHeight="1">
      <c r="C2136" s="113"/>
      <c r="D2136" s="114"/>
      <c r="P2136" s="82"/>
      <c r="Q2136" s="82"/>
      <c r="R2136" s="38"/>
      <c r="S2136" s="38"/>
      <c r="T2136" s="38"/>
      <c r="U2136" s="38"/>
      <c r="V2136" s="38"/>
      <c r="W2136" s="38"/>
      <c r="X2136" s="38"/>
      <c r="Y2136" s="38"/>
      <c r="Z2136" s="38"/>
      <c r="AA2136" s="38"/>
      <c r="AB2136" s="38"/>
      <c r="AC2136" s="38"/>
      <c r="AD2136" s="38"/>
      <c r="AE2136" s="38"/>
      <c r="AF2136" s="38"/>
      <c r="AG2136" s="38"/>
      <c r="AH2136" s="38"/>
    </row>
    <row r="2137" spans="3:34" ht="20.100000000000001" customHeight="1">
      <c r="C2137" s="113"/>
      <c r="D2137" s="114"/>
      <c r="P2137" s="82"/>
      <c r="Q2137" s="82"/>
      <c r="R2137" s="38"/>
      <c r="S2137" s="38"/>
      <c r="T2137" s="38"/>
      <c r="U2137" s="38"/>
      <c r="V2137" s="38"/>
      <c r="W2137" s="38"/>
      <c r="X2137" s="38"/>
      <c r="Y2137" s="38"/>
      <c r="Z2137" s="38"/>
      <c r="AA2137" s="38"/>
      <c r="AB2137" s="38"/>
      <c r="AC2137" s="38"/>
      <c r="AD2137" s="38"/>
      <c r="AE2137" s="38"/>
      <c r="AF2137" s="38"/>
      <c r="AG2137" s="38"/>
      <c r="AH2137" s="38"/>
    </row>
    <row r="2138" spans="3:34" ht="20.100000000000001" customHeight="1">
      <c r="C2138" s="113"/>
      <c r="D2138" s="114"/>
      <c r="P2138" s="82"/>
      <c r="Q2138" s="82"/>
      <c r="R2138" s="38"/>
      <c r="S2138" s="38"/>
      <c r="T2138" s="38"/>
      <c r="U2138" s="38"/>
      <c r="V2138" s="38"/>
      <c r="W2138" s="38"/>
      <c r="X2138" s="38"/>
      <c r="Y2138" s="38"/>
      <c r="Z2138" s="38"/>
      <c r="AA2138" s="38"/>
      <c r="AB2138" s="38"/>
      <c r="AC2138" s="38"/>
      <c r="AD2138" s="38"/>
      <c r="AE2138" s="38"/>
      <c r="AF2138" s="38"/>
      <c r="AG2138" s="38"/>
      <c r="AH2138" s="38"/>
    </row>
    <row r="2139" spans="3:34" ht="20.100000000000001" customHeight="1">
      <c r="C2139" s="113"/>
      <c r="D2139" s="114"/>
      <c r="P2139" s="82"/>
      <c r="Q2139" s="82"/>
      <c r="R2139" s="38"/>
      <c r="S2139" s="38"/>
      <c r="T2139" s="38"/>
      <c r="U2139" s="38"/>
      <c r="V2139" s="38"/>
      <c r="W2139" s="38"/>
      <c r="X2139" s="38"/>
      <c r="Y2139" s="38"/>
      <c r="Z2139" s="38"/>
      <c r="AA2139" s="38"/>
      <c r="AB2139" s="38"/>
      <c r="AC2139" s="38"/>
      <c r="AD2139" s="38"/>
      <c r="AE2139" s="38"/>
      <c r="AF2139" s="38"/>
      <c r="AG2139" s="38"/>
      <c r="AH2139" s="38"/>
    </row>
    <row r="2140" spans="3:34" ht="20.100000000000001" customHeight="1">
      <c r="C2140" s="113"/>
      <c r="D2140" s="114"/>
      <c r="P2140" s="82"/>
      <c r="Q2140" s="82"/>
      <c r="R2140" s="38"/>
      <c r="S2140" s="38"/>
      <c r="T2140" s="38"/>
      <c r="U2140" s="38"/>
      <c r="V2140" s="38"/>
      <c r="W2140" s="38"/>
      <c r="X2140" s="38"/>
      <c r="Y2140" s="38"/>
      <c r="Z2140" s="38"/>
      <c r="AA2140" s="38"/>
      <c r="AB2140" s="38"/>
      <c r="AC2140" s="38"/>
      <c r="AD2140" s="38"/>
      <c r="AE2140" s="38"/>
      <c r="AF2140" s="38"/>
      <c r="AG2140" s="38"/>
      <c r="AH2140" s="38"/>
    </row>
    <row r="2141" spans="3:34" ht="20.100000000000001" customHeight="1">
      <c r="C2141" s="113"/>
      <c r="D2141" s="114"/>
      <c r="P2141" s="82"/>
      <c r="Q2141" s="82"/>
      <c r="R2141" s="38"/>
      <c r="S2141" s="38"/>
      <c r="T2141" s="38"/>
      <c r="U2141" s="38"/>
      <c r="V2141" s="38"/>
      <c r="W2141" s="38"/>
      <c r="X2141" s="38"/>
      <c r="Y2141" s="38"/>
      <c r="Z2141" s="38"/>
      <c r="AA2141" s="38"/>
      <c r="AB2141" s="38"/>
      <c r="AC2141" s="38"/>
      <c r="AD2141" s="38"/>
      <c r="AE2141" s="38"/>
      <c r="AF2141" s="38"/>
      <c r="AG2141" s="38"/>
      <c r="AH2141" s="38"/>
    </row>
    <row r="2142" spans="3:34" ht="20.100000000000001" customHeight="1">
      <c r="C2142" s="113"/>
      <c r="D2142" s="114"/>
      <c r="P2142" s="82"/>
      <c r="Q2142" s="82"/>
      <c r="R2142" s="38"/>
      <c r="S2142" s="38"/>
      <c r="T2142" s="38"/>
      <c r="U2142" s="38"/>
      <c r="V2142" s="38"/>
      <c r="W2142" s="38"/>
      <c r="X2142" s="38"/>
      <c r="Y2142" s="38"/>
      <c r="Z2142" s="38"/>
      <c r="AA2142" s="38"/>
      <c r="AB2142" s="38"/>
      <c r="AC2142" s="38"/>
      <c r="AD2142" s="38"/>
      <c r="AE2142" s="38"/>
      <c r="AF2142" s="38"/>
      <c r="AG2142" s="38"/>
      <c r="AH2142" s="38"/>
    </row>
    <row r="2143" spans="3:34" ht="20.100000000000001" customHeight="1">
      <c r="C2143" s="113"/>
      <c r="D2143" s="114"/>
      <c r="P2143" s="82"/>
      <c r="Q2143" s="82"/>
      <c r="R2143" s="38"/>
      <c r="S2143" s="38"/>
      <c r="T2143" s="38"/>
      <c r="U2143" s="38"/>
      <c r="V2143" s="38"/>
      <c r="W2143" s="38"/>
      <c r="X2143" s="38"/>
      <c r="Y2143" s="38"/>
      <c r="Z2143" s="38"/>
      <c r="AA2143" s="38"/>
      <c r="AB2143" s="38"/>
      <c r="AC2143" s="38"/>
      <c r="AD2143" s="38"/>
      <c r="AE2143" s="38"/>
      <c r="AF2143" s="38"/>
      <c r="AG2143" s="38"/>
      <c r="AH2143" s="38"/>
    </row>
    <row r="2144" spans="3:34" ht="20.100000000000001" customHeight="1">
      <c r="C2144" s="113"/>
      <c r="D2144" s="114"/>
      <c r="P2144" s="82"/>
      <c r="Q2144" s="82"/>
      <c r="R2144" s="38"/>
      <c r="S2144" s="38"/>
      <c r="T2144" s="38"/>
      <c r="U2144" s="38"/>
      <c r="V2144" s="38"/>
      <c r="W2144" s="38"/>
      <c r="X2144" s="38"/>
      <c r="Y2144" s="38"/>
      <c r="Z2144" s="38"/>
      <c r="AA2144" s="38"/>
      <c r="AB2144" s="38"/>
      <c r="AC2144" s="38"/>
      <c r="AD2144" s="38"/>
      <c r="AE2144" s="38"/>
      <c r="AF2144" s="38"/>
      <c r="AG2144" s="38"/>
      <c r="AH2144" s="38"/>
    </row>
    <row r="2145" spans="3:34" ht="20.100000000000001" customHeight="1">
      <c r="C2145" s="113"/>
      <c r="D2145" s="114"/>
      <c r="P2145" s="82"/>
      <c r="Q2145" s="82"/>
      <c r="R2145" s="38"/>
      <c r="S2145" s="38"/>
      <c r="T2145" s="38"/>
      <c r="U2145" s="38"/>
      <c r="V2145" s="38"/>
      <c r="W2145" s="38"/>
      <c r="X2145" s="38"/>
      <c r="Y2145" s="38"/>
      <c r="Z2145" s="38"/>
      <c r="AA2145" s="38"/>
      <c r="AB2145" s="38"/>
      <c r="AC2145" s="38"/>
      <c r="AD2145" s="38"/>
      <c r="AE2145" s="38"/>
      <c r="AF2145" s="38"/>
      <c r="AG2145" s="38"/>
      <c r="AH2145" s="38"/>
    </row>
    <row r="2146" spans="3:34" ht="20.100000000000001" customHeight="1">
      <c r="C2146" s="113"/>
      <c r="D2146" s="114"/>
      <c r="P2146" s="82"/>
      <c r="Q2146" s="82"/>
      <c r="R2146" s="38"/>
      <c r="S2146" s="38"/>
      <c r="T2146" s="38"/>
      <c r="U2146" s="38"/>
      <c r="V2146" s="38"/>
      <c r="W2146" s="38"/>
      <c r="X2146" s="38"/>
      <c r="Y2146" s="38"/>
      <c r="Z2146" s="38"/>
      <c r="AA2146" s="38"/>
      <c r="AB2146" s="38"/>
      <c r="AC2146" s="38"/>
      <c r="AD2146" s="38"/>
      <c r="AE2146" s="38"/>
      <c r="AF2146" s="38"/>
      <c r="AG2146" s="38"/>
      <c r="AH2146" s="38"/>
    </row>
    <row r="2147" spans="3:34" ht="20.100000000000001" customHeight="1">
      <c r="C2147" s="113"/>
      <c r="D2147" s="114"/>
      <c r="P2147" s="82"/>
      <c r="Q2147" s="82"/>
      <c r="R2147" s="38"/>
      <c r="S2147" s="38"/>
      <c r="T2147" s="38"/>
      <c r="U2147" s="38"/>
      <c r="V2147" s="38"/>
      <c r="W2147" s="38"/>
      <c r="X2147" s="38"/>
      <c r="Y2147" s="38"/>
      <c r="Z2147" s="38"/>
      <c r="AA2147" s="38"/>
      <c r="AB2147" s="38"/>
      <c r="AC2147" s="38"/>
      <c r="AD2147" s="38"/>
      <c r="AE2147" s="38"/>
      <c r="AF2147" s="38"/>
      <c r="AG2147" s="38"/>
      <c r="AH2147" s="38"/>
    </row>
    <row r="2148" spans="3:34" ht="20.100000000000001" customHeight="1">
      <c r="C2148" s="113"/>
      <c r="D2148" s="114"/>
      <c r="P2148" s="82"/>
      <c r="Q2148" s="82"/>
      <c r="R2148" s="38"/>
      <c r="S2148" s="38"/>
      <c r="T2148" s="38"/>
      <c r="U2148" s="38"/>
      <c r="V2148" s="38"/>
      <c r="W2148" s="38"/>
      <c r="X2148" s="38"/>
      <c r="Y2148" s="38"/>
      <c r="Z2148" s="38"/>
      <c r="AA2148" s="38"/>
      <c r="AB2148" s="38"/>
      <c r="AC2148" s="38"/>
      <c r="AD2148" s="38"/>
      <c r="AE2148" s="38"/>
      <c r="AF2148" s="38"/>
      <c r="AG2148" s="38"/>
      <c r="AH2148" s="38"/>
    </row>
    <row r="2149" spans="3:34" ht="20.100000000000001" customHeight="1">
      <c r="C2149" s="113"/>
      <c r="D2149" s="114"/>
      <c r="P2149" s="82"/>
      <c r="Q2149" s="82"/>
      <c r="R2149" s="38"/>
      <c r="S2149" s="38"/>
      <c r="T2149" s="38"/>
      <c r="U2149" s="38"/>
      <c r="V2149" s="38"/>
      <c r="W2149" s="38"/>
      <c r="X2149" s="38"/>
      <c r="Y2149" s="38"/>
      <c r="Z2149" s="38"/>
      <c r="AA2149" s="38"/>
      <c r="AB2149" s="38"/>
      <c r="AC2149" s="38"/>
      <c r="AD2149" s="38"/>
      <c r="AE2149" s="38"/>
      <c r="AF2149" s="38"/>
      <c r="AG2149" s="38"/>
      <c r="AH2149" s="38"/>
    </row>
    <row r="2150" spans="3:34" ht="20.100000000000001" customHeight="1">
      <c r="C2150" s="113"/>
      <c r="D2150" s="114"/>
      <c r="P2150" s="82"/>
      <c r="Q2150" s="82"/>
      <c r="R2150" s="38"/>
      <c r="S2150" s="38"/>
      <c r="T2150" s="38"/>
      <c r="U2150" s="38"/>
      <c r="V2150" s="38"/>
      <c r="W2150" s="38"/>
      <c r="X2150" s="38"/>
      <c r="Y2150" s="38"/>
      <c r="Z2150" s="38"/>
      <c r="AA2150" s="38"/>
      <c r="AB2150" s="38"/>
      <c r="AC2150" s="38"/>
      <c r="AD2150" s="38"/>
      <c r="AE2150" s="38"/>
      <c r="AF2150" s="38"/>
      <c r="AG2150" s="38"/>
      <c r="AH2150" s="38"/>
    </row>
    <row r="2151" spans="3:34" ht="20.100000000000001" customHeight="1">
      <c r="C2151" s="113"/>
      <c r="D2151" s="114"/>
      <c r="P2151" s="82"/>
      <c r="Q2151" s="82"/>
      <c r="R2151" s="38"/>
      <c r="S2151" s="38"/>
      <c r="T2151" s="38"/>
      <c r="U2151" s="38"/>
      <c r="V2151" s="38"/>
      <c r="W2151" s="38"/>
      <c r="X2151" s="38"/>
      <c r="Y2151" s="38"/>
      <c r="Z2151" s="38"/>
      <c r="AA2151" s="38"/>
      <c r="AB2151" s="38"/>
      <c r="AC2151" s="38"/>
      <c r="AD2151" s="38"/>
      <c r="AE2151" s="38"/>
      <c r="AF2151" s="38"/>
      <c r="AG2151" s="38"/>
      <c r="AH2151" s="38"/>
    </row>
    <row r="2152" spans="3:34" ht="20.100000000000001" customHeight="1">
      <c r="C2152" s="113"/>
      <c r="D2152" s="114"/>
      <c r="P2152" s="82"/>
      <c r="Q2152" s="82"/>
      <c r="R2152" s="38"/>
      <c r="S2152" s="38"/>
      <c r="T2152" s="38"/>
      <c r="U2152" s="38"/>
      <c r="V2152" s="38"/>
      <c r="W2152" s="38"/>
      <c r="X2152" s="38"/>
      <c r="Y2152" s="38"/>
      <c r="Z2152" s="38"/>
      <c r="AA2152" s="38"/>
      <c r="AB2152" s="38"/>
      <c r="AC2152" s="38"/>
      <c r="AD2152" s="38"/>
      <c r="AE2152" s="38"/>
      <c r="AF2152" s="38"/>
      <c r="AG2152" s="38"/>
      <c r="AH2152" s="38"/>
    </row>
    <row r="2153" spans="3:34" ht="20.100000000000001" customHeight="1">
      <c r="C2153" s="113"/>
      <c r="D2153" s="114"/>
      <c r="P2153" s="82"/>
      <c r="Q2153" s="82"/>
      <c r="R2153" s="38"/>
      <c r="S2153" s="38"/>
      <c r="T2153" s="38"/>
      <c r="U2153" s="38"/>
      <c r="V2153" s="38"/>
      <c r="W2153" s="38"/>
      <c r="X2153" s="38"/>
      <c r="Y2153" s="38"/>
      <c r="Z2153" s="38"/>
      <c r="AA2153" s="38"/>
      <c r="AB2153" s="38"/>
      <c r="AC2153" s="38"/>
      <c r="AD2153" s="38"/>
      <c r="AE2153" s="38"/>
      <c r="AF2153" s="38"/>
      <c r="AG2153" s="38"/>
      <c r="AH2153" s="38"/>
    </row>
    <row r="2154" spans="3:34" ht="20.100000000000001" customHeight="1">
      <c r="C2154" s="113"/>
      <c r="D2154" s="114"/>
      <c r="P2154" s="82"/>
      <c r="Q2154" s="82"/>
      <c r="R2154" s="38"/>
      <c r="S2154" s="38"/>
      <c r="T2154" s="38"/>
      <c r="U2154" s="38"/>
      <c r="V2154" s="38"/>
      <c r="W2154" s="38"/>
      <c r="X2154" s="38"/>
      <c r="Y2154" s="38"/>
      <c r="Z2154" s="38"/>
      <c r="AA2154" s="38"/>
      <c r="AB2154" s="38"/>
      <c r="AC2154" s="38"/>
      <c r="AD2154" s="38"/>
      <c r="AE2154" s="38"/>
      <c r="AF2154" s="38"/>
      <c r="AG2154" s="38"/>
      <c r="AH2154" s="38"/>
    </row>
    <row r="2155" spans="3:34" ht="20.100000000000001" customHeight="1">
      <c r="C2155" s="113"/>
      <c r="D2155" s="114"/>
      <c r="P2155" s="82"/>
      <c r="Q2155" s="82"/>
      <c r="R2155" s="38"/>
      <c r="S2155" s="38"/>
      <c r="T2155" s="38"/>
      <c r="U2155" s="38"/>
      <c r="V2155" s="38"/>
      <c r="W2155" s="38"/>
      <c r="X2155" s="38"/>
      <c r="Y2155" s="38"/>
      <c r="Z2155" s="38"/>
      <c r="AA2155" s="38"/>
      <c r="AB2155" s="38"/>
      <c r="AC2155" s="38"/>
      <c r="AD2155" s="38"/>
      <c r="AE2155" s="38"/>
      <c r="AF2155" s="38"/>
      <c r="AG2155" s="38"/>
      <c r="AH2155" s="38"/>
    </row>
    <row r="2156" spans="3:34" ht="20.100000000000001" customHeight="1">
      <c r="C2156" s="113"/>
      <c r="D2156" s="114"/>
      <c r="P2156" s="82"/>
      <c r="Q2156" s="82"/>
      <c r="R2156" s="38"/>
      <c r="S2156" s="38"/>
      <c r="T2156" s="38"/>
      <c r="U2156" s="38"/>
      <c r="V2156" s="38"/>
      <c r="W2156" s="38"/>
      <c r="X2156" s="38"/>
      <c r="Y2156" s="38"/>
      <c r="Z2156" s="38"/>
      <c r="AA2156" s="38"/>
      <c r="AB2156" s="38"/>
      <c r="AC2156" s="38"/>
      <c r="AD2156" s="38"/>
      <c r="AE2156" s="38"/>
      <c r="AF2156" s="38"/>
      <c r="AG2156" s="38"/>
      <c r="AH2156" s="38"/>
    </row>
    <row r="2157" spans="3:34" ht="20.100000000000001" customHeight="1">
      <c r="C2157" s="113"/>
      <c r="D2157" s="114"/>
      <c r="P2157" s="82"/>
      <c r="Q2157" s="82"/>
      <c r="R2157" s="38"/>
      <c r="S2157" s="38"/>
      <c r="T2157" s="38"/>
      <c r="U2157" s="38"/>
      <c r="V2157" s="38"/>
      <c r="W2157" s="38"/>
      <c r="X2157" s="38"/>
      <c r="Y2157" s="38"/>
      <c r="Z2157" s="38"/>
      <c r="AA2157" s="38"/>
      <c r="AB2157" s="38"/>
      <c r="AC2157" s="38"/>
      <c r="AD2157" s="38"/>
      <c r="AE2157" s="38"/>
      <c r="AF2157" s="38"/>
      <c r="AG2157" s="38"/>
      <c r="AH2157" s="38"/>
    </row>
    <row r="2158" spans="3:34" ht="20.100000000000001" customHeight="1">
      <c r="C2158" s="113"/>
      <c r="D2158" s="114"/>
      <c r="P2158" s="82"/>
      <c r="Q2158" s="82"/>
      <c r="R2158" s="38"/>
      <c r="S2158" s="38"/>
      <c r="T2158" s="38"/>
      <c r="U2158" s="38"/>
      <c r="V2158" s="38"/>
      <c r="W2158" s="38"/>
      <c r="X2158" s="38"/>
      <c r="Y2158" s="38"/>
      <c r="Z2158" s="38"/>
      <c r="AA2158" s="38"/>
      <c r="AB2158" s="38"/>
      <c r="AC2158" s="38"/>
      <c r="AD2158" s="38"/>
      <c r="AE2158" s="38"/>
      <c r="AF2158" s="38"/>
      <c r="AG2158" s="38"/>
      <c r="AH2158" s="38"/>
    </row>
    <row r="2159" spans="3:34" ht="20.100000000000001" customHeight="1">
      <c r="C2159" s="113"/>
      <c r="D2159" s="114"/>
      <c r="P2159" s="82"/>
      <c r="Q2159" s="82"/>
      <c r="R2159" s="38"/>
      <c r="S2159" s="38"/>
      <c r="T2159" s="38"/>
      <c r="U2159" s="38"/>
      <c r="V2159" s="38"/>
      <c r="W2159" s="38"/>
      <c r="X2159" s="38"/>
      <c r="Y2159" s="38"/>
      <c r="Z2159" s="38"/>
      <c r="AA2159" s="38"/>
      <c r="AB2159" s="38"/>
      <c r="AC2159" s="38"/>
      <c r="AD2159" s="38"/>
      <c r="AE2159" s="38"/>
      <c r="AF2159" s="38"/>
      <c r="AG2159" s="38"/>
      <c r="AH2159" s="38"/>
    </row>
    <row r="2160" spans="3:34" ht="20.100000000000001" customHeight="1">
      <c r="C2160" s="113"/>
      <c r="D2160" s="114"/>
      <c r="P2160" s="82"/>
      <c r="Q2160" s="82"/>
      <c r="R2160" s="38"/>
      <c r="S2160" s="38"/>
      <c r="T2160" s="38"/>
      <c r="U2160" s="38"/>
      <c r="V2160" s="38"/>
      <c r="W2160" s="38"/>
      <c r="X2160" s="38"/>
      <c r="Y2160" s="38"/>
      <c r="Z2160" s="38"/>
      <c r="AA2160" s="38"/>
      <c r="AB2160" s="38"/>
      <c r="AC2160" s="38"/>
      <c r="AD2160" s="38"/>
      <c r="AE2160" s="38"/>
      <c r="AF2160" s="38"/>
      <c r="AG2160" s="38"/>
      <c r="AH2160" s="38"/>
    </row>
    <row r="2161" spans="3:34" ht="20.100000000000001" customHeight="1">
      <c r="C2161" s="113"/>
      <c r="D2161" s="114"/>
      <c r="P2161" s="82"/>
      <c r="Q2161" s="82"/>
      <c r="R2161" s="38"/>
      <c r="S2161" s="38"/>
      <c r="T2161" s="38"/>
      <c r="U2161" s="38"/>
      <c r="V2161" s="38"/>
      <c r="W2161" s="38"/>
      <c r="X2161" s="38"/>
      <c r="Y2161" s="38"/>
      <c r="Z2161" s="38"/>
      <c r="AA2161" s="38"/>
      <c r="AB2161" s="38"/>
      <c r="AC2161" s="38"/>
      <c r="AD2161" s="38"/>
      <c r="AE2161" s="38"/>
      <c r="AF2161" s="38"/>
      <c r="AG2161" s="38"/>
      <c r="AH2161" s="38"/>
    </row>
    <row r="2162" spans="3:34" ht="20.100000000000001" customHeight="1">
      <c r="C2162" s="113"/>
      <c r="D2162" s="114"/>
      <c r="P2162" s="82"/>
      <c r="Q2162" s="82"/>
      <c r="R2162" s="38"/>
      <c r="S2162" s="38"/>
      <c r="T2162" s="38"/>
      <c r="U2162" s="38"/>
      <c r="V2162" s="38"/>
      <c r="W2162" s="38"/>
      <c r="X2162" s="38"/>
      <c r="Y2162" s="38"/>
      <c r="Z2162" s="38"/>
      <c r="AA2162" s="38"/>
      <c r="AB2162" s="38"/>
      <c r="AC2162" s="38"/>
      <c r="AD2162" s="38"/>
      <c r="AE2162" s="38"/>
      <c r="AF2162" s="38"/>
      <c r="AG2162" s="38"/>
      <c r="AH2162" s="38"/>
    </row>
    <row r="2163" spans="3:34" ht="20.100000000000001" customHeight="1">
      <c r="C2163" s="113"/>
      <c r="D2163" s="114"/>
      <c r="P2163" s="82"/>
      <c r="Q2163" s="82"/>
      <c r="R2163" s="38"/>
      <c r="S2163" s="38"/>
      <c r="T2163" s="38"/>
      <c r="U2163" s="38"/>
      <c r="V2163" s="38"/>
      <c r="W2163" s="38"/>
      <c r="X2163" s="38"/>
      <c r="Y2163" s="38"/>
      <c r="Z2163" s="38"/>
      <c r="AA2163" s="38"/>
      <c r="AB2163" s="38"/>
      <c r="AC2163" s="38"/>
      <c r="AD2163" s="38"/>
      <c r="AE2163" s="38"/>
      <c r="AF2163" s="38"/>
      <c r="AG2163" s="38"/>
      <c r="AH2163" s="38"/>
    </row>
    <row r="2164" spans="3:34" ht="20.100000000000001" customHeight="1">
      <c r="C2164" s="113"/>
      <c r="D2164" s="114"/>
      <c r="P2164" s="82"/>
      <c r="Q2164" s="82"/>
      <c r="R2164" s="38"/>
      <c r="S2164" s="38"/>
      <c r="T2164" s="38"/>
      <c r="U2164" s="38"/>
      <c r="V2164" s="38"/>
      <c r="W2164" s="38"/>
      <c r="X2164" s="38"/>
      <c r="Y2164" s="38"/>
      <c r="Z2164" s="38"/>
      <c r="AA2164" s="38"/>
      <c r="AB2164" s="38"/>
      <c r="AC2164" s="38"/>
      <c r="AD2164" s="38"/>
      <c r="AE2164" s="38"/>
      <c r="AF2164" s="38"/>
      <c r="AG2164" s="38"/>
      <c r="AH2164" s="38"/>
    </row>
    <row r="2165" spans="3:34" ht="20.100000000000001" customHeight="1">
      <c r="C2165" s="113"/>
      <c r="D2165" s="114"/>
      <c r="P2165" s="82"/>
      <c r="Q2165" s="82"/>
      <c r="R2165" s="38"/>
      <c r="S2165" s="38"/>
      <c r="T2165" s="38"/>
      <c r="U2165" s="38"/>
      <c r="V2165" s="38"/>
      <c r="W2165" s="38"/>
      <c r="X2165" s="38"/>
      <c r="Y2165" s="38"/>
      <c r="Z2165" s="38"/>
      <c r="AA2165" s="38"/>
      <c r="AB2165" s="38"/>
      <c r="AC2165" s="38"/>
      <c r="AD2165" s="38"/>
      <c r="AE2165" s="38"/>
      <c r="AF2165" s="38"/>
      <c r="AG2165" s="38"/>
      <c r="AH2165" s="38"/>
    </row>
    <row r="2166" spans="3:34" ht="20.100000000000001" customHeight="1">
      <c r="C2166" s="113"/>
      <c r="D2166" s="114"/>
      <c r="P2166" s="82"/>
      <c r="Q2166" s="82"/>
      <c r="R2166" s="38"/>
      <c r="S2166" s="38"/>
      <c r="T2166" s="38"/>
      <c r="U2166" s="38"/>
      <c r="V2166" s="38"/>
      <c r="W2166" s="38"/>
      <c r="X2166" s="38"/>
      <c r="Y2166" s="38"/>
      <c r="Z2166" s="38"/>
      <c r="AA2166" s="38"/>
      <c r="AB2166" s="38"/>
      <c r="AC2166" s="38"/>
      <c r="AD2166" s="38"/>
      <c r="AE2166" s="38"/>
      <c r="AF2166" s="38"/>
      <c r="AG2166" s="38"/>
      <c r="AH2166" s="38"/>
    </row>
    <row r="2167" spans="3:34" ht="20.100000000000001" customHeight="1">
      <c r="C2167" s="113"/>
      <c r="D2167" s="114"/>
      <c r="P2167" s="82"/>
      <c r="Q2167" s="82"/>
      <c r="R2167" s="38"/>
      <c r="S2167" s="38"/>
      <c r="T2167" s="38"/>
      <c r="U2167" s="38"/>
      <c r="V2167" s="38"/>
      <c r="W2167" s="38"/>
      <c r="X2167" s="38"/>
      <c r="Y2167" s="38"/>
      <c r="Z2167" s="38"/>
      <c r="AA2167" s="38"/>
      <c r="AB2167" s="38"/>
      <c r="AC2167" s="38"/>
      <c r="AD2167" s="38"/>
      <c r="AE2167" s="38"/>
      <c r="AF2167" s="38"/>
      <c r="AG2167" s="38"/>
      <c r="AH2167" s="38"/>
    </row>
    <row r="2168" spans="3:34" ht="20.100000000000001" customHeight="1">
      <c r="C2168" s="113"/>
      <c r="D2168" s="114"/>
      <c r="P2168" s="82"/>
      <c r="Q2168" s="82"/>
      <c r="R2168" s="38"/>
      <c r="S2168" s="38"/>
      <c r="T2168" s="38"/>
      <c r="U2168" s="38"/>
      <c r="V2168" s="38"/>
      <c r="W2168" s="38"/>
      <c r="X2168" s="38"/>
      <c r="Y2168" s="38"/>
      <c r="Z2168" s="38"/>
      <c r="AA2168" s="38"/>
      <c r="AB2168" s="38"/>
      <c r="AC2168" s="38"/>
      <c r="AD2168" s="38"/>
      <c r="AE2168" s="38"/>
      <c r="AF2168" s="38"/>
      <c r="AG2168" s="38"/>
      <c r="AH2168" s="38"/>
    </row>
    <row r="2169" spans="3:34" ht="20.100000000000001" customHeight="1">
      <c r="C2169" s="113"/>
      <c r="D2169" s="114"/>
      <c r="P2169" s="82"/>
      <c r="Q2169" s="82"/>
      <c r="R2169" s="38"/>
      <c r="S2169" s="38"/>
      <c r="T2169" s="38"/>
      <c r="U2169" s="38"/>
      <c r="V2169" s="38"/>
      <c r="W2169" s="38"/>
      <c r="X2169" s="38"/>
      <c r="Y2169" s="38"/>
      <c r="Z2169" s="38"/>
      <c r="AA2169" s="38"/>
      <c r="AB2169" s="38"/>
      <c r="AC2169" s="38"/>
      <c r="AD2169" s="38"/>
      <c r="AE2169" s="38"/>
      <c r="AF2169" s="38"/>
      <c r="AG2169" s="38"/>
      <c r="AH2169" s="38"/>
    </row>
    <row r="2170" spans="3:34" ht="20.100000000000001" customHeight="1">
      <c r="C2170" s="113"/>
      <c r="D2170" s="114"/>
      <c r="P2170" s="82"/>
      <c r="Q2170" s="82"/>
      <c r="R2170" s="38"/>
      <c r="S2170" s="38"/>
      <c r="T2170" s="38"/>
      <c r="U2170" s="38"/>
      <c r="V2170" s="38"/>
      <c r="W2170" s="38"/>
      <c r="X2170" s="38"/>
      <c r="Y2170" s="38"/>
      <c r="Z2170" s="38"/>
      <c r="AA2170" s="38"/>
      <c r="AB2170" s="38"/>
      <c r="AC2170" s="38"/>
      <c r="AD2170" s="38"/>
      <c r="AE2170" s="38"/>
      <c r="AF2170" s="38"/>
      <c r="AG2170" s="38"/>
      <c r="AH2170" s="38"/>
    </row>
    <row r="2171" spans="3:34" ht="20.100000000000001" customHeight="1">
      <c r="C2171" s="113"/>
      <c r="D2171" s="114"/>
      <c r="P2171" s="82"/>
      <c r="Q2171" s="82"/>
      <c r="R2171" s="38"/>
      <c r="S2171" s="38"/>
      <c r="T2171" s="38"/>
      <c r="U2171" s="38"/>
      <c r="V2171" s="38"/>
      <c r="W2171" s="38"/>
      <c r="X2171" s="38"/>
      <c r="Y2171" s="38"/>
      <c r="Z2171" s="38"/>
      <c r="AA2171" s="38"/>
      <c r="AB2171" s="38"/>
      <c r="AC2171" s="38"/>
      <c r="AD2171" s="38"/>
      <c r="AE2171" s="38"/>
      <c r="AF2171" s="38"/>
      <c r="AG2171" s="38"/>
      <c r="AH2171" s="38"/>
    </row>
    <row r="2172" spans="3:34" ht="20.100000000000001" customHeight="1">
      <c r="C2172" s="113"/>
      <c r="D2172" s="114"/>
      <c r="P2172" s="82"/>
      <c r="Q2172" s="82"/>
      <c r="R2172" s="38"/>
      <c r="S2172" s="38"/>
      <c r="T2172" s="38"/>
      <c r="U2172" s="38"/>
      <c r="V2172" s="38"/>
      <c r="W2172" s="38"/>
      <c r="X2172" s="38"/>
      <c r="Y2172" s="38"/>
      <c r="Z2172" s="38"/>
      <c r="AA2172" s="38"/>
      <c r="AB2172" s="38"/>
      <c r="AC2172" s="38"/>
      <c r="AD2172" s="38"/>
      <c r="AE2172" s="38"/>
      <c r="AF2172" s="38"/>
      <c r="AG2172" s="38"/>
      <c r="AH2172" s="38"/>
    </row>
    <row r="2173" spans="3:34" ht="20.100000000000001" customHeight="1">
      <c r="C2173" s="113"/>
      <c r="D2173" s="114"/>
      <c r="P2173" s="82"/>
      <c r="Q2173" s="82"/>
      <c r="R2173" s="38"/>
      <c r="S2173" s="38"/>
      <c r="T2173" s="38"/>
      <c r="U2173" s="38"/>
      <c r="V2173" s="38"/>
      <c r="W2173" s="38"/>
      <c r="X2173" s="38"/>
      <c r="Y2173" s="38"/>
      <c r="Z2173" s="38"/>
      <c r="AA2173" s="38"/>
      <c r="AB2173" s="38"/>
      <c r="AC2173" s="38"/>
      <c r="AD2173" s="38"/>
      <c r="AE2173" s="38"/>
      <c r="AF2173" s="38"/>
      <c r="AG2173" s="38"/>
      <c r="AH2173" s="38"/>
    </row>
    <row r="2174" spans="3:34" ht="20.100000000000001" customHeight="1">
      <c r="C2174" s="113"/>
      <c r="D2174" s="114"/>
      <c r="P2174" s="82"/>
      <c r="Q2174" s="82"/>
      <c r="R2174" s="38"/>
      <c r="S2174" s="38"/>
      <c r="T2174" s="38"/>
      <c r="U2174" s="38"/>
      <c r="V2174" s="38"/>
      <c r="W2174" s="38"/>
      <c r="X2174" s="38"/>
      <c r="Y2174" s="38"/>
      <c r="Z2174" s="38"/>
      <c r="AA2174" s="38"/>
      <c r="AB2174" s="38"/>
      <c r="AC2174" s="38"/>
      <c r="AD2174" s="38"/>
      <c r="AE2174" s="38"/>
      <c r="AF2174" s="38"/>
      <c r="AG2174" s="38"/>
      <c r="AH2174" s="38"/>
    </row>
    <row r="2175" spans="3:34" ht="20.100000000000001" customHeight="1">
      <c r="C2175" s="113"/>
      <c r="D2175" s="114"/>
      <c r="P2175" s="82"/>
      <c r="Q2175" s="82"/>
      <c r="R2175" s="38"/>
      <c r="S2175" s="38"/>
      <c r="T2175" s="38"/>
      <c r="U2175" s="38"/>
      <c r="V2175" s="38"/>
      <c r="W2175" s="38"/>
      <c r="X2175" s="38"/>
      <c r="Y2175" s="38"/>
      <c r="Z2175" s="38"/>
      <c r="AA2175" s="38"/>
      <c r="AB2175" s="38"/>
      <c r="AC2175" s="38"/>
      <c r="AD2175" s="38"/>
      <c r="AE2175" s="38"/>
      <c r="AF2175" s="38"/>
      <c r="AG2175" s="38"/>
      <c r="AH2175" s="38"/>
    </row>
    <row r="2176" spans="3:34" ht="20.100000000000001" customHeight="1">
      <c r="C2176" s="113"/>
      <c r="D2176" s="114"/>
      <c r="P2176" s="82"/>
      <c r="Q2176" s="82"/>
      <c r="R2176" s="38"/>
      <c r="S2176" s="38"/>
      <c r="T2176" s="38"/>
      <c r="U2176" s="38"/>
      <c r="V2176" s="38"/>
      <c r="W2176" s="38"/>
      <c r="X2176" s="38"/>
      <c r="Y2176" s="38"/>
      <c r="Z2176" s="38"/>
      <c r="AA2176" s="38"/>
      <c r="AB2176" s="38"/>
      <c r="AC2176" s="38"/>
      <c r="AD2176" s="38"/>
      <c r="AE2176" s="38"/>
      <c r="AF2176" s="38"/>
      <c r="AG2176" s="38"/>
      <c r="AH2176" s="38"/>
    </row>
    <row r="2177" spans="3:34" ht="20.100000000000001" customHeight="1">
      <c r="C2177" s="113"/>
      <c r="D2177" s="114"/>
      <c r="P2177" s="82"/>
      <c r="Q2177" s="82"/>
      <c r="R2177" s="38"/>
      <c r="S2177" s="38"/>
      <c r="T2177" s="38"/>
      <c r="U2177" s="38"/>
      <c r="V2177" s="38"/>
      <c r="W2177" s="38"/>
      <c r="X2177" s="38"/>
      <c r="Y2177" s="38"/>
      <c r="Z2177" s="38"/>
      <c r="AA2177" s="38"/>
      <c r="AB2177" s="38"/>
      <c r="AC2177" s="38"/>
      <c r="AD2177" s="38"/>
      <c r="AE2177" s="38"/>
      <c r="AF2177" s="38"/>
      <c r="AG2177" s="38"/>
      <c r="AH2177" s="38"/>
    </row>
    <row r="2178" spans="3:34" ht="20.100000000000001" customHeight="1">
      <c r="C2178" s="113"/>
      <c r="D2178" s="114"/>
      <c r="P2178" s="82"/>
      <c r="Q2178" s="82"/>
      <c r="R2178" s="38"/>
      <c r="S2178" s="38"/>
      <c r="T2178" s="38"/>
      <c r="U2178" s="38"/>
      <c r="V2178" s="38"/>
      <c r="W2178" s="38"/>
      <c r="X2178" s="38"/>
      <c r="Y2178" s="38"/>
      <c r="Z2178" s="38"/>
      <c r="AA2178" s="38"/>
      <c r="AB2178" s="38"/>
      <c r="AC2178" s="38"/>
      <c r="AD2178" s="38"/>
      <c r="AE2178" s="38"/>
      <c r="AF2178" s="38"/>
      <c r="AG2178" s="38"/>
      <c r="AH2178" s="38"/>
    </row>
    <row r="2179" spans="3:34" ht="20.100000000000001" customHeight="1">
      <c r="C2179" s="113"/>
      <c r="D2179" s="114"/>
      <c r="P2179" s="82"/>
      <c r="Q2179" s="82"/>
      <c r="R2179" s="38"/>
      <c r="S2179" s="38"/>
      <c r="T2179" s="38"/>
      <c r="U2179" s="38"/>
      <c r="V2179" s="38"/>
      <c r="W2179" s="38"/>
      <c r="X2179" s="38"/>
      <c r="Y2179" s="38"/>
      <c r="Z2179" s="38"/>
      <c r="AA2179" s="38"/>
      <c r="AB2179" s="38"/>
      <c r="AC2179" s="38"/>
      <c r="AD2179" s="38"/>
      <c r="AE2179" s="38"/>
      <c r="AF2179" s="38"/>
      <c r="AG2179" s="38"/>
      <c r="AH2179" s="38"/>
    </row>
    <row r="2180" spans="3:34" ht="20.100000000000001" customHeight="1">
      <c r="C2180" s="113"/>
      <c r="D2180" s="114"/>
      <c r="P2180" s="82"/>
      <c r="Q2180" s="82"/>
      <c r="R2180" s="38"/>
      <c r="S2180" s="38"/>
      <c r="T2180" s="38"/>
      <c r="U2180" s="38"/>
      <c r="V2180" s="38"/>
      <c r="W2180" s="38"/>
      <c r="X2180" s="38"/>
      <c r="Y2180" s="38"/>
      <c r="Z2180" s="38"/>
      <c r="AA2180" s="38"/>
      <c r="AB2180" s="38"/>
      <c r="AC2180" s="38"/>
      <c r="AD2180" s="38"/>
      <c r="AE2180" s="38"/>
      <c r="AF2180" s="38"/>
      <c r="AG2180" s="38"/>
      <c r="AH2180" s="38"/>
    </row>
    <row r="2181" spans="3:34" ht="20.100000000000001" customHeight="1">
      <c r="C2181" s="113"/>
      <c r="D2181" s="114"/>
      <c r="P2181" s="82"/>
      <c r="Q2181" s="82"/>
      <c r="R2181" s="38"/>
      <c r="S2181" s="38"/>
      <c r="T2181" s="38"/>
      <c r="U2181" s="38"/>
      <c r="V2181" s="38"/>
      <c r="W2181" s="38"/>
      <c r="X2181" s="38"/>
      <c r="Y2181" s="38"/>
      <c r="Z2181" s="38"/>
      <c r="AA2181" s="38"/>
      <c r="AB2181" s="38"/>
      <c r="AC2181" s="38"/>
      <c r="AD2181" s="38"/>
      <c r="AE2181" s="38"/>
      <c r="AF2181" s="38"/>
      <c r="AG2181" s="38"/>
      <c r="AH2181" s="38"/>
    </row>
    <row r="2182" spans="3:34" ht="20.100000000000001" customHeight="1">
      <c r="C2182" s="113"/>
      <c r="D2182" s="114"/>
      <c r="P2182" s="82"/>
      <c r="Q2182" s="82"/>
      <c r="R2182" s="38"/>
      <c r="S2182" s="38"/>
      <c r="T2182" s="38"/>
      <c r="U2182" s="38"/>
      <c r="V2182" s="38"/>
      <c r="W2182" s="38"/>
      <c r="X2182" s="38"/>
      <c r="Y2182" s="38"/>
      <c r="Z2182" s="38"/>
      <c r="AA2182" s="38"/>
      <c r="AB2182" s="38"/>
      <c r="AC2182" s="38"/>
      <c r="AD2182" s="38"/>
      <c r="AE2182" s="38"/>
      <c r="AF2182" s="38"/>
      <c r="AG2182" s="38"/>
      <c r="AH2182" s="38"/>
    </row>
    <row r="2183" spans="3:34" ht="20.100000000000001" customHeight="1">
      <c r="C2183" s="113"/>
      <c r="D2183" s="114"/>
      <c r="P2183" s="82"/>
      <c r="Q2183" s="82"/>
      <c r="R2183" s="38"/>
      <c r="S2183" s="38"/>
      <c r="T2183" s="38"/>
      <c r="U2183" s="38"/>
      <c r="V2183" s="38"/>
      <c r="W2183" s="38"/>
      <c r="X2183" s="38"/>
      <c r="Y2183" s="38"/>
      <c r="Z2183" s="38"/>
      <c r="AA2183" s="38"/>
      <c r="AB2183" s="38"/>
      <c r="AC2183" s="38"/>
      <c r="AD2183" s="38"/>
      <c r="AE2183" s="38"/>
      <c r="AF2183" s="38"/>
      <c r="AG2183" s="38"/>
      <c r="AH2183" s="38"/>
    </row>
    <row r="2184" spans="3:34" ht="20.100000000000001" customHeight="1">
      <c r="C2184" s="113"/>
      <c r="D2184" s="114"/>
      <c r="P2184" s="82"/>
      <c r="Q2184" s="82"/>
      <c r="R2184" s="38"/>
      <c r="S2184" s="38"/>
      <c r="T2184" s="38"/>
      <c r="U2184" s="38"/>
      <c r="V2184" s="38"/>
      <c r="W2184" s="38"/>
      <c r="X2184" s="38"/>
      <c r="Y2184" s="38"/>
      <c r="Z2184" s="38"/>
      <c r="AA2184" s="38"/>
      <c r="AB2184" s="38"/>
      <c r="AC2184" s="38"/>
      <c r="AD2184" s="38"/>
      <c r="AE2184" s="38"/>
      <c r="AF2184" s="38"/>
      <c r="AG2184" s="38"/>
      <c r="AH2184" s="38"/>
    </row>
    <row r="2185" spans="3:34" ht="20.100000000000001" customHeight="1">
      <c r="C2185" s="113"/>
      <c r="D2185" s="114"/>
      <c r="P2185" s="82"/>
      <c r="Q2185" s="82"/>
      <c r="R2185" s="38"/>
      <c r="S2185" s="38"/>
      <c r="T2185" s="38"/>
      <c r="U2185" s="38"/>
      <c r="V2185" s="38"/>
      <c r="W2185" s="38"/>
      <c r="X2185" s="38"/>
      <c r="Y2185" s="38"/>
      <c r="Z2185" s="38"/>
      <c r="AA2185" s="38"/>
      <c r="AB2185" s="38"/>
      <c r="AC2185" s="38"/>
      <c r="AD2185" s="38"/>
      <c r="AE2185" s="38"/>
      <c r="AF2185" s="38"/>
      <c r="AG2185" s="38"/>
      <c r="AH2185" s="38"/>
    </row>
    <row r="2186" spans="3:34" ht="20.100000000000001" customHeight="1">
      <c r="C2186" s="113"/>
      <c r="D2186" s="114"/>
      <c r="P2186" s="82"/>
      <c r="Q2186" s="82"/>
      <c r="R2186" s="38"/>
      <c r="S2186" s="38"/>
      <c r="T2186" s="38"/>
      <c r="U2186" s="38"/>
      <c r="V2186" s="38"/>
      <c r="W2186" s="38"/>
      <c r="X2186" s="38"/>
      <c r="Y2186" s="38"/>
      <c r="Z2186" s="38"/>
      <c r="AA2186" s="38"/>
      <c r="AB2186" s="38"/>
      <c r="AC2186" s="38"/>
      <c r="AD2186" s="38"/>
      <c r="AE2186" s="38"/>
      <c r="AF2186" s="38"/>
      <c r="AG2186" s="38"/>
      <c r="AH2186" s="38"/>
    </row>
    <row r="2187" spans="3:34" ht="20.100000000000001" customHeight="1">
      <c r="C2187" s="113"/>
      <c r="D2187" s="114"/>
      <c r="P2187" s="82"/>
      <c r="Q2187" s="82"/>
      <c r="R2187" s="38"/>
      <c r="S2187" s="38"/>
      <c r="T2187" s="38"/>
      <c r="U2187" s="38"/>
      <c r="V2187" s="38"/>
      <c r="W2187" s="38"/>
      <c r="X2187" s="38"/>
      <c r="Y2187" s="38"/>
      <c r="Z2187" s="38"/>
      <c r="AA2187" s="38"/>
      <c r="AB2187" s="38"/>
      <c r="AC2187" s="38"/>
      <c r="AD2187" s="38"/>
      <c r="AE2187" s="38"/>
      <c r="AF2187" s="38"/>
      <c r="AG2187" s="38"/>
      <c r="AH2187" s="38"/>
    </row>
    <row r="2188" spans="3:34" ht="20.100000000000001" customHeight="1">
      <c r="C2188" s="113"/>
      <c r="D2188" s="114"/>
      <c r="P2188" s="82"/>
      <c r="Q2188" s="82"/>
      <c r="R2188" s="38"/>
      <c r="S2188" s="38"/>
      <c r="T2188" s="38"/>
      <c r="U2188" s="38"/>
      <c r="V2188" s="38"/>
      <c r="W2188" s="38"/>
      <c r="X2188" s="38"/>
      <c r="Y2188" s="38"/>
      <c r="Z2188" s="38"/>
      <c r="AA2188" s="38"/>
      <c r="AB2188" s="38"/>
      <c r="AC2188" s="38"/>
      <c r="AD2188" s="38"/>
      <c r="AE2188" s="38"/>
      <c r="AF2188" s="38"/>
      <c r="AG2188" s="38"/>
      <c r="AH2188" s="38"/>
    </row>
    <row r="2189" spans="3:34" ht="20.100000000000001" customHeight="1">
      <c r="C2189" s="113"/>
      <c r="D2189" s="114"/>
      <c r="P2189" s="82"/>
      <c r="Q2189" s="82"/>
      <c r="R2189" s="38"/>
      <c r="S2189" s="38"/>
      <c r="T2189" s="38"/>
      <c r="U2189" s="38"/>
      <c r="V2189" s="38"/>
      <c r="W2189" s="38"/>
      <c r="X2189" s="38"/>
      <c r="Y2189" s="38"/>
      <c r="Z2189" s="38"/>
      <c r="AA2189" s="38"/>
      <c r="AB2189" s="38"/>
      <c r="AC2189" s="38"/>
      <c r="AD2189" s="38"/>
      <c r="AE2189" s="38"/>
      <c r="AF2189" s="38"/>
      <c r="AG2189" s="38"/>
      <c r="AH2189" s="38"/>
    </row>
    <row r="2190" spans="3:34" ht="20.100000000000001" customHeight="1">
      <c r="C2190" s="113"/>
      <c r="D2190" s="114"/>
      <c r="P2190" s="82"/>
      <c r="Q2190" s="82"/>
      <c r="R2190" s="38"/>
      <c r="S2190" s="38"/>
      <c r="T2190" s="38"/>
      <c r="U2190" s="38"/>
      <c r="V2190" s="38"/>
      <c r="W2190" s="38"/>
      <c r="X2190" s="38"/>
      <c r="Y2190" s="38"/>
      <c r="Z2190" s="38"/>
      <c r="AA2190" s="38"/>
      <c r="AB2190" s="38"/>
      <c r="AC2190" s="38"/>
      <c r="AD2190" s="38"/>
      <c r="AE2190" s="38"/>
      <c r="AF2190" s="38"/>
      <c r="AG2190" s="38"/>
      <c r="AH2190" s="38"/>
    </row>
    <row r="2191" spans="3:34" ht="20.100000000000001" customHeight="1">
      <c r="C2191" s="113"/>
      <c r="D2191" s="114"/>
      <c r="P2191" s="82"/>
      <c r="Q2191" s="82"/>
      <c r="R2191" s="38"/>
      <c r="S2191" s="38"/>
      <c r="T2191" s="38"/>
      <c r="U2191" s="38"/>
      <c r="V2191" s="38"/>
      <c r="W2191" s="38"/>
      <c r="X2191" s="38"/>
      <c r="Y2191" s="38"/>
      <c r="Z2191" s="38"/>
      <c r="AA2191" s="38"/>
      <c r="AB2191" s="38"/>
      <c r="AC2191" s="38"/>
      <c r="AD2191" s="38"/>
      <c r="AE2191" s="38"/>
      <c r="AF2191" s="38"/>
      <c r="AG2191" s="38"/>
      <c r="AH2191" s="38"/>
    </row>
    <row r="2192" spans="3:34" ht="20.100000000000001" customHeight="1">
      <c r="C2192" s="113"/>
      <c r="D2192" s="114"/>
      <c r="P2192" s="82"/>
      <c r="Q2192" s="82"/>
      <c r="R2192" s="38"/>
      <c r="S2192" s="38"/>
      <c r="T2192" s="38"/>
      <c r="U2192" s="38"/>
      <c r="V2192" s="38"/>
      <c r="W2192" s="38"/>
      <c r="X2192" s="38"/>
      <c r="Y2192" s="38"/>
      <c r="Z2192" s="38"/>
      <c r="AA2192" s="38"/>
      <c r="AB2192" s="38"/>
      <c r="AC2192" s="38"/>
      <c r="AD2192" s="38"/>
      <c r="AE2192" s="38"/>
      <c r="AF2192" s="38"/>
      <c r="AG2192" s="38"/>
      <c r="AH2192" s="38"/>
    </row>
    <row r="2193" spans="3:34" ht="20.100000000000001" customHeight="1">
      <c r="C2193" s="113"/>
      <c r="D2193" s="114"/>
      <c r="P2193" s="82"/>
      <c r="Q2193" s="82"/>
      <c r="R2193" s="38"/>
      <c r="S2193" s="38"/>
      <c r="T2193" s="38"/>
      <c r="U2193" s="38"/>
      <c r="V2193" s="38"/>
      <c r="W2193" s="38"/>
      <c r="X2193" s="38"/>
      <c r="Y2193" s="38"/>
      <c r="Z2193" s="38"/>
      <c r="AA2193" s="38"/>
      <c r="AB2193" s="38"/>
      <c r="AC2193" s="38"/>
      <c r="AD2193" s="38"/>
      <c r="AE2193" s="38"/>
      <c r="AF2193" s="38"/>
      <c r="AG2193" s="38"/>
      <c r="AH2193" s="38"/>
    </row>
    <row r="2194" spans="3:34" ht="20.100000000000001" customHeight="1">
      <c r="C2194" s="113"/>
      <c r="D2194" s="114"/>
      <c r="P2194" s="82"/>
      <c r="Q2194" s="82"/>
      <c r="R2194" s="38"/>
      <c r="S2194" s="38"/>
      <c r="T2194" s="38"/>
      <c r="U2194" s="38"/>
      <c r="V2194" s="38"/>
      <c r="W2194" s="38"/>
      <c r="X2194" s="38"/>
      <c r="Y2194" s="38"/>
      <c r="Z2194" s="38"/>
      <c r="AA2194" s="38"/>
      <c r="AB2194" s="38"/>
      <c r="AC2194" s="38"/>
      <c r="AD2194" s="38"/>
      <c r="AE2194" s="38"/>
      <c r="AF2194" s="38"/>
      <c r="AG2194" s="38"/>
      <c r="AH2194" s="38"/>
    </row>
    <row r="2195" spans="3:34" ht="20.100000000000001" customHeight="1">
      <c r="C2195" s="113"/>
      <c r="D2195" s="114"/>
      <c r="P2195" s="82"/>
      <c r="Q2195" s="82"/>
      <c r="R2195" s="38"/>
      <c r="S2195" s="38"/>
      <c r="T2195" s="38"/>
      <c r="U2195" s="38"/>
      <c r="V2195" s="38"/>
      <c r="W2195" s="38"/>
      <c r="X2195" s="38"/>
      <c r="Y2195" s="38"/>
      <c r="Z2195" s="38"/>
      <c r="AA2195" s="38"/>
      <c r="AB2195" s="38"/>
      <c r="AC2195" s="38"/>
      <c r="AD2195" s="38"/>
      <c r="AE2195" s="38"/>
      <c r="AF2195" s="38"/>
      <c r="AG2195" s="38"/>
      <c r="AH2195" s="38"/>
    </row>
    <row r="2196" spans="3:34" ht="20.100000000000001" customHeight="1">
      <c r="C2196" s="113"/>
      <c r="D2196" s="114"/>
      <c r="P2196" s="82"/>
      <c r="Q2196" s="82"/>
      <c r="R2196" s="38"/>
      <c r="S2196" s="38"/>
      <c r="T2196" s="38"/>
      <c r="U2196" s="38"/>
      <c r="V2196" s="38"/>
      <c r="W2196" s="38"/>
      <c r="X2196" s="38"/>
      <c r="Y2196" s="38"/>
      <c r="Z2196" s="38"/>
      <c r="AA2196" s="38"/>
      <c r="AB2196" s="38"/>
      <c r="AC2196" s="38"/>
      <c r="AD2196" s="38"/>
      <c r="AE2196" s="38"/>
      <c r="AF2196" s="38"/>
      <c r="AG2196" s="38"/>
      <c r="AH2196" s="38"/>
    </row>
    <row r="2197" spans="3:34" ht="20.100000000000001" customHeight="1">
      <c r="C2197" s="113"/>
      <c r="D2197" s="114"/>
      <c r="P2197" s="82"/>
      <c r="Q2197" s="82"/>
      <c r="R2197" s="38"/>
      <c r="S2197" s="38"/>
      <c r="T2197" s="38"/>
      <c r="U2197" s="38"/>
      <c r="V2197" s="38"/>
      <c r="W2197" s="38"/>
      <c r="X2197" s="38"/>
      <c r="Y2197" s="38"/>
      <c r="Z2197" s="38"/>
      <c r="AA2197" s="38"/>
      <c r="AB2197" s="38"/>
      <c r="AC2197" s="38"/>
      <c r="AD2197" s="38"/>
      <c r="AE2197" s="38"/>
      <c r="AF2197" s="38"/>
      <c r="AG2197" s="38"/>
      <c r="AH2197" s="38"/>
    </row>
    <row r="2198" spans="3:34" ht="20.100000000000001" customHeight="1">
      <c r="C2198" s="113"/>
      <c r="D2198" s="114"/>
      <c r="P2198" s="82"/>
      <c r="Q2198" s="82"/>
      <c r="R2198" s="38"/>
      <c r="S2198" s="38"/>
      <c r="T2198" s="38"/>
      <c r="U2198" s="38"/>
      <c r="V2198" s="38"/>
      <c r="W2198" s="38"/>
      <c r="X2198" s="38"/>
      <c r="Y2198" s="38"/>
      <c r="Z2198" s="38"/>
      <c r="AA2198" s="38"/>
      <c r="AB2198" s="38"/>
      <c r="AC2198" s="38"/>
      <c r="AD2198" s="38"/>
      <c r="AE2198" s="38"/>
      <c r="AF2198" s="38"/>
      <c r="AG2198" s="38"/>
      <c r="AH2198" s="38"/>
    </row>
    <row r="2199" spans="3:34" ht="20.100000000000001" customHeight="1">
      <c r="C2199" s="113"/>
      <c r="D2199" s="114"/>
      <c r="P2199" s="82"/>
      <c r="Q2199" s="82"/>
      <c r="R2199" s="38"/>
      <c r="S2199" s="38"/>
      <c r="T2199" s="38"/>
      <c r="U2199" s="38"/>
      <c r="V2199" s="38"/>
      <c r="W2199" s="38"/>
      <c r="X2199" s="38"/>
      <c r="Y2199" s="38"/>
      <c r="Z2199" s="38"/>
      <c r="AA2199" s="38"/>
      <c r="AB2199" s="38"/>
      <c r="AC2199" s="38"/>
      <c r="AD2199" s="38"/>
      <c r="AE2199" s="38"/>
      <c r="AF2199" s="38"/>
      <c r="AG2199" s="38"/>
      <c r="AH2199" s="38"/>
    </row>
    <row r="2200" spans="3:34" ht="20.100000000000001" customHeight="1">
      <c r="C2200" s="113"/>
      <c r="D2200" s="114"/>
      <c r="P2200" s="82"/>
      <c r="Q2200" s="82"/>
      <c r="R2200" s="38"/>
      <c r="S2200" s="38"/>
      <c r="T2200" s="38"/>
      <c r="U2200" s="38"/>
      <c r="V2200" s="38"/>
      <c r="W2200" s="38"/>
      <c r="X2200" s="38"/>
      <c r="Y2200" s="38"/>
      <c r="Z2200" s="38"/>
      <c r="AA2200" s="38"/>
      <c r="AB2200" s="38"/>
      <c r="AC2200" s="38"/>
      <c r="AD2200" s="38"/>
      <c r="AE2200" s="38"/>
      <c r="AF2200" s="38"/>
      <c r="AG2200" s="38"/>
      <c r="AH2200" s="38"/>
    </row>
    <row r="2201" spans="3:34" ht="20.100000000000001" customHeight="1">
      <c r="C2201" s="113"/>
      <c r="D2201" s="114"/>
      <c r="P2201" s="82"/>
      <c r="Q2201" s="82"/>
      <c r="R2201" s="38"/>
      <c r="S2201" s="38"/>
      <c r="T2201" s="38"/>
      <c r="U2201" s="38"/>
      <c r="V2201" s="38"/>
      <c r="W2201" s="38"/>
      <c r="X2201" s="38"/>
      <c r="Y2201" s="38"/>
      <c r="Z2201" s="38"/>
      <c r="AA2201" s="38"/>
      <c r="AB2201" s="38"/>
      <c r="AC2201" s="38"/>
      <c r="AD2201" s="38"/>
      <c r="AE2201" s="38"/>
      <c r="AF2201" s="38"/>
      <c r="AG2201" s="38"/>
      <c r="AH2201" s="38"/>
    </row>
    <row r="2202" spans="3:34" ht="20.100000000000001" customHeight="1">
      <c r="C2202" s="113"/>
      <c r="D2202" s="114"/>
      <c r="P2202" s="82"/>
      <c r="Q2202" s="82"/>
      <c r="R2202" s="38"/>
      <c r="S2202" s="38"/>
      <c r="T2202" s="38"/>
      <c r="U2202" s="38"/>
      <c r="V2202" s="38"/>
      <c r="W2202" s="38"/>
      <c r="X2202" s="38"/>
      <c r="Y2202" s="38"/>
      <c r="Z2202" s="38"/>
      <c r="AA2202" s="38"/>
      <c r="AB2202" s="38"/>
      <c r="AC2202" s="38"/>
      <c r="AD2202" s="38"/>
      <c r="AE2202" s="38"/>
      <c r="AF2202" s="38"/>
      <c r="AG2202" s="38"/>
      <c r="AH2202" s="38"/>
    </row>
    <row r="2203" spans="3:34" ht="20.100000000000001" customHeight="1">
      <c r="C2203" s="113"/>
      <c r="D2203" s="114"/>
      <c r="P2203" s="82"/>
      <c r="Q2203" s="82"/>
      <c r="R2203" s="38"/>
      <c r="S2203" s="38"/>
      <c r="T2203" s="38"/>
      <c r="U2203" s="38"/>
      <c r="V2203" s="38"/>
      <c r="W2203" s="38"/>
      <c r="X2203" s="38"/>
      <c r="Y2203" s="38"/>
      <c r="Z2203" s="38"/>
      <c r="AA2203" s="38"/>
      <c r="AB2203" s="38"/>
      <c r="AC2203" s="38"/>
      <c r="AD2203" s="38"/>
      <c r="AE2203" s="38"/>
      <c r="AF2203" s="38"/>
      <c r="AG2203" s="38"/>
      <c r="AH2203" s="38"/>
    </row>
    <row r="2204" spans="3:34" ht="20.100000000000001" customHeight="1">
      <c r="C2204" s="113"/>
      <c r="D2204" s="114"/>
      <c r="P2204" s="82"/>
      <c r="Q2204" s="82"/>
      <c r="R2204" s="38"/>
      <c r="S2204" s="38"/>
      <c r="T2204" s="38"/>
      <c r="U2204" s="38"/>
      <c r="V2204" s="38"/>
      <c r="W2204" s="38"/>
      <c r="X2204" s="38"/>
      <c r="Y2204" s="38"/>
      <c r="Z2204" s="38"/>
      <c r="AA2204" s="38"/>
      <c r="AB2204" s="38"/>
      <c r="AC2204" s="38"/>
      <c r="AD2204" s="38"/>
      <c r="AE2204" s="38"/>
      <c r="AF2204" s="38"/>
      <c r="AG2204" s="38"/>
      <c r="AH2204" s="38"/>
    </row>
    <row r="2205" spans="3:34" ht="20.100000000000001" customHeight="1">
      <c r="C2205" s="113"/>
      <c r="D2205" s="114"/>
      <c r="P2205" s="82"/>
      <c r="Q2205" s="82"/>
      <c r="R2205" s="38"/>
      <c r="S2205" s="38"/>
      <c r="T2205" s="38"/>
      <c r="U2205" s="38"/>
      <c r="V2205" s="38"/>
      <c r="W2205" s="38"/>
      <c r="X2205" s="38"/>
      <c r="Y2205" s="38"/>
      <c r="Z2205" s="38"/>
      <c r="AA2205" s="38"/>
      <c r="AB2205" s="38"/>
      <c r="AC2205" s="38"/>
      <c r="AD2205" s="38"/>
      <c r="AE2205" s="38"/>
      <c r="AF2205" s="38"/>
      <c r="AG2205" s="38"/>
      <c r="AH2205" s="38"/>
    </row>
    <row r="2206" spans="3:34" ht="20.100000000000001" customHeight="1">
      <c r="C2206" s="113"/>
      <c r="D2206" s="114"/>
      <c r="P2206" s="82"/>
      <c r="Q2206" s="82"/>
      <c r="R2206" s="38"/>
      <c r="S2206" s="38"/>
      <c r="T2206" s="38"/>
      <c r="U2206" s="38"/>
      <c r="V2206" s="38"/>
      <c r="W2206" s="38"/>
      <c r="X2206" s="38"/>
      <c r="Y2206" s="38"/>
      <c r="Z2206" s="38"/>
      <c r="AA2206" s="38"/>
      <c r="AB2206" s="38"/>
      <c r="AC2206" s="38"/>
      <c r="AD2206" s="38"/>
      <c r="AE2206" s="38"/>
      <c r="AF2206" s="38"/>
      <c r="AG2206" s="38"/>
      <c r="AH2206" s="38"/>
    </row>
    <row r="2207" spans="3:34" ht="20.100000000000001" customHeight="1">
      <c r="C2207" s="113"/>
      <c r="D2207" s="114"/>
      <c r="P2207" s="82"/>
      <c r="Q2207" s="82"/>
      <c r="R2207" s="38"/>
      <c r="S2207" s="38"/>
      <c r="T2207" s="38"/>
      <c r="U2207" s="38"/>
      <c r="V2207" s="38"/>
      <c r="W2207" s="38"/>
      <c r="X2207" s="38"/>
      <c r="Y2207" s="38"/>
      <c r="Z2207" s="38"/>
      <c r="AA2207" s="38"/>
      <c r="AB2207" s="38"/>
      <c r="AC2207" s="38"/>
      <c r="AD2207" s="38"/>
      <c r="AE2207" s="38"/>
      <c r="AF2207" s="38"/>
      <c r="AG2207" s="38"/>
      <c r="AH2207" s="38"/>
    </row>
    <row r="2208" spans="3:34" ht="20.100000000000001" customHeight="1">
      <c r="C2208" s="113"/>
      <c r="D2208" s="114"/>
      <c r="P2208" s="82"/>
      <c r="Q2208" s="82"/>
      <c r="R2208" s="38"/>
      <c r="S2208" s="38"/>
      <c r="T2208" s="38"/>
      <c r="U2208" s="38"/>
      <c r="V2208" s="38"/>
      <c r="W2208" s="38"/>
      <c r="X2208" s="38"/>
      <c r="Y2208" s="38"/>
      <c r="Z2208" s="38"/>
      <c r="AA2208" s="38"/>
      <c r="AB2208" s="38"/>
      <c r="AC2208" s="38"/>
      <c r="AD2208" s="38"/>
      <c r="AE2208" s="38"/>
      <c r="AF2208" s="38"/>
      <c r="AG2208" s="38"/>
      <c r="AH2208" s="38"/>
    </row>
    <row r="2209" spans="3:34" ht="20.100000000000001" customHeight="1">
      <c r="C2209" s="113"/>
      <c r="D2209" s="114"/>
      <c r="P2209" s="82"/>
      <c r="Q2209" s="82"/>
      <c r="R2209" s="38"/>
      <c r="S2209" s="38"/>
      <c r="T2209" s="38"/>
      <c r="U2209" s="38"/>
      <c r="V2209" s="38"/>
      <c r="W2209" s="38"/>
      <c r="X2209" s="38"/>
      <c r="Y2209" s="38"/>
      <c r="Z2209" s="38"/>
      <c r="AA2209" s="38"/>
      <c r="AB2209" s="38"/>
      <c r="AC2209" s="38"/>
      <c r="AD2209" s="38"/>
      <c r="AE2209" s="38"/>
      <c r="AF2209" s="38"/>
      <c r="AG2209" s="38"/>
      <c r="AH2209" s="38"/>
    </row>
    <row r="2210" spans="3:34" ht="20.100000000000001" customHeight="1">
      <c r="C2210" s="113"/>
      <c r="D2210" s="114"/>
      <c r="P2210" s="82"/>
      <c r="Q2210" s="82"/>
      <c r="R2210" s="38"/>
      <c r="S2210" s="38"/>
      <c r="T2210" s="38"/>
      <c r="U2210" s="38"/>
      <c r="V2210" s="38"/>
      <c r="W2210" s="38"/>
      <c r="X2210" s="38"/>
      <c r="Y2210" s="38"/>
      <c r="Z2210" s="38"/>
      <c r="AA2210" s="38"/>
      <c r="AB2210" s="38"/>
      <c r="AC2210" s="38"/>
      <c r="AD2210" s="38"/>
      <c r="AE2210" s="38"/>
      <c r="AF2210" s="38"/>
      <c r="AG2210" s="38"/>
      <c r="AH2210" s="38"/>
    </row>
    <row r="2211" spans="3:34" ht="20.100000000000001" customHeight="1">
      <c r="C2211" s="113"/>
      <c r="D2211" s="114"/>
      <c r="P2211" s="82"/>
      <c r="Q2211" s="82"/>
      <c r="R2211" s="38"/>
      <c r="S2211" s="38"/>
      <c r="T2211" s="38"/>
      <c r="U2211" s="38"/>
      <c r="V2211" s="38"/>
      <c r="W2211" s="38"/>
      <c r="X2211" s="38"/>
      <c r="Y2211" s="38"/>
      <c r="Z2211" s="38"/>
      <c r="AA2211" s="38"/>
      <c r="AB2211" s="38"/>
      <c r="AC2211" s="38"/>
      <c r="AD2211" s="38"/>
      <c r="AE2211" s="38"/>
      <c r="AF2211" s="38"/>
      <c r="AG2211" s="38"/>
      <c r="AH2211" s="38"/>
    </row>
    <row r="2212" spans="3:34" ht="20.100000000000001" customHeight="1">
      <c r="C2212" s="113"/>
      <c r="D2212" s="114"/>
      <c r="P2212" s="82"/>
      <c r="Q2212" s="82"/>
      <c r="R2212" s="38"/>
      <c r="S2212" s="38"/>
      <c r="T2212" s="38"/>
      <c r="U2212" s="38"/>
      <c r="V2212" s="38"/>
      <c r="W2212" s="38"/>
      <c r="X2212" s="38"/>
      <c r="Y2212" s="38"/>
      <c r="Z2212" s="38"/>
      <c r="AA2212" s="38"/>
      <c r="AB2212" s="38"/>
      <c r="AC2212" s="38"/>
      <c r="AD2212" s="38"/>
      <c r="AE2212" s="38"/>
      <c r="AF2212" s="38"/>
      <c r="AG2212" s="38"/>
      <c r="AH2212" s="38"/>
    </row>
    <row r="2213" spans="3:34" ht="20.100000000000001" customHeight="1">
      <c r="C2213" s="113"/>
      <c r="D2213" s="114"/>
      <c r="P2213" s="82"/>
      <c r="Q2213" s="82"/>
      <c r="R2213" s="38"/>
      <c r="S2213" s="38"/>
      <c r="T2213" s="38"/>
      <c r="U2213" s="38"/>
      <c r="V2213" s="38"/>
      <c r="W2213" s="38"/>
      <c r="X2213" s="38"/>
      <c r="Y2213" s="38"/>
      <c r="Z2213" s="38"/>
      <c r="AA2213" s="38"/>
      <c r="AB2213" s="38"/>
      <c r="AC2213" s="38"/>
      <c r="AD2213" s="38"/>
      <c r="AE2213" s="38"/>
      <c r="AF2213" s="38"/>
      <c r="AG2213" s="38"/>
      <c r="AH2213" s="38"/>
    </row>
    <row r="2214" spans="3:34" ht="20.100000000000001" customHeight="1">
      <c r="C2214" s="113"/>
      <c r="D2214" s="114"/>
      <c r="P2214" s="82"/>
      <c r="Q2214" s="82"/>
      <c r="R2214" s="38"/>
      <c r="S2214" s="38"/>
      <c r="T2214" s="38"/>
      <c r="U2214" s="38"/>
      <c r="V2214" s="38"/>
      <c r="W2214" s="38"/>
      <c r="X2214" s="38"/>
      <c r="Y2214" s="38"/>
      <c r="Z2214" s="38"/>
      <c r="AA2214" s="38"/>
      <c r="AB2214" s="38"/>
      <c r="AC2214" s="38"/>
      <c r="AD2214" s="38"/>
      <c r="AE2214" s="38"/>
      <c r="AF2214" s="38"/>
      <c r="AG2214" s="38"/>
      <c r="AH2214" s="38"/>
    </row>
    <row r="2215" spans="3:34" ht="20.100000000000001" customHeight="1">
      <c r="C2215" s="113"/>
      <c r="D2215" s="114"/>
      <c r="P2215" s="82"/>
      <c r="Q2215" s="82"/>
      <c r="R2215" s="38"/>
      <c r="S2215" s="38"/>
      <c r="T2215" s="38"/>
      <c r="U2215" s="38"/>
      <c r="V2215" s="38"/>
      <c r="W2215" s="38"/>
      <c r="X2215" s="38"/>
      <c r="Y2215" s="38"/>
      <c r="Z2215" s="38"/>
      <c r="AA2215" s="38"/>
      <c r="AB2215" s="38"/>
      <c r="AC2215" s="38"/>
      <c r="AD2215" s="38"/>
      <c r="AE2215" s="38"/>
      <c r="AF2215" s="38"/>
      <c r="AG2215" s="38"/>
      <c r="AH2215" s="38"/>
    </row>
    <row r="2216" spans="3:34" ht="20.100000000000001" customHeight="1">
      <c r="C2216" s="113"/>
      <c r="D2216" s="114"/>
      <c r="P2216" s="82"/>
      <c r="Q2216" s="82"/>
      <c r="R2216" s="38"/>
      <c r="S2216" s="38"/>
      <c r="T2216" s="38"/>
      <c r="U2216" s="38"/>
      <c r="V2216" s="38"/>
      <c r="W2216" s="38"/>
      <c r="X2216" s="38"/>
      <c r="Y2216" s="38"/>
      <c r="Z2216" s="38"/>
      <c r="AA2216" s="38"/>
      <c r="AB2216" s="38"/>
      <c r="AC2216" s="38"/>
      <c r="AD2216" s="38"/>
      <c r="AE2216" s="38"/>
      <c r="AF2216" s="38"/>
      <c r="AG2216" s="38"/>
      <c r="AH2216" s="38"/>
    </row>
    <row r="2217" spans="3:34" ht="20.100000000000001" customHeight="1">
      <c r="C2217" s="113"/>
      <c r="D2217" s="114"/>
      <c r="P2217" s="82"/>
      <c r="Q2217" s="82"/>
      <c r="R2217" s="38"/>
      <c r="S2217" s="38"/>
      <c r="T2217" s="38"/>
      <c r="U2217" s="38"/>
      <c r="V2217" s="38"/>
      <c r="W2217" s="38"/>
      <c r="X2217" s="38"/>
      <c r="Y2217" s="38"/>
      <c r="Z2217" s="38"/>
      <c r="AA2217" s="38"/>
      <c r="AB2217" s="38"/>
      <c r="AC2217" s="38"/>
      <c r="AD2217" s="38"/>
      <c r="AE2217" s="38"/>
      <c r="AF2217" s="38"/>
      <c r="AG2217" s="38"/>
      <c r="AH2217" s="38"/>
    </row>
    <row r="2218" spans="3:34" ht="20.100000000000001" customHeight="1">
      <c r="C2218" s="113"/>
      <c r="D2218" s="114"/>
      <c r="P2218" s="82"/>
      <c r="Q2218" s="82"/>
      <c r="R2218" s="38"/>
      <c r="S2218" s="38"/>
      <c r="T2218" s="38"/>
      <c r="U2218" s="38"/>
      <c r="V2218" s="38"/>
      <c r="W2218" s="38"/>
      <c r="X2218" s="38"/>
      <c r="Y2218" s="38"/>
      <c r="Z2218" s="38"/>
      <c r="AA2218" s="38"/>
      <c r="AB2218" s="38"/>
      <c r="AC2218" s="38"/>
      <c r="AD2218" s="38"/>
      <c r="AE2218" s="38"/>
      <c r="AF2218" s="38"/>
      <c r="AG2218" s="38"/>
      <c r="AH2218" s="38"/>
    </row>
    <row r="2219" spans="3:34" ht="20.100000000000001" customHeight="1">
      <c r="C2219" s="113"/>
      <c r="D2219" s="114"/>
      <c r="P2219" s="82"/>
      <c r="Q2219" s="82"/>
      <c r="R2219" s="38"/>
      <c r="S2219" s="38"/>
      <c r="T2219" s="38"/>
      <c r="U2219" s="38"/>
      <c r="V2219" s="38"/>
      <c r="W2219" s="38"/>
      <c r="X2219" s="38"/>
      <c r="Y2219" s="38"/>
      <c r="Z2219" s="38"/>
      <c r="AA2219" s="38"/>
      <c r="AB2219" s="38"/>
      <c r="AC2219" s="38"/>
      <c r="AD2219" s="38"/>
      <c r="AE2219" s="38"/>
      <c r="AF2219" s="38"/>
      <c r="AG2219" s="38"/>
      <c r="AH2219" s="38"/>
    </row>
    <row r="2220" spans="3:34" ht="20.100000000000001" customHeight="1">
      <c r="C2220" s="113"/>
      <c r="D2220" s="114"/>
      <c r="P2220" s="82"/>
      <c r="Q2220" s="82"/>
      <c r="R2220" s="38"/>
      <c r="S2220" s="38"/>
      <c r="T2220" s="38"/>
      <c r="U2220" s="38"/>
      <c r="V2220" s="38"/>
      <c r="W2220" s="38"/>
      <c r="X2220" s="38"/>
      <c r="Y2220" s="38"/>
      <c r="Z2220" s="38"/>
      <c r="AA2220" s="38"/>
      <c r="AB2220" s="38"/>
      <c r="AC2220" s="38"/>
      <c r="AD2220" s="38"/>
      <c r="AE2220" s="38"/>
      <c r="AF2220" s="38"/>
      <c r="AG2220" s="38"/>
      <c r="AH2220" s="38"/>
    </row>
    <row r="2221" spans="3:34" ht="20.100000000000001" customHeight="1">
      <c r="C2221" s="113"/>
      <c r="D2221" s="114"/>
      <c r="P2221" s="82"/>
      <c r="Q2221" s="82"/>
      <c r="R2221" s="38"/>
      <c r="S2221" s="38"/>
      <c r="T2221" s="38"/>
      <c r="U2221" s="38"/>
      <c r="V2221" s="38"/>
      <c r="W2221" s="38"/>
      <c r="X2221" s="38"/>
      <c r="Y2221" s="38"/>
      <c r="Z2221" s="38"/>
      <c r="AA2221" s="38"/>
      <c r="AB2221" s="38"/>
      <c r="AC2221" s="38"/>
      <c r="AD2221" s="38"/>
      <c r="AE2221" s="38"/>
      <c r="AF2221" s="38"/>
      <c r="AG2221" s="38"/>
      <c r="AH2221" s="38"/>
    </row>
    <row r="2222" spans="3:34" ht="20.100000000000001" customHeight="1">
      <c r="C2222" s="113"/>
      <c r="D2222" s="114"/>
      <c r="P2222" s="82"/>
      <c r="Q2222" s="82"/>
      <c r="R2222" s="38"/>
      <c r="S2222" s="38"/>
      <c r="T2222" s="38"/>
      <c r="U2222" s="38"/>
      <c r="V2222" s="38"/>
      <c r="W2222" s="38"/>
      <c r="X2222" s="38"/>
      <c r="Y2222" s="38"/>
      <c r="Z2222" s="38"/>
      <c r="AA2222" s="38"/>
      <c r="AB2222" s="38"/>
      <c r="AC2222" s="38"/>
      <c r="AD2222" s="38"/>
      <c r="AE2222" s="38"/>
      <c r="AF2222" s="38"/>
      <c r="AG2222" s="38"/>
      <c r="AH2222" s="38"/>
    </row>
    <row r="2223" spans="3:34" ht="20.100000000000001" customHeight="1">
      <c r="C2223" s="113"/>
      <c r="D2223" s="114"/>
      <c r="P2223" s="82"/>
      <c r="Q2223" s="82"/>
      <c r="R2223" s="38"/>
      <c r="S2223" s="38"/>
      <c r="T2223" s="38"/>
      <c r="U2223" s="38"/>
      <c r="V2223" s="38"/>
      <c r="W2223" s="38"/>
      <c r="X2223" s="38"/>
      <c r="Y2223" s="38"/>
      <c r="Z2223" s="38"/>
      <c r="AA2223" s="38"/>
      <c r="AB2223" s="38"/>
      <c r="AC2223" s="38"/>
      <c r="AD2223" s="38"/>
      <c r="AE2223" s="38"/>
      <c r="AF2223" s="38"/>
      <c r="AG2223" s="38"/>
      <c r="AH2223" s="38"/>
    </row>
    <row r="2224" spans="3:34" ht="20.100000000000001" customHeight="1">
      <c r="C2224" s="113"/>
      <c r="D2224" s="114"/>
      <c r="P2224" s="82"/>
      <c r="Q2224" s="82"/>
      <c r="R2224" s="38"/>
      <c r="S2224" s="38"/>
      <c r="T2224" s="38"/>
      <c r="U2224" s="38"/>
      <c r="V2224" s="38"/>
      <c r="W2224" s="38"/>
      <c r="X2224" s="38"/>
      <c r="Y2224" s="38"/>
      <c r="Z2224" s="38"/>
      <c r="AA2224" s="38"/>
      <c r="AB2224" s="38"/>
      <c r="AC2224" s="38"/>
      <c r="AD2224" s="38"/>
      <c r="AE2224" s="38"/>
      <c r="AF2224" s="38"/>
      <c r="AG2224" s="38"/>
      <c r="AH2224" s="38"/>
    </row>
    <row r="2225" spans="3:34" ht="20.100000000000001" customHeight="1">
      <c r="C2225" s="113"/>
      <c r="D2225" s="114"/>
      <c r="P2225" s="82"/>
      <c r="Q2225" s="82"/>
      <c r="R2225" s="38"/>
      <c r="S2225" s="38"/>
      <c r="T2225" s="38"/>
      <c r="U2225" s="38"/>
      <c r="V2225" s="38"/>
      <c r="W2225" s="38"/>
      <c r="X2225" s="38"/>
      <c r="Y2225" s="38"/>
      <c r="Z2225" s="38"/>
      <c r="AA2225" s="38"/>
      <c r="AB2225" s="38"/>
      <c r="AC2225" s="38"/>
      <c r="AD2225" s="38"/>
      <c r="AE2225" s="38"/>
      <c r="AF2225" s="38"/>
      <c r="AG2225" s="38"/>
      <c r="AH2225" s="38"/>
    </row>
    <row r="2226" spans="3:34" ht="20.100000000000001" customHeight="1">
      <c r="C2226" s="113"/>
      <c r="D2226" s="114"/>
      <c r="P2226" s="82"/>
      <c r="Q2226" s="82"/>
      <c r="R2226" s="38"/>
      <c r="S2226" s="38"/>
      <c r="T2226" s="38"/>
      <c r="U2226" s="38"/>
      <c r="V2226" s="38"/>
      <c r="W2226" s="38"/>
      <c r="X2226" s="38"/>
      <c r="Y2226" s="38"/>
      <c r="Z2226" s="38"/>
      <c r="AA2226" s="38"/>
      <c r="AB2226" s="38"/>
      <c r="AC2226" s="38"/>
      <c r="AD2226" s="38"/>
      <c r="AE2226" s="38"/>
      <c r="AF2226" s="38"/>
      <c r="AG2226" s="38"/>
      <c r="AH2226" s="38"/>
    </row>
    <row r="2227" spans="3:34" ht="20.100000000000001" customHeight="1">
      <c r="C2227" s="113"/>
      <c r="D2227" s="114"/>
      <c r="P2227" s="82"/>
      <c r="Q2227" s="82"/>
      <c r="R2227" s="38"/>
      <c r="S2227" s="38"/>
      <c r="T2227" s="38"/>
      <c r="U2227" s="38"/>
      <c r="V2227" s="38"/>
      <c r="W2227" s="38"/>
      <c r="X2227" s="38"/>
      <c r="Y2227" s="38"/>
      <c r="Z2227" s="38"/>
      <c r="AA2227" s="38"/>
      <c r="AB2227" s="38"/>
      <c r="AC2227" s="38"/>
      <c r="AD2227" s="38"/>
      <c r="AE2227" s="38"/>
      <c r="AF2227" s="38"/>
      <c r="AG2227" s="38"/>
      <c r="AH2227" s="38"/>
    </row>
    <row r="2228" spans="3:34" ht="20.100000000000001" customHeight="1">
      <c r="C2228" s="113"/>
      <c r="D2228" s="114"/>
      <c r="P2228" s="82"/>
      <c r="Q2228" s="82"/>
      <c r="R2228" s="38"/>
      <c r="S2228" s="38"/>
      <c r="T2228" s="38"/>
      <c r="U2228" s="38"/>
      <c r="V2228" s="38"/>
      <c r="W2228" s="38"/>
      <c r="X2228" s="38"/>
      <c r="Y2228" s="38"/>
      <c r="Z2228" s="38"/>
      <c r="AA2228" s="38"/>
      <c r="AB2228" s="38"/>
      <c r="AC2228" s="38"/>
      <c r="AD2228" s="38"/>
      <c r="AE2228" s="38"/>
      <c r="AF2228" s="38"/>
      <c r="AG2228" s="38"/>
      <c r="AH2228" s="38"/>
    </row>
    <row r="2229" spans="3:34" ht="20.100000000000001" customHeight="1">
      <c r="C2229" s="113"/>
      <c r="D2229" s="114"/>
      <c r="P2229" s="82"/>
      <c r="Q2229" s="82"/>
      <c r="R2229" s="38"/>
      <c r="S2229" s="38"/>
      <c r="T2229" s="38"/>
      <c r="U2229" s="38"/>
      <c r="V2229" s="38"/>
      <c r="W2229" s="38"/>
      <c r="X2229" s="38"/>
      <c r="Y2229" s="38"/>
      <c r="Z2229" s="38"/>
      <c r="AA2229" s="38"/>
      <c r="AB2229" s="38"/>
      <c r="AC2229" s="38"/>
      <c r="AD2229" s="38"/>
      <c r="AE2229" s="38"/>
      <c r="AF2229" s="38"/>
      <c r="AG2229" s="38"/>
      <c r="AH2229" s="38"/>
    </row>
    <row r="2230" spans="3:34" ht="20.100000000000001" customHeight="1">
      <c r="C2230" s="113"/>
      <c r="D2230" s="114"/>
      <c r="P2230" s="82"/>
      <c r="Q2230" s="82"/>
      <c r="R2230" s="38"/>
      <c r="S2230" s="38"/>
      <c r="T2230" s="38"/>
      <c r="U2230" s="38"/>
      <c r="V2230" s="38"/>
      <c r="W2230" s="38"/>
      <c r="X2230" s="38"/>
      <c r="Y2230" s="38"/>
      <c r="Z2230" s="38"/>
      <c r="AA2230" s="38"/>
      <c r="AB2230" s="38"/>
      <c r="AC2230" s="38"/>
      <c r="AD2230" s="38"/>
      <c r="AE2230" s="38"/>
      <c r="AF2230" s="38"/>
      <c r="AG2230" s="38"/>
      <c r="AH2230" s="38"/>
    </row>
    <row r="2231" spans="3:34" ht="20.100000000000001" customHeight="1">
      <c r="C2231" s="113"/>
      <c r="D2231" s="114"/>
      <c r="P2231" s="82"/>
      <c r="Q2231" s="82"/>
      <c r="R2231" s="38"/>
      <c r="S2231" s="38"/>
      <c r="T2231" s="38"/>
      <c r="U2231" s="38"/>
      <c r="V2231" s="38"/>
      <c r="W2231" s="38"/>
      <c r="X2231" s="38"/>
      <c r="Y2231" s="38"/>
      <c r="Z2231" s="38"/>
      <c r="AA2231" s="38"/>
      <c r="AB2231" s="38"/>
      <c r="AC2231" s="38"/>
      <c r="AD2231" s="38"/>
      <c r="AE2231" s="38"/>
      <c r="AF2231" s="38"/>
      <c r="AG2231" s="38"/>
      <c r="AH2231" s="38"/>
    </row>
    <row r="2232" spans="3:34" ht="20.100000000000001" customHeight="1">
      <c r="C2232" s="113"/>
      <c r="D2232" s="114"/>
      <c r="P2232" s="82"/>
      <c r="Q2232" s="82"/>
      <c r="R2232" s="38"/>
      <c r="S2232" s="38"/>
      <c r="T2232" s="38"/>
      <c r="U2232" s="38"/>
      <c r="V2232" s="38"/>
      <c r="W2232" s="38"/>
      <c r="X2232" s="38"/>
      <c r="Y2232" s="38"/>
      <c r="Z2232" s="38"/>
      <c r="AA2232" s="38"/>
      <c r="AB2232" s="38"/>
      <c r="AC2232" s="38"/>
      <c r="AD2232" s="38"/>
      <c r="AE2232" s="38"/>
      <c r="AF2232" s="38"/>
      <c r="AG2232" s="38"/>
      <c r="AH2232" s="38"/>
    </row>
    <row r="2233" spans="3:34" ht="20.100000000000001" customHeight="1">
      <c r="C2233" s="113"/>
      <c r="D2233" s="114"/>
      <c r="P2233" s="82"/>
      <c r="Q2233" s="82"/>
      <c r="R2233" s="38"/>
      <c r="S2233" s="38"/>
      <c r="T2233" s="38"/>
      <c r="U2233" s="38"/>
      <c r="V2233" s="38"/>
      <c r="W2233" s="38"/>
      <c r="X2233" s="38"/>
      <c r="Y2233" s="38"/>
      <c r="Z2233" s="38"/>
      <c r="AA2233" s="38"/>
      <c r="AB2233" s="38"/>
      <c r="AC2233" s="38"/>
      <c r="AD2233" s="38"/>
      <c r="AE2233" s="38"/>
      <c r="AF2233" s="38"/>
      <c r="AG2233" s="38"/>
      <c r="AH2233" s="38"/>
    </row>
    <row r="2234" spans="3:34" ht="20.100000000000001" customHeight="1">
      <c r="C2234" s="113"/>
      <c r="D2234" s="114"/>
      <c r="P2234" s="82"/>
      <c r="Q2234" s="82"/>
      <c r="R2234" s="38"/>
      <c r="S2234" s="38"/>
      <c r="T2234" s="38"/>
      <c r="U2234" s="38"/>
      <c r="V2234" s="38"/>
      <c r="W2234" s="38"/>
      <c r="X2234" s="38"/>
      <c r="Y2234" s="38"/>
      <c r="Z2234" s="38"/>
      <c r="AA2234" s="38"/>
      <c r="AB2234" s="38"/>
      <c r="AC2234" s="38"/>
      <c r="AD2234" s="38"/>
      <c r="AE2234" s="38"/>
      <c r="AF2234" s="38"/>
      <c r="AG2234" s="38"/>
      <c r="AH2234" s="38"/>
    </row>
    <row r="2235" spans="3:34" ht="20.100000000000001" customHeight="1">
      <c r="C2235" s="113"/>
      <c r="D2235" s="114"/>
      <c r="P2235" s="82"/>
      <c r="Q2235" s="82"/>
      <c r="R2235" s="38"/>
      <c r="S2235" s="38"/>
      <c r="T2235" s="38"/>
      <c r="U2235" s="38"/>
      <c r="V2235" s="38"/>
      <c r="W2235" s="38"/>
      <c r="X2235" s="38"/>
      <c r="Y2235" s="38"/>
      <c r="Z2235" s="38"/>
      <c r="AA2235" s="38"/>
      <c r="AB2235" s="38"/>
      <c r="AC2235" s="38"/>
      <c r="AD2235" s="38"/>
      <c r="AE2235" s="38"/>
      <c r="AF2235" s="38"/>
      <c r="AG2235" s="38"/>
      <c r="AH2235" s="38"/>
    </row>
    <row r="2236" spans="3:34" ht="20.100000000000001" customHeight="1">
      <c r="C2236" s="113"/>
      <c r="D2236" s="114"/>
      <c r="P2236" s="82"/>
      <c r="Q2236" s="82"/>
      <c r="R2236" s="38"/>
      <c r="S2236" s="38"/>
      <c r="T2236" s="38"/>
      <c r="U2236" s="38"/>
      <c r="V2236" s="38"/>
      <c r="W2236" s="38"/>
      <c r="X2236" s="38"/>
      <c r="Y2236" s="38"/>
      <c r="Z2236" s="38"/>
      <c r="AA2236" s="38"/>
      <c r="AB2236" s="38"/>
      <c r="AC2236" s="38"/>
      <c r="AD2236" s="38"/>
      <c r="AE2236" s="38"/>
      <c r="AF2236" s="38"/>
      <c r="AG2236" s="38"/>
      <c r="AH2236" s="38"/>
    </row>
    <row r="2237" spans="3:34" ht="20.100000000000001" customHeight="1">
      <c r="C2237" s="113"/>
      <c r="D2237" s="114"/>
      <c r="P2237" s="82"/>
      <c r="Q2237" s="82"/>
      <c r="R2237" s="38"/>
      <c r="S2237" s="38"/>
      <c r="T2237" s="38"/>
      <c r="U2237" s="38"/>
      <c r="V2237" s="38"/>
      <c r="W2237" s="38"/>
      <c r="X2237" s="38"/>
      <c r="Y2237" s="38"/>
      <c r="Z2237" s="38"/>
      <c r="AA2237" s="38"/>
      <c r="AB2237" s="38"/>
      <c r="AC2237" s="38"/>
      <c r="AD2237" s="38"/>
      <c r="AE2237" s="38"/>
      <c r="AF2237" s="38"/>
      <c r="AG2237" s="38"/>
      <c r="AH2237" s="38"/>
    </row>
    <row r="2238" spans="3:34" ht="20.100000000000001" customHeight="1">
      <c r="C2238" s="113"/>
      <c r="D2238" s="114"/>
      <c r="P2238" s="82"/>
      <c r="Q2238" s="82"/>
      <c r="R2238" s="38"/>
      <c r="S2238" s="38"/>
      <c r="T2238" s="38"/>
      <c r="U2238" s="38"/>
      <c r="V2238" s="38"/>
      <c r="W2238" s="38"/>
      <c r="X2238" s="38"/>
      <c r="Y2238" s="38"/>
      <c r="Z2238" s="38"/>
      <c r="AA2238" s="38"/>
      <c r="AB2238" s="38"/>
      <c r="AC2238" s="38"/>
      <c r="AD2238" s="38"/>
      <c r="AE2238" s="38"/>
      <c r="AF2238" s="38"/>
      <c r="AG2238" s="38"/>
      <c r="AH2238" s="38"/>
    </row>
    <row r="2239" spans="3:34" ht="20.100000000000001" customHeight="1">
      <c r="C2239" s="113"/>
      <c r="D2239" s="114"/>
      <c r="P2239" s="82"/>
      <c r="Q2239" s="82"/>
      <c r="R2239" s="38"/>
      <c r="S2239" s="38"/>
      <c r="T2239" s="38"/>
      <c r="U2239" s="38"/>
      <c r="V2239" s="38"/>
      <c r="W2239" s="38"/>
      <c r="X2239" s="38"/>
      <c r="Y2239" s="38"/>
      <c r="Z2239" s="38"/>
      <c r="AA2239" s="38"/>
      <c r="AB2239" s="38"/>
      <c r="AC2239" s="38"/>
      <c r="AD2239" s="38"/>
      <c r="AE2239" s="38"/>
      <c r="AF2239" s="38"/>
      <c r="AG2239" s="38"/>
      <c r="AH2239" s="38"/>
    </row>
    <row r="2240" spans="3:34" ht="20.100000000000001" customHeight="1">
      <c r="C2240" s="113"/>
      <c r="D2240" s="114"/>
      <c r="P2240" s="82"/>
      <c r="Q2240" s="82"/>
      <c r="R2240" s="38"/>
      <c r="S2240" s="38"/>
      <c r="T2240" s="38"/>
      <c r="U2240" s="38"/>
      <c r="V2240" s="38"/>
      <c r="W2240" s="38"/>
      <c r="X2240" s="38"/>
      <c r="Y2240" s="38"/>
      <c r="Z2240" s="38"/>
      <c r="AA2240" s="38"/>
      <c r="AB2240" s="38"/>
      <c r="AC2240" s="38"/>
      <c r="AD2240" s="38"/>
      <c r="AE2240" s="38"/>
      <c r="AF2240" s="38"/>
      <c r="AG2240" s="38"/>
      <c r="AH2240" s="38"/>
    </row>
    <row r="2241" spans="3:34" ht="20.100000000000001" customHeight="1">
      <c r="C2241" s="113"/>
      <c r="D2241" s="114"/>
      <c r="P2241" s="82"/>
      <c r="Q2241" s="82"/>
      <c r="R2241" s="38"/>
      <c r="S2241" s="38"/>
      <c r="T2241" s="38"/>
      <c r="U2241" s="38"/>
      <c r="V2241" s="38"/>
      <c r="W2241" s="38"/>
      <c r="X2241" s="38"/>
      <c r="Y2241" s="38"/>
      <c r="Z2241" s="38"/>
      <c r="AA2241" s="38"/>
      <c r="AB2241" s="38"/>
      <c r="AC2241" s="38"/>
      <c r="AD2241" s="38"/>
      <c r="AE2241" s="38"/>
      <c r="AF2241" s="38"/>
      <c r="AG2241" s="38"/>
      <c r="AH2241" s="38"/>
    </row>
    <row r="2242" spans="3:34" ht="20.100000000000001" customHeight="1">
      <c r="C2242" s="113"/>
      <c r="D2242" s="114"/>
      <c r="P2242" s="82"/>
      <c r="Q2242" s="82"/>
      <c r="R2242" s="38"/>
      <c r="S2242" s="38"/>
      <c r="T2242" s="38"/>
      <c r="U2242" s="38"/>
      <c r="V2242" s="38"/>
      <c r="W2242" s="38"/>
      <c r="X2242" s="38"/>
      <c r="Y2242" s="38"/>
      <c r="Z2242" s="38"/>
      <c r="AA2242" s="38"/>
      <c r="AB2242" s="38"/>
      <c r="AC2242" s="38"/>
      <c r="AD2242" s="38"/>
      <c r="AE2242" s="38"/>
      <c r="AF2242" s="38"/>
      <c r="AG2242" s="38"/>
      <c r="AH2242" s="38"/>
    </row>
    <row r="2243" spans="3:34" ht="20.100000000000001" customHeight="1">
      <c r="C2243" s="113"/>
      <c r="D2243" s="114"/>
      <c r="P2243" s="82"/>
      <c r="Q2243" s="82"/>
      <c r="R2243" s="38"/>
      <c r="S2243" s="38"/>
      <c r="T2243" s="38"/>
      <c r="U2243" s="38"/>
      <c r="V2243" s="38"/>
      <c r="W2243" s="38"/>
      <c r="X2243" s="38"/>
      <c r="Y2243" s="38"/>
      <c r="Z2243" s="38"/>
      <c r="AA2243" s="38"/>
      <c r="AB2243" s="38"/>
      <c r="AC2243" s="38"/>
      <c r="AD2243" s="38"/>
      <c r="AE2243" s="38"/>
      <c r="AF2243" s="38"/>
      <c r="AG2243" s="38"/>
      <c r="AH2243" s="38"/>
    </row>
    <row r="2244" spans="3:34" ht="20.100000000000001" customHeight="1">
      <c r="C2244" s="113"/>
      <c r="D2244" s="114"/>
      <c r="P2244" s="82"/>
      <c r="Q2244" s="82"/>
      <c r="R2244" s="38"/>
      <c r="S2244" s="38"/>
      <c r="T2244" s="38"/>
      <c r="U2244" s="38"/>
      <c r="V2244" s="38"/>
      <c r="W2244" s="38"/>
      <c r="X2244" s="38"/>
      <c r="Y2244" s="38"/>
      <c r="Z2244" s="38"/>
      <c r="AA2244" s="38"/>
      <c r="AB2244" s="38"/>
      <c r="AC2244" s="38"/>
      <c r="AD2244" s="38"/>
      <c r="AE2244" s="38"/>
      <c r="AF2244" s="38"/>
      <c r="AG2244" s="38"/>
      <c r="AH2244" s="38"/>
    </row>
    <row r="2245" spans="3:34" ht="20.100000000000001" customHeight="1">
      <c r="C2245" s="113"/>
      <c r="D2245" s="114"/>
      <c r="P2245" s="82"/>
      <c r="Q2245" s="82"/>
      <c r="R2245" s="38"/>
      <c r="S2245" s="38"/>
      <c r="T2245" s="38"/>
      <c r="U2245" s="38"/>
      <c r="V2245" s="38"/>
      <c r="W2245" s="38"/>
      <c r="X2245" s="38"/>
      <c r="Y2245" s="38"/>
      <c r="Z2245" s="38"/>
      <c r="AA2245" s="38"/>
      <c r="AB2245" s="38"/>
      <c r="AC2245" s="38"/>
      <c r="AD2245" s="38"/>
      <c r="AE2245" s="38"/>
      <c r="AF2245" s="38"/>
      <c r="AG2245" s="38"/>
      <c r="AH2245" s="38"/>
    </row>
    <row r="2246" spans="3:34" ht="20.100000000000001" customHeight="1">
      <c r="C2246" s="113"/>
      <c r="D2246" s="114"/>
      <c r="P2246" s="82"/>
      <c r="Q2246" s="82"/>
      <c r="R2246" s="38"/>
      <c r="S2246" s="38"/>
      <c r="T2246" s="38"/>
      <c r="U2246" s="38"/>
      <c r="V2246" s="38"/>
      <c r="W2246" s="38"/>
      <c r="X2246" s="38"/>
      <c r="Y2246" s="38"/>
      <c r="Z2246" s="38"/>
      <c r="AA2246" s="38"/>
      <c r="AB2246" s="38"/>
      <c r="AC2246" s="38"/>
      <c r="AD2246" s="38"/>
      <c r="AE2246" s="38"/>
      <c r="AF2246" s="38"/>
      <c r="AG2246" s="38"/>
      <c r="AH2246" s="38"/>
    </row>
    <row r="2247" spans="3:34" ht="20.100000000000001" customHeight="1">
      <c r="C2247" s="113"/>
      <c r="D2247" s="114"/>
      <c r="P2247" s="82"/>
      <c r="Q2247" s="82"/>
      <c r="R2247" s="38"/>
      <c r="S2247" s="38"/>
      <c r="T2247" s="38"/>
      <c r="U2247" s="38"/>
      <c r="V2247" s="38"/>
      <c r="W2247" s="38"/>
      <c r="X2247" s="38"/>
      <c r="Y2247" s="38"/>
      <c r="Z2247" s="38"/>
      <c r="AA2247" s="38"/>
      <c r="AB2247" s="38"/>
      <c r="AC2247" s="38"/>
      <c r="AD2247" s="38"/>
      <c r="AE2247" s="38"/>
      <c r="AF2247" s="38"/>
      <c r="AG2247" s="38"/>
      <c r="AH2247" s="38"/>
    </row>
    <row r="2248" spans="3:34" ht="20.100000000000001" customHeight="1">
      <c r="C2248" s="113"/>
      <c r="D2248" s="114"/>
      <c r="P2248" s="82"/>
      <c r="Q2248" s="82"/>
      <c r="R2248" s="38"/>
      <c r="S2248" s="38"/>
      <c r="T2248" s="38"/>
      <c r="U2248" s="38"/>
      <c r="V2248" s="38"/>
      <c r="W2248" s="38"/>
      <c r="X2248" s="38"/>
      <c r="Y2248" s="38"/>
      <c r="Z2248" s="38"/>
      <c r="AA2248" s="38"/>
      <c r="AB2248" s="38"/>
      <c r="AC2248" s="38"/>
      <c r="AD2248" s="38"/>
      <c r="AE2248" s="38"/>
      <c r="AF2248" s="38"/>
      <c r="AG2248" s="38"/>
      <c r="AH2248" s="38"/>
    </row>
    <row r="2249" spans="3:34" ht="20.100000000000001" customHeight="1">
      <c r="C2249" s="113"/>
      <c r="D2249" s="114"/>
      <c r="P2249" s="82"/>
      <c r="Q2249" s="82"/>
      <c r="R2249" s="38"/>
      <c r="S2249" s="38"/>
      <c r="T2249" s="38"/>
      <c r="U2249" s="38"/>
      <c r="V2249" s="38"/>
      <c r="W2249" s="38"/>
      <c r="X2249" s="38"/>
      <c r="Y2249" s="38"/>
      <c r="Z2249" s="38"/>
      <c r="AA2249" s="38"/>
      <c r="AB2249" s="38"/>
      <c r="AC2249" s="38"/>
      <c r="AD2249" s="38"/>
      <c r="AE2249" s="38"/>
      <c r="AF2249" s="38"/>
      <c r="AG2249" s="38"/>
      <c r="AH2249" s="38"/>
    </row>
    <row r="2250" spans="3:34" ht="20.100000000000001" customHeight="1">
      <c r="C2250" s="113"/>
      <c r="D2250" s="114"/>
      <c r="P2250" s="82"/>
      <c r="Q2250" s="82"/>
      <c r="R2250" s="38"/>
      <c r="S2250" s="38"/>
      <c r="T2250" s="38"/>
      <c r="U2250" s="38"/>
      <c r="V2250" s="38"/>
      <c r="W2250" s="38"/>
      <c r="X2250" s="38"/>
      <c r="Y2250" s="38"/>
      <c r="Z2250" s="38"/>
      <c r="AA2250" s="38"/>
      <c r="AB2250" s="38"/>
      <c r="AC2250" s="38"/>
      <c r="AD2250" s="38"/>
      <c r="AE2250" s="38"/>
      <c r="AF2250" s="38"/>
      <c r="AG2250" s="38"/>
      <c r="AH2250" s="38"/>
    </row>
    <row r="2251" spans="3:34" ht="20.100000000000001" customHeight="1">
      <c r="C2251" s="113"/>
      <c r="D2251" s="114"/>
      <c r="P2251" s="82"/>
      <c r="Q2251" s="82"/>
      <c r="R2251" s="38"/>
      <c r="S2251" s="38"/>
      <c r="T2251" s="38"/>
      <c r="U2251" s="38"/>
      <c r="V2251" s="38"/>
      <c r="W2251" s="38"/>
      <c r="X2251" s="38"/>
      <c r="Y2251" s="38"/>
      <c r="Z2251" s="38"/>
      <c r="AA2251" s="38"/>
      <c r="AB2251" s="38"/>
      <c r="AC2251" s="38"/>
      <c r="AD2251" s="38"/>
      <c r="AE2251" s="38"/>
      <c r="AF2251" s="38"/>
      <c r="AG2251" s="38"/>
      <c r="AH2251" s="38"/>
    </row>
    <row r="2252" spans="3:34" ht="20.100000000000001" customHeight="1">
      <c r="C2252" s="113"/>
      <c r="D2252" s="114"/>
      <c r="P2252" s="82"/>
      <c r="Q2252" s="82"/>
      <c r="R2252" s="38"/>
      <c r="S2252" s="38"/>
      <c r="T2252" s="38"/>
      <c r="U2252" s="38"/>
      <c r="V2252" s="38"/>
      <c r="W2252" s="38"/>
      <c r="X2252" s="38"/>
      <c r="Y2252" s="38"/>
      <c r="Z2252" s="38"/>
      <c r="AA2252" s="38"/>
      <c r="AB2252" s="38"/>
      <c r="AC2252" s="38"/>
      <c r="AD2252" s="38"/>
      <c r="AE2252" s="38"/>
      <c r="AF2252" s="38"/>
      <c r="AG2252" s="38"/>
      <c r="AH2252" s="38"/>
    </row>
    <row r="2253" spans="3:34" ht="20.100000000000001" customHeight="1">
      <c r="C2253" s="113"/>
      <c r="D2253" s="114"/>
      <c r="P2253" s="82"/>
      <c r="Q2253" s="82"/>
      <c r="R2253" s="38"/>
      <c r="S2253" s="38"/>
      <c r="T2253" s="38"/>
      <c r="U2253" s="38"/>
      <c r="V2253" s="38"/>
      <c r="W2253" s="38"/>
      <c r="X2253" s="38"/>
      <c r="Y2253" s="38"/>
      <c r="Z2253" s="38"/>
      <c r="AA2253" s="38"/>
      <c r="AB2253" s="38"/>
      <c r="AC2253" s="38"/>
      <c r="AD2253" s="38"/>
      <c r="AE2253" s="38"/>
      <c r="AF2253" s="38"/>
      <c r="AG2253" s="38"/>
      <c r="AH2253" s="38"/>
    </row>
    <row r="2254" spans="3:34" ht="20.100000000000001" customHeight="1">
      <c r="C2254" s="113"/>
      <c r="D2254" s="114"/>
      <c r="P2254" s="82"/>
      <c r="Q2254" s="82"/>
      <c r="R2254" s="38"/>
      <c r="S2254" s="38"/>
      <c r="T2254" s="38"/>
      <c r="U2254" s="38"/>
      <c r="V2254" s="38"/>
      <c r="W2254" s="38"/>
      <c r="X2254" s="38"/>
      <c r="Y2254" s="38"/>
      <c r="Z2254" s="38"/>
      <c r="AA2254" s="38"/>
      <c r="AB2254" s="38"/>
      <c r="AC2254" s="38"/>
      <c r="AD2254" s="38"/>
      <c r="AE2254" s="38"/>
      <c r="AF2254" s="38"/>
      <c r="AG2254" s="38"/>
      <c r="AH2254" s="38"/>
    </row>
    <row r="2255" spans="3:34" ht="20.100000000000001" customHeight="1">
      <c r="C2255" s="113"/>
      <c r="D2255" s="114"/>
      <c r="P2255" s="82"/>
      <c r="Q2255" s="82"/>
      <c r="R2255" s="38"/>
      <c r="S2255" s="38"/>
      <c r="T2255" s="38"/>
      <c r="U2255" s="38"/>
      <c r="V2255" s="38"/>
      <c r="W2255" s="38"/>
      <c r="X2255" s="38"/>
      <c r="Y2255" s="38"/>
      <c r="Z2255" s="38"/>
      <c r="AA2255" s="38"/>
      <c r="AB2255" s="38"/>
      <c r="AC2255" s="38"/>
      <c r="AD2255" s="38"/>
      <c r="AE2255" s="38"/>
      <c r="AF2255" s="38"/>
      <c r="AG2255" s="38"/>
      <c r="AH2255" s="38"/>
    </row>
    <row r="2256" spans="3:34" ht="20.100000000000001" customHeight="1">
      <c r="C2256" s="113"/>
      <c r="D2256" s="114"/>
      <c r="P2256" s="82"/>
      <c r="Q2256" s="82"/>
      <c r="R2256" s="38"/>
      <c r="S2256" s="38"/>
      <c r="T2256" s="38"/>
      <c r="U2256" s="38"/>
      <c r="V2256" s="38"/>
      <c r="W2256" s="38"/>
      <c r="X2256" s="38"/>
      <c r="Y2256" s="38"/>
      <c r="Z2256" s="38"/>
      <c r="AA2256" s="38"/>
      <c r="AB2256" s="38"/>
      <c r="AC2256" s="38"/>
      <c r="AD2256" s="38"/>
      <c r="AE2256" s="38"/>
      <c r="AF2256" s="38"/>
      <c r="AG2256" s="38"/>
      <c r="AH2256" s="38"/>
    </row>
    <row r="2257" spans="3:34" ht="20.100000000000001" customHeight="1">
      <c r="C2257" s="113"/>
      <c r="D2257" s="114"/>
      <c r="P2257" s="82"/>
      <c r="Q2257" s="82"/>
      <c r="R2257" s="38"/>
      <c r="S2257" s="38"/>
      <c r="T2257" s="38"/>
      <c r="U2257" s="38"/>
      <c r="V2257" s="38"/>
      <c r="W2257" s="38"/>
      <c r="X2257" s="38"/>
      <c r="Y2257" s="38"/>
      <c r="Z2257" s="38"/>
      <c r="AA2257" s="38"/>
      <c r="AB2257" s="38"/>
      <c r="AC2257" s="38"/>
      <c r="AD2257" s="38"/>
      <c r="AE2257" s="38"/>
      <c r="AF2257" s="38"/>
      <c r="AG2257" s="38"/>
      <c r="AH2257" s="38"/>
    </row>
    <row r="2258" spans="3:34" ht="20.100000000000001" customHeight="1">
      <c r="C2258" s="113"/>
      <c r="D2258" s="114"/>
      <c r="P2258" s="82"/>
      <c r="Q2258" s="82"/>
      <c r="R2258" s="38"/>
      <c r="S2258" s="38"/>
      <c r="T2258" s="38"/>
      <c r="U2258" s="38"/>
      <c r="V2258" s="38"/>
      <c r="W2258" s="38"/>
      <c r="X2258" s="38"/>
      <c r="Y2258" s="38"/>
      <c r="Z2258" s="38"/>
      <c r="AA2258" s="38"/>
      <c r="AB2258" s="38"/>
      <c r="AC2258" s="38"/>
      <c r="AD2258" s="38"/>
      <c r="AE2258" s="38"/>
      <c r="AF2258" s="38"/>
      <c r="AG2258" s="38"/>
      <c r="AH2258" s="38"/>
    </row>
    <row r="2259" spans="3:34" ht="20.100000000000001" customHeight="1">
      <c r="C2259" s="113"/>
      <c r="D2259" s="114"/>
      <c r="P2259" s="82"/>
      <c r="Q2259" s="82"/>
      <c r="R2259" s="38"/>
      <c r="S2259" s="38"/>
      <c r="T2259" s="38"/>
      <c r="U2259" s="38"/>
      <c r="V2259" s="38"/>
      <c r="W2259" s="38"/>
      <c r="X2259" s="38"/>
      <c r="Y2259" s="38"/>
      <c r="Z2259" s="38"/>
      <c r="AA2259" s="38"/>
      <c r="AB2259" s="38"/>
      <c r="AC2259" s="38"/>
      <c r="AD2259" s="38"/>
      <c r="AE2259" s="38"/>
      <c r="AF2259" s="38"/>
      <c r="AG2259" s="38"/>
      <c r="AH2259" s="38"/>
    </row>
    <row r="2260" spans="3:34" ht="20.100000000000001" customHeight="1">
      <c r="C2260" s="113"/>
      <c r="D2260" s="114"/>
      <c r="P2260" s="82"/>
      <c r="Q2260" s="82"/>
      <c r="R2260" s="38"/>
      <c r="S2260" s="38"/>
      <c r="T2260" s="38"/>
      <c r="U2260" s="38"/>
      <c r="V2260" s="38"/>
      <c r="W2260" s="38"/>
      <c r="X2260" s="38"/>
      <c r="Y2260" s="38"/>
      <c r="Z2260" s="38"/>
      <c r="AA2260" s="38"/>
      <c r="AB2260" s="38"/>
      <c r="AC2260" s="38"/>
      <c r="AD2260" s="38"/>
      <c r="AE2260" s="38"/>
      <c r="AF2260" s="38"/>
      <c r="AG2260" s="38"/>
      <c r="AH2260" s="38"/>
    </row>
    <row r="2261" spans="3:34" ht="20.100000000000001" customHeight="1">
      <c r="C2261" s="113"/>
      <c r="D2261" s="114"/>
      <c r="P2261" s="82"/>
      <c r="Q2261" s="82"/>
      <c r="R2261" s="38"/>
      <c r="S2261" s="38"/>
      <c r="T2261" s="38"/>
      <c r="U2261" s="38"/>
      <c r="V2261" s="38"/>
      <c r="W2261" s="38"/>
      <c r="X2261" s="38"/>
      <c r="Y2261" s="38"/>
      <c r="Z2261" s="38"/>
      <c r="AA2261" s="38"/>
      <c r="AB2261" s="38"/>
      <c r="AC2261" s="38"/>
      <c r="AD2261" s="38"/>
      <c r="AE2261" s="38"/>
      <c r="AF2261" s="38"/>
      <c r="AG2261" s="38"/>
      <c r="AH2261" s="38"/>
    </row>
    <row r="2262" spans="3:34" ht="20.100000000000001" customHeight="1">
      <c r="C2262" s="113"/>
      <c r="D2262" s="114"/>
      <c r="P2262" s="82"/>
      <c r="Q2262" s="82"/>
      <c r="R2262" s="38"/>
      <c r="S2262" s="38"/>
      <c r="T2262" s="38"/>
      <c r="U2262" s="38"/>
      <c r="V2262" s="38"/>
      <c r="W2262" s="38"/>
      <c r="X2262" s="38"/>
      <c r="Y2262" s="38"/>
      <c r="Z2262" s="38"/>
      <c r="AA2262" s="38"/>
      <c r="AB2262" s="38"/>
      <c r="AC2262" s="38"/>
      <c r="AD2262" s="38"/>
      <c r="AE2262" s="38"/>
      <c r="AF2262" s="38"/>
      <c r="AG2262" s="38"/>
      <c r="AH2262" s="38"/>
    </row>
    <row r="2263" spans="3:34" ht="20.100000000000001" customHeight="1">
      <c r="C2263" s="113"/>
      <c r="D2263" s="114"/>
      <c r="P2263" s="82"/>
      <c r="Q2263" s="82"/>
      <c r="R2263" s="38"/>
      <c r="S2263" s="38"/>
      <c r="T2263" s="38"/>
      <c r="U2263" s="38"/>
      <c r="V2263" s="38"/>
      <c r="W2263" s="38"/>
      <c r="X2263" s="38"/>
      <c r="Y2263" s="38"/>
      <c r="Z2263" s="38"/>
      <c r="AA2263" s="38"/>
      <c r="AB2263" s="38"/>
      <c r="AC2263" s="38"/>
      <c r="AD2263" s="38"/>
      <c r="AE2263" s="38"/>
      <c r="AF2263" s="38"/>
      <c r="AG2263" s="38"/>
      <c r="AH2263" s="38"/>
    </row>
    <row r="2264" spans="3:34" ht="20.100000000000001" customHeight="1">
      <c r="C2264" s="113"/>
      <c r="D2264" s="114"/>
      <c r="P2264" s="82"/>
      <c r="Q2264" s="82"/>
      <c r="R2264" s="38"/>
      <c r="S2264" s="38"/>
      <c r="T2264" s="38"/>
      <c r="U2264" s="38"/>
      <c r="V2264" s="38"/>
      <c r="W2264" s="38"/>
      <c r="X2264" s="38"/>
      <c r="Y2264" s="38"/>
      <c r="Z2264" s="38"/>
      <c r="AA2264" s="38"/>
      <c r="AB2264" s="38"/>
      <c r="AC2264" s="38"/>
      <c r="AD2264" s="38"/>
      <c r="AE2264" s="38"/>
      <c r="AF2264" s="38"/>
      <c r="AG2264" s="38"/>
      <c r="AH2264" s="38"/>
    </row>
    <row r="2265" spans="3:34" ht="20.100000000000001" customHeight="1">
      <c r="C2265" s="113"/>
      <c r="D2265" s="114"/>
      <c r="P2265" s="82"/>
      <c r="Q2265" s="82"/>
      <c r="R2265" s="38"/>
      <c r="S2265" s="38"/>
      <c r="T2265" s="38"/>
      <c r="U2265" s="38"/>
      <c r="V2265" s="38"/>
      <c r="W2265" s="38"/>
      <c r="X2265" s="38"/>
      <c r="Y2265" s="38"/>
      <c r="Z2265" s="38"/>
      <c r="AA2265" s="38"/>
      <c r="AB2265" s="38"/>
      <c r="AC2265" s="38"/>
      <c r="AD2265" s="38"/>
      <c r="AE2265" s="38"/>
      <c r="AF2265" s="38"/>
      <c r="AG2265" s="38"/>
      <c r="AH2265" s="38"/>
    </row>
    <row r="2266" spans="3:34" ht="20.100000000000001" customHeight="1">
      <c r="C2266" s="113"/>
      <c r="D2266" s="114"/>
      <c r="P2266" s="82"/>
      <c r="Q2266" s="82"/>
      <c r="R2266" s="38"/>
      <c r="S2266" s="38"/>
      <c r="T2266" s="38"/>
      <c r="U2266" s="38"/>
      <c r="V2266" s="38"/>
      <c r="W2266" s="38"/>
      <c r="X2266" s="38"/>
      <c r="Y2266" s="38"/>
      <c r="Z2266" s="38"/>
      <c r="AA2266" s="38"/>
      <c r="AB2266" s="38"/>
      <c r="AC2266" s="38"/>
      <c r="AD2266" s="38"/>
      <c r="AE2266" s="38"/>
      <c r="AF2266" s="38"/>
      <c r="AG2266" s="38"/>
      <c r="AH2266" s="38"/>
    </row>
    <row r="2267" spans="3:34" ht="20.100000000000001" customHeight="1">
      <c r="C2267" s="113"/>
      <c r="D2267" s="114"/>
      <c r="P2267" s="82"/>
      <c r="Q2267" s="82"/>
      <c r="R2267" s="38"/>
      <c r="S2267" s="38"/>
      <c r="T2267" s="38"/>
      <c r="U2267" s="38"/>
      <c r="V2267" s="38"/>
      <c r="W2267" s="38"/>
      <c r="X2267" s="38"/>
      <c r="Y2267" s="38"/>
      <c r="Z2267" s="38"/>
      <c r="AA2267" s="38"/>
      <c r="AB2267" s="38"/>
      <c r="AC2267" s="38"/>
      <c r="AD2267" s="38"/>
      <c r="AE2267" s="38"/>
      <c r="AF2267" s="38"/>
      <c r="AG2267" s="38"/>
      <c r="AH2267" s="38"/>
    </row>
    <row r="2268" spans="3:34" ht="20.100000000000001" customHeight="1">
      <c r="C2268" s="113"/>
      <c r="D2268" s="114"/>
      <c r="P2268" s="82"/>
      <c r="Q2268" s="82"/>
      <c r="R2268" s="38"/>
      <c r="S2268" s="38"/>
      <c r="T2268" s="38"/>
      <c r="U2268" s="38"/>
      <c r="V2268" s="38"/>
      <c r="W2268" s="38"/>
      <c r="X2268" s="38"/>
      <c r="Y2268" s="38"/>
      <c r="Z2268" s="38"/>
      <c r="AA2268" s="38"/>
      <c r="AB2268" s="38"/>
      <c r="AC2268" s="38"/>
      <c r="AD2268" s="38"/>
      <c r="AE2268" s="38"/>
      <c r="AF2268" s="38"/>
      <c r="AG2268" s="38"/>
      <c r="AH2268" s="38"/>
    </row>
    <row r="2269" spans="3:34" ht="20.100000000000001" customHeight="1">
      <c r="C2269" s="113"/>
      <c r="D2269" s="114"/>
      <c r="P2269" s="82"/>
      <c r="Q2269" s="82"/>
      <c r="R2269" s="38"/>
      <c r="S2269" s="38"/>
      <c r="T2269" s="38"/>
      <c r="U2269" s="38"/>
      <c r="V2269" s="38"/>
      <c r="W2269" s="38"/>
      <c r="X2269" s="38"/>
      <c r="Y2269" s="38"/>
      <c r="Z2269" s="38"/>
      <c r="AA2269" s="38"/>
      <c r="AB2269" s="38"/>
      <c r="AC2269" s="38"/>
      <c r="AD2269" s="38"/>
      <c r="AE2269" s="38"/>
      <c r="AF2269" s="38"/>
      <c r="AG2269" s="38"/>
      <c r="AH2269" s="38"/>
    </row>
    <row r="2270" spans="3:34" ht="20.100000000000001" customHeight="1">
      <c r="C2270" s="113"/>
      <c r="D2270" s="114"/>
      <c r="P2270" s="82"/>
      <c r="Q2270" s="82"/>
      <c r="R2270" s="38"/>
      <c r="S2270" s="38"/>
      <c r="T2270" s="38"/>
      <c r="U2270" s="38"/>
      <c r="V2270" s="38"/>
      <c r="W2270" s="38"/>
      <c r="X2270" s="38"/>
      <c r="Y2270" s="38"/>
      <c r="Z2270" s="38"/>
      <c r="AA2270" s="38"/>
      <c r="AB2270" s="38"/>
      <c r="AC2270" s="38"/>
      <c r="AD2270" s="38"/>
      <c r="AE2270" s="38"/>
      <c r="AF2270" s="38"/>
      <c r="AG2270" s="38"/>
      <c r="AH2270" s="38"/>
    </row>
    <row r="2271" spans="3:34" ht="20.100000000000001" customHeight="1">
      <c r="C2271" s="113"/>
      <c r="D2271" s="114"/>
      <c r="P2271" s="82"/>
      <c r="Q2271" s="82"/>
      <c r="R2271" s="38"/>
      <c r="S2271" s="38"/>
      <c r="T2271" s="38"/>
      <c r="U2271" s="38"/>
      <c r="V2271" s="38"/>
      <c r="W2271" s="38"/>
      <c r="X2271" s="38"/>
      <c r="Y2271" s="38"/>
      <c r="Z2271" s="38"/>
      <c r="AA2271" s="38"/>
      <c r="AB2271" s="38"/>
      <c r="AC2271" s="38"/>
      <c r="AD2271" s="38"/>
      <c r="AE2271" s="38"/>
      <c r="AF2271" s="38"/>
      <c r="AG2271" s="38"/>
      <c r="AH2271" s="38"/>
    </row>
    <row r="2272" spans="3:34" ht="20.100000000000001" customHeight="1">
      <c r="C2272" s="113"/>
      <c r="D2272" s="114"/>
      <c r="P2272" s="82"/>
      <c r="Q2272" s="82"/>
      <c r="R2272" s="38"/>
      <c r="S2272" s="38"/>
      <c r="T2272" s="38"/>
      <c r="U2272" s="38"/>
      <c r="V2272" s="38"/>
      <c r="W2272" s="38"/>
      <c r="X2272" s="38"/>
      <c r="Y2272" s="38"/>
      <c r="Z2272" s="38"/>
      <c r="AA2272" s="38"/>
      <c r="AB2272" s="38"/>
      <c r="AC2272" s="38"/>
      <c r="AD2272" s="38"/>
      <c r="AE2272" s="38"/>
      <c r="AF2272" s="38"/>
      <c r="AG2272" s="38"/>
      <c r="AH2272" s="38"/>
    </row>
    <row r="2273" spans="3:34" ht="20.100000000000001" customHeight="1">
      <c r="C2273" s="113"/>
      <c r="D2273" s="114"/>
      <c r="P2273" s="82"/>
      <c r="Q2273" s="82"/>
      <c r="R2273" s="38"/>
      <c r="S2273" s="38"/>
      <c r="T2273" s="38"/>
      <c r="U2273" s="38"/>
      <c r="V2273" s="38"/>
      <c r="W2273" s="38"/>
      <c r="X2273" s="38"/>
      <c r="Y2273" s="38"/>
      <c r="Z2273" s="38"/>
      <c r="AA2273" s="38"/>
      <c r="AB2273" s="38"/>
      <c r="AC2273" s="38"/>
      <c r="AD2273" s="38"/>
      <c r="AE2273" s="38"/>
      <c r="AF2273" s="38"/>
      <c r="AG2273" s="38"/>
      <c r="AH2273" s="38"/>
    </row>
    <row r="2274" spans="3:34" ht="20.100000000000001" customHeight="1">
      <c r="C2274" s="113"/>
      <c r="D2274" s="114"/>
      <c r="P2274" s="82"/>
      <c r="Q2274" s="82"/>
      <c r="R2274" s="38"/>
      <c r="S2274" s="38"/>
      <c r="T2274" s="38"/>
      <c r="U2274" s="38"/>
      <c r="V2274" s="38"/>
      <c r="W2274" s="38"/>
      <c r="X2274" s="38"/>
      <c r="Y2274" s="38"/>
      <c r="Z2274" s="38"/>
      <c r="AA2274" s="38"/>
      <c r="AB2274" s="38"/>
      <c r="AC2274" s="38"/>
      <c r="AD2274" s="38"/>
      <c r="AE2274" s="38"/>
      <c r="AF2274" s="38"/>
      <c r="AG2274" s="38"/>
      <c r="AH2274" s="38"/>
    </row>
    <row r="2275" spans="3:34" ht="20.100000000000001" customHeight="1">
      <c r="C2275" s="113"/>
      <c r="D2275" s="114"/>
      <c r="P2275" s="82"/>
      <c r="Q2275" s="82"/>
      <c r="R2275" s="38"/>
      <c r="S2275" s="38"/>
      <c r="T2275" s="38"/>
      <c r="U2275" s="38"/>
      <c r="V2275" s="38"/>
      <c r="W2275" s="38"/>
      <c r="X2275" s="38"/>
      <c r="Y2275" s="38"/>
      <c r="Z2275" s="38"/>
      <c r="AA2275" s="38"/>
      <c r="AB2275" s="38"/>
      <c r="AC2275" s="38"/>
      <c r="AD2275" s="38"/>
      <c r="AE2275" s="38"/>
      <c r="AF2275" s="38"/>
      <c r="AG2275" s="38"/>
      <c r="AH2275" s="38"/>
    </row>
    <row r="2276" spans="3:34" ht="20.100000000000001" customHeight="1">
      <c r="C2276" s="113"/>
      <c r="D2276" s="114"/>
      <c r="P2276" s="82"/>
      <c r="Q2276" s="82"/>
      <c r="R2276" s="38"/>
      <c r="S2276" s="38"/>
      <c r="T2276" s="38"/>
      <c r="U2276" s="38"/>
      <c r="V2276" s="38"/>
      <c r="W2276" s="38"/>
      <c r="X2276" s="38"/>
      <c r="Y2276" s="38"/>
      <c r="Z2276" s="38"/>
      <c r="AA2276" s="38"/>
      <c r="AB2276" s="38"/>
      <c r="AC2276" s="38"/>
      <c r="AD2276" s="38"/>
      <c r="AE2276" s="38"/>
      <c r="AF2276" s="38"/>
      <c r="AG2276" s="38"/>
      <c r="AH2276" s="38"/>
    </row>
    <row r="2277" spans="3:34" ht="20.100000000000001" customHeight="1">
      <c r="C2277" s="113"/>
      <c r="D2277" s="114"/>
      <c r="P2277" s="82"/>
      <c r="Q2277" s="82"/>
      <c r="R2277" s="38"/>
      <c r="S2277" s="38"/>
      <c r="T2277" s="38"/>
      <c r="U2277" s="38"/>
      <c r="V2277" s="38"/>
      <c r="W2277" s="38"/>
      <c r="X2277" s="38"/>
      <c r="Y2277" s="38"/>
      <c r="Z2277" s="38"/>
      <c r="AA2277" s="38"/>
      <c r="AB2277" s="38"/>
      <c r="AC2277" s="38"/>
      <c r="AD2277" s="38"/>
      <c r="AE2277" s="38"/>
      <c r="AF2277" s="38"/>
      <c r="AG2277" s="38"/>
      <c r="AH2277" s="38"/>
    </row>
    <row r="2278" spans="3:34" ht="20.100000000000001" customHeight="1">
      <c r="C2278" s="113"/>
      <c r="D2278" s="114"/>
      <c r="P2278" s="82"/>
      <c r="Q2278" s="82"/>
      <c r="R2278" s="38"/>
      <c r="S2278" s="38"/>
      <c r="T2278" s="38"/>
      <c r="U2278" s="38"/>
      <c r="V2278" s="38"/>
      <c r="W2278" s="38"/>
      <c r="X2278" s="38"/>
      <c r="Y2278" s="38"/>
      <c r="Z2278" s="38"/>
      <c r="AA2278" s="38"/>
      <c r="AB2278" s="38"/>
      <c r="AC2278" s="38"/>
      <c r="AD2278" s="38"/>
      <c r="AE2278" s="38"/>
      <c r="AF2278" s="38"/>
      <c r="AG2278" s="38"/>
      <c r="AH2278" s="38"/>
    </row>
    <row r="2279" spans="3:34" ht="20.100000000000001" customHeight="1">
      <c r="C2279" s="113"/>
      <c r="D2279" s="114"/>
      <c r="P2279" s="82"/>
      <c r="Q2279" s="82"/>
      <c r="R2279" s="38"/>
      <c r="S2279" s="38"/>
      <c r="T2279" s="38"/>
      <c r="U2279" s="38"/>
      <c r="V2279" s="38"/>
      <c r="W2279" s="38"/>
      <c r="X2279" s="38"/>
      <c r="Y2279" s="38"/>
      <c r="Z2279" s="38"/>
      <c r="AA2279" s="38"/>
      <c r="AB2279" s="38"/>
      <c r="AC2279" s="38"/>
      <c r="AD2279" s="38"/>
      <c r="AE2279" s="38"/>
      <c r="AF2279" s="38"/>
      <c r="AG2279" s="38"/>
      <c r="AH2279" s="38"/>
    </row>
    <row r="2280" spans="3:34" ht="20.100000000000001" customHeight="1">
      <c r="C2280" s="113"/>
      <c r="D2280" s="114"/>
      <c r="P2280" s="82"/>
      <c r="Q2280" s="82"/>
      <c r="R2280" s="38"/>
      <c r="S2280" s="38"/>
      <c r="T2280" s="38"/>
      <c r="U2280" s="38"/>
      <c r="V2280" s="38"/>
      <c r="W2280" s="38"/>
      <c r="X2280" s="38"/>
      <c r="Y2280" s="38"/>
      <c r="Z2280" s="38"/>
      <c r="AA2280" s="38"/>
      <c r="AB2280" s="38"/>
      <c r="AC2280" s="38"/>
      <c r="AD2280" s="38"/>
      <c r="AE2280" s="38"/>
      <c r="AF2280" s="38"/>
      <c r="AG2280" s="38"/>
      <c r="AH2280" s="38"/>
    </row>
    <row r="2281" spans="3:34" ht="20.100000000000001" customHeight="1">
      <c r="C2281" s="113"/>
      <c r="D2281" s="114"/>
      <c r="P2281" s="82"/>
      <c r="Q2281" s="82"/>
      <c r="R2281" s="38"/>
      <c r="S2281" s="38"/>
      <c r="T2281" s="38"/>
      <c r="U2281" s="38"/>
      <c r="V2281" s="38"/>
      <c r="W2281" s="38"/>
      <c r="X2281" s="38"/>
      <c r="Y2281" s="38"/>
      <c r="Z2281" s="38"/>
      <c r="AA2281" s="38"/>
      <c r="AB2281" s="38"/>
      <c r="AC2281" s="38"/>
      <c r="AD2281" s="38"/>
      <c r="AE2281" s="38"/>
      <c r="AF2281" s="38"/>
      <c r="AG2281" s="38"/>
      <c r="AH2281" s="38"/>
    </row>
    <row r="2282" spans="3:34" ht="20.100000000000001" customHeight="1">
      <c r="C2282" s="113"/>
      <c r="D2282" s="114"/>
      <c r="P2282" s="82"/>
      <c r="Q2282" s="82"/>
      <c r="R2282" s="38"/>
      <c r="S2282" s="38"/>
      <c r="T2282" s="38"/>
      <c r="U2282" s="38"/>
      <c r="V2282" s="38"/>
      <c r="W2282" s="38"/>
      <c r="X2282" s="38"/>
      <c r="Y2282" s="38"/>
      <c r="Z2282" s="38"/>
      <c r="AA2282" s="38"/>
      <c r="AB2282" s="38"/>
      <c r="AC2282" s="38"/>
      <c r="AD2282" s="38"/>
      <c r="AE2282" s="38"/>
      <c r="AF2282" s="38"/>
      <c r="AG2282" s="38"/>
      <c r="AH2282" s="38"/>
    </row>
    <row r="2283" spans="3:34" ht="20.100000000000001" customHeight="1">
      <c r="C2283" s="113"/>
      <c r="D2283" s="114"/>
      <c r="P2283" s="82"/>
      <c r="Q2283" s="82"/>
      <c r="R2283" s="38"/>
      <c r="S2283" s="38"/>
      <c r="T2283" s="38"/>
      <c r="U2283" s="38"/>
      <c r="V2283" s="38"/>
      <c r="W2283" s="38"/>
      <c r="X2283" s="38"/>
      <c r="Y2283" s="38"/>
      <c r="Z2283" s="38"/>
      <c r="AA2283" s="38"/>
      <c r="AB2283" s="38"/>
      <c r="AC2283" s="38"/>
      <c r="AD2283" s="38"/>
      <c r="AE2283" s="38"/>
      <c r="AF2283" s="38"/>
      <c r="AG2283" s="38"/>
      <c r="AH2283" s="38"/>
    </row>
    <row r="2284" spans="3:34" ht="20.100000000000001" customHeight="1">
      <c r="C2284" s="113"/>
      <c r="D2284" s="114"/>
      <c r="P2284" s="82"/>
      <c r="Q2284" s="82"/>
      <c r="R2284" s="38"/>
      <c r="S2284" s="38"/>
      <c r="T2284" s="38"/>
      <c r="U2284" s="38"/>
      <c r="V2284" s="38"/>
      <c r="W2284" s="38"/>
      <c r="X2284" s="38"/>
      <c r="Y2284" s="38"/>
      <c r="Z2284" s="38"/>
      <c r="AA2284" s="38"/>
      <c r="AB2284" s="38"/>
      <c r="AC2284" s="38"/>
      <c r="AD2284" s="38"/>
      <c r="AE2284" s="38"/>
      <c r="AF2284" s="38"/>
      <c r="AG2284" s="38"/>
      <c r="AH2284" s="38"/>
    </row>
    <row r="2285" spans="3:34" ht="20.100000000000001" customHeight="1">
      <c r="C2285" s="113"/>
      <c r="D2285" s="114"/>
      <c r="P2285" s="82"/>
      <c r="Q2285" s="82"/>
      <c r="R2285" s="38"/>
      <c r="S2285" s="38"/>
      <c r="T2285" s="38"/>
      <c r="U2285" s="38"/>
      <c r="V2285" s="38"/>
      <c r="W2285" s="38"/>
      <c r="X2285" s="38"/>
      <c r="Y2285" s="38"/>
      <c r="Z2285" s="38"/>
      <c r="AA2285" s="38"/>
      <c r="AB2285" s="38"/>
      <c r="AC2285" s="38"/>
      <c r="AD2285" s="38"/>
      <c r="AE2285" s="38"/>
      <c r="AF2285" s="38"/>
      <c r="AG2285" s="38"/>
      <c r="AH2285" s="38"/>
    </row>
    <row r="2286" spans="3:34" ht="20.100000000000001" customHeight="1">
      <c r="C2286" s="113"/>
      <c r="D2286" s="114"/>
      <c r="P2286" s="82"/>
      <c r="Q2286" s="82"/>
      <c r="R2286" s="38"/>
      <c r="S2286" s="38"/>
      <c r="T2286" s="38"/>
      <c r="U2286" s="38"/>
      <c r="V2286" s="38"/>
      <c r="W2286" s="38"/>
      <c r="X2286" s="38"/>
      <c r="Y2286" s="38"/>
      <c r="Z2286" s="38"/>
      <c r="AA2286" s="38"/>
      <c r="AB2286" s="38"/>
      <c r="AC2286" s="38"/>
      <c r="AD2286" s="38"/>
      <c r="AE2286" s="38"/>
      <c r="AF2286" s="38"/>
      <c r="AG2286" s="38"/>
      <c r="AH2286" s="38"/>
    </row>
    <row r="2287" spans="3:34" ht="20.100000000000001" customHeight="1">
      <c r="C2287" s="113"/>
      <c r="D2287" s="114"/>
      <c r="P2287" s="82"/>
      <c r="Q2287" s="82"/>
      <c r="R2287" s="38"/>
      <c r="S2287" s="38"/>
      <c r="T2287" s="38"/>
      <c r="U2287" s="38"/>
      <c r="V2287" s="38"/>
      <c r="W2287" s="38"/>
      <c r="X2287" s="38"/>
      <c r="Y2287" s="38"/>
      <c r="Z2287" s="38"/>
      <c r="AA2287" s="38"/>
      <c r="AB2287" s="38"/>
      <c r="AC2287" s="38"/>
      <c r="AD2287" s="38"/>
      <c r="AE2287" s="38"/>
      <c r="AF2287" s="38"/>
      <c r="AG2287" s="38"/>
      <c r="AH2287" s="38"/>
    </row>
    <row r="2288" spans="3:34" ht="20.100000000000001" customHeight="1">
      <c r="C2288" s="113"/>
      <c r="D2288" s="114"/>
      <c r="P2288" s="82"/>
      <c r="Q2288" s="82"/>
      <c r="R2288" s="38"/>
      <c r="S2288" s="38"/>
      <c r="T2288" s="38"/>
      <c r="U2288" s="38"/>
      <c r="V2288" s="38"/>
      <c r="W2288" s="38"/>
      <c r="X2288" s="38"/>
      <c r="Y2288" s="38"/>
      <c r="Z2288" s="38"/>
      <c r="AA2288" s="38"/>
      <c r="AB2288" s="38"/>
      <c r="AC2288" s="38"/>
      <c r="AD2288" s="38"/>
      <c r="AE2288" s="38"/>
      <c r="AF2288" s="38"/>
      <c r="AG2288" s="38"/>
      <c r="AH2288" s="38"/>
    </row>
    <row r="2289" spans="3:34" ht="20.100000000000001" customHeight="1">
      <c r="C2289" s="113"/>
      <c r="D2289" s="114"/>
      <c r="P2289" s="82"/>
      <c r="Q2289" s="82"/>
      <c r="R2289" s="38"/>
      <c r="S2289" s="38"/>
      <c r="T2289" s="38"/>
      <c r="U2289" s="38"/>
      <c r="V2289" s="38"/>
      <c r="W2289" s="38"/>
      <c r="X2289" s="38"/>
      <c r="Y2289" s="38"/>
      <c r="Z2289" s="38"/>
      <c r="AA2289" s="38"/>
      <c r="AB2289" s="38"/>
      <c r="AC2289" s="38"/>
      <c r="AD2289" s="38"/>
      <c r="AE2289" s="38"/>
      <c r="AF2289" s="38"/>
      <c r="AG2289" s="38"/>
      <c r="AH2289" s="38"/>
    </row>
    <row r="2290" spans="3:34" ht="20.100000000000001" customHeight="1">
      <c r="C2290" s="113"/>
      <c r="D2290" s="114"/>
      <c r="P2290" s="82"/>
      <c r="Q2290" s="82"/>
      <c r="R2290" s="38"/>
      <c r="S2290" s="38"/>
      <c r="T2290" s="38"/>
      <c r="U2290" s="38"/>
      <c r="V2290" s="38"/>
      <c r="W2290" s="38"/>
      <c r="X2290" s="38"/>
      <c r="Y2290" s="38"/>
      <c r="Z2290" s="38"/>
      <c r="AA2290" s="38"/>
      <c r="AB2290" s="38"/>
      <c r="AC2290" s="38"/>
      <c r="AD2290" s="38"/>
      <c r="AE2290" s="38"/>
      <c r="AF2290" s="38"/>
      <c r="AG2290" s="38"/>
      <c r="AH2290" s="38"/>
    </row>
    <row r="2291" spans="3:34" ht="20.100000000000001" customHeight="1">
      <c r="C2291" s="113"/>
      <c r="D2291" s="114"/>
      <c r="P2291" s="82"/>
      <c r="Q2291" s="82"/>
      <c r="R2291" s="38"/>
      <c r="S2291" s="38"/>
      <c r="T2291" s="38"/>
      <c r="U2291" s="38"/>
      <c r="V2291" s="38"/>
      <c r="W2291" s="38"/>
      <c r="X2291" s="38"/>
      <c r="Y2291" s="38"/>
      <c r="Z2291" s="38"/>
      <c r="AA2291" s="38"/>
      <c r="AB2291" s="38"/>
      <c r="AC2291" s="38"/>
      <c r="AD2291" s="38"/>
      <c r="AE2291" s="38"/>
      <c r="AF2291" s="38"/>
      <c r="AG2291" s="38"/>
      <c r="AH2291" s="38"/>
    </row>
    <row r="2292" spans="3:34" ht="20.100000000000001" customHeight="1">
      <c r="C2292" s="113"/>
      <c r="D2292" s="114"/>
      <c r="P2292" s="82"/>
      <c r="Q2292" s="82"/>
      <c r="R2292" s="38"/>
      <c r="S2292" s="38"/>
      <c r="T2292" s="38"/>
      <c r="U2292" s="38"/>
      <c r="V2292" s="38"/>
      <c r="W2292" s="38"/>
      <c r="X2292" s="38"/>
      <c r="Y2292" s="38"/>
      <c r="Z2292" s="38"/>
      <c r="AA2292" s="38"/>
      <c r="AB2292" s="38"/>
      <c r="AC2292" s="38"/>
      <c r="AD2292" s="38"/>
      <c r="AE2292" s="38"/>
      <c r="AF2292" s="38"/>
      <c r="AG2292" s="38"/>
      <c r="AH2292" s="38"/>
    </row>
    <row r="2293" spans="3:34" ht="20.100000000000001" customHeight="1">
      <c r="C2293" s="113"/>
      <c r="D2293" s="114"/>
      <c r="P2293" s="82"/>
      <c r="Q2293" s="82"/>
      <c r="R2293" s="38"/>
      <c r="S2293" s="38"/>
      <c r="T2293" s="38"/>
      <c r="U2293" s="38"/>
      <c r="V2293" s="38"/>
      <c r="W2293" s="38"/>
      <c r="X2293" s="38"/>
      <c r="Y2293" s="38"/>
      <c r="Z2293" s="38"/>
      <c r="AA2293" s="38"/>
      <c r="AB2293" s="38"/>
      <c r="AC2293" s="38"/>
      <c r="AD2293" s="38"/>
      <c r="AE2293" s="38"/>
      <c r="AF2293" s="38"/>
      <c r="AG2293" s="38"/>
      <c r="AH2293" s="38"/>
    </row>
    <row r="2294" spans="3:34" ht="20.100000000000001" customHeight="1">
      <c r="C2294" s="113"/>
      <c r="D2294" s="114"/>
      <c r="P2294" s="82"/>
      <c r="Q2294" s="82"/>
      <c r="R2294" s="38"/>
      <c r="S2294" s="38"/>
      <c r="T2294" s="38"/>
      <c r="U2294" s="38"/>
      <c r="V2294" s="38"/>
      <c r="W2294" s="38"/>
      <c r="X2294" s="38"/>
      <c r="Y2294" s="38"/>
      <c r="Z2294" s="38"/>
      <c r="AA2294" s="38"/>
      <c r="AB2294" s="38"/>
      <c r="AC2294" s="38"/>
      <c r="AD2294" s="38"/>
      <c r="AE2294" s="38"/>
      <c r="AF2294" s="38"/>
      <c r="AG2294" s="38"/>
      <c r="AH2294" s="38"/>
    </row>
    <row r="2295" spans="3:34" ht="20.100000000000001" customHeight="1">
      <c r="C2295" s="113"/>
      <c r="D2295" s="114"/>
      <c r="P2295" s="82"/>
      <c r="Q2295" s="82"/>
      <c r="R2295" s="38"/>
      <c r="S2295" s="38"/>
      <c r="T2295" s="38"/>
      <c r="U2295" s="38"/>
      <c r="V2295" s="38"/>
      <c r="W2295" s="38"/>
      <c r="X2295" s="38"/>
      <c r="Y2295" s="38"/>
      <c r="Z2295" s="38"/>
      <c r="AA2295" s="38"/>
      <c r="AB2295" s="38"/>
      <c r="AC2295" s="38"/>
      <c r="AD2295" s="38"/>
      <c r="AE2295" s="38"/>
      <c r="AF2295" s="38"/>
      <c r="AG2295" s="38"/>
      <c r="AH2295" s="38"/>
    </row>
    <row r="2296" spans="3:34" ht="20.100000000000001" customHeight="1">
      <c r="C2296" s="113"/>
      <c r="D2296" s="114"/>
      <c r="P2296" s="82"/>
      <c r="Q2296" s="82"/>
      <c r="R2296" s="38"/>
      <c r="S2296" s="38"/>
      <c r="T2296" s="38"/>
      <c r="U2296" s="38"/>
      <c r="V2296" s="38"/>
      <c r="W2296" s="38"/>
      <c r="X2296" s="38"/>
      <c r="Y2296" s="38"/>
      <c r="Z2296" s="38"/>
      <c r="AA2296" s="38"/>
      <c r="AB2296" s="38"/>
      <c r="AC2296" s="38"/>
      <c r="AD2296" s="38"/>
      <c r="AE2296" s="38"/>
      <c r="AF2296" s="38"/>
      <c r="AG2296" s="38"/>
      <c r="AH2296" s="38"/>
    </row>
    <row r="2297" spans="3:34" ht="20.100000000000001" customHeight="1">
      <c r="C2297" s="113"/>
      <c r="D2297" s="114"/>
      <c r="P2297" s="82"/>
      <c r="Q2297" s="82"/>
      <c r="R2297" s="38"/>
      <c r="S2297" s="38"/>
      <c r="T2297" s="38"/>
      <c r="U2297" s="38"/>
      <c r="V2297" s="38"/>
      <c r="W2297" s="38"/>
      <c r="X2297" s="38"/>
      <c r="Y2297" s="38"/>
      <c r="Z2297" s="38"/>
      <c r="AA2297" s="38"/>
      <c r="AB2297" s="38"/>
      <c r="AC2297" s="38"/>
      <c r="AD2297" s="38"/>
      <c r="AE2297" s="38"/>
      <c r="AF2297" s="38"/>
      <c r="AG2297" s="38"/>
      <c r="AH2297" s="38"/>
    </row>
    <row r="2298" spans="3:34" ht="20.100000000000001" customHeight="1">
      <c r="C2298" s="113"/>
      <c r="D2298" s="114"/>
      <c r="P2298" s="82"/>
      <c r="Q2298" s="82"/>
      <c r="R2298" s="38"/>
      <c r="S2298" s="38"/>
      <c r="T2298" s="38"/>
      <c r="U2298" s="38"/>
      <c r="V2298" s="38"/>
      <c r="W2298" s="38"/>
      <c r="X2298" s="38"/>
      <c r="Y2298" s="38"/>
      <c r="Z2298" s="38"/>
      <c r="AA2298" s="38"/>
      <c r="AB2298" s="38"/>
      <c r="AC2298" s="38"/>
      <c r="AD2298" s="38"/>
      <c r="AE2298" s="38"/>
      <c r="AF2298" s="38"/>
      <c r="AG2298" s="38"/>
      <c r="AH2298" s="38"/>
    </row>
    <row r="2299" spans="3:34" ht="20.100000000000001" customHeight="1">
      <c r="C2299" s="113"/>
      <c r="D2299" s="114"/>
      <c r="P2299" s="82"/>
      <c r="Q2299" s="82"/>
      <c r="R2299" s="38"/>
      <c r="S2299" s="38"/>
      <c r="T2299" s="38"/>
      <c r="U2299" s="38"/>
      <c r="V2299" s="38"/>
      <c r="W2299" s="38"/>
      <c r="X2299" s="38"/>
      <c r="Y2299" s="38"/>
      <c r="Z2299" s="38"/>
      <c r="AA2299" s="38"/>
      <c r="AB2299" s="38"/>
      <c r="AC2299" s="38"/>
      <c r="AD2299" s="38"/>
      <c r="AE2299" s="38"/>
      <c r="AF2299" s="38"/>
      <c r="AG2299" s="38"/>
      <c r="AH2299" s="38"/>
    </row>
    <row r="2300" spans="3:34" ht="20.100000000000001" customHeight="1">
      <c r="C2300" s="113"/>
      <c r="D2300" s="114"/>
      <c r="P2300" s="82"/>
      <c r="Q2300" s="82"/>
      <c r="R2300" s="38"/>
      <c r="S2300" s="38"/>
      <c r="T2300" s="38"/>
      <c r="U2300" s="38"/>
      <c r="V2300" s="38"/>
      <c r="W2300" s="38"/>
      <c r="X2300" s="38"/>
      <c r="Y2300" s="38"/>
      <c r="Z2300" s="38"/>
      <c r="AA2300" s="38"/>
      <c r="AB2300" s="38"/>
      <c r="AC2300" s="38"/>
      <c r="AD2300" s="38"/>
      <c r="AE2300" s="38"/>
      <c r="AF2300" s="38"/>
      <c r="AG2300" s="38"/>
      <c r="AH2300" s="38"/>
    </row>
    <row r="2301" spans="3:34" ht="20.100000000000001" customHeight="1">
      <c r="C2301" s="113"/>
      <c r="D2301" s="114"/>
      <c r="P2301" s="82"/>
      <c r="Q2301" s="82"/>
      <c r="R2301" s="38"/>
      <c r="S2301" s="38"/>
      <c r="T2301" s="38"/>
      <c r="U2301" s="38"/>
      <c r="V2301" s="38"/>
      <c r="W2301" s="38"/>
      <c r="X2301" s="38"/>
      <c r="Y2301" s="38"/>
      <c r="Z2301" s="38"/>
      <c r="AA2301" s="38"/>
      <c r="AB2301" s="38"/>
      <c r="AC2301" s="38"/>
      <c r="AD2301" s="38"/>
      <c r="AE2301" s="38"/>
      <c r="AF2301" s="38"/>
      <c r="AG2301" s="38"/>
      <c r="AH2301" s="38"/>
    </row>
    <row r="2302" spans="3:34" ht="20.100000000000001" customHeight="1">
      <c r="C2302" s="113"/>
      <c r="D2302" s="114"/>
      <c r="P2302" s="82"/>
      <c r="Q2302" s="82"/>
      <c r="R2302" s="38"/>
      <c r="S2302" s="38"/>
      <c r="T2302" s="38"/>
      <c r="U2302" s="38"/>
      <c r="V2302" s="38"/>
      <c r="W2302" s="38"/>
      <c r="X2302" s="38"/>
      <c r="Y2302" s="38"/>
      <c r="Z2302" s="38"/>
      <c r="AA2302" s="38"/>
      <c r="AB2302" s="38"/>
      <c r="AC2302" s="38"/>
      <c r="AD2302" s="38"/>
      <c r="AE2302" s="38"/>
      <c r="AF2302" s="38"/>
      <c r="AG2302" s="38"/>
      <c r="AH2302" s="38"/>
    </row>
    <row r="2303" spans="3:34" ht="20.100000000000001" customHeight="1">
      <c r="C2303" s="113"/>
      <c r="D2303" s="114"/>
      <c r="P2303" s="82"/>
      <c r="Q2303" s="82"/>
      <c r="R2303" s="38"/>
      <c r="S2303" s="38"/>
      <c r="T2303" s="38"/>
      <c r="U2303" s="38"/>
      <c r="V2303" s="38"/>
      <c r="W2303" s="38"/>
      <c r="X2303" s="38"/>
      <c r="Y2303" s="38"/>
      <c r="Z2303" s="38"/>
      <c r="AA2303" s="38"/>
      <c r="AB2303" s="38"/>
      <c r="AC2303" s="38"/>
      <c r="AD2303" s="38"/>
      <c r="AE2303" s="38"/>
      <c r="AF2303" s="38"/>
      <c r="AG2303" s="38"/>
      <c r="AH2303" s="38"/>
    </row>
    <row r="2304" spans="3:34" ht="20.100000000000001" customHeight="1">
      <c r="C2304" s="113"/>
      <c r="D2304" s="114"/>
      <c r="P2304" s="82"/>
      <c r="Q2304" s="82"/>
      <c r="R2304" s="38"/>
      <c r="S2304" s="38"/>
      <c r="T2304" s="38"/>
      <c r="U2304" s="38"/>
      <c r="V2304" s="38"/>
      <c r="W2304" s="38"/>
      <c r="X2304" s="38"/>
      <c r="Y2304" s="38"/>
      <c r="Z2304" s="38"/>
      <c r="AA2304" s="38"/>
      <c r="AB2304" s="38"/>
      <c r="AC2304" s="38"/>
      <c r="AD2304" s="38"/>
      <c r="AE2304" s="38"/>
      <c r="AF2304" s="38"/>
      <c r="AG2304" s="38"/>
      <c r="AH2304" s="38"/>
    </row>
    <row r="2305" spans="3:34" ht="20.100000000000001" customHeight="1">
      <c r="C2305" s="113"/>
      <c r="D2305" s="114"/>
      <c r="P2305" s="82"/>
      <c r="Q2305" s="82"/>
      <c r="R2305" s="38"/>
      <c r="S2305" s="38"/>
      <c r="T2305" s="38"/>
      <c r="U2305" s="38"/>
      <c r="V2305" s="38"/>
      <c r="W2305" s="38"/>
      <c r="X2305" s="38"/>
      <c r="Y2305" s="38"/>
      <c r="Z2305" s="38"/>
      <c r="AA2305" s="38"/>
      <c r="AB2305" s="38"/>
      <c r="AC2305" s="38"/>
      <c r="AD2305" s="38"/>
      <c r="AE2305" s="38"/>
      <c r="AF2305" s="38"/>
      <c r="AG2305" s="38"/>
      <c r="AH2305" s="38"/>
    </row>
    <row r="2306" spans="3:34" ht="20.100000000000001" customHeight="1">
      <c r="C2306" s="113"/>
      <c r="D2306" s="114"/>
      <c r="P2306" s="82"/>
      <c r="Q2306" s="82"/>
      <c r="R2306" s="38"/>
      <c r="S2306" s="38"/>
      <c r="T2306" s="38"/>
      <c r="U2306" s="38"/>
      <c r="V2306" s="38"/>
      <c r="W2306" s="38"/>
      <c r="X2306" s="38"/>
      <c r="Y2306" s="38"/>
      <c r="Z2306" s="38"/>
      <c r="AA2306" s="38"/>
      <c r="AB2306" s="38"/>
      <c r="AC2306" s="38"/>
      <c r="AD2306" s="38"/>
      <c r="AE2306" s="38"/>
      <c r="AF2306" s="38"/>
      <c r="AG2306" s="38"/>
      <c r="AH2306" s="38"/>
    </row>
    <row r="2307" spans="3:34" ht="20.100000000000001" customHeight="1">
      <c r="C2307" s="113"/>
      <c r="D2307" s="114"/>
      <c r="P2307" s="82"/>
      <c r="Q2307" s="82"/>
      <c r="R2307" s="38"/>
      <c r="S2307" s="38"/>
      <c r="T2307" s="38"/>
      <c r="U2307" s="38"/>
      <c r="V2307" s="38"/>
      <c r="W2307" s="38"/>
      <c r="X2307" s="38"/>
      <c r="Y2307" s="38"/>
      <c r="Z2307" s="38"/>
      <c r="AA2307" s="38"/>
      <c r="AB2307" s="38"/>
      <c r="AC2307" s="38"/>
      <c r="AD2307" s="38"/>
      <c r="AE2307" s="38"/>
      <c r="AF2307" s="38"/>
      <c r="AG2307" s="38"/>
      <c r="AH2307" s="38"/>
    </row>
    <row r="2308" spans="3:34" ht="20.100000000000001" customHeight="1">
      <c r="C2308" s="113"/>
      <c r="D2308" s="114"/>
      <c r="P2308" s="82"/>
      <c r="Q2308" s="82"/>
      <c r="R2308" s="38"/>
      <c r="S2308" s="38"/>
      <c r="T2308" s="38"/>
      <c r="U2308" s="38"/>
      <c r="V2308" s="38"/>
      <c r="W2308" s="38"/>
      <c r="X2308" s="38"/>
      <c r="Y2308" s="38"/>
      <c r="Z2308" s="38"/>
      <c r="AA2308" s="38"/>
      <c r="AB2308" s="38"/>
      <c r="AC2308" s="38"/>
      <c r="AD2308" s="38"/>
      <c r="AE2308" s="38"/>
      <c r="AF2308" s="38"/>
      <c r="AG2308" s="38"/>
      <c r="AH2308" s="38"/>
    </row>
    <row r="2309" spans="3:34" ht="20.100000000000001" customHeight="1">
      <c r="C2309" s="113"/>
      <c r="D2309" s="114"/>
      <c r="P2309" s="82"/>
      <c r="Q2309" s="82"/>
      <c r="R2309" s="38"/>
      <c r="S2309" s="38"/>
      <c r="T2309" s="38"/>
      <c r="U2309" s="38"/>
      <c r="V2309" s="38"/>
      <c r="W2309" s="38"/>
      <c r="X2309" s="38"/>
      <c r="Y2309" s="38"/>
      <c r="Z2309" s="38"/>
      <c r="AA2309" s="38"/>
      <c r="AB2309" s="38"/>
      <c r="AC2309" s="38"/>
      <c r="AD2309" s="38"/>
      <c r="AE2309" s="38"/>
      <c r="AF2309" s="38"/>
      <c r="AG2309" s="38"/>
      <c r="AH2309" s="38"/>
    </row>
    <row r="2310" spans="3:34" ht="20.100000000000001" customHeight="1">
      <c r="C2310" s="113"/>
      <c r="D2310" s="114"/>
      <c r="P2310" s="82"/>
      <c r="Q2310" s="82"/>
      <c r="R2310" s="38"/>
      <c r="S2310" s="38"/>
      <c r="T2310" s="38"/>
      <c r="U2310" s="38"/>
      <c r="V2310" s="38"/>
      <c r="W2310" s="38"/>
      <c r="X2310" s="38"/>
      <c r="Y2310" s="38"/>
      <c r="Z2310" s="38"/>
      <c r="AA2310" s="38"/>
      <c r="AB2310" s="38"/>
      <c r="AC2310" s="38"/>
      <c r="AD2310" s="38"/>
      <c r="AE2310" s="38"/>
      <c r="AF2310" s="38"/>
      <c r="AG2310" s="38"/>
      <c r="AH2310" s="38"/>
    </row>
    <row r="2311" spans="3:34" ht="20.100000000000001" customHeight="1">
      <c r="C2311" s="113"/>
      <c r="D2311" s="114"/>
      <c r="P2311" s="82"/>
      <c r="Q2311" s="82"/>
      <c r="R2311" s="38"/>
      <c r="S2311" s="38"/>
      <c r="T2311" s="38"/>
      <c r="U2311" s="38"/>
      <c r="V2311" s="38"/>
      <c r="W2311" s="38"/>
      <c r="X2311" s="38"/>
      <c r="Y2311" s="38"/>
      <c r="Z2311" s="38"/>
      <c r="AA2311" s="38"/>
      <c r="AB2311" s="38"/>
      <c r="AC2311" s="38"/>
      <c r="AD2311" s="38"/>
      <c r="AE2311" s="38"/>
      <c r="AF2311" s="38"/>
      <c r="AG2311" s="38"/>
      <c r="AH2311" s="38"/>
    </row>
    <row r="2312" spans="3:34" ht="20.100000000000001" customHeight="1">
      <c r="C2312" s="113"/>
      <c r="D2312" s="114"/>
      <c r="P2312" s="82"/>
      <c r="Q2312" s="82"/>
      <c r="R2312" s="38"/>
      <c r="S2312" s="38"/>
      <c r="T2312" s="38"/>
      <c r="U2312" s="38"/>
      <c r="V2312" s="38"/>
      <c r="W2312" s="38"/>
      <c r="X2312" s="38"/>
      <c r="Y2312" s="38"/>
      <c r="Z2312" s="38"/>
      <c r="AA2312" s="38"/>
      <c r="AB2312" s="38"/>
      <c r="AC2312" s="38"/>
      <c r="AD2312" s="38"/>
      <c r="AE2312" s="38"/>
      <c r="AF2312" s="38"/>
      <c r="AG2312" s="38"/>
      <c r="AH2312" s="38"/>
    </row>
    <row r="2313" spans="3:34" ht="20.100000000000001" customHeight="1">
      <c r="C2313" s="113"/>
      <c r="D2313" s="114"/>
      <c r="P2313" s="82"/>
      <c r="Q2313" s="82"/>
      <c r="R2313" s="38"/>
      <c r="S2313" s="38"/>
      <c r="T2313" s="38"/>
      <c r="U2313" s="38"/>
      <c r="V2313" s="38"/>
      <c r="W2313" s="38"/>
      <c r="X2313" s="38"/>
      <c r="Y2313" s="38"/>
      <c r="Z2313" s="38"/>
      <c r="AA2313" s="38"/>
      <c r="AB2313" s="38"/>
      <c r="AC2313" s="38"/>
      <c r="AD2313" s="38"/>
      <c r="AE2313" s="38"/>
      <c r="AF2313" s="38"/>
      <c r="AG2313" s="38"/>
      <c r="AH2313" s="38"/>
    </row>
    <row r="2314" spans="3:34" ht="20.100000000000001" customHeight="1">
      <c r="C2314" s="113"/>
      <c r="D2314" s="114"/>
      <c r="P2314" s="82"/>
      <c r="Q2314" s="82"/>
      <c r="R2314" s="38"/>
      <c r="S2314" s="38"/>
      <c r="T2314" s="38"/>
      <c r="U2314" s="38"/>
      <c r="V2314" s="38"/>
      <c r="W2314" s="38"/>
      <c r="X2314" s="38"/>
      <c r="Y2314" s="38"/>
      <c r="Z2314" s="38"/>
      <c r="AA2314" s="38"/>
      <c r="AB2314" s="38"/>
      <c r="AC2314" s="38"/>
      <c r="AD2314" s="38"/>
      <c r="AE2314" s="38"/>
      <c r="AF2314" s="38"/>
      <c r="AG2314" s="38"/>
      <c r="AH2314" s="38"/>
    </row>
    <row r="2315" spans="3:34" ht="20.100000000000001" customHeight="1">
      <c r="C2315" s="113"/>
      <c r="D2315" s="114"/>
      <c r="P2315" s="82"/>
      <c r="Q2315" s="82"/>
      <c r="R2315" s="38"/>
      <c r="S2315" s="38"/>
      <c r="T2315" s="38"/>
      <c r="U2315" s="38"/>
      <c r="V2315" s="38"/>
      <c r="W2315" s="38"/>
      <c r="X2315" s="38"/>
      <c r="Y2315" s="38"/>
      <c r="Z2315" s="38"/>
      <c r="AA2315" s="38"/>
      <c r="AB2315" s="38"/>
      <c r="AC2315" s="38"/>
      <c r="AD2315" s="38"/>
      <c r="AE2315" s="38"/>
      <c r="AF2315" s="38"/>
      <c r="AG2315" s="38"/>
      <c r="AH2315" s="38"/>
    </row>
    <row r="2316" spans="3:34" ht="20.100000000000001" customHeight="1">
      <c r="C2316" s="113"/>
      <c r="D2316" s="114"/>
      <c r="P2316" s="82"/>
      <c r="Q2316" s="82"/>
      <c r="R2316" s="38"/>
      <c r="S2316" s="38"/>
      <c r="T2316" s="38"/>
      <c r="U2316" s="38"/>
      <c r="V2316" s="38"/>
      <c r="W2316" s="38"/>
      <c r="X2316" s="38"/>
      <c r="Y2316" s="38"/>
      <c r="Z2316" s="38"/>
      <c r="AA2316" s="38"/>
      <c r="AB2316" s="38"/>
      <c r="AC2316" s="38"/>
      <c r="AD2316" s="38"/>
      <c r="AE2316" s="38"/>
      <c r="AF2316" s="38"/>
      <c r="AG2316" s="38"/>
      <c r="AH2316" s="38"/>
    </row>
    <row r="2317" spans="3:34" ht="20.100000000000001" customHeight="1">
      <c r="C2317" s="113"/>
      <c r="D2317" s="114"/>
      <c r="P2317" s="82"/>
      <c r="Q2317" s="82"/>
      <c r="R2317" s="38"/>
      <c r="S2317" s="38"/>
      <c r="T2317" s="38"/>
      <c r="U2317" s="38"/>
      <c r="V2317" s="38"/>
      <c r="W2317" s="38"/>
      <c r="X2317" s="38"/>
      <c r="Y2317" s="38"/>
      <c r="Z2317" s="38"/>
      <c r="AA2317" s="38"/>
      <c r="AB2317" s="38"/>
      <c r="AC2317" s="38"/>
      <c r="AD2317" s="38"/>
      <c r="AE2317" s="38"/>
      <c r="AF2317" s="38"/>
      <c r="AG2317" s="38"/>
      <c r="AH2317" s="38"/>
    </row>
    <row r="2318" spans="3:34" ht="20.100000000000001" customHeight="1">
      <c r="C2318" s="113"/>
      <c r="D2318" s="114"/>
      <c r="P2318" s="82"/>
      <c r="Q2318" s="82"/>
      <c r="R2318" s="38"/>
      <c r="S2318" s="38"/>
      <c r="T2318" s="38"/>
      <c r="U2318" s="38"/>
      <c r="V2318" s="38"/>
      <c r="W2318" s="38"/>
      <c r="X2318" s="38"/>
      <c r="Y2318" s="38"/>
      <c r="Z2318" s="38"/>
      <c r="AA2318" s="38"/>
      <c r="AB2318" s="38"/>
      <c r="AC2318" s="38"/>
      <c r="AD2318" s="38"/>
      <c r="AE2318" s="38"/>
      <c r="AF2318" s="38"/>
      <c r="AG2318" s="38"/>
      <c r="AH2318" s="38"/>
    </row>
    <row r="2319" spans="3:34" ht="20.100000000000001" customHeight="1">
      <c r="C2319" s="113"/>
      <c r="D2319" s="114"/>
      <c r="P2319" s="82"/>
      <c r="Q2319" s="82"/>
      <c r="R2319" s="38"/>
      <c r="S2319" s="38"/>
      <c r="T2319" s="38"/>
      <c r="U2319" s="38"/>
      <c r="V2319" s="38"/>
      <c r="W2319" s="38"/>
      <c r="X2319" s="38"/>
      <c r="Y2319" s="38"/>
      <c r="Z2319" s="38"/>
      <c r="AA2319" s="38"/>
      <c r="AB2319" s="38"/>
      <c r="AC2319" s="38"/>
      <c r="AD2319" s="38"/>
      <c r="AE2319" s="38"/>
      <c r="AF2319" s="38"/>
      <c r="AG2319" s="38"/>
      <c r="AH2319" s="38"/>
    </row>
    <row r="2320" spans="3:34" ht="20.100000000000001" customHeight="1">
      <c r="C2320" s="113"/>
      <c r="D2320" s="114"/>
      <c r="P2320" s="82"/>
      <c r="Q2320" s="82"/>
      <c r="R2320" s="38"/>
      <c r="S2320" s="38"/>
      <c r="T2320" s="38"/>
      <c r="U2320" s="38"/>
      <c r="V2320" s="38"/>
      <c r="W2320" s="38"/>
      <c r="X2320" s="38"/>
      <c r="Y2320" s="38"/>
      <c r="Z2320" s="38"/>
      <c r="AA2320" s="38"/>
      <c r="AB2320" s="38"/>
      <c r="AC2320" s="38"/>
      <c r="AD2320" s="38"/>
      <c r="AE2320" s="38"/>
      <c r="AF2320" s="38"/>
      <c r="AG2320" s="38"/>
      <c r="AH2320" s="38"/>
    </row>
    <row r="2321" spans="3:34" ht="20.100000000000001" customHeight="1">
      <c r="C2321" s="113"/>
      <c r="D2321" s="114"/>
      <c r="P2321" s="82"/>
      <c r="Q2321" s="82"/>
      <c r="R2321" s="38"/>
      <c r="S2321" s="38"/>
      <c r="T2321" s="38"/>
      <c r="U2321" s="38"/>
      <c r="V2321" s="38"/>
      <c r="W2321" s="38"/>
      <c r="X2321" s="38"/>
      <c r="Y2321" s="38"/>
      <c r="Z2321" s="38"/>
      <c r="AA2321" s="38"/>
      <c r="AB2321" s="38"/>
      <c r="AC2321" s="38"/>
      <c r="AD2321" s="38"/>
      <c r="AE2321" s="38"/>
      <c r="AF2321" s="38"/>
      <c r="AG2321" s="38"/>
      <c r="AH2321" s="38"/>
    </row>
    <row r="2322" spans="3:34" ht="20.100000000000001" customHeight="1">
      <c r="C2322" s="113"/>
      <c r="D2322" s="114"/>
      <c r="P2322" s="82"/>
      <c r="Q2322" s="82"/>
      <c r="R2322" s="38"/>
      <c r="S2322" s="38"/>
      <c r="T2322" s="38"/>
      <c r="U2322" s="38"/>
      <c r="V2322" s="38"/>
      <c r="W2322" s="38"/>
      <c r="X2322" s="38"/>
      <c r="Y2322" s="38"/>
      <c r="Z2322" s="38"/>
      <c r="AA2322" s="38"/>
      <c r="AB2322" s="38"/>
      <c r="AC2322" s="38"/>
      <c r="AD2322" s="38"/>
      <c r="AE2322" s="38"/>
      <c r="AF2322" s="38"/>
      <c r="AG2322" s="38"/>
      <c r="AH2322" s="38"/>
    </row>
    <row r="2323" spans="3:34" ht="20.100000000000001" customHeight="1">
      <c r="C2323" s="113"/>
      <c r="D2323" s="114"/>
      <c r="P2323" s="82"/>
      <c r="Q2323" s="82"/>
      <c r="R2323" s="38"/>
      <c r="S2323" s="38"/>
      <c r="T2323" s="38"/>
      <c r="U2323" s="38"/>
      <c r="V2323" s="38"/>
      <c r="W2323" s="38"/>
      <c r="X2323" s="38"/>
      <c r="Y2323" s="38"/>
      <c r="Z2323" s="38"/>
      <c r="AA2323" s="38"/>
      <c r="AB2323" s="38"/>
      <c r="AC2323" s="38"/>
      <c r="AD2323" s="38"/>
      <c r="AE2323" s="38"/>
      <c r="AF2323" s="38"/>
      <c r="AG2323" s="38"/>
      <c r="AH2323" s="38"/>
    </row>
    <row r="2324" spans="3:34" ht="20.100000000000001" customHeight="1">
      <c r="C2324" s="113"/>
      <c r="D2324" s="114"/>
      <c r="P2324" s="82"/>
      <c r="Q2324" s="82"/>
      <c r="R2324" s="38"/>
      <c r="S2324" s="38"/>
      <c r="T2324" s="38"/>
      <c r="U2324" s="38"/>
      <c r="V2324" s="38"/>
      <c r="W2324" s="38"/>
      <c r="X2324" s="38"/>
      <c r="Y2324" s="38"/>
      <c r="Z2324" s="38"/>
      <c r="AA2324" s="38"/>
      <c r="AB2324" s="38"/>
      <c r="AC2324" s="38"/>
      <c r="AD2324" s="38"/>
      <c r="AE2324" s="38"/>
      <c r="AF2324" s="38"/>
      <c r="AG2324" s="38"/>
      <c r="AH2324" s="38"/>
    </row>
    <row r="2325" spans="3:34" ht="20.100000000000001" customHeight="1">
      <c r="C2325" s="113"/>
      <c r="D2325" s="114"/>
      <c r="P2325" s="82"/>
      <c r="Q2325" s="82"/>
      <c r="R2325" s="38"/>
      <c r="S2325" s="38"/>
      <c r="T2325" s="38"/>
      <c r="U2325" s="38"/>
      <c r="V2325" s="38"/>
      <c r="W2325" s="38"/>
      <c r="X2325" s="38"/>
      <c r="Y2325" s="38"/>
      <c r="Z2325" s="38"/>
      <c r="AA2325" s="38"/>
      <c r="AB2325" s="38"/>
      <c r="AC2325" s="38"/>
      <c r="AD2325" s="38"/>
      <c r="AE2325" s="38"/>
      <c r="AF2325" s="38"/>
      <c r="AG2325" s="38"/>
      <c r="AH2325" s="38"/>
    </row>
    <row r="2326" spans="3:34" ht="20.100000000000001" customHeight="1">
      <c r="C2326" s="113"/>
      <c r="D2326" s="114"/>
      <c r="P2326" s="82"/>
      <c r="Q2326" s="82"/>
      <c r="R2326" s="38"/>
      <c r="S2326" s="38"/>
      <c r="T2326" s="38"/>
      <c r="U2326" s="38"/>
      <c r="V2326" s="38"/>
      <c r="W2326" s="38"/>
      <c r="X2326" s="38"/>
      <c r="Y2326" s="38"/>
      <c r="Z2326" s="38"/>
      <c r="AA2326" s="38"/>
      <c r="AB2326" s="38"/>
      <c r="AC2326" s="38"/>
      <c r="AD2326" s="38"/>
      <c r="AE2326" s="38"/>
      <c r="AF2326" s="38"/>
      <c r="AG2326" s="38"/>
      <c r="AH2326" s="38"/>
    </row>
    <row r="2327" spans="3:34" ht="20.100000000000001" customHeight="1">
      <c r="C2327" s="113"/>
      <c r="D2327" s="114"/>
      <c r="P2327" s="82"/>
      <c r="Q2327" s="82"/>
      <c r="R2327" s="38"/>
      <c r="S2327" s="38"/>
      <c r="T2327" s="38"/>
      <c r="U2327" s="38"/>
      <c r="V2327" s="38"/>
      <c r="W2327" s="38"/>
      <c r="X2327" s="38"/>
      <c r="Y2327" s="38"/>
      <c r="Z2327" s="38"/>
      <c r="AA2327" s="38"/>
      <c r="AB2327" s="38"/>
      <c r="AC2327" s="38"/>
      <c r="AD2327" s="38"/>
      <c r="AE2327" s="38"/>
      <c r="AF2327" s="38"/>
      <c r="AG2327" s="38"/>
      <c r="AH2327" s="38"/>
    </row>
    <row r="2328" spans="3:34" ht="20.100000000000001" customHeight="1">
      <c r="C2328" s="113"/>
      <c r="D2328" s="114"/>
      <c r="P2328" s="82"/>
      <c r="Q2328" s="82"/>
      <c r="R2328" s="38"/>
      <c r="S2328" s="38"/>
      <c r="T2328" s="38"/>
      <c r="U2328" s="38"/>
      <c r="V2328" s="38"/>
      <c r="W2328" s="38"/>
      <c r="X2328" s="38"/>
      <c r="Y2328" s="38"/>
      <c r="Z2328" s="38"/>
      <c r="AA2328" s="38"/>
      <c r="AB2328" s="38"/>
      <c r="AC2328" s="38"/>
      <c r="AD2328" s="38"/>
      <c r="AE2328" s="38"/>
      <c r="AF2328" s="38"/>
      <c r="AG2328" s="38"/>
      <c r="AH2328" s="38"/>
    </row>
    <row r="2329" spans="3:34" ht="20.100000000000001" customHeight="1">
      <c r="C2329" s="113"/>
      <c r="D2329" s="114"/>
      <c r="P2329" s="82"/>
      <c r="Q2329" s="82"/>
      <c r="R2329" s="38"/>
      <c r="S2329" s="38"/>
      <c r="T2329" s="38"/>
      <c r="U2329" s="38"/>
      <c r="V2329" s="38"/>
      <c r="W2329" s="38"/>
      <c r="X2329" s="38"/>
      <c r="Y2329" s="38"/>
      <c r="Z2329" s="38"/>
      <c r="AA2329" s="38"/>
      <c r="AB2329" s="38"/>
      <c r="AC2329" s="38"/>
      <c r="AD2329" s="38"/>
      <c r="AE2329" s="38"/>
      <c r="AF2329" s="38"/>
      <c r="AG2329" s="38"/>
      <c r="AH2329" s="38"/>
    </row>
    <row r="2330" spans="3:34" ht="20.100000000000001" customHeight="1">
      <c r="C2330" s="113"/>
      <c r="D2330" s="114"/>
      <c r="P2330" s="82"/>
      <c r="Q2330" s="82"/>
      <c r="R2330" s="38"/>
      <c r="S2330" s="38"/>
      <c r="T2330" s="38"/>
      <c r="U2330" s="38"/>
      <c r="V2330" s="38"/>
      <c r="W2330" s="38"/>
      <c r="X2330" s="38"/>
      <c r="Y2330" s="38"/>
      <c r="Z2330" s="38"/>
      <c r="AA2330" s="38"/>
      <c r="AB2330" s="38"/>
      <c r="AC2330" s="38"/>
      <c r="AD2330" s="38"/>
      <c r="AE2330" s="38"/>
      <c r="AF2330" s="38"/>
      <c r="AG2330" s="38"/>
      <c r="AH2330" s="38"/>
    </row>
    <row r="2331" spans="3:34" ht="20.100000000000001" customHeight="1">
      <c r="C2331" s="113"/>
      <c r="D2331" s="114"/>
      <c r="P2331" s="82"/>
      <c r="Q2331" s="82"/>
      <c r="R2331" s="38"/>
      <c r="S2331" s="38"/>
      <c r="T2331" s="38"/>
      <c r="U2331" s="38"/>
      <c r="V2331" s="38"/>
      <c r="W2331" s="38"/>
      <c r="X2331" s="38"/>
      <c r="Y2331" s="38"/>
      <c r="Z2331" s="38"/>
      <c r="AA2331" s="38"/>
      <c r="AB2331" s="38"/>
      <c r="AC2331" s="38"/>
      <c r="AD2331" s="38"/>
      <c r="AE2331" s="38"/>
      <c r="AF2331" s="38"/>
      <c r="AG2331" s="38"/>
      <c r="AH2331" s="38"/>
    </row>
    <row r="2332" spans="3:34" ht="20.100000000000001" customHeight="1">
      <c r="C2332" s="113"/>
      <c r="D2332" s="114"/>
      <c r="P2332" s="82"/>
      <c r="Q2332" s="82"/>
      <c r="R2332" s="38"/>
      <c r="S2332" s="38"/>
      <c r="T2332" s="38"/>
      <c r="U2332" s="38"/>
      <c r="V2332" s="38"/>
      <c r="W2332" s="38"/>
      <c r="X2332" s="38"/>
      <c r="Y2332" s="38"/>
      <c r="Z2332" s="38"/>
      <c r="AA2332" s="38"/>
      <c r="AB2332" s="38"/>
      <c r="AC2332" s="38"/>
      <c r="AD2332" s="38"/>
      <c r="AE2332" s="38"/>
      <c r="AF2332" s="38"/>
      <c r="AG2332" s="38"/>
      <c r="AH2332" s="38"/>
    </row>
    <row r="2333" spans="3:34" ht="20.100000000000001" customHeight="1">
      <c r="C2333" s="113"/>
      <c r="D2333" s="114"/>
      <c r="P2333" s="82"/>
      <c r="Q2333" s="82"/>
      <c r="R2333" s="38"/>
      <c r="S2333" s="38"/>
      <c r="T2333" s="38"/>
      <c r="U2333" s="38"/>
      <c r="V2333" s="38"/>
      <c r="W2333" s="38"/>
      <c r="X2333" s="38"/>
      <c r="Y2333" s="38"/>
      <c r="Z2333" s="38"/>
      <c r="AA2333" s="38"/>
      <c r="AB2333" s="38"/>
      <c r="AC2333" s="38"/>
      <c r="AD2333" s="38"/>
      <c r="AE2333" s="38"/>
      <c r="AF2333" s="38"/>
      <c r="AG2333" s="38"/>
      <c r="AH2333" s="38"/>
    </row>
    <row r="2334" spans="3:34" ht="20.100000000000001" customHeight="1">
      <c r="C2334" s="113"/>
      <c r="D2334" s="114"/>
      <c r="P2334" s="82"/>
      <c r="Q2334" s="82"/>
      <c r="R2334" s="38"/>
      <c r="S2334" s="38"/>
      <c r="T2334" s="38"/>
      <c r="U2334" s="38"/>
      <c r="V2334" s="38"/>
      <c r="W2334" s="38"/>
      <c r="X2334" s="38"/>
      <c r="Y2334" s="38"/>
      <c r="Z2334" s="38"/>
      <c r="AA2334" s="38"/>
      <c r="AB2334" s="38"/>
      <c r="AC2334" s="38"/>
      <c r="AD2334" s="38"/>
      <c r="AE2334" s="38"/>
      <c r="AF2334" s="38"/>
      <c r="AG2334" s="38"/>
      <c r="AH2334" s="38"/>
    </row>
    <row r="2335" spans="3:34" ht="20.100000000000001" customHeight="1">
      <c r="C2335" s="113"/>
      <c r="D2335" s="114"/>
      <c r="P2335" s="82"/>
      <c r="Q2335" s="82"/>
      <c r="R2335" s="38"/>
      <c r="S2335" s="38"/>
      <c r="T2335" s="38"/>
      <c r="U2335" s="38"/>
      <c r="V2335" s="38"/>
      <c r="W2335" s="38"/>
      <c r="X2335" s="38"/>
      <c r="Y2335" s="38"/>
      <c r="Z2335" s="38"/>
      <c r="AA2335" s="38"/>
      <c r="AB2335" s="38"/>
      <c r="AC2335" s="38"/>
      <c r="AD2335" s="38"/>
      <c r="AE2335" s="38"/>
      <c r="AF2335" s="38"/>
      <c r="AG2335" s="38"/>
      <c r="AH2335" s="38"/>
    </row>
    <row r="2336" spans="3:34" ht="20.100000000000001" customHeight="1">
      <c r="C2336" s="113"/>
      <c r="D2336" s="114"/>
      <c r="P2336" s="82"/>
      <c r="Q2336" s="82"/>
      <c r="R2336" s="38"/>
      <c r="S2336" s="38"/>
      <c r="T2336" s="38"/>
      <c r="U2336" s="38"/>
      <c r="V2336" s="38"/>
      <c r="W2336" s="38"/>
      <c r="X2336" s="38"/>
      <c r="Y2336" s="38"/>
      <c r="Z2336" s="38"/>
      <c r="AA2336" s="38"/>
      <c r="AB2336" s="38"/>
      <c r="AC2336" s="38"/>
      <c r="AD2336" s="38"/>
      <c r="AE2336" s="38"/>
      <c r="AF2336" s="38"/>
      <c r="AG2336" s="38"/>
      <c r="AH2336" s="38"/>
    </row>
    <row r="2337" spans="3:34" ht="20.100000000000001" customHeight="1">
      <c r="C2337" s="113"/>
      <c r="D2337" s="114"/>
      <c r="P2337" s="82"/>
      <c r="Q2337" s="82"/>
      <c r="R2337" s="38"/>
      <c r="S2337" s="38"/>
      <c r="T2337" s="38"/>
      <c r="U2337" s="38"/>
      <c r="V2337" s="38"/>
      <c r="W2337" s="38"/>
      <c r="X2337" s="38"/>
      <c r="Y2337" s="38"/>
      <c r="Z2337" s="38"/>
      <c r="AA2337" s="38"/>
      <c r="AB2337" s="38"/>
      <c r="AC2337" s="38"/>
      <c r="AD2337" s="38"/>
      <c r="AE2337" s="38"/>
      <c r="AF2337" s="38"/>
      <c r="AG2337" s="38"/>
      <c r="AH2337" s="38"/>
    </row>
    <row r="2338" spans="3:34" ht="20.100000000000001" customHeight="1">
      <c r="C2338" s="113"/>
      <c r="D2338" s="114"/>
      <c r="P2338" s="82"/>
      <c r="Q2338" s="82"/>
      <c r="R2338" s="38"/>
      <c r="S2338" s="38"/>
      <c r="T2338" s="38"/>
      <c r="U2338" s="38"/>
      <c r="V2338" s="38"/>
      <c r="W2338" s="38"/>
      <c r="X2338" s="38"/>
      <c r="Y2338" s="38"/>
      <c r="Z2338" s="38"/>
      <c r="AA2338" s="38"/>
      <c r="AB2338" s="38"/>
      <c r="AC2338" s="38"/>
      <c r="AD2338" s="38"/>
      <c r="AE2338" s="38"/>
      <c r="AF2338" s="38"/>
      <c r="AG2338" s="38"/>
      <c r="AH2338" s="38"/>
    </row>
    <row r="2339" spans="3:34" ht="20.100000000000001" customHeight="1">
      <c r="C2339" s="113"/>
      <c r="D2339" s="114"/>
      <c r="P2339" s="82"/>
      <c r="Q2339" s="82"/>
      <c r="R2339" s="38"/>
      <c r="S2339" s="38"/>
      <c r="T2339" s="38"/>
      <c r="U2339" s="38"/>
      <c r="V2339" s="38"/>
      <c r="W2339" s="38"/>
      <c r="X2339" s="38"/>
      <c r="Y2339" s="38"/>
      <c r="Z2339" s="38"/>
      <c r="AA2339" s="38"/>
      <c r="AB2339" s="38"/>
      <c r="AC2339" s="38"/>
      <c r="AD2339" s="38"/>
      <c r="AE2339" s="38"/>
      <c r="AF2339" s="38"/>
      <c r="AG2339" s="38"/>
      <c r="AH2339" s="38"/>
    </row>
    <row r="2340" spans="3:34" ht="20.100000000000001" customHeight="1">
      <c r="C2340" s="113"/>
      <c r="D2340" s="114"/>
      <c r="P2340" s="82"/>
      <c r="Q2340" s="82"/>
      <c r="R2340" s="38"/>
      <c r="S2340" s="38"/>
      <c r="T2340" s="38"/>
      <c r="U2340" s="38"/>
      <c r="V2340" s="38"/>
      <c r="W2340" s="38"/>
      <c r="X2340" s="38"/>
      <c r="Y2340" s="38"/>
      <c r="Z2340" s="38"/>
      <c r="AA2340" s="38"/>
      <c r="AB2340" s="38"/>
      <c r="AC2340" s="38"/>
      <c r="AD2340" s="38"/>
      <c r="AE2340" s="38"/>
      <c r="AF2340" s="38"/>
      <c r="AG2340" s="38"/>
      <c r="AH2340" s="38"/>
    </row>
    <row r="2341" spans="3:34" ht="20.100000000000001" customHeight="1">
      <c r="C2341" s="113"/>
      <c r="D2341" s="114"/>
      <c r="P2341" s="82"/>
      <c r="Q2341" s="82"/>
      <c r="R2341" s="38"/>
      <c r="S2341" s="38"/>
      <c r="T2341" s="38"/>
      <c r="U2341" s="38"/>
      <c r="V2341" s="38"/>
      <c r="W2341" s="38"/>
      <c r="X2341" s="38"/>
      <c r="Y2341" s="38"/>
      <c r="Z2341" s="38"/>
      <c r="AA2341" s="38"/>
      <c r="AB2341" s="38"/>
      <c r="AC2341" s="38"/>
      <c r="AD2341" s="38"/>
      <c r="AE2341" s="38"/>
      <c r="AF2341" s="38"/>
      <c r="AG2341" s="38"/>
      <c r="AH2341" s="38"/>
    </row>
    <row r="2342" spans="3:34" ht="20.100000000000001" customHeight="1">
      <c r="C2342" s="113"/>
      <c r="D2342" s="114"/>
      <c r="P2342" s="82"/>
      <c r="Q2342" s="82"/>
      <c r="R2342" s="38"/>
      <c r="S2342" s="38"/>
      <c r="T2342" s="38"/>
      <c r="U2342" s="38"/>
      <c r="V2342" s="38"/>
      <c r="W2342" s="38"/>
      <c r="X2342" s="38"/>
      <c r="Y2342" s="38"/>
      <c r="Z2342" s="38"/>
      <c r="AA2342" s="38"/>
      <c r="AB2342" s="38"/>
      <c r="AC2342" s="38"/>
      <c r="AD2342" s="38"/>
      <c r="AE2342" s="38"/>
      <c r="AF2342" s="38"/>
      <c r="AG2342" s="38"/>
      <c r="AH2342" s="38"/>
    </row>
    <row r="2343" spans="3:34" ht="20.100000000000001" customHeight="1">
      <c r="C2343" s="113"/>
      <c r="D2343" s="114"/>
      <c r="P2343" s="82"/>
      <c r="Q2343" s="82"/>
      <c r="R2343" s="38"/>
      <c r="S2343" s="38"/>
      <c r="T2343" s="38"/>
      <c r="U2343" s="38"/>
      <c r="V2343" s="38"/>
      <c r="W2343" s="38"/>
      <c r="X2343" s="38"/>
      <c r="Y2343" s="38"/>
      <c r="Z2343" s="38"/>
      <c r="AA2343" s="38"/>
      <c r="AB2343" s="38"/>
      <c r="AC2343" s="38"/>
      <c r="AD2343" s="38"/>
      <c r="AE2343" s="38"/>
      <c r="AF2343" s="38"/>
      <c r="AG2343" s="38"/>
      <c r="AH2343" s="38"/>
    </row>
    <row r="2344" spans="3:34" ht="20.100000000000001" customHeight="1">
      <c r="C2344" s="113"/>
      <c r="D2344" s="114"/>
      <c r="P2344" s="82"/>
      <c r="Q2344" s="82"/>
      <c r="R2344" s="38"/>
      <c r="S2344" s="38"/>
      <c r="T2344" s="38"/>
      <c r="U2344" s="38"/>
      <c r="V2344" s="38"/>
      <c r="W2344" s="38"/>
      <c r="X2344" s="38"/>
      <c r="Y2344" s="38"/>
      <c r="Z2344" s="38"/>
      <c r="AA2344" s="38"/>
      <c r="AB2344" s="38"/>
      <c r="AC2344" s="38"/>
      <c r="AD2344" s="38"/>
      <c r="AE2344" s="38"/>
      <c r="AF2344" s="38"/>
      <c r="AG2344" s="38"/>
      <c r="AH2344" s="38"/>
    </row>
    <row r="2345" spans="3:34" ht="20.100000000000001" customHeight="1">
      <c r="C2345" s="113"/>
      <c r="D2345" s="114"/>
      <c r="P2345" s="82"/>
      <c r="Q2345" s="82"/>
      <c r="R2345" s="38"/>
      <c r="S2345" s="38"/>
      <c r="T2345" s="38"/>
      <c r="U2345" s="38"/>
      <c r="V2345" s="38"/>
      <c r="W2345" s="38"/>
      <c r="X2345" s="38"/>
      <c r="Y2345" s="38"/>
      <c r="Z2345" s="38"/>
      <c r="AA2345" s="38"/>
      <c r="AB2345" s="38"/>
      <c r="AC2345" s="38"/>
      <c r="AD2345" s="38"/>
      <c r="AE2345" s="38"/>
      <c r="AF2345" s="38"/>
      <c r="AG2345" s="38"/>
      <c r="AH2345" s="38"/>
    </row>
    <row r="2346" spans="3:34" ht="20.100000000000001" customHeight="1">
      <c r="C2346" s="113"/>
      <c r="D2346" s="114"/>
      <c r="P2346" s="82"/>
      <c r="Q2346" s="82"/>
      <c r="R2346" s="38"/>
      <c r="S2346" s="38"/>
      <c r="T2346" s="38"/>
      <c r="U2346" s="38"/>
      <c r="V2346" s="38"/>
      <c r="W2346" s="38"/>
      <c r="X2346" s="38"/>
      <c r="Y2346" s="38"/>
      <c r="Z2346" s="38"/>
      <c r="AA2346" s="38"/>
      <c r="AB2346" s="38"/>
      <c r="AC2346" s="38"/>
      <c r="AD2346" s="38"/>
      <c r="AE2346" s="38"/>
      <c r="AF2346" s="38"/>
      <c r="AG2346" s="38"/>
      <c r="AH2346" s="38"/>
    </row>
    <row r="2347" spans="3:34" ht="20.100000000000001" customHeight="1">
      <c r="C2347" s="113"/>
      <c r="D2347" s="114"/>
      <c r="P2347" s="82"/>
      <c r="Q2347" s="82"/>
      <c r="R2347" s="38"/>
      <c r="S2347" s="38"/>
      <c r="T2347" s="38"/>
      <c r="U2347" s="38"/>
      <c r="V2347" s="38"/>
      <c r="W2347" s="38"/>
      <c r="X2347" s="38"/>
      <c r="Y2347" s="38"/>
      <c r="Z2347" s="38"/>
      <c r="AA2347" s="38"/>
      <c r="AB2347" s="38"/>
      <c r="AC2347" s="38"/>
      <c r="AD2347" s="38"/>
      <c r="AE2347" s="38"/>
      <c r="AF2347" s="38"/>
      <c r="AG2347" s="38"/>
      <c r="AH2347" s="38"/>
    </row>
    <row r="2348" spans="3:34" ht="20.100000000000001" customHeight="1">
      <c r="C2348" s="113"/>
      <c r="D2348" s="114"/>
      <c r="P2348" s="82"/>
      <c r="Q2348" s="82"/>
      <c r="R2348" s="38"/>
      <c r="S2348" s="38"/>
      <c r="T2348" s="38"/>
      <c r="U2348" s="38"/>
      <c r="V2348" s="38"/>
      <c r="W2348" s="38"/>
      <c r="X2348" s="38"/>
      <c r="Y2348" s="38"/>
      <c r="Z2348" s="38"/>
      <c r="AA2348" s="38"/>
      <c r="AB2348" s="38"/>
      <c r="AC2348" s="38"/>
      <c r="AD2348" s="38"/>
      <c r="AE2348" s="38"/>
      <c r="AF2348" s="38"/>
      <c r="AG2348" s="38"/>
      <c r="AH2348" s="38"/>
    </row>
    <row r="2349" spans="3:34" ht="20.100000000000001" customHeight="1">
      <c r="C2349" s="113"/>
      <c r="D2349" s="114"/>
      <c r="P2349" s="82"/>
      <c r="Q2349" s="82"/>
      <c r="R2349" s="38"/>
      <c r="S2349" s="38"/>
      <c r="T2349" s="38"/>
      <c r="U2349" s="38"/>
      <c r="V2349" s="38"/>
      <c r="W2349" s="38"/>
      <c r="X2349" s="38"/>
      <c r="Y2349" s="38"/>
      <c r="Z2349" s="38"/>
      <c r="AA2349" s="38"/>
      <c r="AB2349" s="38"/>
      <c r="AC2349" s="38"/>
      <c r="AD2349" s="38"/>
      <c r="AE2349" s="38"/>
      <c r="AF2349" s="38"/>
      <c r="AG2349" s="38"/>
      <c r="AH2349" s="38"/>
    </row>
    <row r="2350" spans="3:34" ht="20.100000000000001" customHeight="1">
      <c r="C2350" s="113"/>
      <c r="D2350" s="114"/>
      <c r="P2350" s="82"/>
      <c r="Q2350" s="82"/>
      <c r="R2350" s="38"/>
      <c r="S2350" s="38"/>
      <c r="T2350" s="38"/>
      <c r="U2350" s="38"/>
      <c r="V2350" s="38"/>
      <c r="W2350" s="38"/>
      <c r="X2350" s="38"/>
      <c r="Y2350" s="38"/>
      <c r="Z2350" s="38"/>
      <c r="AA2350" s="38"/>
      <c r="AB2350" s="38"/>
      <c r="AC2350" s="38"/>
      <c r="AD2350" s="38"/>
      <c r="AE2350" s="38"/>
      <c r="AF2350" s="38"/>
      <c r="AG2350" s="38"/>
      <c r="AH2350" s="38"/>
    </row>
    <row r="2351" spans="3:34" ht="20.100000000000001" customHeight="1">
      <c r="C2351" s="113"/>
      <c r="D2351" s="114"/>
      <c r="P2351" s="82"/>
      <c r="Q2351" s="82"/>
      <c r="R2351" s="38"/>
      <c r="S2351" s="38"/>
      <c r="T2351" s="38"/>
      <c r="U2351" s="38"/>
      <c r="V2351" s="38"/>
      <c r="W2351" s="38"/>
      <c r="X2351" s="38"/>
      <c r="Y2351" s="38"/>
      <c r="Z2351" s="38"/>
      <c r="AA2351" s="38"/>
      <c r="AB2351" s="38"/>
      <c r="AC2351" s="38"/>
      <c r="AD2351" s="38"/>
      <c r="AE2351" s="38"/>
      <c r="AF2351" s="38"/>
      <c r="AG2351" s="38"/>
      <c r="AH2351" s="38"/>
    </row>
    <row r="2352" spans="3:34" ht="20.100000000000001" customHeight="1">
      <c r="C2352" s="113"/>
      <c r="D2352" s="114"/>
      <c r="P2352" s="82"/>
      <c r="Q2352" s="82"/>
      <c r="R2352" s="38"/>
      <c r="S2352" s="38"/>
      <c r="T2352" s="38"/>
      <c r="U2352" s="38"/>
      <c r="V2352" s="38"/>
      <c r="W2352" s="38"/>
      <c r="X2352" s="38"/>
      <c r="Y2352" s="38"/>
      <c r="Z2352" s="38"/>
      <c r="AA2352" s="38"/>
      <c r="AB2352" s="38"/>
      <c r="AC2352" s="38"/>
      <c r="AD2352" s="38"/>
      <c r="AE2352" s="38"/>
      <c r="AF2352" s="38"/>
      <c r="AG2352" s="38"/>
      <c r="AH2352" s="38"/>
    </row>
    <row r="2353" spans="3:34" ht="20.100000000000001" customHeight="1">
      <c r="C2353" s="113"/>
      <c r="D2353" s="114"/>
      <c r="P2353" s="82"/>
      <c r="Q2353" s="82"/>
      <c r="R2353" s="38"/>
      <c r="S2353" s="38"/>
      <c r="T2353" s="38"/>
      <c r="U2353" s="38"/>
      <c r="V2353" s="38"/>
      <c r="W2353" s="38"/>
      <c r="X2353" s="38"/>
      <c r="Y2353" s="38"/>
      <c r="Z2353" s="38"/>
      <c r="AA2353" s="38"/>
      <c r="AB2353" s="38"/>
      <c r="AC2353" s="38"/>
      <c r="AD2353" s="38"/>
      <c r="AE2353" s="38"/>
      <c r="AF2353" s="38"/>
      <c r="AG2353" s="38"/>
      <c r="AH2353" s="38"/>
    </row>
    <row r="2354" spans="3:34" ht="20.100000000000001" customHeight="1">
      <c r="C2354" s="113"/>
      <c r="D2354" s="114"/>
      <c r="P2354" s="82"/>
      <c r="Q2354" s="82"/>
      <c r="R2354" s="38"/>
      <c r="S2354" s="38"/>
      <c r="T2354" s="38"/>
      <c r="U2354" s="38"/>
      <c r="V2354" s="38"/>
      <c r="W2354" s="38"/>
      <c r="X2354" s="38"/>
      <c r="Y2354" s="38"/>
      <c r="Z2354" s="38"/>
      <c r="AA2354" s="38"/>
      <c r="AB2354" s="38"/>
      <c r="AC2354" s="38"/>
      <c r="AD2354" s="38"/>
      <c r="AE2354" s="38"/>
      <c r="AF2354" s="38"/>
      <c r="AG2354" s="38"/>
      <c r="AH2354" s="38"/>
    </row>
    <row r="2355" spans="3:34" ht="20.100000000000001" customHeight="1">
      <c r="C2355" s="113"/>
      <c r="D2355" s="114"/>
      <c r="P2355" s="82"/>
      <c r="Q2355" s="82"/>
      <c r="R2355" s="38"/>
      <c r="S2355" s="38"/>
      <c r="T2355" s="38"/>
      <c r="U2355" s="38"/>
      <c r="V2355" s="38"/>
      <c r="W2355" s="38"/>
      <c r="X2355" s="38"/>
      <c r="Y2355" s="38"/>
      <c r="Z2355" s="38"/>
      <c r="AA2355" s="38"/>
      <c r="AB2355" s="38"/>
      <c r="AC2355" s="38"/>
      <c r="AD2355" s="38"/>
      <c r="AE2355" s="38"/>
      <c r="AF2355" s="38"/>
      <c r="AG2355" s="38"/>
      <c r="AH2355" s="38"/>
    </row>
    <row r="2356" spans="3:34" ht="20.100000000000001" customHeight="1">
      <c r="C2356" s="113"/>
      <c r="D2356" s="114"/>
      <c r="P2356" s="82"/>
      <c r="Q2356" s="82"/>
      <c r="R2356" s="38"/>
      <c r="S2356" s="38"/>
      <c r="T2356" s="38"/>
      <c r="U2356" s="38"/>
      <c r="V2356" s="38"/>
      <c r="W2356" s="38"/>
      <c r="X2356" s="38"/>
      <c r="Y2356" s="38"/>
      <c r="Z2356" s="38"/>
      <c r="AA2356" s="38"/>
      <c r="AB2356" s="38"/>
      <c r="AC2356" s="38"/>
      <c r="AD2356" s="38"/>
      <c r="AE2356" s="38"/>
      <c r="AF2356" s="38"/>
      <c r="AG2356" s="38"/>
      <c r="AH2356" s="38"/>
    </row>
    <row r="2357" spans="3:34" ht="20.100000000000001" customHeight="1">
      <c r="C2357" s="113"/>
      <c r="D2357" s="114"/>
      <c r="P2357" s="82"/>
      <c r="Q2357" s="82"/>
      <c r="R2357" s="38"/>
      <c r="S2357" s="38"/>
      <c r="T2357" s="38"/>
      <c r="U2357" s="38"/>
      <c r="V2357" s="38"/>
      <c r="W2357" s="38"/>
      <c r="X2357" s="38"/>
      <c r="Y2357" s="38"/>
      <c r="Z2357" s="38"/>
      <c r="AA2357" s="38"/>
      <c r="AB2357" s="38"/>
      <c r="AC2357" s="38"/>
      <c r="AD2357" s="38"/>
      <c r="AE2357" s="38"/>
      <c r="AF2357" s="38"/>
      <c r="AG2357" s="38"/>
      <c r="AH2357" s="38"/>
    </row>
    <row r="2358" spans="3:34" ht="20.100000000000001" customHeight="1">
      <c r="C2358" s="113"/>
      <c r="D2358" s="114"/>
      <c r="P2358" s="82"/>
      <c r="Q2358" s="82"/>
      <c r="R2358" s="38"/>
      <c r="S2358" s="38"/>
      <c r="T2358" s="38"/>
      <c r="U2358" s="38"/>
      <c r="V2358" s="38"/>
      <c r="W2358" s="38"/>
      <c r="X2358" s="38"/>
      <c r="Y2358" s="38"/>
      <c r="Z2358" s="38"/>
      <c r="AA2358" s="38"/>
      <c r="AB2358" s="38"/>
      <c r="AC2358" s="38"/>
      <c r="AD2358" s="38"/>
      <c r="AE2358" s="38"/>
      <c r="AF2358" s="38"/>
      <c r="AG2358" s="38"/>
      <c r="AH2358" s="38"/>
    </row>
    <row r="2359" spans="3:34" ht="20.100000000000001" customHeight="1">
      <c r="C2359" s="113"/>
      <c r="D2359" s="114"/>
      <c r="P2359" s="82"/>
      <c r="Q2359" s="82"/>
      <c r="R2359" s="38"/>
      <c r="S2359" s="38"/>
      <c r="T2359" s="38"/>
      <c r="U2359" s="38"/>
      <c r="V2359" s="38"/>
      <c r="W2359" s="38"/>
      <c r="X2359" s="38"/>
      <c r="Y2359" s="38"/>
      <c r="Z2359" s="38"/>
      <c r="AA2359" s="38"/>
      <c r="AB2359" s="38"/>
      <c r="AC2359" s="38"/>
      <c r="AD2359" s="38"/>
      <c r="AE2359" s="38"/>
      <c r="AF2359" s="38"/>
      <c r="AG2359" s="38"/>
      <c r="AH2359" s="38"/>
    </row>
    <row r="2360" spans="3:34" ht="20.100000000000001" customHeight="1">
      <c r="C2360" s="113"/>
      <c r="D2360" s="114"/>
      <c r="P2360" s="82"/>
      <c r="Q2360" s="82"/>
      <c r="R2360" s="38"/>
      <c r="S2360" s="38"/>
      <c r="T2360" s="38"/>
      <c r="U2360" s="38"/>
      <c r="V2360" s="38"/>
      <c r="W2360" s="38"/>
      <c r="X2360" s="38"/>
      <c r="Y2360" s="38"/>
      <c r="Z2360" s="38"/>
      <c r="AA2360" s="38"/>
      <c r="AB2360" s="38"/>
      <c r="AC2360" s="38"/>
      <c r="AD2360" s="38"/>
      <c r="AE2360" s="38"/>
      <c r="AF2360" s="38"/>
      <c r="AG2360" s="38"/>
      <c r="AH2360" s="38"/>
    </row>
    <row r="2361" spans="3:34" ht="20.100000000000001" customHeight="1">
      <c r="C2361" s="113"/>
      <c r="D2361" s="114"/>
      <c r="P2361" s="82"/>
      <c r="Q2361" s="82"/>
      <c r="R2361" s="38"/>
      <c r="S2361" s="38"/>
      <c r="T2361" s="38"/>
      <c r="U2361" s="38"/>
      <c r="V2361" s="38"/>
      <c r="W2361" s="38"/>
      <c r="X2361" s="38"/>
      <c r="Y2361" s="38"/>
      <c r="Z2361" s="38"/>
      <c r="AA2361" s="38"/>
      <c r="AB2361" s="38"/>
      <c r="AC2361" s="38"/>
      <c r="AD2361" s="38"/>
      <c r="AE2361" s="38"/>
      <c r="AF2361" s="38"/>
      <c r="AG2361" s="38"/>
      <c r="AH2361" s="38"/>
    </row>
    <row r="2362" spans="3:34" ht="20.100000000000001" customHeight="1">
      <c r="C2362" s="113"/>
      <c r="D2362" s="114"/>
      <c r="P2362" s="82"/>
      <c r="Q2362" s="82"/>
      <c r="R2362" s="38"/>
      <c r="S2362" s="38"/>
      <c r="T2362" s="38"/>
      <c r="U2362" s="38"/>
      <c r="V2362" s="38"/>
      <c r="W2362" s="38"/>
      <c r="X2362" s="38"/>
      <c r="Y2362" s="38"/>
      <c r="Z2362" s="38"/>
      <c r="AA2362" s="38"/>
      <c r="AB2362" s="38"/>
      <c r="AC2362" s="38"/>
      <c r="AD2362" s="38"/>
      <c r="AE2362" s="38"/>
      <c r="AF2362" s="38"/>
      <c r="AG2362" s="38"/>
      <c r="AH2362" s="38"/>
    </row>
    <row r="2363" spans="3:34" ht="20.100000000000001" customHeight="1">
      <c r="C2363" s="113"/>
      <c r="D2363" s="114"/>
      <c r="P2363" s="82"/>
      <c r="Q2363" s="82"/>
      <c r="R2363" s="38"/>
      <c r="S2363" s="38"/>
      <c r="T2363" s="38"/>
      <c r="U2363" s="38"/>
      <c r="V2363" s="38"/>
      <c r="W2363" s="38"/>
      <c r="X2363" s="38"/>
      <c r="Y2363" s="38"/>
      <c r="Z2363" s="38"/>
      <c r="AA2363" s="38"/>
      <c r="AB2363" s="38"/>
      <c r="AC2363" s="38"/>
      <c r="AD2363" s="38"/>
      <c r="AE2363" s="38"/>
      <c r="AF2363" s="38"/>
      <c r="AG2363" s="38"/>
      <c r="AH2363" s="38"/>
    </row>
    <row r="2364" spans="3:34" ht="20.100000000000001" customHeight="1">
      <c r="C2364" s="113"/>
      <c r="D2364" s="114"/>
      <c r="P2364" s="82"/>
      <c r="Q2364" s="82"/>
      <c r="R2364" s="38"/>
      <c r="S2364" s="38"/>
      <c r="T2364" s="38"/>
      <c r="U2364" s="38"/>
      <c r="V2364" s="38"/>
      <c r="W2364" s="38"/>
      <c r="X2364" s="38"/>
      <c r="Y2364" s="38"/>
      <c r="Z2364" s="38"/>
      <c r="AA2364" s="38"/>
      <c r="AB2364" s="38"/>
      <c r="AC2364" s="38"/>
      <c r="AD2364" s="38"/>
      <c r="AE2364" s="38"/>
      <c r="AF2364" s="38"/>
      <c r="AG2364" s="38"/>
      <c r="AH2364" s="38"/>
    </row>
    <row r="2365" spans="3:34" ht="20.100000000000001" customHeight="1">
      <c r="C2365" s="113"/>
      <c r="D2365" s="114"/>
      <c r="P2365" s="82"/>
      <c r="Q2365" s="82"/>
      <c r="R2365" s="38"/>
      <c r="S2365" s="38"/>
      <c r="T2365" s="38"/>
      <c r="U2365" s="38"/>
      <c r="V2365" s="38"/>
      <c r="W2365" s="38"/>
      <c r="X2365" s="38"/>
      <c r="Y2365" s="38"/>
      <c r="Z2365" s="38"/>
      <c r="AA2365" s="38"/>
      <c r="AB2365" s="38"/>
      <c r="AC2365" s="38"/>
      <c r="AD2365" s="38"/>
      <c r="AE2365" s="38"/>
      <c r="AF2365" s="38"/>
      <c r="AG2365" s="38"/>
      <c r="AH2365" s="38"/>
    </row>
    <row r="2366" spans="3:34" ht="20.100000000000001" customHeight="1">
      <c r="C2366" s="113"/>
      <c r="D2366" s="114"/>
      <c r="P2366" s="82"/>
      <c r="Q2366" s="82"/>
      <c r="R2366" s="38"/>
      <c r="S2366" s="38"/>
      <c r="T2366" s="38"/>
      <c r="U2366" s="38"/>
      <c r="V2366" s="38"/>
      <c r="W2366" s="38"/>
      <c r="X2366" s="38"/>
      <c r="Y2366" s="38"/>
      <c r="Z2366" s="38"/>
      <c r="AA2366" s="38"/>
      <c r="AB2366" s="38"/>
      <c r="AC2366" s="38"/>
      <c r="AD2366" s="38"/>
      <c r="AE2366" s="38"/>
      <c r="AF2366" s="38"/>
      <c r="AG2366" s="38"/>
      <c r="AH2366" s="38"/>
    </row>
    <row r="2367" spans="3:34" ht="20.100000000000001" customHeight="1">
      <c r="C2367" s="113"/>
      <c r="D2367" s="114"/>
      <c r="P2367" s="82"/>
      <c r="Q2367" s="82"/>
      <c r="R2367" s="38"/>
      <c r="S2367" s="38"/>
      <c r="T2367" s="38"/>
      <c r="U2367" s="38"/>
      <c r="V2367" s="38"/>
      <c r="W2367" s="38"/>
      <c r="X2367" s="38"/>
      <c r="Y2367" s="38"/>
      <c r="Z2367" s="38"/>
      <c r="AA2367" s="38"/>
      <c r="AB2367" s="38"/>
      <c r="AC2367" s="38"/>
      <c r="AD2367" s="38"/>
      <c r="AE2367" s="38"/>
      <c r="AF2367" s="38"/>
      <c r="AG2367" s="38"/>
      <c r="AH2367" s="38"/>
    </row>
    <row r="2368" spans="3:34" ht="20.100000000000001" customHeight="1">
      <c r="C2368" s="113"/>
      <c r="D2368" s="114"/>
      <c r="P2368" s="82"/>
      <c r="Q2368" s="82"/>
      <c r="R2368" s="38"/>
      <c r="S2368" s="38"/>
      <c r="T2368" s="38"/>
      <c r="U2368" s="38"/>
      <c r="V2368" s="38"/>
      <c r="W2368" s="38"/>
      <c r="X2368" s="38"/>
      <c r="Y2368" s="38"/>
      <c r="Z2368" s="38"/>
      <c r="AA2368" s="38"/>
      <c r="AB2368" s="38"/>
      <c r="AC2368" s="38"/>
      <c r="AD2368" s="38"/>
      <c r="AE2368" s="38"/>
      <c r="AF2368" s="38"/>
      <c r="AG2368" s="38"/>
      <c r="AH2368" s="38"/>
    </row>
    <row r="2369" spans="3:34" ht="20.100000000000001" customHeight="1">
      <c r="C2369" s="113"/>
      <c r="D2369" s="114"/>
      <c r="P2369" s="82"/>
      <c r="Q2369" s="82"/>
      <c r="R2369" s="38"/>
      <c r="S2369" s="38"/>
      <c r="T2369" s="38"/>
      <c r="U2369" s="38"/>
      <c r="V2369" s="38"/>
      <c r="W2369" s="38"/>
      <c r="X2369" s="38"/>
      <c r="Y2369" s="38"/>
      <c r="Z2369" s="38"/>
      <c r="AA2369" s="38"/>
      <c r="AB2369" s="38"/>
      <c r="AC2369" s="38"/>
      <c r="AD2369" s="38"/>
      <c r="AE2369" s="38"/>
      <c r="AF2369" s="38"/>
      <c r="AG2369" s="38"/>
      <c r="AH2369" s="38"/>
    </row>
    <row r="2370" spans="3:34" ht="20.100000000000001" customHeight="1">
      <c r="C2370" s="113"/>
      <c r="D2370" s="114"/>
      <c r="P2370" s="82"/>
      <c r="Q2370" s="82"/>
      <c r="R2370" s="38"/>
      <c r="S2370" s="38"/>
      <c r="T2370" s="38"/>
      <c r="U2370" s="38"/>
      <c r="V2370" s="38"/>
      <c r="W2370" s="38"/>
      <c r="X2370" s="38"/>
      <c r="Y2370" s="38"/>
      <c r="Z2370" s="38"/>
      <c r="AA2370" s="38"/>
      <c r="AB2370" s="38"/>
      <c r="AC2370" s="38"/>
      <c r="AD2370" s="38"/>
      <c r="AE2370" s="38"/>
      <c r="AF2370" s="38"/>
      <c r="AG2370" s="38"/>
      <c r="AH2370" s="38"/>
    </row>
    <row r="2371" spans="3:34" ht="20.100000000000001" customHeight="1">
      <c r="C2371" s="113"/>
      <c r="D2371" s="114"/>
      <c r="P2371" s="82"/>
      <c r="Q2371" s="82"/>
      <c r="R2371" s="38"/>
      <c r="S2371" s="38"/>
      <c r="T2371" s="38"/>
      <c r="U2371" s="38"/>
      <c r="V2371" s="38"/>
      <c r="W2371" s="38"/>
      <c r="X2371" s="38"/>
      <c r="Y2371" s="38"/>
      <c r="Z2371" s="38"/>
      <c r="AA2371" s="38"/>
      <c r="AB2371" s="38"/>
      <c r="AC2371" s="38"/>
      <c r="AD2371" s="38"/>
      <c r="AE2371" s="38"/>
      <c r="AF2371" s="38"/>
      <c r="AG2371" s="38"/>
      <c r="AH2371" s="38"/>
    </row>
    <row r="2372" spans="3:34" ht="20.100000000000001" customHeight="1">
      <c r="C2372" s="113"/>
      <c r="D2372" s="114"/>
      <c r="P2372" s="82"/>
      <c r="Q2372" s="82"/>
      <c r="R2372" s="38"/>
      <c r="S2372" s="38"/>
      <c r="T2372" s="38"/>
      <c r="U2372" s="38"/>
      <c r="V2372" s="38"/>
      <c r="W2372" s="38"/>
      <c r="X2372" s="38"/>
      <c r="Y2372" s="38"/>
      <c r="Z2372" s="38"/>
      <c r="AA2372" s="38"/>
      <c r="AB2372" s="38"/>
      <c r="AC2372" s="38"/>
      <c r="AD2372" s="38"/>
      <c r="AE2372" s="38"/>
      <c r="AF2372" s="38"/>
      <c r="AG2372" s="38"/>
      <c r="AH2372" s="38"/>
    </row>
    <row r="2373" spans="3:34" ht="20.100000000000001" customHeight="1">
      <c r="C2373" s="113"/>
      <c r="D2373" s="114"/>
      <c r="P2373" s="82"/>
      <c r="Q2373" s="82"/>
      <c r="R2373" s="38"/>
      <c r="S2373" s="38"/>
      <c r="T2373" s="38"/>
      <c r="U2373" s="38"/>
      <c r="V2373" s="38"/>
      <c r="W2373" s="38"/>
      <c r="X2373" s="38"/>
      <c r="Y2373" s="38"/>
      <c r="Z2373" s="38"/>
      <c r="AA2373" s="38"/>
      <c r="AB2373" s="38"/>
      <c r="AC2373" s="38"/>
      <c r="AD2373" s="38"/>
      <c r="AE2373" s="38"/>
      <c r="AF2373" s="38"/>
      <c r="AG2373" s="38"/>
      <c r="AH2373" s="38"/>
    </row>
    <row r="2374" spans="3:34" ht="20.100000000000001" customHeight="1">
      <c r="C2374" s="113"/>
      <c r="D2374" s="114"/>
      <c r="P2374" s="82"/>
      <c r="Q2374" s="82"/>
      <c r="R2374" s="38"/>
      <c r="S2374" s="38"/>
      <c r="T2374" s="38"/>
      <c r="U2374" s="38"/>
      <c r="V2374" s="38"/>
      <c r="W2374" s="38"/>
      <c r="X2374" s="38"/>
      <c r="Y2374" s="38"/>
      <c r="Z2374" s="38"/>
      <c r="AA2374" s="38"/>
      <c r="AB2374" s="38"/>
      <c r="AC2374" s="38"/>
      <c r="AD2374" s="38"/>
      <c r="AE2374" s="38"/>
      <c r="AF2374" s="38"/>
      <c r="AG2374" s="38"/>
      <c r="AH2374" s="38"/>
    </row>
    <row r="2375" spans="3:34" ht="20.100000000000001" customHeight="1">
      <c r="C2375" s="113"/>
      <c r="D2375" s="114"/>
      <c r="P2375" s="82"/>
      <c r="Q2375" s="82"/>
      <c r="R2375" s="38"/>
      <c r="S2375" s="38"/>
      <c r="T2375" s="38"/>
      <c r="U2375" s="38"/>
      <c r="V2375" s="38"/>
      <c r="W2375" s="38"/>
      <c r="X2375" s="38"/>
      <c r="Y2375" s="38"/>
      <c r="Z2375" s="38"/>
      <c r="AA2375" s="38"/>
      <c r="AB2375" s="38"/>
      <c r="AC2375" s="38"/>
      <c r="AD2375" s="38"/>
      <c r="AE2375" s="38"/>
      <c r="AF2375" s="38"/>
      <c r="AG2375" s="38"/>
      <c r="AH2375" s="38"/>
    </row>
    <row r="2376" spans="3:34" ht="20.100000000000001" customHeight="1">
      <c r="C2376" s="113"/>
      <c r="D2376" s="114"/>
      <c r="P2376" s="82"/>
      <c r="Q2376" s="82"/>
      <c r="R2376" s="38"/>
      <c r="S2376" s="38"/>
      <c r="T2376" s="38"/>
      <c r="U2376" s="38"/>
      <c r="V2376" s="38"/>
      <c r="W2376" s="38"/>
      <c r="X2376" s="38"/>
      <c r="Y2376" s="38"/>
      <c r="Z2376" s="38"/>
      <c r="AA2376" s="38"/>
      <c r="AB2376" s="38"/>
      <c r="AC2376" s="38"/>
      <c r="AD2376" s="38"/>
      <c r="AE2376" s="38"/>
      <c r="AF2376" s="38"/>
      <c r="AG2376" s="38"/>
      <c r="AH2376" s="38"/>
    </row>
    <row r="2377" spans="3:34" ht="20.100000000000001" customHeight="1">
      <c r="C2377" s="113"/>
      <c r="D2377" s="114"/>
      <c r="P2377" s="82"/>
      <c r="Q2377" s="82"/>
      <c r="R2377" s="38"/>
      <c r="S2377" s="38"/>
      <c r="T2377" s="38"/>
      <c r="U2377" s="38"/>
      <c r="V2377" s="38"/>
      <c r="W2377" s="38"/>
      <c r="X2377" s="38"/>
      <c r="Y2377" s="38"/>
      <c r="Z2377" s="38"/>
      <c r="AA2377" s="38"/>
      <c r="AB2377" s="38"/>
      <c r="AC2377" s="38"/>
      <c r="AD2377" s="38"/>
      <c r="AE2377" s="38"/>
      <c r="AF2377" s="38"/>
      <c r="AG2377" s="38"/>
      <c r="AH2377" s="38"/>
    </row>
    <row r="2378" spans="3:34" ht="20.100000000000001" customHeight="1">
      <c r="C2378" s="113"/>
      <c r="D2378" s="114"/>
      <c r="P2378" s="82"/>
      <c r="Q2378" s="82"/>
      <c r="R2378" s="38"/>
      <c r="S2378" s="38"/>
      <c r="T2378" s="38"/>
      <c r="U2378" s="38"/>
      <c r="V2378" s="38"/>
      <c r="W2378" s="38"/>
      <c r="X2378" s="38"/>
      <c r="Y2378" s="38"/>
      <c r="Z2378" s="38"/>
      <c r="AA2378" s="38"/>
      <c r="AB2378" s="38"/>
      <c r="AC2378" s="38"/>
      <c r="AD2378" s="38"/>
      <c r="AE2378" s="38"/>
      <c r="AF2378" s="38"/>
      <c r="AG2378" s="38"/>
      <c r="AH2378" s="38"/>
    </row>
    <row r="2379" spans="3:34" ht="20.100000000000001" customHeight="1">
      <c r="C2379" s="113"/>
      <c r="D2379" s="114"/>
      <c r="P2379" s="82"/>
      <c r="Q2379" s="82"/>
      <c r="R2379" s="38"/>
      <c r="S2379" s="38"/>
      <c r="T2379" s="38"/>
      <c r="U2379" s="38"/>
      <c r="V2379" s="38"/>
      <c r="W2379" s="38"/>
      <c r="X2379" s="38"/>
      <c r="Y2379" s="38"/>
      <c r="Z2379" s="38"/>
      <c r="AA2379" s="38"/>
      <c r="AB2379" s="38"/>
      <c r="AC2379" s="38"/>
      <c r="AD2379" s="38"/>
      <c r="AE2379" s="38"/>
      <c r="AF2379" s="38"/>
      <c r="AG2379" s="38"/>
      <c r="AH2379" s="38"/>
    </row>
    <row r="2380" spans="3:34" ht="20.100000000000001" customHeight="1">
      <c r="C2380" s="113"/>
      <c r="D2380" s="114"/>
      <c r="P2380" s="82"/>
      <c r="Q2380" s="82"/>
      <c r="R2380" s="38"/>
      <c r="S2380" s="38"/>
      <c r="T2380" s="38"/>
      <c r="U2380" s="38"/>
      <c r="V2380" s="38"/>
      <c r="W2380" s="38"/>
      <c r="X2380" s="38"/>
      <c r="Y2380" s="38"/>
      <c r="Z2380" s="38"/>
      <c r="AA2380" s="38"/>
      <c r="AB2380" s="38"/>
      <c r="AC2380" s="38"/>
      <c r="AD2380" s="38"/>
      <c r="AE2380" s="38"/>
      <c r="AF2380" s="38"/>
      <c r="AG2380" s="38"/>
      <c r="AH2380" s="38"/>
    </row>
    <row r="2381" spans="3:34" ht="20.100000000000001" customHeight="1">
      <c r="C2381" s="113"/>
      <c r="D2381" s="114"/>
      <c r="P2381" s="82"/>
      <c r="Q2381" s="82"/>
      <c r="R2381" s="38"/>
      <c r="S2381" s="38"/>
      <c r="T2381" s="38"/>
      <c r="U2381" s="38"/>
      <c r="V2381" s="38"/>
      <c r="W2381" s="38"/>
      <c r="X2381" s="38"/>
      <c r="Y2381" s="38"/>
      <c r="Z2381" s="38"/>
      <c r="AA2381" s="38"/>
      <c r="AB2381" s="38"/>
      <c r="AC2381" s="38"/>
      <c r="AD2381" s="38"/>
      <c r="AE2381" s="38"/>
      <c r="AF2381" s="38"/>
      <c r="AG2381" s="38"/>
      <c r="AH2381" s="38"/>
    </row>
    <row r="2382" spans="3:34" ht="20.100000000000001" customHeight="1">
      <c r="C2382" s="113"/>
      <c r="D2382" s="114"/>
      <c r="P2382" s="82"/>
      <c r="Q2382" s="82"/>
      <c r="R2382" s="38"/>
      <c r="S2382" s="38"/>
      <c r="T2382" s="38"/>
      <c r="U2382" s="38"/>
      <c r="V2382" s="38"/>
      <c r="W2382" s="38"/>
      <c r="X2382" s="38"/>
      <c r="Y2382" s="38"/>
      <c r="Z2382" s="38"/>
      <c r="AA2382" s="38"/>
      <c r="AB2382" s="38"/>
      <c r="AC2382" s="38"/>
      <c r="AD2382" s="38"/>
      <c r="AE2382" s="38"/>
      <c r="AF2382" s="38"/>
      <c r="AG2382" s="38"/>
      <c r="AH2382" s="38"/>
    </row>
    <row r="2383" spans="3:34" ht="20.100000000000001" customHeight="1">
      <c r="C2383" s="113"/>
      <c r="D2383" s="114"/>
      <c r="P2383" s="82"/>
      <c r="Q2383" s="82"/>
      <c r="R2383" s="38"/>
      <c r="S2383" s="38"/>
      <c r="T2383" s="38"/>
      <c r="U2383" s="38"/>
      <c r="V2383" s="38"/>
      <c r="W2383" s="38"/>
      <c r="X2383" s="38"/>
      <c r="Y2383" s="38"/>
      <c r="Z2383" s="38"/>
      <c r="AA2383" s="38"/>
      <c r="AB2383" s="38"/>
      <c r="AC2383" s="38"/>
      <c r="AD2383" s="38"/>
      <c r="AE2383" s="38"/>
      <c r="AF2383" s="38"/>
      <c r="AG2383" s="38"/>
      <c r="AH2383" s="38"/>
    </row>
    <row r="2384" spans="3:34" ht="20.100000000000001" customHeight="1">
      <c r="C2384" s="113"/>
      <c r="D2384" s="114"/>
      <c r="P2384" s="82"/>
      <c r="Q2384" s="82"/>
      <c r="R2384" s="38"/>
      <c r="S2384" s="38"/>
      <c r="T2384" s="38"/>
      <c r="U2384" s="38"/>
      <c r="V2384" s="38"/>
      <c r="W2384" s="38"/>
      <c r="X2384" s="38"/>
      <c r="Y2384" s="38"/>
      <c r="Z2384" s="38"/>
      <c r="AA2384" s="38"/>
      <c r="AB2384" s="38"/>
      <c r="AC2384" s="38"/>
      <c r="AD2384" s="38"/>
      <c r="AE2384" s="38"/>
      <c r="AF2384" s="38"/>
      <c r="AG2384" s="38"/>
      <c r="AH2384" s="38"/>
    </row>
    <row r="2385" spans="3:34" ht="20.100000000000001" customHeight="1">
      <c r="C2385" s="113"/>
      <c r="D2385" s="114"/>
      <c r="P2385" s="82"/>
      <c r="Q2385" s="82"/>
      <c r="R2385" s="38"/>
      <c r="S2385" s="38"/>
      <c r="T2385" s="38"/>
      <c r="U2385" s="38"/>
      <c r="V2385" s="38"/>
      <c r="W2385" s="38"/>
      <c r="X2385" s="38"/>
      <c r="Y2385" s="38"/>
      <c r="Z2385" s="38"/>
      <c r="AA2385" s="38"/>
      <c r="AB2385" s="38"/>
      <c r="AC2385" s="38"/>
      <c r="AD2385" s="38"/>
      <c r="AE2385" s="38"/>
      <c r="AF2385" s="38"/>
      <c r="AG2385" s="38"/>
      <c r="AH2385" s="38"/>
    </row>
    <row r="2386" spans="3:34" ht="20.100000000000001" customHeight="1">
      <c r="C2386" s="113"/>
      <c r="D2386" s="114"/>
      <c r="P2386" s="82"/>
      <c r="Q2386" s="82"/>
      <c r="R2386" s="38"/>
      <c r="S2386" s="38"/>
      <c r="T2386" s="38"/>
      <c r="U2386" s="38"/>
      <c r="V2386" s="38"/>
      <c r="W2386" s="38"/>
      <c r="X2386" s="38"/>
      <c r="Y2386" s="38"/>
      <c r="Z2386" s="38"/>
      <c r="AA2386" s="38"/>
      <c r="AB2386" s="38"/>
      <c r="AC2386" s="38"/>
      <c r="AD2386" s="38"/>
      <c r="AE2386" s="38"/>
      <c r="AF2386" s="38"/>
      <c r="AG2386" s="38"/>
      <c r="AH2386" s="38"/>
    </row>
    <row r="2387" spans="3:34" ht="20.100000000000001" customHeight="1">
      <c r="C2387" s="113"/>
      <c r="D2387" s="114"/>
      <c r="P2387" s="82"/>
      <c r="Q2387" s="82"/>
      <c r="R2387" s="38"/>
      <c r="S2387" s="38"/>
      <c r="T2387" s="38"/>
      <c r="U2387" s="38"/>
      <c r="V2387" s="38"/>
      <c r="W2387" s="38"/>
      <c r="X2387" s="38"/>
      <c r="Y2387" s="38"/>
      <c r="Z2387" s="38"/>
      <c r="AA2387" s="38"/>
      <c r="AB2387" s="38"/>
      <c r="AC2387" s="38"/>
      <c r="AD2387" s="38"/>
      <c r="AE2387" s="38"/>
      <c r="AF2387" s="38"/>
      <c r="AG2387" s="38"/>
      <c r="AH2387" s="38"/>
    </row>
    <row r="2388" spans="3:34" ht="20.100000000000001" customHeight="1">
      <c r="C2388" s="113"/>
      <c r="D2388" s="114"/>
      <c r="P2388" s="82"/>
      <c r="Q2388" s="82"/>
      <c r="R2388" s="38"/>
      <c r="S2388" s="38"/>
      <c r="T2388" s="38"/>
      <c r="U2388" s="38"/>
      <c r="V2388" s="38"/>
      <c r="W2388" s="38"/>
      <c r="X2388" s="38"/>
      <c r="Y2388" s="38"/>
      <c r="Z2388" s="38"/>
      <c r="AA2388" s="38"/>
      <c r="AB2388" s="38"/>
      <c r="AC2388" s="38"/>
      <c r="AD2388" s="38"/>
      <c r="AE2388" s="38"/>
      <c r="AF2388" s="38"/>
      <c r="AG2388" s="38"/>
      <c r="AH2388" s="38"/>
    </row>
    <row r="2389" spans="3:34" ht="20.100000000000001" customHeight="1">
      <c r="C2389" s="113"/>
      <c r="D2389" s="114"/>
      <c r="P2389" s="82"/>
      <c r="Q2389" s="82"/>
      <c r="R2389" s="38"/>
      <c r="S2389" s="38"/>
      <c r="T2389" s="38"/>
      <c r="U2389" s="38"/>
      <c r="V2389" s="38"/>
      <c r="W2389" s="38"/>
      <c r="X2389" s="38"/>
      <c r="Y2389" s="38"/>
      <c r="Z2389" s="38"/>
      <c r="AA2389" s="38"/>
      <c r="AB2389" s="38"/>
      <c r="AC2389" s="38"/>
      <c r="AD2389" s="38"/>
      <c r="AE2389" s="38"/>
      <c r="AF2389" s="38"/>
      <c r="AG2389" s="38"/>
      <c r="AH2389" s="38"/>
    </row>
    <row r="2390" spans="3:34" ht="20.100000000000001" customHeight="1">
      <c r="C2390" s="113"/>
      <c r="D2390" s="114"/>
      <c r="P2390" s="82"/>
      <c r="Q2390" s="82"/>
      <c r="R2390" s="38"/>
      <c r="S2390" s="38"/>
      <c r="T2390" s="38"/>
      <c r="U2390" s="38"/>
      <c r="V2390" s="38"/>
      <c r="W2390" s="38"/>
      <c r="X2390" s="38"/>
      <c r="Y2390" s="38"/>
      <c r="Z2390" s="38"/>
      <c r="AA2390" s="38"/>
      <c r="AB2390" s="38"/>
      <c r="AC2390" s="38"/>
      <c r="AD2390" s="38"/>
      <c r="AE2390" s="38"/>
      <c r="AF2390" s="38"/>
      <c r="AG2390" s="38"/>
      <c r="AH2390" s="38"/>
    </row>
    <row r="2391" spans="3:34" ht="20.100000000000001" customHeight="1">
      <c r="C2391" s="113"/>
      <c r="D2391" s="114"/>
      <c r="P2391" s="82"/>
      <c r="Q2391" s="82"/>
      <c r="R2391" s="38"/>
      <c r="S2391" s="38"/>
      <c r="T2391" s="38"/>
      <c r="U2391" s="38"/>
      <c r="V2391" s="38"/>
      <c r="W2391" s="38"/>
      <c r="X2391" s="38"/>
      <c r="Y2391" s="38"/>
      <c r="Z2391" s="38"/>
      <c r="AA2391" s="38"/>
      <c r="AB2391" s="38"/>
      <c r="AC2391" s="38"/>
      <c r="AD2391" s="38"/>
      <c r="AE2391" s="38"/>
      <c r="AF2391" s="38"/>
      <c r="AG2391" s="38"/>
      <c r="AH2391" s="38"/>
    </row>
    <row r="2392" spans="3:34" ht="20.100000000000001" customHeight="1">
      <c r="C2392" s="113"/>
      <c r="D2392" s="114"/>
      <c r="P2392" s="82"/>
      <c r="Q2392" s="82"/>
      <c r="R2392" s="38"/>
      <c r="S2392" s="38"/>
      <c r="T2392" s="38"/>
      <c r="U2392" s="38"/>
      <c r="V2392" s="38"/>
      <c r="W2392" s="38"/>
      <c r="X2392" s="38"/>
      <c r="Y2392" s="38"/>
      <c r="Z2392" s="38"/>
      <c r="AA2392" s="38"/>
      <c r="AB2392" s="38"/>
      <c r="AC2392" s="38"/>
      <c r="AD2392" s="38"/>
      <c r="AE2392" s="38"/>
      <c r="AF2392" s="38"/>
      <c r="AG2392" s="38"/>
      <c r="AH2392" s="38"/>
    </row>
    <row r="2393" spans="3:34" ht="20.100000000000001" customHeight="1">
      <c r="C2393" s="113"/>
      <c r="D2393" s="114"/>
      <c r="P2393" s="82"/>
      <c r="Q2393" s="82"/>
      <c r="R2393" s="38"/>
      <c r="S2393" s="38"/>
      <c r="T2393" s="38"/>
      <c r="U2393" s="38"/>
      <c r="V2393" s="38"/>
      <c r="W2393" s="38"/>
      <c r="X2393" s="38"/>
      <c r="Y2393" s="38"/>
      <c r="Z2393" s="38"/>
      <c r="AA2393" s="38"/>
      <c r="AB2393" s="38"/>
      <c r="AC2393" s="38"/>
      <c r="AD2393" s="38"/>
      <c r="AE2393" s="38"/>
      <c r="AF2393" s="38"/>
      <c r="AG2393" s="38"/>
      <c r="AH2393" s="38"/>
    </row>
    <row r="2394" spans="3:34" ht="20.100000000000001" customHeight="1">
      <c r="C2394" s="113"/>
      <c r="D2394" s="114"/>
      <c r="P2394" s="82"/>
      <c r="Q2394" s="82"/>
      <c r="R2394" s="38"/>
      <c r="S2394" s="38"/>
      <c r="T2394" s="38"/>
      <c r="U2394" s="38"/>
      <c r="V2394" s="38"/>
      <c r="W2394" s="38"/>
      <c r="X2394" s="38"/>
      <c r="Y2394" s="38"/>
      <c r="Z2394" s="38"/>
      <c r="AA2394" s="38"/>
      <c r="AB2394" s="38"/>
      <c r="AC2394" s="38"/>
      <c r="AD2394" s="38"/>
      <c r="AE2394" s="38"/>
      <c r="AF2394" s="38"/>
      <c r="AG2394" s="38"/>
      <c r="AH2394" s="38"/>
    </row>
    <row r="2395" spans="3:34" ht="20.100000000000001" customHeight="1">
      <c r="C2395" s="113"/>
      <c r="D2395" s="114"/>
      <c r="P2395" s="82"/>
      <c r="Q2395" s="82"/>
      <c r="R2395" s="38"/>
      <c r="S2395" s="38"/>
      <c r="T2395" s="38"/>
      <c r="U2395" s="38"/>
      <c r="V2395" s="38"/>
      <c r="W2395" s="38"/>
      <c r="X2395" s="38"/>
      <c r="Y2395" s="38"/>
      <c r="Z2395" s="38"/>
      <c r="AA2395" s="38"/>
      <c r="AB2395" s="38"/>
      <c r="AC2395" s="38"/>
      <c r="AD2395" s="38"/>
      <c r="AE2395" s="38"/>
      <c r="AF2395" s="38"/>
      <c r="AG2395" s="38"/>
      <c r="AH2395" s="38"/>
    </row>
    <row r="2396" spans="3:34" ht="20.100000000000001" customHeight="1">
      <c r="C2396" s="113"/>
      <c r="D2396" s="114"/>
      <c r="P2396" s="82"/>
      <c r="Q2396" s="82"/>
      <c r="R2396" s="38"/>
      <c r="S2396" s="38"/>
      <c r="T2396" s="38"/>
      <c r="U2396" s="38"/>
      <c r="V2396" s="38"/>
      <c r="W2396" s="38"/>
      <c r="X2396" s="38"/>
      <c r="Y2396" s="38"/>
      <c r="Z2396" s="38"/>
      <c r="AA2396" s="38"/>
      <c r="AB2396" s="38"/>
      <c r="AC2396" s="38"/>
      <c r="AD2396" s="38"/>
      <c r="AE2396" s="38"/>
      <c r="AF2396" s="38"/>
      <c r="AG2396" s="38"/>
      <c r="AH2396" s="38"/>
    </row>
    <row r="2397" spans="3:34" ht="20.100000000000001" customHeight="1">
      <c r="C2397" s="113"/>
      <c r="D2397" s="114"/>
      <c r="P2397" s="82"/>
      <c r="Q2397" s="82"/>
      <c r="R2397" s="38"/>
      <c r="S2397" s="38"/>
      <c r="T2397" s="38"/>
      <c r="U2397" s="38"/>
      <c r="V2397" s="38"/>
      <c r="W2397" s="38"/>
      <c r="X2397" s="38"/>
      <c r="Y2397" s="38"/>
      <c r="Z2397" s="38"/>
      <c r="AA2397" s="38"/>
      <c r="AB2397" s="38"/>
      <c r="AC2397" s="38"/>
      <c r="AD2397" s="38"/>
      <c r="AE2397" s="38"/>
      <c r="AF2397" s="38"/>
      <c r="AG2397" s="38"/>
      <c r="AH2397" s="38"/>
    </row>
    <row r="2398" spans="3:34" ht="20.100000000000001" customHeight="1">
      <c r="C2398" s="113"/>
      <c r="D2398" s="114"/>
      <c r="P2398" s="82"/>
      <c r="Q2398" s="82"/>
      <c r="R2398" s="38"/>
      <c r="S2398" s="38"/>
      <c r="T2398" s="38"/>
      <c r="U2398" s="38"/>
      <c r="V2398" s="38"/>
      <c r="W2398" s="38"/>
      <c r="X2398" s="38"/>
      <c r="Y2398" s="38"/>
      <c r="Z2398" s="38"/>
      <c r="AA2398" s="38"/>
      <c r="AB2398" s="38"/>
      <c r="AC2398" s="38"/>
      <c r="AD2398" s="38"/>
      <c r="AE2398" s="38"/>
      <c r="AF2398" s="38"/>
      <c r="AG2398" s="38"/>
      <c r="AH2398" s="38"/>
    </row>
    <row r="2399" spans="3:34" ht="20.100000000000001" customHeight="1">
      <c r="C2399" s="113"/>
      <c r="D2399" s="114"/>
      <c r="P2399" s="82"/>
      <c r="Q2399" s="82"/>
      <c r="R2399" s="38"/>
      <c r="S2399" s="38"/>
      <c r="T2399" s="38"/>
      <c r="U2399" s="38"/>
      <c r="V2399" s="38"/>
      <c r="W2399" s="38"/>
      <c r="X2399" s="38"/>
      <c r="Y2399" s="38"/>
      <c r="Z2399" s="38"/>
      <c r="AA2399" s="38"/>
      <c r="AB2399" s="38"/>
      <c r="AC2399" s="38"/>
      <c r="AD2399" s="38"/>
      <c r="AE2399" s="38"/>
      <c r="AF2399" s="38"/>
      <c r="AG2399" s="38"/>
      <c r="AH2399" s="38"/>
    </row>
    <row r="2400" spans="3:34" ht="20.100000000000001" customHeight="1">
      <c r="C2400" s="113"/>
      <c r="D2400" s="114"/>
      <c r="P2400" s="82"/>
      <c r="Q2400" s="82"/>
      <c r="R2400" s="38"/>
      <c r="S2400" s="38"/>
      <c r="T2400" s="38"/>
      <c r="U2400" s="38"/>
      <c r="V2400" s="38"/>
      <c r="W2400" s="38"/>
      <c r="X2400" s="38"/>
      <c r="Y2400" s="38"/>
      <c r="Z2400" s="38"/>
      <c r="AA2400" s="38"/>
      <c r="AB2400" s="38"/>
      <c r="AC2400" s="38"/>
      <c r="AD2400" s="38"/>
      <c r="AE2400" s="38"/>
      <c r="AF2400" s="38"/>
      <c r="AG2400" s="38"/>
      <c r="AH2400" s="38"/>
    </row>
    <row r="2401" spans="3:34" ht="20.100000000000001" customHeight="1">
      <c r="C2401" s="113"/>
      <c r="D2401" s="114"/>
      <c r="P2401" s="82"/>
      <c r="Q2401" s="82"/>
      <c r="R2401" s="38"/>
      <c r="S2401" s="38"/>
      <c r="T2401" s="38"/>
      <c r="U2401" s="38"/>
      <c r="V2401" s="38"/>
      <c r="W2401" s="38"/>
      <c r="X2401" s="38"/>
      <c r="Y2401" s="38"/>
      <c r="Z2401" s="38"/>
      <c r="AA2401" s="38"/>
      <c r="AB2401" s="38"/>
      <c r="AC2401" s="38"/>
      <c r="AD2401" s="38"/>
      <c r="AE2401" s="38"/>
      <c r="AF2401" s="38"/>
      <c r="AG2401" s="38"/>
      <c r="AH2401" s="38"/>
    </row>
    <row r="2402" spans="3:34" ht="20.100000000000001" customHeight="1">
      <c r="C2402" s="113"/>
      <c r="D2402" s="114"/>
      <c r="P2402" s="82"/>
      <c r="Q2402" s="82"/>
      <c r="R2402" s="38"/>
      <c r="S2402" s="38"/>
      <c r="T2402" s="38"/>
      <c r="U2402" s="38"/>
      <c r="V2402" s="38"/>
      <c r="W2402" s="38"/>
      <c r="X2402" s="38"/>
      <c r="Y2402" s="38"/>
      <c r="Z2402" s="38"/>
      <c r="AA2402" s="38"/>
      <c r="AB2402" s="38"/>
      <c r="AC2402" s="38"/>
      <c r="AD2402" s="38"/>
      <c r="AE2402" s="38"/>
      <c r="AF2402" s="38"/>
      <c r="AG2402" s="38"/>
      <c r="AH2402" s="38"/>
    </row>
    <row r="2403" spans="3:34" ht="20.100000000000001" customHeight="1">
      <c r="C2403" s="113"/>
      <c r="D2403" s="114"/>
      <c r="P2403" s="82"/>
      <c r="Q2403" s="82"/>
      <c r="R2403" s="38"/>
      <c r="S2403" s="38"/>
      <c r="T2403" s="38"/>
      <c r="U2403" s="38"/>
      <c r="V2403" s="38"/>
      <c r="W2403" s="38"/>
      <c r="X2403" s="38"/>
      <c r="Y2403" s="38"/>
      <c r="Z2403" s="38"/>
      <c r="AA2403" s="38"/>
      <c r="AB2403" s="38"/>
      <c r="AC2403" s="38"/>
      <c r="AD2403" s="38"/>
      <c r="AE2403" s="38"/>
      <c r="AF2403" s="38"/>
      <c r="AG2403" s="38"/>
      <c r="AH2403" s="38"/>
    </row>
    <row r="2404" spans="3:34" ht="20.100000000000001" customHeight="1">
      <c r="C2404" s="113"/>
      <c r="D2404" s="114"/>
      <c r="P2404" s="82"/>
      <c r="Q2404" s="82"/>
      <c r="R2404" s="38"/>
      <c r="S2404" s="38"/>
      <c r="T2404" s="38"/>
      <c r="U2404" s="38"/>
      <c r="V2404" s="38"/>
      <c r="W2404" s="38"/>
      <c r="X2404" s="38"/>
      <c r="Y2404" s="38"/>
      <c r="Z2404" s="38"/>
      <c r="AA2404" s="38"/>
      <c r="AB2404" s="38"/>
      <c r="AC2404" s="38"/>
      <c r="AD2404" s="38"/>
      <c r="AE2404" s="38"/>
      <c r="AF2404" s="38"/>
      <c r="AG2404" s="38"/>
      <c r="AH2404" s="38"/>
    </row>
    <row r="2405" spans="3:34" ht="20.100000000000001" customHeight="1">
      <c r="C2405" s="113"/>
      <c r="D2405" s="114"/>
      <c r="P2405" s="82"/>
      <c r="Q2405" s="82"/>
      <c r="R2405" s="38"/>
      <c r="S2405" s="38"/>
      <c r="T2405" s="38"/>
      <c r="U2405" s="38"/>
      <c r="V2405" s="38"/>
      <c r="W2405" s="38"/>
      <c r="X2405" s="38"/>
      <c r="Y2405" s="38"/>
      <c r="Z2405" s="38"/>
      <c r="AA2405" s="38"/>
      <c r="AB2405" s="38"/>
      <c r="AC2405" s="38"/>
      <c r="AD2405" s="38"/>
      <c r="AE2405" s="38"/>
      <c r="AF2405" s="38"/>
      <c r="AG2405" s="38"/>
      <c r="AH2405" s="38"/>
    </row>
    <row r="2406" spans="3:34" ht="20.100000000000001" customHeight="1">
      <c r="C2406" s="113"/>
      <c r="D2406" s="114"/>
      <c r="P2406" s="82"/>
      <c r="Q2406" s="82"/>
      <c r="R2406" s="38"/>
      <c r="S2406" s="38"/>
      <c r="T2406" s="38"/>
      <c r="U2406" s="38"/>
      <c r="V2406" s="38"/>
      <c r="W2406" s="38"/>
      <c r="X2406" s="38"/>
      <c r="Y2406" s="38"/>
      <c r="Z2406" s="38"/>
      <c r="AA2406" s="38"/>
      <c r="AB2406" s="38"/>
      <c r="AC2406" s="38"/>
      <c r="AD2406" s="38"/>
      <c r="AE2406" s="38"/>
      <c r="AF2406" s="38"/>
      <c r="AG2406" s="38"/>
      <c r="AH2406" s="38"/>
    </row>
    <row r="2407" spans="3:34" ht="20.100000000000001" customHeight="1">
      <c r="C2407" s="113"/>
      <c r="D2407" s="114"/>
      <c r="P2407" s="82"/>
      <c r="Q2407" s="82"/>
      <c r="R2407" s="38"/>
      <c r="S2407" s="38"/>
      <c r="T2407" s="38"/>
      <c r="U2407" s="38"/>
      <c r="V2407" s="38"/>
      <c r="W2407" s="38"/>
      <c r="X2407" s="38"/>
      <c r="Y2407" s="38"/>
      <c r="Z2407" s="38"/>
      <c r="AA2407" s="38"/>
      <c r="AB2407" s="38"/>
      <c r="AC2407" s="38"/>
      <c r="AD2407" s="38"/>
      <c r="AE2407" s="38"/>
      <c r="AF2407" s="38"/>
      <c r="AG2407" s="38"/>
      <c r="AH2407" s="38"/>
    </row>
    <row r="2408" spans="3:34" ht="20.100000000000001" customHeight="1">
      <c r="C2408" s="113"/>
      <c r="D2408" s="114"/>
      <c r="P2408" s="82"/>
      <c r="Q2408" s="82"/>
      <c r="R2408" s="38"/>
      <c r="S2408" s="38"/>
      <c r="T2408" s="38"/>
      <c r="U2408" s="38"/>
      <c r="V2408" s="38"/>
      <c r="W2408" s="38"/>
      <c r="X2408" s="38"/>
      <c r="Y2408" s="38"/>
      <c r="Z2408" s="38"/>
      <c r="AA2408" s="38"/>
      <c r="AB2408" s="38"/>
      <c r="AC2408" s="38"/>
      <c r="AD2408" s="38"/>
      <c r="AE2408" s="38"/>
      <c r="AF2408" s="38"/>
      <c r="AG2408" s="38"/>
      <c r="AH2408" s="38"/>
    </row>
    <row r="2409" spans="3:34" ht="20.100000000000001" customHeight="1">
      <c r="C2409" s="113"/>
      <c r="D2409" s="114"/>
      <c r="P2409" s="82"/>
      <c r="Q2409" s="82"/>
      <c r="R2409" s="38"/>
      <c r="S2409" s="38"/>
      <c r="T2409" s="38"/>
      <c r="U2409" s="38"/>
      <c r="V2409" s="38"/>
      <c r="W2409" s="38"/>
      <c r="X2409" s="38"/>
      <c r="Y2409" s="38"/>
      <c r="Z2409" s="38"/>
      <c r="AA2409" s="38"/>
      <c r="AB2409" s="38"/>
      <c r="AC2409" s="38"/>
      <c r="AD2409" s="38"/>
      <c r="AE2409" s="38"/>
      <c r="AF2409" s="38"/>
      <c r="AG2409" s="38"/>
      <c r="AH2409" s="38"/>
    </row>
    <row r="2410" spans="3:34" ht="20.100000000000001" customHeight="1">
      <c r="C2410" s="113"/>
      <c r="D2410" s="114"/>
      <c r="P2410" s="82"/>
      <c r="Q2410" s="82"/>
      <c r="R2410" s="38"/>
      <c r="S2410" s="38"/>
      <c r="T2410" s="38"/>
      <c r="U2410" s="38"/>
      <c r="V2410" s="38"/>
      <c r="W2410" s="38"/>
      <c r="X2410" s="38"/>
      <c r="Y2410" s="38"/>
      <c r="Z2410" s="38"/>
      <c r="AA2410" s="38"/>
      <c r="AB2410" s="38"/>
      <c r="AC2410" s="38"/>
      <c r="AD2410" s="38"/>
      <c r="AE2410" s="38"/>
      <c r="AF2410" s="38"/>
      <c r="AG2410" s="38"/>
      <c r="AH2410" s="38"/>
    </row>
    <row r="2411" spans="3:34" ht="20.100000000000001" customHeight="1">
      <c r="C2411" s="113"/>
      <c r="D2411" s="114"/>
      <c r="P2411" s="82"/>
      <c r="Q2411" s="82"/>
      <c r="R2411" s="38"/>
      <c r="S2411" s="38"/>
      <c r="T2411" s="38"/>
      <c r="U2411" s="38"/>
      <c r="V2411" s="38"/>
      <c r="W2411" s="38"/>
      <c r="X2411" s="38"/>
      <c r="Y2411" s="38"/>
      <c r="Z2411" s="38"/>
      <c r="AA2411" s="38"/>
      <c r="AB2411" s="38"/>
      <c r="AC2411" s="38"/>
      <c r="AD2411" s="38"/>
      <c r="AE2411" s="38"/>
      <c r="AF2411" s="38"/>
      <c r="AG2411" s="38"/>
      <c r="AH2411" s="38"/>
    </row>
    <row r="2412" spans="3:34" ht="20.100000000000001" customHeight="1">
      <c r="C2412" s="113"/>
      <c r="D2412" s="114"/>
      <c r="P2412" s="82"/>
      <c r="Q2412" s="82"/>
      <c r="R2412" s="38"/>
      <c r="S2412" s="38"/>
      <c r="T2412" s="38"/>
      <c r="U2412" s="38"/>
      <c r="V2412" s="38"/>
      <c r="W2412" s="38"/>
      <c r="X2412" s="38"/>
      <c r="Y2412" s="38"/>
      <c r="Z2412" s="38"/>
      <c r="AA2412" s="38"/>
      <c r="AB2412" s="38"/>
      <c r="AC2412" s="38"/>
      <c r="AD2412" s="38"/>
      <c r="AE2412" s="38"/>
      <c r="AF2412" s="38"/>
      <c r="AG2412" s="38"/>
      <c r="AH2412" s="38"/>
    </row>
    <row r="2413" spans="3:34" ht="20.100000000000001" customHeight="1">
      <c r="C2413" s="113"/>
      <c r="D2413" s="114"/>
      <c r="P2413" s="82"/>
      <c r="Q2413" s="82"/>
      <c r="R2413" s="38"/>
      <c r="S2413" s="38"/>
      <c r="T2413" s="38"/>
      <c r="U2413" s="38"/>
      <c r="V2413" s="38"/>
      <c r="W2413" s="38"/>
      <c r="X2413" s="38"/>
      <c r="Y2413" s="38"/>
      <c r="Z2413" s="38"/>
      <c r="AA2413" s="38"/>
      <c r="AB2413" s="38"/>
      <c r="AC2413" s="38"/>
      <c r="AD2413" s="38"/>
      <c r="AE2413" s="38"/>
      <c r="AF2413" s="38"/>
      <c r="AG2413" s="38"/>
      <c r="AH2413" s="38"/>
    </row>
    <row r="2414" spans="3:34" ht="20.100000000000001" customHeight="1">
      <c r="C2414" s="113"/>
      <c r="D2414" s="114"/>
      <c r="P2414" s="82"/>
      <c r="Q2414" s="82"/>
      <c r="R2414" s="38"/>
      <c r="S2414" s="38"/>
      <c r="T2414" s="38"/>
      <c r="U2414" s="38"/>
      <c r="V2414" s="38"/>
      <c r="W2414" s="38"/>
      <c r="X2414" s="38"/>
      <c r="Y2414" s="38"/>
      <c r="Z2414" s="38"/>
      <c r="AA2414" s="38"/>
      <c r="AB2414" s="38"/>
      <c r="AC2414" s="38"/>
      <c r="AD2414" s="38"/>
      <c r="AE2414" s="38"/>
      <c r="AF2414" s="38"/>
      <c r="AG2414" s="38"/>
      <c r="AH2414" s="38"/>
    </row>
    <row r="2415" spans="3:34" ht="20.100000000000001" customHeight="1">
      <c r="C2415" s="113"/>
      <c r="D2415" s="114"/>
      <c r="P2415" s="82"/>
      <c r="Q2415" s="82"/>
      <c r="R2415" s="38"/>
      <c r="S2415" s="38"/>
      <c r="T2415" s="38"/>
      <c r="U2415" s="38"/>
      <c r="V2415" s="38"/>
      <c r="W2415" s="38"/>
      <c r="X2415" s="38"/>
      <c r="Y2415" s="38"/>
      <c r="Z2415" s="38"/>
      <c r="AA2415" s="38"/>
      <c r="AB2415" s="38"/>
      <c r="AC2415" s="38"/>
      <c r="AD2415" s="38"/>
      <c r="AE2415" s="38"/>
      <c r="AF2415" s="38"/>
      <c r="AG2415" s="38"/>
      <c r="AH2415" s="38"/>
    </row>
    <row r="2416" spans="3:34" ht="20.100000000000001" customHeight="1">
      <c r="C2416" s="113"/>
      <c r="D2416" s="114"/>
      <c r="P2416" s="82"/>
      <c r="Q2416" s="82"/>
      <c r="R2416" s="38"/>
      <c r="S2416" s="38"/>
      <c r="T2416" s="38"/>
      <c r="U2416" s="38"/>
      <c r="V2416" s="38"/>
      <c r="W2416" s="38"/>
      <c r="X2416" s="38"/>
      <c r="Y2416" s="38"/>
      <c r="Z2416" s="38"/>
      <c r="AA2416" s="38"/>
      <c r="AB2416" s="38"/>
      <c r="AC2416" s="38"/>
      <c r="AD2416" s="38"/>
      <c r="AE2416" s="38"/>
      <c r="AF2416" s="38"/>
      <c r="AG2416" s="38"/>
      <c r="AH2416" s="38"/>
    </row>
    <row r="2417" spans="3:34" ht="20.100000000000001" customHeight="1">
      <c r="C2417" s="113"/>
      <c r="D2417" s="114"/>
      <c r="P2417" s="82"/>
      <c r="Q2417" s="82"/>
      <c r="R2417" s="38"/>
      <c r="S2417" s="38"/>
      <c r="T2417" s="38"/>
      <c r="U2417" s="38"/>
      <c r="V2417" s="38"/>
      <c r="W2417" s="38"/>
      <c r="X2417" s="38"/>
      <c r="Y2417" s="38"/>
      <c r="Z2417" s="38"/>
      <c r="AA2417" s="38"/>
      <c r="AB2417" s="38"/>
      <c r="AC2417" s="38"/>
      <c r="AD2417" s="38"/>
      <c r="AE2417" s="38"/>
      <c r="AF2417" s="38"/>
      <c r="AG2417" s="38"/>
      <c r="AH2417" s="38"/>
    </row>
    <row r="2418" spans="3:34" ht="20.100000000000001" customHeight="1">
      <c r="C2418" s="113"/>
      <c r="D2418" s="114"/>
      <c r="P2418" s="82"/>
      <c r="Q2418" s="82"/>
      <c r="R2418" s="38"/>
      <c r="S2418" s="38"/>
      <c r="T2418" s="38"/>
      <c r="U2418" s="38"/>
      <c r="V2418" s="38"/>
      <c r="W2418" s="38"/>
      <c r="X2418" s="38"/>
      <c r="Y2418" s="38"/>
      <c r="Z2418" s="38"/>
      <c r="AA2418" s="38"/>
      <c r="AB2418" s="38"/>
      <c r="AC2418" s="38"/>
      <c r="AD2418" s="38"/>
      <c r="AE2418" s="38"/>
      <c r="AF2418" s="38"/>
      <c r="AG2418" s="38"/>
      <c r="AH2418" s="38"/>
    </row>
    <row r="2419" spans="3:34" ht="20.100000000000001" customHeight="1">
      <c r="C2419" s="113"/>
      <c r="D2419" s="114"/>
      <c r="P2419" s="82"/>
      <c r="Q2419" s="82"/>
      <c r="R2419" s="38"/>
      <c r="S2419" s="38"/>
      <c r="T2419" s="38"/>
      <c r="U2419" s="38"/>
      <c r="V2419" s="38"/>
      <c r="W2419" s="38"/>
      <c r="X2419" s="38"/>
      <c r="Y2419" s="38"/>
      <c r="Z2419" s="38"/>
      <c r="AA2419" s="38"/>
      <c r="AB2419" s="38"/>
      <c r="AC2419" s="38"/>
      <c r="AD2419" s="38"/>
      <c r="AE2419" s="38"/>
      <c r="AF2419" s="38"/>
      <c r="AG2419" s="38"/>
      <c r="AH2419" s="38"/>
    </row>
    <row r="2420" spans="3:34" ht="20.100000000000001" customHeight="1">
      <c r="C2420" s="113"/>
      <c r="D2420" s="114"/>
      <c r="P2420" s="82"/>
      <c r="Q2420" s="82"/>
      <c r="R2420" s="38"/>
      <c r="S2420" s="38"/>
      <c r="T2420" s="38"/>
      <c r="U2420" s="38"/>
      <c r="V2420" s="38"/>
      <c r="W2420" s="38"/>
      <c r="X2420" s="38"/>
      <c r="Y2420" s="38"/>
      <c r="Z2420" s="38"/>
      <c r="AA2420" s="38"/>
      <c r="AB2420" s="38"/>
      <c r="AC2420" s="38"/>
      <c r="AD2420" s="38"/>
      <c r="AE2420" s="38"/>
      <c r="AF2420" s="38"/>
      <c r="AG2420" s="38"/>
      <c r="AH2420" s="38"/>
    </row>
    <row r="2421" spans="3:34" ht="20.100000000000001" customHeight="1">
      <c r="C2421" s="113"/>
      <c r="D2421" s="114"/>
      <c r="P2421" s="82"/>
      <c r="Q2421" s="82"/>
      <c r="R2421" s="38"/>
      <c r="S2421" s="38"/>
      <c r="T2421" s="38"/>
      <c r="U2421" s="38"/>
      <c r="V2421" s="38"/>
      <c r="W2421" s="38"/>
      <c r="X2421" s="38"/>
      <c r="Y2421" s="38"/>
      <c r="Z2421" s="38"/>
      <c r="AA2421" s="38"/>
      <c r="AB2421" s="38"/>
      <c r="AC2421" s="38"/>
      <c r="AD2421" s="38"/>
      <c r="AE2421" s="38"/>
      <c r="AF2421" s="38"/>
      <c r="AG2421" s="38"/>
      <c r="AH2421" s="38"/>
    </row>
    <row r="2422" spans="3:34" ht="20.100000000000001" customHeight="1">
      <c r="C2422" s="113"/>
      <c r="D2422" s="114"/>
      <c r="P2422" s="82"/>
      <c r="Q2422" s="82"/>
      <c r="R2422" s="38"/>
      <c r="S2422" s="38"/>
      <c r="T2422" s="38"/>
      <c r="U2422" s="38"/>
      <c r="V2422" s="38"/>
      <c r="W2422" s="38"/>
      <c r="X2422" s="38"/>
      <c r="Y2422" s="38"/>
      <c r="Z2422" s="38"/>
      <c r="AA2422" s="38"/>
      <c r="AB2422" s="38"/>
      <c r="AC2422" s="38"/>
      <c r="AD2422" s="38"/>
      <c r="AE2422" s="38"/>
      <c r="AF2422" s="38"/>
      <c r="AG2422" s="38"/>
      <c r="AH2422" s="38"/>
    </row>
    <row r="2423" spans="3:34" ht="20.100000000000001" customHeight="1">
      <c r="C2423" s="113"/>
      <c r="D2423" s="114"/>
      <c r="P2423" s="82"/>
      <c r="Q2423" s="82"/>
      <c r="R2423" s="38"/>
      <c r="S2423" s="38"/>
      <c r="T2423" s="38"/>
      <c r="U2423" s="38"/>
      <c r="V2423" s="38"/>
      <c r="W2423" s="38"/>
      <c r="X2423" s="38"/>
      <c r="Y2423" s="38"/>
      <c r="Z2423" s="38"/>
      <c r="AA2423" s="38"/>
      <c r="AB2423" s="38"/>
      <c r="AC2423" s="38"/>
      <c r="AD2423" s="38"/>
      <c r="AE2423" s="38"/>
      <c r="AF2423" s="38"/>
      <c r="AG2423" s="38"/>
      <c r="AH2423" s="38"/>
    </row>
    <row r="2424" spans="3:34" ht="20.100000000000001" customHeight="1">
      <c r="C2424" s="113"/>
      <c r="D2424" s="114"/>
      <c r="P2424" s="82"/>
      <c r="Q2424" s="82"/>
      <c r="R2424" s="38"/>
      <c r="S2424" s="38"/>
      <c r="T2424" s="38"/>
      <c r="U2424" s="38"/>
      <c r="V2424" s="38"/>
      <c r="W2424" s="38"/>
      <c r="X2424" s="38"/>
      <c r="Y2424" s="38"/>
      <c r="Z2424" s="38"/>
      <c r="AA2424" s="38"/>
      <c r="AB2424" s="38"/>
      <c r="AC2424" s="38"/>
      <c r="AD2424" s="38"/>
      <c r="AE2424" s="38"/>
      <c r="AF2424" s="38"/>
      <c r="AG2424" s="38"/>
      <c r="AH2424" s="38"/>
    </row>
    <row r="2425" spans="3:34" ht="20.100000000000001" customHeight="1">
      <c r="C2425" s="113"/>
      <c r="D2425" s="114"/>
      <c r="P2425" s="82"/>
      <c r="Q2425" s="82"/>
      <c r="R2425" s="38"/>
      <c r="S2425" s="38"/>
      <c r="T2425" s="38"/>
      <c r="U2425" s="38"/>
      <c r="V2425" s="38"/>
      <c r="W2425" s="38"/>
      <c r="X2425" s="38"/>
      <c r="Y2425" s="38"/>
      <c r="Z2425" s="38"/>
      <c r="AA2425" s="38"/>
      <c r="AB2425" s="38"/>
      <c r="AC2425" s="38"/>
      <c r="AD2425" s="38"/>
      <c r="AE2425" s="38"/>
      <c r="AF2425" s="38"/>
      <c r="AG2425" s="38"/>
      <c r="AH2425" s="38"/>
    </row>
    <row r="2426" spans="3:34" ht="20.100000000000001" customHeight="1">
      <c r="C2426" s="113"/>
      <c r="D2426" s="114"/>
      <c r="P2426" s="82"/>
      <c r="Q2426" s="82"/>
      <c r="R2426" s="38"/>
      <c r="S2426" s="38"/>
      <c r="T2426" s="38"/>
      <c r="U2426" s="38"/>
      <c r="V2426" s="38"/>
      <c r="W2426" s="38"/>
      <c r="X2426" s="38"/>
      <c r="Y2426" s="38"/>
      <c r="Z2426" s="38"/>
      <c r="AA2426" s="38"/>
      <c r="AB2426" s="38"/>
      <c r="AC2426" s="38"/>
      <c r="AD2426" s="38"/>
      <c r="AE2426" s="38"/>
      <c r="AF2426" s="38"/>
      <c r="AG2426" s="38"/>
      <c r="AH2426" s="38"/>
    </row>
    <row r="2427" spans="3:34" ht="20.100000000000001" customHeight="1">
      <c r="C2427" s="113"/>
      <c r="D2427" s="114"/>
      <c r="P2427" s="82"/>
      <c r="Q2427" s="82"/>
      <c r="R2427" s="38"/>
      <c r="S2427" s="38"/>
      <c r="T2427" s="38"/>
      <c r="U2427" s="38"/>
      <c r="V2427" s="38"/>
      <c r="W2427" s="38"/>
      <c r="X2427" s="38"/>
      <c r="Y2427" s="38"/>
      <c r="Z2427" s="38"/>
      <c r="AA2427" s="38"/>
      <c r="AB2427" s="38"/>
      <c r="AC2427" s="38"/>
      <c r="AD2427" s="38"/>
      <c r="AE2427" s="38"/>
      <c r="AF2427" s="38"/>
      <c r="AG2427" s="38"/>
      <c r="AH2427" s="38"/>
    </row>
    <row r="2428" spans="3:34" ht="20.100000000000001" customHeight="1">
      <c r="C2428" s="113"/>
      <c r="D2428" s="114"/>
      <c r="P2428" s="82"/>
      <c r="Q2428" s="82"/>
      <c r="R2428" s="38"/>
      <c r="S2428" s="38"/>
      <c r="T2428" s="38"/>
      <c r="U2428" s="38"/>
      <c r="V2428" s="38"/>
      <c r="W2428" s="38"/>
      <c r="X2428" s="38"/>
      <c r="Y2428" s="38"/>
      <c r="Z2428" s="38"/>
      <c r="AA2428" s="38"/>
      <c r="AB2428" s="38"/>
      <c r="AC2428" s="38"/>
      <c r="AD2428" s="38"/>
      <c r="AE2428" s="38"/>
      <c r="AF2428" s="38"/>
      <c r="AG2428" s="38"/>
      <c r="AH2428" s="38"/>
    </row>
    <row r="2429" spans="3:34" ht="20.100000000000001" customHeight="1">
      <c r="C2429" s="113"/>
      <c r="D2429" s="114"/>
      <c r="P2429" s="82"/>
      <c r="Q2429" s="82"/>
      <c r="R2429" s="38"/>
      <c r="S2429" s="38"/>
      <c r="T2429" s="38"/>
      <c r="U2429" s="38"/>
      <c r="V2429" s="38"/>
      <c r="W2429" s="38"/>
      <c r="X2429" s="38"/>
      <c r="Y2429" s="38"/>
      <c r="Z2429" s="38"/>
      <c r="AA2429" s="38"/>
      <c r="AB2429" s="38"/>
      <c r="AC2429" s="38"/>
      <c r="AD2429" s="38"/>
      <c r="AE2429" s="38"/>
      <c r="AF2429" s="38"/>
      <c r="AG2429" s="38"/>
      <c r="AH2429" s="38"/>
    </row>
    <row r="2430" spans="3:34" ht="20.100000000000001" customHeight="1">
      <c r="C2430" s="113"/>
      <c r="D2430" s="114"/>
      <c r="P2430" s="82"/>
      <c r="Q2430" s="82"/>
      <c r="R2430" s="38"/>
      <c r="S2430" s="38"/>
      <c r="T2430" s="38"/>
      <c r="U2430" s="38"/>
      <c r="V2430" s="38"/>
      <c r="W2430" s="38"/>
      <c r="X2430" s="38"/>
      <c r="Y2430" s="38"/>
      <c r="Z2430" s="38"/>
      <c r="AA2430" s="38"/>
      <c r="AB2430" s="38"/>
      <c r="AC2430" s="38"/>
      <c r="AD2430" s="38"/>
      <c r="AE2430" s="38"/>
      <c r="AF2430" s="38"/>
      <c r="AG2430" s="38"/>
      <c r="AH2430" s="38"/>
    </row>
    <row r="2431" spans="3:34" ht="20.100000000000001" customHeight="1">
      <c r="C2431" s="113"/>
      <c r="D2431" s="114"/>
      <c r="P2431" s="82"/>
      <c r="Q2431" s="82"/>
      <c r="R2431" s="38"/>
      <c r="S2431" s="38"/>
      <c r="T2431" s="38"/>
      <c r="U2431" s="38"/>
      <c r="V2431" s="38"/>
      <c r="W2431" s="38"/>
      <c r="X2431" s="38"/>
      <c r="Y2431" s="38"/>
      <c r="Z2431" s="38"/>
      <c r="AA2431" s="38"/>
      <c r="AB2431" s="38"/>
      <c r="AC2431" s="38"/>
      <c r="AD2431" s="38"/>
      <c r="AE2431" s="38"/>
      <c r="AF2431" s="38"/>
      <c r="AG2431" s="38"/>
      <c r="AH2431" s="38"/>
    </row>
    <row r="2432" spans="3:34" ht="20.100000000000001" customHeight="1">
      <c r="C2432" s="113"/>
      <c r="D2432" s="114"/>
      <c r="P2432" s="82"/>
      <c r="Q2432" s="82"/>
      <c r="R2432" s="38"/>
      <c r="S2432" s="38"/>
      <c r="T2432" s="38"/>
      <c r="U2432" s="38"/>
      <c r="V2432" s="38"/>
      <c r="W2432" s="38"/>
      <c r="X2432" s="38"/>
      <c r="Y2432" s="38"/>
      <c r="Z2432" s="38"/>
      <c r="AA2432" s="38"/>
      <c r="AB2432" s="38"/>
      <c r="AC2432" s="38"/>
      <c r="AD2432" s="38"/>
      <c r="AE2432" s="38"/>
      <c r="AF2432" s="38"/>
      <c r="AG2432" s="38"/>
      <c r="AH2432" s="38"/>
    </row>
    <row r="2433" spans="3:34" ht="20.100000000000001" customHeight="1">
      <c r="C2433" s="113"/>
      <c r="D2433" s="114"/>
      <c r="P2433" s="82"/>
      <c r="Q2433" s="82"/>
      <c r="R2433" s="38"/>
      <c r="S2433" s="38"/>
      <c r="T2433" s="38"/>
      <c r="U2433" s="38"/>
      <c r="V2433" s="38"/>
      <c r="W2433" s="38"/>
      <c r="X2433" s="38"/>
      <c r="Y2433" s="38"/>
      <c r="Z2433" s="38"/>
      <c r="AA2433" s="38"/>
      <c r="AB2433" s="38"/>
      <c r="AC2433" s="38"/>
      <c r="AD2433" s="38"/>
      <c r="AE2433" s="38"/>
      <c r="AF2433" s="38"/>
      <c r="AG2433" s="38"/>
      <c r="AH2433" s="38"/>
    </row>
    <row r="2434" spans="3:34" ht="20.100000000000001" customHeight="1">
      <c r="C2434" s="113"/>
      <c r="D2434" s="114"/>
      <c r="P2434" s="82"/>
      <c r="Q2434" s="82"/>
      <c r="R2434" s="38"/>
      <c r="S2434" s="38"/>
      <c r="T2434" s="38"/>
      <c r="U2434" s="38"/>
      <c r="V2434" s="38"/>
      <c r="W2434" s="38"/>
      <c r="X2434" s="38"/>
      <c r="Y2434" s="38"/>
      <c r="Z2434" s="38"/>
      <c r="AA2434" s="38"/>
      <c r="AB2434" s="38"/>
      <c r="AC2434" s="38"/>
      <c r="AD2434" s="38"/>
      <c r="AE2434" s="38"/>
      <c r="AF2434" s="38"/>
      <c r="AG2434" s="38"/>
      <c r="AH2434" s="38"/>
    </row>
    <row r="2435" spans="3:34" ht="20.100000000000001" customHeight="1">
      <c r="C2435" s="113"/>
      <c r="D2435" s="114"/>
      <c r="P2435" s="82"/>
      <c r="Q2435" s="82"/>
      <c r="R2435" s="38"/>
      <c r="S2435" s="38"/>
      <c r="T2435" s="38"/>
      <c r="U2435" s="38"/>
      <c r="V2435" s="38"/>
      <c r="W2435" s="38"/>
      <c r="X2435" s="38"/>
      <c r="Y2435" s="38"/>
      <c r="Z2435" s="38"/>
      <c r="AA2435" s="38"/>
      <c r="AB2435" s="38"/>
      <c r="AC2435" s="38"/>
      <c r="AD2435" s="38"/>
      <c r="AE2435" s="38"/>
      <c r="AF2435" s="38"/>
      <c r="AG2435" s="38"/>
      <c r="AH2435" s="38"/>
    </row>
    <row r="2436" spans="3:34" ht="20.100000000000001" customHeight="1">
      <c r="C2436" s="113"/>
      <c r="D2436" s="114"/>
      <c r="P2436" s="82"/>
      <c r="Q2436" s="82"/>
      <c r="R2436" s="38"/>
      <c r="S2436" s="38"/>
      <c r="T2436" s="38"/>
      <c r="U2436" s="38"/>
      <c r="V2436" s="38"/>
      <c r="W2436" s="38"/>
      <c r="X2436" s="38"/>
      <c r="Y2436" s="38"/>
      <c r="Z2436" s="38"/>
      <c r="AA2436" s="38"/>
      <c r="AB2436" s="38"/>
      <c r="AC2436" s="38"/>
      <c r="AD2436" s="38"/>
      <c r="AE2436" s="38"/>
      <c r="AF2436" s="38"/>
      <c r="AG2436" s="38"/>
      <c r="AH2436" s="38"/>
    </row>
    <row r="2437" spans="3:34" ht="20.100000000000001" customHeight="1">
      <c r="C2437" s="113"/>
      <c r="D2437" s="114"/>
      <c r="P2437" s="82"/>
      <c r="Q2437" s="82"/>
      <c r="R2437" s="38"/>
      <c r="S2437" s="38"/>
      <c r="T2437" s="38"/>
      <c r="U2437" s="38"/>
      <c r="V2437" s="38"/>
      <c r="W2437" s="38"/>
      <c r="X2437" s="38"/>
      <c r="Y2437" s="38"/>
      <c r="Z2437" s="38"/>
      <c r="AA2437" s="38"/>
      <c r="AB2437" s="38"/>
      <c r="AC2437" s="38"/>
      <c r="AD2437" s="38"/>
      <c r="AE2437" s="38"/>
      <c r="AF2437" s="38"/>
      <c r="AG2437" s="38"/>
      <c r="AH2437" s="38"/>
    </row>
    <row r="2438" spans="3:34" ht="20.100000000000001" customHeight="1">
      <c r="C2438" s="113"/>
      <c r="D2438" s="114"/>
      <c r="P2438" s="82"/>
      <c r="Q2438" s="82"/>
      <c r="R2438" s="38"/>
      <c r="S2438" s="38"/>
      <c r="T2438" s="38"/>
      <c r="U2438" s="38"/>
      <c r="V2438" s="38"/>
      <c r="W2438" s="38"/>
      <c r="X2438" s="38"/>
      <c r="Y2438" s="38"/>
      <c r="Z2438" s="38"/>
      <c r="AA2438" s="38"/>
      <c r="AB2438" s="38"/>
      <c r="AC2438" s="38"/>
      <c r="AD2438" s="38"/>
      <c r="AE2438" s="38"/>
      <c r="AF2438" s="38"/>
      <c r="AG2438" s="38"/>
      <c r="AH2438" s="38"/>
    </row>
    <row r="2439" spans="3:34" ht="20.100000000000001" customHeight="1">
      <c r="C2439" s="113"/>
      <c r="D2439" s="114"/>
      <c r="P2439" s="82"/>
      <c r="Q2439" s="82"/>
      <c r="R2439" s="38"/>
      <c r="S2439" s="38"/>
      <c r="T2439" s="38"/>
      <c r="U2439" s="38"/>
      <c r="V2439" s="38"/>
      <c r="W2439" s="38"/>
      <c r="X2439" s="38"/>
      <c r="Y2439" s="38"/>
      <c r="Z2439" s="38"/>
      <c r="AA2439" s="38"/>
      <c r="AB2439" s="38"/>
      <c r="AC2439" s="38"/>
      <c r="AD2439" s="38"/>
      <c r="AE2439" s="38"/>
      <c r="AF2439" s="38"/>
      <c r="AG2439" s="38"/>
      <c r="AH2439" s="38"/>
    </row>
    <row r="2440" spans="3:34" ht="20.100000000000001" customHeight="1">
      <c r="C2440" s="113"/>
      <c r="D2440" s="114"/>
      <c r="P2440" s="82"/>
      <c r="Q2440" s="82"/>
      <c r="R2440" s="38"/>
      <c r="S2440" s="38"/>
      <c r="T2440" s="38"/>
      <c r="U2440" s="38"/>
      <c r="V2440" s="38"/>
      <c r="W2440" s="38"/>
      <c r="X2440" s="38"/>
      <c r="Y2440" s="38"/>
      <c r="Z2440" s="38"/>
      <c r="AA2440" s="38"/>
      <c r="AB2440" s="38"/>
      <c r="AC2440" s="38"/>
      <c r="AD2440" s="38"/>
      <c r="AE2440" s="38"/>
      <c r="AF2440" s="38"/>
      <c r="AG2440" s="38"/>
      <c r="AH2440" s="38"/>
    </row>
    <row r="2441" spans="3:34" ht="20.100000000000001" customHeight="1">
      <c r="C2441" s="113"/>
      <c r="D2441" s="114"/>
      <c r="P2441" s="82"/>
      <c r="Q2441" s="82"/>
      <c r="R2441" s="38"/>
      <c r="S2441" s="38"/>
      <c r="T2441" s="38"/>
      <c r="U2441" s="38"/>
      <c r="V2441" s="38"/>
      <c r="W2441" s="38"/>
      <c r="X2441" s="38"/>
      <c r="Y2441" s="38"/>
      <c r="Z2441" s="38"/>
      <c r="AA2441" s="38"/>
      <c r="AB2441" s="38"/>
      <c r="AC2441" s="38"/>
      <c r="AD2441" s="38"/>
      <c r="AE2441" s="38"/>
      <c r="AF2441" s="38"/>
      <c r="AG2441" s="38"/>
      <c r="AH2441" s="38"/>
    </row>
    <row r="2442" spans="3:34" ht="20.100000000000001" customHeight="1">
      <c r="C2442" s="113"/>
      <c r="D2442" s="114"/>
      <c r="P2442" s="82"/>
      <c r="Q2442" s="82"/>
      <c r="R2442" s="38"/>
      <c r="S2442" s="38"/>
      <c r="T2442" s="38"/>
      <c r="U2442" s="38"/>
      <c r="V2442" s="38"/>
      <c r="W2442" s="38"/>
      <c r="X2442" s="38"/>
      <c r="Y2442" s="38"/>
      <c r="Z2442" s="38"/>
      <c r="AA2442" s="38"/>
      <c r="AB2442" s="38"/>
      <c r="AC2442" s="38"/>
      <c r="AD2442" s="38"/>
      <c r="AE2442" s="38"/>
      <c r="AF2442" s="38"/>
      <c r="AG2442" s="38"/>
      <c r="AH2442" s="38"/>
    </row>
    <row r="2443" spans="3:34" ht="20.100000000000001" customHeight="1">
      <c r="C2443" s="113"/>
      <c r="D2443" s="114"/>
      <c r="P2443" s="82"/>
      <c r="Q2443" s="82"/>
      <c r="R2443" s="38"/>
      <c r="S2443" s="38"/>
      <c r="T2443" s="38"/>
      <c r="U2443" s="38"/>
      <c r="V2443" s="38"/>
      <c r="W2443" s="38"/>
      <c r="X2443" s="38"/>
      <c r="Y2443" s="38"/>
      <c r="Z2443" s="38"/>
      <c r="AA2443" s="38"/>
      <c r="AB2443" s="38"/>
      <c r="AC2443" s="38"/>
      <c r="AD2443" s="38"/>
      <c r="AE2443" s="38"/>
      <c r="AF2443" s="38"/>
      <c r="AG2443" s="38"/>
      <c r="AH2443" s="38"/>
    </row>
    <row r="2444" spans="3:34" ht="20.100000000000001" customHeight="1">
      <c r="C2444" s="113"/>
      <c r="D2444" s="114"/>
      <c r="P2444" s="82"/>
      <c r="Q2444" s="82"/>
      <c r="R2444" s="38"/>
      <c r="S2444" s="38"/>
      <c r="T2444" s="38"/>
      <c r="U2444" s="38"/>
      <c r="V2444" s="38"/>
      <c r="W2444" s="38"/>
      <c r="X2444" s="38"/>
      <c r="Y2444" s="38"/>
      <c r="Z2444" s="38"/>
      <c r="AA2444" s="38"/>
      <c r="AB2444" s="38"/>
      <c r="AC2444" s="38"/>
      <c r="AD2444" s="38"/>
      <c r="AE2444" s="38"/>
      <c r="AF2444" s="38"/>
      <c r="AG2444" s="38"/>
      <c r="AH2444" s="38"/>
    </row>
    <row r="2445" spans="3:34" ht="20.100000000000001" customHeight="1">
      <c r="C2445" s="113"/>
      <c r="D2445" s="114"/>
      <c r="P2445" s="82"/>
      <c r="Q2445" s="82"/>
      <c r="R2445" s="38"/>
      <c r="S2445" s="38"/>
      <c r="T2445" s="38"/>
      <c r="U2445" s="38"/>
      <c r="V2445" s="38"/>
      <c r="W2445" s="38"/>
      <c r="X2445" s="38"/>
      <c r="Y2445" s="38"/>
      <c r="Z2445" s="38"/>
      <c r="AA2445" s="38"/>
      <c r="AB2445" s="38"/>
      <c r="AC2445" s="38"/>
      <c r="AD2445" s="38"/>
      <c r="AE2445" s="38"/>
      <c r="AF2445" s="38"/>
      <c r="AG2445" s="38"/>
      <c r="AH2445" s="38"/>
    </row>
    <row r="2446" spans="3:34" ht="20.100000000000001" customHeight="1">
      <c r="C2446" s="113"/>
      <c r="D2446" s="114"/>
      <c r="P2446" s="82"/>
      <c r="Q2446" s="82"/>
      <c r="R2446" s="38"/>
      <c r="S2446" s="38"/>
      <c r="T2446" s="38"/>
      <c r="U2446" s="38"/>
      <c r="V2446" s="38"/>
      <c r="W2446" s="38"/>
      <c r="X2446" s="38"/>
      <c r="Y2446" s="38"/>
      <c r="Z2446" s="38"/>
      <c r="AA2446" s="38"/>
      <c r="AB2446" s="38"/>
      <c r="AC2446" s="38"/>
      <c r="AD2446" s="38"/>
      <c r="AE2446" s="38"/>
      <c r="AF2446" s="38"/>
      <c r="AG2446" s="38"/>
      <c r="AH2446" s="38"/>
    </row>
    <row r="2447" spans="3:34" ht="20.100000000000001" customHeight="1">
      <c r="C2447" s="113"/>
      <c r="D2447" s="114"/>
      <c r="P2447" s="82"/>
      <c r="Q2447" s="82"/>
      <c r="R2447" s="38"/>
      <c r="S2447" s="38"/>
      <c r="T2447" s="38"/>
      <c r="U2447" s="38"/>
      <c r="V2447" s="38"/>
      <c r="W2447" s="38"/>
      <c r="X2447" s="38"/>
      <c r="Y2447" s="38"/>
      <c r="Z2447" s="38"/>
      <c r="AA2447" s="38"/>
      <c r="AB2447" s="38"/>
      <c r="AC2447" s="38"/>
      <c r="AD2447" s="38"/>
      <c r="AE2447" s="38"/>
      <c r="AF2447" s="38"/>
      <c r="AG2447" s="38"/>
      <c r="AH2447" s="38"/>
    </row>
    <row r="2448" spans="3:34" ht="20.100000000000001" customHeight="1">
      <c r="C2448" s="113"/>
      <c r="D2448" s="114"/>
      <c r="P2448" s="82"/>
      <c r="Q2448" s="82"/>
      <c r="R2448" s="38"/>
      <c r="S2448" s="38"/>
      <c r="T2448" s="38"/>
      <c r="U2448" s="38"/>
      <c r="V2448" s="38"/>
      <c r="W2448" s="38"/>
      <c r="X2448" s="38"/>
      <c r="Y2448" s="38"/>
      <c r="Z2448" s="38"/>
      <c r="AA2448" s="38"/>
      <c r="AB2448" s="38"/>
      <c r="AC2448" s="38"/>
      <c r="AD2448" s="38"/>
      <c r="AE2448" s="38"/>
      <c r="AF2448" s="38"/>
      <c r="AG2448" s="38"/>
      <c r="AH2448" s="38"/>
    </row>
    <row r="2449" spans="3:34" ht="20.100000000000001" customHeight="1">
      <c r="C2449" s="113"/>
      <c r="D2449" s="114"/>
      <c r="P2449" s="82"/>
      <c r="Q2449" s="82"/>
      <c r="R2449" s="38"/>
      <c r="S2449" s="38"/>
      <c r="T2449" s="38"/>
      <c r="U2449" s="38"/>
      <c r="V2449" s="38"/>
      <c r="W2449" s="38"/>
      <c r="X2449" s="38"/>
      <c r="Y2449" s="38"/>
      <c r="Z2449" s="38"/>
      <c r="AA2449" s="38"/>
      <c r="AB2449" s="38"/>
      <c r="AC2449" s="38"/>
      <c r="AD2449" s="38"/>
      <c r="AE2449" s="38"/>
      <c r="AF2449" s="38"/>
      <c r="AG2449" s="38"/>
      <c r="AH2449" s="38"/>
    </row>
    <row r="2450" spans="3:34" ht="20.100000000000001" customHeight="1">
      <c r="C2450" s="113"/>
      <c r="D2450" s="114"/>
      <c r="P2450" s="82"/>
      <c r="Q2450" s="82"/>
      <c r="R2450" s="38"/>
      <c r="S2450" s="38"/>
      <c r="T2450" s="38"/>
      <c r="U2450" s="38"/>
      <c r="V2450" s="38"/>
      <c r="W2450" s="38"/>
      <c r="X2450" s="38"/>
      <c r="Y2450" s="38"/>
      <c r="Z2450" s="38"/>
      <c r="AA2450" s="38"/>
      <c r="AB2450" s="38"/>
      <c r="AC2450" s="38"/>
      <c r="AD2450" s="38"/>
      <c r="AE2450" s="38"/>
      <c r="AF2450" s="38"/>
      <c r="AG2450" s="38"/>
      <c r="AH2450" s="38"/>
    </row>
    <row r="2451" spans="3:34" ht="20.100000000000001" customHeight="1">
      <c r="C2451" s="113"/>
      <c r="D2451" s="114"/>
      <c r="P2451" s="82"/>
      <c r="Q2451" s="82"/>
      <c r="R2451" s="38"/>
      <c r="S2451" s="38"/>
      <c r="T2451" s="38"/>
      <c r="U2451" s="38"/>
      <c r="V2451" s="38"/>
      <c r="W2451" s="38"/>
      <c r="X2451" s="38"/>
      <c r="Y2451" s="38"/>
      <c r="Z2451" s="38"/>
      <c r="AA2451" s="38"/>
      <c r="AB2451" s="38"/>
      <c r="AC2451" s="38"/>
      <c r="AD2451" s="38"/>
      <c r="AE2451" s="38"/>
      <c r="AF2451" s="38"/>
      <c r="AG2451" s="38"/>
      <c r="AH2451" s="38"/>
    </row>
    <row r="2452" spans="3:34" ht="20.100000000000001" customHeight="1">
      <c r="C2452" s="113"/>
      <c r="D2452" s="114"/>
      <c r="P2452" s="82"/>
      <c r="Q2452" s="82"/>
      <c r="R2452" s="38"/>
      <c r="S2452" s="38"/>
      <c r="T2452" s="38"/>
      <c r="U2452" s="38"/>
      <c r="V2452" s="38"/>
      <c r="W2452" s="38"/>
      <c r="X2452" s="38"/>
      <c r="Y2452" s="38"/>
      <c r="Z2452" s="38"/>
      <c r="AA2452" s="38"/>
      <c r="AB2452" s="38"/>
      <c r="AC2452" s="38"/>
      <c r="AD2452" s="38"/>
      <c r="AE2452" s="38"/>
      <c r="AF2452" s="38"/>
      <c r="AG2452" s="38"/>
      <c r="AH2452" s="38"/>
    </row>
    <row r="2453" spans="3:34" ht="20.100000000000001" customHeight="1">
      <c r="C2453" s="113"/>
      <c r="D2453" s="114"/>
      <c r="P2453" s="82"/>
      <c r="Q2453" s="82"/>
      <c r="R2453" s="38"/>
      <c r="S2453" s="38"/>
      <c r="T2453" s="38"/>
      <c r="U2453" s="38"/>
      <c r="V2453" s="38"/>
      <c r="W2453" s="38"/>
      <c r="X2453" s="38"/>
      <c r="Y2453" s="38"/>
      <c r="Z2453" s="38"/>
      <c r="AA2453" s="38"/>
      <c r="AB2453" s="38"/>
      <c r="AC2453" s="38"/>
      <c r="AD2453" s="38"/>
      <c r="AE2453" s="38"/>
      <c r="AF2453" s="38"/>
      <c r="AG2453" s="38"/>
      <c r="AH2453" s="38"/>
    </row>
    <row r="2454" spans="3:34" ht="20.100000000000001" customHeight="1">
      <c r="C2454" s="113"/>
      <c r="D2454" s="114"/>
      <c r="P2454" s="82"/>
      <c r="Q2454" s="82"/>
      <c r="R2454" s="38"/>
      <c r="S2454" s="38"/>
      <c r="T2454" s="38"/>
      <c r="U2454" s="38"/>
      <c r="V2454" s="38"/>
      <c r="W2454" s="38"/>
      <c r="X2454" s="38"/>
      <c r="Y2454" s="38"/>
      <c r="Z2454" s="38"/>
      <c r="AA2454" s="38"/>
      <c r="AB2454" s="38"/>
      <c r="AC2454" s="38"/>
      <c r="AD2454" s="38"/>
      <c r="AE2454" s="38"/>
      <c r="AF2454" s="38"/>
      <c r="AG2454" s="38"/>
      <c r="AH2454" s="38"/>
    </row>
    <row r="2455" spans="3:34" ht="20.100000000000001" customHeight="1">
      <c r="C2455" s="113"/>
      <c r="D2455" s="114"/>
      <c r="P2455" s="82"/>
      <c r="Q2455" s="82"/>
      <c r="R2455" s="38"/>
      <c r="S2455" s="38"/>
      <c r="T2455" s="38"/>
      <c r="U2455" s="38"/>
      <c r="V2455" s="38"/>
      <c r="W2455" s="38"/>
      <c r="X2455" s="38"/>
      <c r="Y2455" s="38"/>
      <c r="Z2455" s="38"/>
      <c r="AA2455" s="38"/>
      <c r="AB2455" s="38"/>
      <c r="AC2455" s="38"/>
      <c r="AD2455" s="38"/>
      <c r="AE2455" s="38"/>
      <c r="AF2455" s="38"/>
      <c r="AG2455" s="38"/>
      <c r="AH2455" s="38"/>
    </row>
    <row r="2456" spans="3:34" ht="20.100000000000001" customHeight="1">
      <c r="C2456" s="113"/>
      <c r="D2456" s="114"/>
      <c r="P2456" s="82"/>
      <c r="Q2456" s="82"/>
      <c r="R2456" s="38"/>
      <c r="S2456" s="38"/>
      <c r="T2456" s="38"/>
      <c r="U2456" s="38"/>
      <c r="V2456" s="38"/>
      <c r="W2456" s="38"/>
      <c r="X2456" s="38"/>
      <c r="Y2456" s="38"/>
      <c r="Z2456" s="38"/>
      <c r="AA2456" s="38"/>
      <c r="AB2456" s="38"/>
      <c r="AC2456" s="38"/>
      <c r="AD2456" s="38"/>
      <c r="AE2456" s="38"/>
      <c r="AF2456" s="38"/>
      <c r="AG2456" s="38"/>
      <c r="AH2456" s="38"/>
    </row>
    <row r="2457" spans="3:34" ht="20.100000000000001" customHeight="1">
      <c r="C2457" s="113"/>
      <c r="D2457" s="114"/>
      <c r="P2457" s="82"/>
      <c r="Q2457" s="82"/>
      <c r="R2457" s="38"/>
      <c r="S2457" s="38"/>
      <c r="T2457" s="38"/>
      <c r="U2457" s="38"/>
      <c r="V2457" s="38"/>
      <c r="W2457" s="38"/>
      <c r="X2457" s="38"/>
      <c r="Y2457" s="38"/>
      <c r="Z2457" s="38"/>
      <c r="AA2457" s="38"/>
      <c r="AB2457" s="38"/>
      <c r="AC2457" s="38"/>
      <c r="AD2457" s="38"/>
      <c r="AE2457" s="38"/>
      <c r="AF2457" s="38"/>
      <c r="AG2457" s="38"/>
      <c r="AH2457" s="38"/>
    </row>
    <row r="2458" spans="3:34" ht="20.100000000000001" customHeight="1">
      <c r="C2458" s="113"/>
      <c r="D2458" s="114"/>
      <c r="P2458" s="82"/>
      <c r="Q2458" s="82"/>
      <c r="R2458" s="38"/>
      <c r="S2458" s="38"/>
      <c r="T2458" s="38"/>
      <c r="U2458" s="38"/>
      <c r="V2458" s="38"/>
      <c r="W2458" s="38"/>
      <c r="X2458" s="38"/>
      <c r="Y2458" s="38"/>
      <c r="Z2458" s="38"/>
      <c r="AA2458" s="38"/>
      <c r="AB2458" s="38"/>
      <c r="AC2458" s="38"/>
      <c r="AD2458" s="38"/>
      <c r="AE2458" s="38"/>
      <c r="AF2458" s="38"/>
      <c r="AG2458" s="38"/>
      <c r="AH2458" s="38"/>
    </row>
    <row r="2459" spans="3:34" ht="20.100000000000001" customHeight="1">
      <c r="C2459" s="113"/>
      <c r="D2459" s="114"/>
      <c r="P2459" s="82"/>
      <c r="Q2459" s="82"/>
      <c r="R2459" s="38"/>
      <c r="S2459" s="38"/>
      <c r="T2459" s="38"/>
      <c r="U2459" s="38"/>
      <c r="V2459" s="38"/>
      <c r="W2459" s="38"/>
      <c r="X2459" s="38"/>
      <c r="Y2459" s="38"/>
      <c r="Z2459" s="38"/>
      <c r="AA2459" s="38"/>
      <c r="AB2459" s="38"/>
      <c r="AC2459" s="38"/>
      <c r="AD2459" s="38"/>
      <c r="AE2459" s="38"/>
      <c r="AF2459" s="38"/>
      <c r="AG2459" s="38"/>
      <c r="AH2459" s="38"/>
    </row>
    <row r="2460" spans="3:34" ht="20.100000000000001" customHeight="1">
      <c r="C2460" s="113"/>
      <c r="D2460" s="114"/>
      <c r="P2460" s="82"/>
      <c r="Q2460" s="82"/>
      <c r="R2460" s="38"/>
      <c r="S2460" s="38"/>
      <c r="T2460" s="38"/>
      <c r="U2460" s="38"/>
      <c r="V2460" s="38"/>
      <c r="W2460" s="38"/>
      <c r="X2460" s="38"/>
      <c r="Y2460" s="38"/>
      <c r="Z2460" s="38"/>
      <c r="AA2460" s="38"/>
      <c r="AB2460" s="38"/>
      <c r="AC2460" s="38"/>
      <c r="AD2460" s="38"/>
      <c r="AE2460" s="38"/>
      <c r="AF2460" s="38"/>
      <c r="AG2460" s="38"/>
      <c r="AH2460" s="38"/>
    </row>
    <row r="2461" spans="3:34" ht="20.100000000000001" customHeight="1">
      <c r="C2461" s="113"/>
      <c r="D2461" s="114"/>
      <c r="P2461" s="82"/>
      <c r="Q2461" s="82"/>
      <c r="R2461" s="38"/>
      <c r="S2461" s="38"/>
      <c r="T2461" s="38"/>
      <c r="U2461" s="38"/>
      <c r="V2461" s="38"/>
      <c r="W2461" s="38"/>
      <c r="X2461" s="38"/>
      <c r="Y2461" s="38"/>
      <c r="Z2461" s="38"/>
      <c r="AA2461" s="38"/>
      <c r="AB2461" s="38"/>
      <c r="AC2461" s="38"/>
      <c r="AD2461" s="38"/>
      <c r="AE2461" s="38"/>
      <c r="AF2461" s="38"/>
      <c r="AG2461" s="38"/>
      <c r="AH2461" s="38"/>
    </row>
    <row r="2462" spans="3:34" ht="20.100000000000001" customHeight="1">
      <c r="C2462" s="113"/>
      <c r="D2462" s="114"/>
      <c r="P2462" s="82"/>
      <c r="Q2462" s="82"/>
      <c r="R2462" s="38"/>
      <c r="S2462" s="38"/>
      <c r="T2462" s="38"/>
      <c r="U2462" s="38"/>
      <c r="V2462" s="38"/>
      <c r="W2462" s="38"/>
      <c r="X2462" s="38"/>
      <c r="Y2462" s="38"/>
      <c r="Z2462" s="38"/>
      <c r="AA2462" s="38"/>
      <c r="AB2462" s="38"/>
      <c r="AC2462" s="38"/>
      <c r="AD2462" s="38"/>
      <c r="AE2462" s="38"/>
      <c r="AF2462" s="38"/>
      <c r="AG2462" s="38"/>
      <c r="AH2462" s="38"/>
    </row>
    <row r="2463" spans="3:34" ht="20.100000000000001" customHeight="1">
      <c r="C2463" s="113"/>
      <c r="D2463" s="114"/>
      <c r="P2463" s="82"/>
      <c r="Q2463" s="82"/>
      <c r="R2463" s="38"/>
      <c r="S2463" s="38"/>
      <c r="T2463" s="38"/>
      <c r="U2463" s="38"/>
      <c r="V2463" s="38"/>
      <c r="W2463" s="38"/>
      <c r="X2463" s="38"/>
      <c r="Y2463" s="38"/>
      <c r="Z2463" s="38"/>
      <c r="AA2463" s="38"/>
      <c r="AB2463" s="38"/>
      <c r="AC2463" s="38"/>
      <c r="AD2463" s="38"/>
      <c r="AE2463" s="38"/>
      <c r="AF2463" s="38"/>
      <c r="AG2463" s="38"/>
      <c r="AH2463" s="38"/>
    </row>
    <row r="2464" spans="3:34" ht="20.100000000000001" customHeight="1">
      <c r="C2464" s="113"/>
      <c r="D2464" s="114"/>
      <c r="P2464" s="82"/>
      <c r="Q2464" s="82"/>
      <c r="R2464" s="38"/>
      <c r="S2464" s="38"/>
      <c r="T2464" s="38"/>
      <c r="U2464" s="38"/>
      <c r="V2464" s="38"/>
      <c r="W2464" s="38"/>
      <c r="X2464" s="38"/>
      <c r="Y2464" s="38"/>
      <c r="Z2464" s="38"/>
      <c r="AA2464" s="38"/>
      <c r="AB2464" s="38"/>
      <c r="AC2464" s="38"/>
      <c r="AD2464" s="38"/>
      <c r="AE2464" s="38"/>
      <c r="AF2464" s="38"/>
      <c r="AG2464" s="38"/>
      <c r="AH2464" s="38"/>
    </row>
    <row r="2465" spans="3:34" ht="20.100000000000001" customHeight="1">
      <c r="C2465" s="113"/>
      <c r="D2465" s="114"/>
      <c r="P2465" s="82"/>
      <c r="Q2465" s="82"/>
      <c r="R2465" s="38"/>
      <c r="S2465" s="38"/>
      <c r="T2465" s="38"/>
      <c r="U2465" s="38"/>
      <c r="V2465" s="38"/>
      <c r="W2465" s="38"/>
      <c r="X2465" s="38"/>
      <c r="Y2465" s="38"/>
      <c r="Z2465" s="38"/>
      <c r="AA2465" s="38"/>
      <c r="AB2465" s="38"/>
      <c r="AC2465" s="38"/>
      <c r="AD2465" s="38"/>
      <c r="AE2465" s="38"/>
      <c r="AF2465" s="38"/>
      <c r="AG2465" s="38"/>
      <c r="AH2465" s="38"/>
    </row>
    <row r="2466" spans="3:34" ht="20.100000000000001" customHeight="1">
      <c r="C2466" s="113"/>
      <c r="D2466" s="114"/>
      <c r="P2466" s="82"/>
      <c r="Q2466" s="82"/>
      <c r="R2466" s="38"/>
      <c r="S2466" s="38"/>
      <c r="T2466" s="38"/>
      <c r="U2466" s="38"/>
      <c r="V2466" s="38"/>
      <c r="W2466" s="38"/>
      <c r="X2466" s="38"/>
      <c r="Y2466" s="38"/>
      <c r="Z2466" s="38"/>
      <c r="AA2466" s="38"/>
      <c r="AB2466" s="38"/>
      <c r="AC2466" s="38"/>
      <c r="AD2466" s="38"/>
      <c r="AE2466" s="38"/>
      <c r="AF2466" s="38"/>
      <c r="AG2466" s="38"/>
      <c r="AH2466" s="38"/>
    </row>
    <row r="2467" spans="3:34" ht="20.100000000000001" customHeight="1">
      <c r="C2467" s="113"/>
      <c r="D2467" s="114"/>
      <c r="P2467" s="82"/>
      <c r="Q2467" s="82"/>
      <c r="R2467" s="38"/>
      <c r="S2467" s="38"/>
      <c r="T2467" s="38"/>
      <c r="U2467" s="38"/>
      <c r="V2467" s="38"/>
      <c r="W2467" s="38"/>
      <c r="X2467" s="38"/>
      <c r="Y2467" s="38"/>
      <c r="Z2467" s="38"/>
      <c r="AA2467" s="38"/>
      <c r="AB2467" s="38"/>
      <c r="AC2467" s="38"/>
      <c r="AD2467" s="38"/>
      <c r="AE2467" s="38"/>
      <c r="AF2467" s="38"/>
      <c r="AG2467" s="38"/>
      <c r="AH2467" s="38"/>
    </row>
    <row r="2468" spans="3:34" ht="20.100000000000001" customHeight="1">
      <c r="C2468" s="113"/>
      <c r="D2468" s="114"/>
      <c r="P2468" s="82"/>
      <c r="Q2468" s="82"/>
      <c r="R2468" s="38"/>
      <c r="S2468" s="38"/>
      <c r="T2468" s="38"/>
      <c r="U2468" s="38"/>
      <c r="V2468" s="38"/>
      <c r="W2468" s="38"/>
      <c r="X2468" s="38"/>
      <c r="Y2468" s="38"/>
      <c r="Z2468" s="38"/>
      <c r="AA2468" s="38"/>
      <c r="AB2468" s="38"/>
      <c r="AC2468" s="38"/>
      <c r="AD2468" s="38"/>
      <c r="AE2468" s="38"/>
      <c r="AF2468" s="38"/>
      <c r="AG2468" s="38"/>
      <c r="AH2468" s="38"/>
    </row>
    <row r="2469" spans="3:34" ht="20.100000000000001" customHeight="1">
      <c r="C2469" s="113"/>
      <c r="D2469" s="114"/>
      <c r="P2469" s="82"/>
      <c r="Q2469" s="82"/>
      <c r="R2469" s="38"/>
      <c r="S2469" s="38"/>
      <c r="T2469" s="38"/>
      <c r="U2469" s="38"/>
      <c r="V2469" s="38"/>
      <c r="W2469" s="38"/>
      <c r="X2469" s="38"/>
      <c r="Y2469" s="38"/>
      <c r="Z2469" s="38"/>
      <c r="AA2469" s="38"/>
      <c r="AB2469" s="38"/>
      <c r="AC2469" s="38"/>
      <c r="AD2469" s="38"/>
      <c r="AE2469" s="38"/>
      <c r="AF2469" s="38"/>
      <c r="AG2469" s="38"/>
      <c r="AH2469" s="38"/>
    </row>
    <row r="2470" spans="3:34" ht="20.100000000000001" customHeight="1">
      <c r="C2470" s="113"/>
      <c r="D2470" s="114"/>
      <c r="P2470" s="82"/>
      <c r="Q2470" s="82"/>
      <c r="R2470" s="38"/>
      <c r="S2470" s="38"/>
      <c r="T2470" s="38"/>
      <c r="U2470" s="38"/>
      <c r="V2470" s="38"/>
      <c r="W2470" s="38"/>
      <c r="X2470" s="38"/>
      <c r="Y2470" s="38"/>
      <c r="Z2470" s="38"/>
      <c r="AA2470" s="38"/>
      <c r="AB2470" s="38"/>
      <c r="AC2470" s="38"/>
      <c r="AD2470" s="38"/>
      <c r="AE2470" s="38"/>
      <c r="AF2470" s="38"/>
      <c r="AG2470" s="38"/>
      <c r="AH2470" s="38"/>
    </row>
    <row r="2471" spans="3:34" ht="20.100000000000001" customHeight="1">
      <c r="C2471" s="113"/>
      <c r="D2471" s="114"/>
      <c r="P2471" s="82"/>
      <c r="Q2471" s="82"/>
      <c r="R2471" s="38"/>
      <c r="S2471" s="38"/>
      <c r="T2471" s="38"/>
      <c r="U2471" s="38"/>
      <c r="V2471" s="38"/>
      <c r="W2471" s="38"/>
      <c r="X2471" s="38"/>
      <c r="Y2471" s="38"/>
      <c r="Z2471" s="38"/>
      <c r="AA2471" s="38"/>
      <c r="AB2471" s="38"/>
      <c r="AC2471" s="38"/>
      <c r="AD2471" s="38"/>
      <c r="AE2471" s="38"/>
      <c r="AF2471" s="38"/>
      <c r="AG2471" s="38"/>
      <c r="AH2471" s="38"/>
    </row>
    <row r="2472" spans="3:34" ht="20.100000000000001" customHeight="1">
      <c r="C2472" s="113"/>
      <c r="D2472" s="114"/>
      <c r="P2472" s="82"/>
      <c r="Q2472" s="82"/>
      <c r="R2472" s="38"/>
      <c r="S2472" s="38"/>
      <c r="T2472" s="38"/>
      <c r="U2472" s="38"/>
      <c r="V2472" s="38"/>
      <c r="W2472" s="38"/>
      <c r="X2472" s="38"/>
      <c r="Y2472" s="38"/>
      <c r="Z2472" s="38"/>
      <c r="AA2472" s="38"/>
      <c r="AB2472" s="38"/>
      <c r="AC2472" s="38"/>
      <c r="AD2472" s="38"/>
      <c r="AE2472" s="38"/>
      <c r="AF2472" s="38"/>
      <c r="AG2472" s="38"/>
      <c r="AH2472" s="38"/>
    </row>
    <row r="2473" spans="3:34" ht="20.100000000000001" customHeight="1">
      <c r="C2473" s="113"/>
      <c r="D2473" s="114"/>
      <c r="P2473" s="82"/>
      <c r="Q2473" s="82"/>
      <c r="R2473" s="38"/>
      <c r="S2473" s="38"/>
      <c r="T2473" s="38"/>
      <c r="U2473" s="38"/>
      <c r="V2473" s="38"/>
      <c r="W2473" s="38"/>
      <c r="X2473" s="38"/>
      <c r="Y2473" s="38"/>
      <c r="Z2473" s="38"/>
      <c r="AA2473" s="38"/>
      <c r="AB2473" s="38"/>
      <c r="AC2473" s="38"/>
      <c r="AD2473" s="38"/>
      <c r="AE2473" s="38"/>
      <c r="AF2473" s="38"/>
      <c r="AG2473" s="38"/>
      <c r="AH2473" s="38"/>
    </row>
    <row r="2474" spans="3:34" ht="20.100000000000001" customHeight="1">
      <c r="C2474" s="113"/>
      <c r="D2474" s="114"/>
      <c r="P2474" s="82"/>
      <c r="Q2474" s="82"/>
      <c r="R2474" s="38"/>
      <c r="S2474" s="38"/>
      <c r="T2474" s="38"/>
      <c r="U2474" s="38"/>
      <c r="V2474" s="38"/>
      <c r="W2474" s="38"/>
      <c r="X2474" s="38"/>
      <c r="Y2474" s="38"/>
      <c r="Z2474" s="38"/>
      <c r="AA2474" s="38"/>
      <c r="AB2474" s="38"/>
      <c r="AC2474" s="38"/>
      <c r="AD2474" s="38"/>
      <c r="AE2474" s="38"/>
      <c r="AF2474" s="38"/>
      <c r="AG2474" s="38"/>
      <c r="AH2474" s="38"/>
    </row>
    <row r="2475" spans="3:34" ht="20.100000000000001" customHeight="1">
      <c r="C2475" s="113"/>
      <c r="D2475" s="114"/>
      <c r="P2475" s="82"/>
      <c r="Q2475" s="82"/>
      <c r="R2475" s="38"/>
      <c r="S2475" s="38"/>
      <c r="T2475" s="38"/>
      <c r="U2475" s="38"/>
      <c r="V2475" s="38"/>
      <c r="W2475" s="38"/>
      <c r="X2475" s="38"/>
      <c r="Y2475" s="38"/>
      <c r="Z2475" s="38"/>
      <c r="AA2475" s="38"/>
      <c r="AB2475" s="38"/>
      <c r="AC2475" s="38"/>
      <c r="AD2475" s="38"/>
      <c r="AE2475" s="38"/>
      <c r="AF2475" s="38"/>
      <c r="AG2475" s="38"/>
      <c r="AH2475" s="38"/>
    </row>
    <row r="2476" spans="3:34" ht="20.100000000000001" customHeight="1">
      <c r="C2476" s="113"/>
      <c r="D2476" s="114"/>
      <c r="P2476" s="82"/>
      <c r="Q2476" s="82"/>
      <c r="R2476" s="38"/>
      <c r="S2476" s="38"/>
      <c r="T2476" s="38"/>
      <c r="U2476" s="38"/>
      <c r="V2476" s="38"/>
      <c r="W2476" s="38"/>
      <c r="X2476" s="38"/>
      <c r="Y2476" s="38"/>
      <c r="Z2476" s="38"/>
      <c r="AA2476" s="38"/>
      <c r="AB2476" s="38"/>
      <c r="AC2476" s="38"/>
      <c r="AD2476" s="38"/>
      <c r="AE2476" s="38"/>
      <c r="AF2476" s="38"/>
      <c r="AG2476" s="38"/>
      <c r="AH2476" s="38"/>
    </row>
    <row r="2477" spans="3:34" ht="20.100000000000001" customHeight="1">
      <c r="C2477" s="113"/>
      <c r="D2477" s="114"/>
      <c r="P2477" s="82"/>
      <c r="Q2477" s="82"/>
      <c r="R2477" s="38"/>
      <c r="S2477" s="38"/>
      <c r="T2477" s="38"/>
      <c r="U2477" s="38"/>
      <c r="V2477" s="38"/>
      <c r="W2477" s="38"/>
      <c r="X2477" s="38"/>
      <c r="Y2477" s="38"/>
      <c r="Z2477" s="38"/>
      <c r="AA2477" s="38"/>
      <c r="AB2477" s="38"/>
      <c r="AC2477" s="38"/>
      <c r="AD2477" s="38"/>
      <c r="AE2477" s="38"/>
      <c r="AF2477" s="38"/>
      <c r="AG2477" s="38"/>
      <c r="AH2477" s="38"/>
    </row>
    <row r="2478" spans="3:34" ht="20.100000000000001" customHeight="1">
      <c r="C2478" s="113"/>
      <c r="D2478" s="114"/>
      <c r="P2478" s="82"/>
      <c r="Q2478" s="82"/>
      <c r="R2478" s="38"/>
      <c r="S2478" s="38"/>
      <c r="T2478" s="38"/>
      <c r="U2478" s="38"/>
      <c r="V2478" s="38"/>
      <c r="W2478" s="38"/>
      <c r="X2478" s="38"/>
      <c r="Y2478" s="38"/>
      <c r="Z2478" s="38"/>
      <c r="AA2478" s="38"/>
      <c r="AB2478" s="38"/>
      <c r="AC2478" s="38"/>
      <c r="AD2478" s="38"/>
      <c r="AE2478" s="38"/>
      <c r="AF2478" s="38"/>
      <c r="AG2478" s="38"/>
      <c r="AH2478" s="38"/>
    </row>
    <row r="2479" spans="3:34" ht="20.100000000000001" customHeight="1">
      <c r="C2479" s="113"/>
      <c r="D2479" s="114"/>
      <c r="P2479" s="82"/>
      <c r="Q2479" s="82"/>
      <c r="R2479" s="38"/>
      <c r="S2479" s="38"/>
      <c r="T2479" s="38"/>
      <c r="U2479" s="38"/>
      <c r="V2479" s="38"/>
      <c r="W2479" s="38"/>
      <c r="X2479" s="38"/>
      <c r="Y2479" s="38"/>
      <c r="Z2479" s="38"/>
      <c r="AA2479" s="38"/>
      <c r="AB2479" s="38"/>
      <c r="AC2479" s="38"/>
      <c r="AD2479" s="38"/>
      <c r="AE2479" s="38"/>
      <c r="AF2479" s="38"/>
      <c r="AG2479" s="38"/>
      <c r="AH2479" s="38"/>
    </row>
    <row r="2480" spans="3:34" ht="20.100000000000001" customHeight="1">
      <c r="C2480" s="113"/>
      <c r="D2480" s="114"/>
      <c r="P2480" s="82"/>
      <c r="Q2480" s="82"/>
      <c r="R2480" s="38"/>
      <c r="S2480" s="38"/>
      <c r="T2480" s="38"/>
      <c r="U2480" s="38"/>
      <c r="V2480" s="38"/>
      <c r="W2480" s="38"/>
      <c r="X2480" s="38"/>
      <c r="Y2480" s="38"/>
      <c r="Z2480" s="38"/>
      <c r="AA2480" s="38"/>
      <c r="AB2480" s="38"/>
      <c r="AC2480" s="38"/>
      <c r="AD2480" s="38"/>
      <c r="AE2480" s="38"/>
      <c r="AF2480" s="38"/>
      <c r="AG2480" s="38"/>
      <c r="AH2480" s="38"/>
    </row>
    <row r="2481" spans="3:34" ht="20.100000000000001" customHeight="1">
      <c r="C2481" s="113"/>
      <c r="D2481" s="114"/>
      <c r="P2481" s="82"/>
      <c r="Q2481" s="82"/>
      <c r="R2481" s="38"/>
      <c r="S2481" s="38"/>
      <c r="T2481" s="38"/>
      <c r="U2481" s="38"/>
      <c r="V2481" s="38"/>
      <c r="W2481" s="38"/>
      <c r="X2481" s="38"/>
      <c r="Y2481" s="38"/>
      <c r="Z2481" s="38"/>
      <c r="AA2481" s="38"/>
      <c r="AB2481" s="38"/>
      <c r="AC2481" s="38"/>
      <c r="AD2481" s="38"/>
      <c r="AE2481" s="38"/>
      <c r="AF2481" s="38"/>
      <c r="AG2481" s="38"/>
      <c r="AH2481" s="38"/>
    </row>
    <row r="2482" spans="3:34" ht="20.100000000000001" customHeight="1">
      <c r="C2482" s="113"/>
      <c r="D2482" s="114"/>
      <c r="P2482" s="82"/>
      <c r="Q2482" s="82"/>
      <c r="R2482" s="38"/>
      <c r="S2482" s="38"/>
      <c r="T2482" s="38"/>
      <c r="U2482" s="38"/>
      <c r="V2482" s="38"/>
      <c r="W2482" s="38"/>
      <c r="X2482" s="38"/>
      <c r="Y2482" s="38"/>
      <c r="Z2482" s="38"/>
      <c r="AA2482" s="38"/>
      <c r="AB2482" s="38"/>
      <c r="AC2482" s="38"/>
      <c r="AD2482" s="38"/>
      <c r="AE2482" s="38"/>
      <c r="AF2482" s="38"/>
      <c r="AG2482" s="38"/>
      <c r="AH2482" s="38"/>
    </row>
    <row r="2483" spans="3:34" ht="20.100000000000001" customHeight="1">
      <c r="C2483" s="113"/>
      <c r="D2483" s="114"/>
      <c r="P2483" s="82"/>
      <c r="Q2483" s="82"/>
      <c r="R2483" s="38"/>
      <c r="S2483" s="38"/>
      <c r="T2483" s="38"/>
      <c r="U2483" s="38"/>
      <c r="V2483" s="38"/>
      <c r="W2483" s="38"/>
      <c r="X2483" s="38"/>
      <c r="Y2483" s="38"/>
      <c r="Z2483" s="38"/>
      <c r="AA2483" s="38"/>
      <c r="AB2483" s="38"/>
      <c r="AC2483" s="38"/>
      <c r="AD2483" s="38"/>
      <c r="AE2483" s="38"/>
      <c r="AF2483" s="38"/>
      <c r="AG2483" s="38"/>
      <c r="AH2483" s="38"/>
    </row>
    <row r="2484" spans="3:34" ht="20.100000000000001" customHeight="1">
      <c r="C2484" s="113"/>
      <c r="D2484" s="114"/>
      <c r="P2484" s="82"/>
      <c r="Q2484" s="82"/>
      <c r="R2484" s="38"/>
      <c r="S2484" s="38"/>
      <c r="T2484" s="38"/>
      <c r="U2484" s="38"/>
      <c r="V2484" s="38"/>
      <c r="W2484" s="38"/>
      <c r="X2484" s="38"/>
      <c r="Y2484" s="38"/>
      <c r="Z2484" s="38"/>
      <c r="AA2484" s="38"/>
      <c r="AB2484" s="38"/>
      <c r="AC2484" s="38"/>
      <c r="AD2484" s="38"/>
      <c r="AE2484" s="38"/>
      <c r="AF2484" s="38"/>
      <c r="AG2484" s="38"/>
      <c r="AH2484" s="38"/>
    </row>
    <row r="2485" spans="3:34" ht="20.100000000000001" customHeight="1">
      <c r="C2485" s="113"/>
      <c r="D2485" s="114"/>
      <c r="P2485" s="82"/>
      <c r="Q2485" s="82"/>
      <c r="R2485" s="38"/>
      <c r="S2485" s="38"/>
      <c r="T2485" s="38"/>
      <c r="U2485" s="38"/>
      <c r="V2485" s="38"/>
      <c r="W2485" s="38"/>
      <c r="X2485" s="38"/>
      <c r="Y2485" s="38"/>
      <c r="Z2485" s="38"/>
      <c r="AA2485" s="38"/>
      <c r="AB2485" s="38"/>
      <c r="AC2485" s="38"/>
      <c r="AD2485" s="38"/>
      <c r="AE2485" s="38"/>
      <c r="AF2485" s="38"/>
      <c r="AG2485" s="38"/>
      <c r="AH2485" s="38"/>
    </row>
    <row r="2486" spans="3:34" ht="20.100000000000001" customHeight="1">
      <c r="C2486" s="113"/>
      <c r="D2486" s="114"/>
      <c r="P2486" s="82"/>
      <c r="Q2486" s="82"/>
      <c r="R2486" s="38"/>
      <c r="S2486" s="38"/>
      <c r="T2486" s="38"/>
      <c r="U2486" s="38"/>
      <c r="V2486" s="38"/>
      <c r="W2486" s="38"/>
      <c r="X2486" s="38"/>
      <c r="Y2486" s="38"/>
      <c r="Z2486" s="38"/>
      <c r="AA2486" s="38"/>
      <c r="AB2486" s="38"/>
      <c r="AC2486" s="38"/>
      <c r="AD2486" s="38"/>
      <c r="AE2486" s="38"/>
      <c r="AF2486" s="38"/>
      <c r="AG2486" s="38"/>
      <c r="AH2486" s="38"/>
    </row>
    <row r="2487" spans="3:34" ht="20.100000000000001" customHeight="1">
      <c r="C2487" s="113"/>
      <c r="D2487" s="114"/>
      <c r="P2487" s="82"/>
      <c r="Q2487" s="82"/>
      <c r="R2487" s="38"/>
      <c r="S2487" s="38"/>
      <c r="T2487" s="38"/>
      <c r="U2487" s="38"/>
      <c r="V2487" s="38"/>
      <c r="W2487" s="38"/>
      <c r="X2487" s="38"/>
      <c r="Y2487" s="38"/>
      <c r="Z2487" s="38"/>
      <c r="AA2487" s="38"/>
      <c r="AB2487" s="38"/>
      <c r="AC2487" s="38"/>
      <c r="AD2487" s="38"/>
      <c r="AE2487" s="38"/>
      <c r="AF2487" s="38"/>
      <c r="AG2487" s="38"/>
      <c r="AH2487" s="38"/>
    </row>
    <row r="2488" spans="3:34" ht="20.100000000000001" customHeight="1">
      <c r="C2488" s="113"/>
      <c r="D2488" s="114"/>
      <c r="P2488" s="82"/>
      <c r="Q2488" s="82"/>
      <c r="R2488" s="38"/>
      <c r="S2488" s="38"/>
      <c r="T2488" s="38"/>
      <c r="U2488" s="38"/>
      <c r="V2488" s="38"/>
      <c r="W2488" s="38"/>
      <c r="X2488" s="38"/>
      <c r="Y2488" s="38"/>
      <c r="Z2488" s="38"/>
      <c r="AA2488" s="38"/>
      <c r="AB2488" s="38"/>
      <c r="AC2488" s="38"/>
      <c r="AD2488" s="38"/>
      <c r="AE2488" s="38"/>
      <c r="AF2488" s="38"/>
      <c r="AG2488" s="38"/>
      <c r="AH2488" s="38"/>
    </row>
    <row r="2489" spans="3:34" ht="20.100000000000001" customHeight="1">
      <c r="C2489" s="113"/>
      <c r="D2489" s="114"/>
      <c r="P2489" s="82"/>
      <c r="Q2489" s="82"/>
      <c r="R2489" s="38"/>
      <c r="S2489" s="38"/>
      <c r="T2489" s="38"/>
      <c r="U2489" s="38"/>
      <c r="V2489" s="38"/>
      <c r="W2489" s="38"/>
      <c r="X2489" s="38"/>
      <c r="Y2489" s="38"/>
      <c r="Z2489" s="38"/>
      <c r="AA2489" s="38"/>
      <c r="AB2489" s="38"/>
      <c r="AC2489" s="38"/>
      <c r="AD2489" s="38"/>
      <c r="AE2489" s="38"/>
      <c r="AF2489" s="38"/>
      <c r="AG2489" s="38"/>
      <c r="AH2489" s="38"/>
    </row>
    <row r="2490" spans="3:34" ht="20.100000000000001" customHeight="1">
      <c r="C2490" s="113"/>
      <c r="D2490" s="114"/>
      <c r="P2490" s="82"/>
      <c r="Q2490" s="82"/>
      <c r="R2490" s="38"/>
      <c r="S2490" s="38"/>
      <c r="T2490" s="38"/>
      <c r="U2490" s="38"/>
      <c r="V2490" s="38"/>
      <c r="W2490" s="38"/>
      <c r="X2490" s="38"/>
      <c r="Y2490" s="38"/>
      <c r="Z2490" s="38"/>
      <c r="AA2490" s="38"/>
      <c r="AB2490" s="38"/>
      <c r="AC2490" s="38"/>
      <c r="AD2490" s="38"/>
      <c r="AE2490" s="38"/>
      <c r="AF2490" s="38"/>
      <c r="AG2490" s="38"/>
      <c r="AH2490" s="38"/>
    </row>
    <row r="2491" spans="3:34" ht="20.100000000000001" customHeight="1">
      <c r="C2491" s="113"/>
      <c r="D2491" s="114"/>
      <c r="P2491" s="82"/>
      <c r="Q2491" s="82"/>
      <c r="R2491" s="38"/>
      <c r="S2491" s="38"/>
      <c r="T2491" s="38"/>
      <c r="U2491" s="38"/>
      <c r="V2491" s="38"/>
      <c r="W2491" s="38"/>
      <c r="X2491" s="38"/>
      <c r="Y2491" s="38"/>
      <c r="Z2491" s="38"/>
      <c r="AA2491" s="38"/>
      <c r="AB2491" s="38"/>
      <c r="AC2491" s="38"/>
      <c r="AD2491" s="38"/>
      <c r="AE2491" s="38"/>
      <c r="AF2491" s="38"/>
      <c r="AG2491" s="38"/>
      <c r="AH2491" s="38"/>
    </row>
    <row r="2492" spans="3:34" ht="20.100000000000001" customHeight="1">
      <c r="C2492" s="113"/>
      <c r="D2492" s="114"/>
      <c r="P2492" s="82"/>
      <c r="Q2492" s="82"/>
      <c r="R2492" s="38"/>
      <c r="S2492" s="38"/>
      <c r="T2492" s="38"/>
      <c r="U2492" s="38"/>
      <c r="V2492" s="38"/>
      <c r="W2492" s="38"/>
      <c r="X2492" s="38"/>
      <c r="Y2492" s="38"/>
      <c r="Z2492" s="38"/>
      <c r="AA2492" s="38"/>
      <c r="AB2492" s="38"/>
      <c r="AC2492" s="38"/>
      <c r="AD2492" s="38"/>
      <c r="AE2492" s="38"/>
      <c r="AF2492" s="38"/>
      <c r="AG2492" s="38"/>
      <c r="AH2492" s="38"/>
    </row>
    <row r="2493" spans="3:34" ht="20.100000000000001" customHeight="1">
      <c r="C2493" s="113"/>
      <c r="D2493" s="114"/>
      <c r="P2493" s="82"/>
      <c r="Q2493" s="82"/>
      <c r="R2493" s="38"/>
      <c r="S2493" s="38"/>
      <c r="T2493" s="38"/>
      <c r="U2493" s="38"/>
      <c r="V2493" s="38"/>
      <c r="W2493" s="38"/>
      <c r="X2493" s="38"/>
      <c r="Y2493" s="38"/>
      <c r="Z2493" s="38"/>
      <c r="AA2493" s="38"/>
      <c r="AB2493" s="38"/>
      <c r="AC2493" s="38"/>
      <c r="AD2493" s="38"/>
      <c r="AE2493" s="38"/>
      <c r="AF2493" s="38"/>
      <c r="AG2493" s="38"/>
      <c r="AH2493" s="38"/>
    </row>
    <row r="2494" spans="3:34" ht="20.100000000000001" customHeight="1">
      <c r="C2494" s="113"/>
      <c r="D2494" s="114"/>
      <c r="P2494" s="82"/>
      <c r="Q2494" s="82"/>
      <c r="R2494" s="38"/>
      <c r="S2494" s="38"/>
      <c r="T2494" s="38"/>
      <c r="U2494" s="38"/>
      <c r="V2494" s="38"/>
      <c r="W2494" s="38"/>
      <c r="X2494" s="38"/>
      <c r="Y2494" s="38"/>
      <c r="Z2494" s="38"/>
      <c r="AA2494" s="38"/>
      <c r="AB2494" s="38"/>
      <c r="AC2494" s="38"/>
      <c r="AD2494" s="38"/>
      <c r="AE2494" s="38"/>
      <c r="AF2494" s="38"/>
      <c r="AG2494" s="38"/>
      <c r="AH2494" s="38"/>
    </row>
    <row r="2495" spans="3:34" ht="20.100000000000001" customHeight="1">
      <c r="C2495" s="113"/>
      <c r="D2495" s="114"/>
      <c r="P2495" s="82"/>
      <c r="Q2495" s="82"/>
      <c r="R2495" s="38"/>
      <c r="S2495" s="38"/>
      <c r="T2495" s="38"/>
      <c r="U2495" s="38"/>
      <c r="V2495" s="38"/>
      <c r="W2495" s="38"/>
      <c r="X2495" s="38"/>
      <c r="Y2495" s="38"/>
      <c r="Z2495" s="38"/>
      <c r="AA2495" s="38"/>
      <c r="AB2495" s="38"/>
      <c r="AC2495" s="38"/>
      <c r="AD2495" s="38"/>
      <c r="AE2495" s="38"/>
      <c r="AF2495" s="38"/>
      <c r="AG2495" s="38"/>
      <c r="AH2495" s="38"/>
    </row>
    <row r="2496" spans="3:34" ht="20.100000000000001" customHeight="1">
      <c r="C2496" s="113"/>
      <c r="D2496" s="114"/>
      <c r="P2496" s="82"/>
      <c r="Q2496" s="82"/>
      <c r="R2496" s="38"/>
      <c r="S2496" s="38"/>
      <c r="T2496" s="38"/>
      <c r="U2496" s="38"/>
      <c r="V2496" s="38"/>
      <c r="W2496" s="38"/>
      <c r="X2496" s="38"/>
      <c r="Y2496" s="38"/>
      <c r="Z2496" s="38"/>
      <c r="AA2496" s="38"/>
      <c r="AB2496" s="38"/>
      <c r="AC2496" s="38"/>
      <c r="AD2496" s="38"/>
      <c r="AE2496" s="38"/>
      <c r="AF2496" s="38"/>
      <c r="AG2496" s="38"/>
      <c r="AH2496" s="38"/>
    </row>
    <row r="2497" spans="3:34" ht="20.100000000000001" customHeight="1">
      <c r="C2497" s="113"/>
      <c r="D2497" s="114"/>
      <c r="P2497" s="82"/>
      <c r="Q2497" s="82"/>
      <c r="R2497" s="38"/>
      <c r="S2497" s="38"/>
      <c r="T2497" s="38"/>
      <c r="U2497" s="38"/>
      <c r="V2497" s="38"/>
      <c r="W2497" s="38"/>
      <c r="X2497" s="38"/>
      <c r="Y2497" s="38"/>
      <c r="Z2497" s="38"/>
      <c r="AA2497" s="38"/>
      <c r="AB2497" s="38"/>
      <c r="AC2497" s="38"/>
      <c r="AD2497" s="38"/>
      <c r="AE2497" s="38"/>
      <c r="AF2497" s="38"/>
      <c r="AG2497" s="38"/>
      <c r="AH2497" s="38"/>
    </row>
    <row r="2498" spans="3:34" ht="20.100000000000001" customHeight="1">
      <c r="C2498" s="113"/>
      <c r="D2498" s="114"/>
      <c r="P2498" s="82"/>
      <c r="Q2498" s="82"/>
      <c r="R2498" s="38"/>
      <c r="S2498" s="38"/>
      <c r="T2498" s="38"/>
      <c r="U2498" s="38"/>
      <c r="V2498" s="38"/>
      <c r="W2498" s="38"/>
      <c r="X2498" s="38"/>
      <c r="Y2498" s="38"/>
      <c r="Z2498" s="38"/>
      <c r="AA2498" s="38"/>
      <c r="AB2498" s="38"/>
      <c r="AC2498" s="38"/>
      <c r="AD2498" s="38"/>
      <c r="AE2498" s="38"/>
      <c r="AF2498" s="38"/>
      <c r="AG2498" s="38"/>
      <c r="AH2498" s="38"/>
    </row>
    <row r="2499" spans="3:34" ht="20.100000000000001" customHeight="1">
      <c r="C2499" s="113"/>
      <c r="D2499" s="114"/>
      <c r="P2499" s="82"/>
      <c r="Q2499" s="82"/>
      <c r="R2499" s="38"/>
      <c r="S2499" s="38"/>
      <c r="T2499" s="38"/>
      <c r="U2499" s="38"/>
      <c r="V2499" s="38"/>
      <c r="W2499" s="38"/>
      <c r="X2499" s="38"/>
      <c r="Y2499" s="38"/>
      <c r="Z2499" s="38"/>
      <c r="AA2499" s="38"/>
      <c r="AB2499" s="38"/>
      <c r="AC2499" s="38"/>
      <c r="AD2499" s="38"/>
      <c r="AE2499" s="38"/>
      <c r="AF2499" s="38"/>
      <c r="AG2499" s="38"/>
      <c r="AH2499" s="38"/>
    </row>
    <row r="2500" spans="3:34" ht="20.100000000000001" customHeight="1">
      <c r="C2500" s="113"/>
      <c r="D2500" s="114"/>
      <c r="P2500" s="82"/>
      <c r="Q2500" s="82"/>
      <c r="R2500" s="38"/>
      <c r="S2500" s="38"/>
      <c r="T2500" s="38"/>
      <c r="U2500" s="38"/>
      <c r="V2500" s="38"/>
      <c r="W2500" s="38"/>
      <c r="X2500" s="38"/>
      <c r="Y2500" s="38"/>
      <c r="Z2500" s="38"/>
      <c r="AA2500" s="38"/>
      <c r="AB2500" s="38"/>
      <c r="AC2500" s="38"/>
      <c r="AD2500" s="38"/>
      <c r="AE2500" s="38"/>
      <c r="AF2500" s="38"/>
      <c r="AG2500" s="38"/>
      <c r="AH2500" s="38"/>
    </row>
    <row r="2501" spans="3:34" ht="20.100000000000001" customHeight="1">
      <c r="C2501" s="113"/>
      <c r="D2501" s="114"/>
      <c r="P2501" s="82"/>
      <c r="Q2501" s="82"/>
      <c r="R2501" s="38"/>
      <c r="S2501" s="38"/>
      <c r="T2501" s="38"/>
      <c r="U2501" s="38"/>
      <c r="V2501" s="38"/>
      <c r="W2501" s="38"/>
      <c r="X2501" s="38"/>
      <c r="Y2501" s="38"/>
      <c r="Z2501" s="38"/>
      <c r="AA2501" s="38"/>
      <c r="AB2501" s="38"/>
      <c r="AC2501" s="38"/>
      <c r="AD2501" s="38"/>
      <c r="AE2501" s="38"/>
      <c r="AF2501" s="38"/>
      <c r="AG2501" s="38"/>
      <c r="AH2501" s="38"/>
    </row>
    <row r="2502" spans="3:34" ht="20.100000000000001" customHeight="1">
      <c r="C2502" s="113"/>
      <c r="D2502" s="114"/>
      <c r="P2502" s="82"/>
      <c r="Q2502" s="82"/>
      <c r="R2502" s="38"/>
      <c r="S2502" s="38"/>
      <c r="T2502" s="38"/>
      <c r="U2502" s="38"/>
      <c r="V2502" s="38"/>
      <c r="W2502" s="38"/>
      <c r="X2502" s="38"/>
      <c r="Y2502" s="38"/>
      <c r="Z2502" s="38"/>
      <c r="AA2502" s="38"/>
      <c r="AB2502" s="38"/>
      <c r="AC2502" s="38"/>
      <c r="AD2502" s="38"/>
      <c r="AE2502" s="38"/>
      <c r="AF2502" s="38"/>
      <c r="AG2502" s="38"/>
      <c r="AH2502" s="38"/>
    </row>
    <row r="2503" spans="3:34" ht="20.100000000000001" customHeight="1">
      <c r="C2503" s="113"/>
      <c r="D2503" s="114"/>
      <c r="P2503" s="82"/>
      <c r="Q2503" s="82"/>
      <c r="R2503" s="38"/>
      <c r="S2503" s="38"/>
      <c r="T2503" s="38"/>
      <c r="U2503" s="38"/>
      <c r="V2503" s="38"/>
      <c r="W2503" s="38"/>
      <c r="X2503" s="38"/>
      <c r="Y2503" s="38"/>
      <c r="Z2503" s="38"/>
      <c r="AA2503" s="38"/>
      <c r="AB2503" s="38"/>
      <c r="AC2503" s="38"/>
      <c r="AD2503" s="38"/>
      <c r="AE2503" s="38"/>
      <c r="AF2503" s="38"/>
      <c r="AG2503" s="38"/>
      <c r="AH2503" s="38"/>
    </row>
    <row r="2504" spans="3:34" ht="20.100000000000001" customHeight="1">
      <c r="C2504" s="113"/>
      <c r="D2504" s="114"/>
      <c r="P2504" s="82"/>
      <c r="Q2504" s="82"/>
      <c r="R2504" s="38"/>
      <c r="S2504" s="38"/>
      <c r="T2504" s="38"/>
      <c r="U2504" s="38"/>
      <c r="V2504" s="38"/>
      <c r="W2504" s="38"/>
      <c r="X2504" s="38"/>
      <c r="Y2504" s="38"/>
      <c r="Z2504" s="38"/>
      <c r="AA2504" s="38"/>
      <c r="AB2504" s="38"/>
      <c r="AC2504" s="38"/>
      <c r="AD2504" s="38"/>
      <c r="AE2504" s="38"/>
      <c r="AF2504" s="38"/>
      <c r="AG2504" s="38"/>
      <c r="AH2504" s="38"/>
    </row>
    <row r="2505" spans="3:34" ht="20.100000000000001" customHeight="1">
      <c r="C2505" s="113"/>
      <c r="D2505" s="114"/>
      <c r="P2505" s="82"/>
      <c r="Q2505" s="82"/>
      <c r="R2505" s="38"/>
      <c r="S2505" s="38"/>
      <c r="T2505" s="38"/>
      <c r="U2505" s="38"/>
      <c r="V2505" s="38"/>
      <c r="W2505" s="38"/>
      <c r="X2505" s="38"/>
      <c r="Y2505" s="38"/>
      <c r="Z2505" s="38"/>
      <c r="AA2505" s="38"/>
      <c r="AB2505" s="38"/>
      <c r="AC2505" s="38"/>
      <c r="AD2505" s="38"/>
      <c r="AE2505" s="38"/>
      <c r="AF2505" s="38"/>
      <c r="AG2505" s="38"/>
      <c r="AH2505" s="38"/>
    </row>
    <row r="2506" spans="3:34" ht="20.100000000000001" customHeight="1">
      <c r="C2506" s="113"/>
      <c r="D2506" s="114"/>
      <c r="P2506" s="82"/>
      <c r="Q2506" s="82"/>
      <c r="R2506" s="38"/>
      <c r="S2506" s="38"/>
      <c r="T2506" s="38"/>
      <c r="U2506" s="38"/>
      <c r="V2506" s="38"/>
      <c r="W2506" s="38"/>
      <c r="X2506" s="38"/>
      <c r="Y2506" s="38"/>
      <c r="Z2506" s="38"/>
      <c r="AA2506" s="38"/>
      <c r="AB2506" s="38"/>
      <c r="AC2506" s="38"/>
      <c r="AD2506" s="38"/>
      <c r="AE2506" s="38"/>
      <c r="AF2506" s="38"/>
      <c r="AG2506" s="38"/>
      <c r="AH2506" s="38"/>
    </row>
    <row r="2507" spans="3:34" ht="20.100000000000001" customHeight="1">
      <c r="C2507" s="113"/>
      <c r="D2507" s="114"/>
      <c r="P2507" s="82"/>
      <c r="Q2507" s="82"/>
      <c r="R2507" s="38"/>
      <c r="S2507" s="38"/>
      <c r="T2507" s="38"/>
      <c r="U2507" s="38"/>
      <c r="V2507" s="38"/>
      <c r="W2507" s="38"/>
      <c r="X2507" s="38"/>
      <c r="Y2507" s="38"/>
      <c r="Z2507" s="38"/>
      <c r="AA2507" s="38"/>
      <c r="AB2507" s="38"/>
      <c r="AC2507" s="38"/>
      <c r="AD2507" s="38"/>
      <c r="AE2507" s="38"/>
      <c r="AF2507" s="38"/>
      <c r="AG2507" s="38"/>
      <c r="AH2507" s="38"/>
    </row>
    <row r="2508" spans="3:34" ht="20.100000000000001" customHeight="1">
      <c r="C2508" s="113"/>
      <c r="D2508" s="114"/>
      <c r="P2508" s="82"/>
      <c r="Q2508" s="82"/>
      <c r="R2508" s="38"/>
      <c r="S2508" s="38"/>
      <c r="T2508" s="38"/>
      <c r="U2508" s="38"/>
      <c r="V2508" s="38"/>
      <c r="W2508" s="38"/>
      <c r="X2508" s="38"/>
      <c r="Y2508" s="38"/>
      <c r="Z2508" s="38"/>
      <c r="AA2508" s="38"/>
      <c r="AB2508" s="38"/>
      <c r="AC2508" s="38"/>
      <c r="AD2508" s="38"/>
      <c r="AE2508" s="38"/>
      <c r="AF2508" s="38"/>
      <c r="AG2508" s="38"/>
      <c r="AH2508" s="38"/>
    </row>
    <row r="2509" spans="3:34" ht="20.100000000000001" customHeight="1">
      <c r="C2509" s="113"/>
      <c r="D2509" s="114"/>
      <c r="P2509" s="82"/>
      <c r="Q2509" s="82"/>
      <c r="R2509" s="38"/>
      <c r="S2509" s="38"/>
      <c r="T2509" s="38"/>
      <c r="U2509" s="38"/>
      <c r="V2509" s="38"/>
      <c r="W2509" s="38"/>
      <c r="X2509" s="38"/>
      <c r="Y2509" s="38"/>
      <c r="Z2509" s="38"/>
      <c r="AA2509" s="38"/>
      <c r="AB2509" s="38"/>
      <c r="AC2509" s="38"/>
      <c r="AD2509" s="38"/>
      <c r="AE2509" s="38"/>
      <c r="AF2509" s="38"/>
      <c r="AG2509" s="38"/>
      <c r="AH2509" s="38"/>
    </row>
    <row r="2510" spans="3:34" ht="20.100000000000001" customHeight="1">
      <c r="C2510" s="113"/>
      <c r="D2510" s="114"/>
      <c r="P2510" s="82"/>
      <c r="Q2510" s="82"/>
      <c r="R2510" s="38"/>
      <c r="S2510" s="38"/>
      <c r="T2510" s="38"/>
      <c r="U2510" s="38"/>
      <c r="V2510" s="38"/>
      <c r="W2510" s="38"/>
      <c r="X2510" s="38"/>
      <c r="Y2510" s="38"/>
      <c r="Z2510" s="38"/>
      <c r="AA2510" s="38"/>
      <c r="AB2510" s="38"/>
      <c r="AC2510" s="38"/>
      <c r="AD2510" s="38"/>
      <c r="AE2510" s="38"/>
      <c r="AF2510" s="38"/>
      <c r="AG2510" s="38"/>
      <c r="AH2510" s="38"/>
    </row>
    <row r="2511" spans="3:34" ht="20.100000000000001" customHeight="1">
      <c r="C2511" s="113"/>
      <c r="D2511" s="114"/>
      <c r="P2511" s="82"/>
      <c r="Q2511" s="82"/>
      <c r="R2511" s="38"/>
      <c r="S2511" s="38"/>
      <c r="T2511" s="38"/>
      <c r="U2511" s="38"/>
      <c r="V2511" s="38"/>
      <c r="W2511" s="38"/>
      <c r="X2511" s="38"/>
      <c r="Y2511" s="38"/>
      <c r="Z2511" s="38"/>
      <c r="AA2511" s="38"/>
      <c r="AB2511" s="38"/>
      <c r="AC2511" s="38"/>
      <c r="AD2511" s="38"/>
      <c r="AE2511" s="38"/>
      <c r="AF2511" s="38"/>
      <c r="AG2511" s="38"/>
      <c r="AH2511" s="38"/>
    </row>
    <row r="2512" spans="3:34" ht="20.100000000000001" customHeight="1">
      <c r="C2512" s="113"/>
      <c r="D2512" s="114"/>
      <c r="P2512" s="82"/>
      <c r="Q2512" s="82"/>
      <c r="R2512" s="38"/>
      <c r="S2512" s="38"/>
      <c r="T2512" s="38"/>
      <c r="U2512" s="38"/>
      <c r="V2512" s="38"/>
      <c r="W2512" s="38"/>
      <c r="X2512" s="38"/>
      <c r="Y2512" s="38"/>
      <c r="Z2512" s="38"/>
      <c r="AA2512" s="38"/>
      <c r="AB2512" s="38"/>
      <c r="AC2512" s="38"/>
      <c r="AD2512" s="38"/>
      <c r="AE2512" s="38"/>
      <c r="AF2512" s="38"/>
      <c r="AG2512" s="38"/>
      <c r="AH2512" s="38"/>
    </row>
    <row r="2513" spans="3:34" ht="20.100000000000001" customHeight="1">
      <c r="C2513" s="113"/>
      <c r="D2513" s="114"/>
      <c r="P2513" s="82"/>
      <c r="Q2513" s="82"/>
      <c r="R2513" s="38"/>
      <c r="S2513" s="38"/>
      <c r="T2513" s="38"/>
      <c r="U2513" s="38"/>
      <c r="V2513" s="38"/>
      <c r="W2513" s="38"/>
      <c r="X2513" s="38"/>
      <c r="Y2513" s="38"/>
      <c r="Z2513" s="38"/>
      <c r="AA2513" s="38"/>
      <c r="AB2513" s="38"/>
      <c r="AC2513" s="38"/>
      <c r="AD2513" s="38"/>
      <c r="AE2513" s="38"/>
      <c r="AF2513" s="38"/>
      <c r="AG2513" s="38"/>
      <c r="AH2513" s="38"/>
    </row>
    <row r="2514" spans="3:34" ht="20.100000000000001" customHeight="1">
      <c r="C2514" s="113"/>
      <c r="D2514" s="114"/>
      <c r="P2514" s="82"/>
      <c r="Q2514" s="82"/>
      <c r="R2514" s="38"/>
      <c r="S2514" s="38"/>
      <c r="T2514" s="38"/>
      <c r="U2514" s="38"/>
      <c r="V2514" s="38"/>
      <c r="W2514" s="38"/>
      <c r="X2514" s="38"/>
      <c r="Y2514" s="38"/>
      <c r="Z2514" s="38"/>
      <c r="AA2514" s="38"/>
      <c r="AB2514" s="38"/>
      <c r="AC2514" s="38"/>
      <c r="AD2514" s="38"/>
      <c r="AE2514" s="38"/>
      <c r="AF2514" s="38"/>
      <c r="AG2514" s="38"/>
      <c r="AH2514" s="38"/>
    </row>
    <row r="2515" spans="3:34" ht="20.100000000000001" customHeight="1">
      <c r="C2515" s="113"/>
      <c r="D2515" s="114"/>
      <c r="P2515" s="82"/>
      <c r="Q2515" s="82"/>
      <c r="R2515" s="38"/>
      <c r="S2515" s="38"/>
      <c r="T2515" s="38"/>
      <c r="U2515" s="38"/>
      <c r="V2515" s="38"/>
      <c r="W2515" s="38"/>
      <c r="X2515" s="38"/>
      <c r="Y2515" s="38"/>
      <c r="Z2515" s="38"/>
      <c r="AA2515" s="38"/>
      <c r="AB2515" s="38"/>
      <c r="AC2515" s="38"/>
      <c r="AD2515" s="38"/>
      <c r="AE2515" s="38"/>
      <c r="AF2515" s="38"/>
      <c r="AG2515" s="38"/>
      <c r="AH2515" s="38"/>
    </row>
    <row r="2516" spans="3:34" ht="20.100000000000001" customHeight="1">
      <c r="C2516" s="113"/>
      <c r="D2516" s="114"/>
      <c r="P2516" s="82"/>
      <c r="Q2516" s="82"/>
      <c r="R2516" s="38"/>
      <c r="S2516" s="38"/>
      <c r="T2516" s="38"/>
      <c r="U2516" s="38"/>
      <c r="V2516" s="38"/>
      <c r="W2516" s="38"/>
      <c r="X2516" s="38"/>
      <c r="Y2516" s="38"/>
      <c r="Z2516" s="38"/>
      <c r="AA2516" s="38"/>
      <c r="AB2516" s="38"/>
      <c r="AC2516" s="38"/>
      <c r="AD2516" s="38"/>
      <c r="AE2516" s="38"/>
      <c r="AF2516" s="38"/>
      <c r="AG2516" s="38"/>
      <c r="AH2516" s="38"/>
    </row>
    <row r="2517" spans="3:34" ht="20.100000000000001" customHeight="1">
      <c r="C2517" s="113"/>
      <c r="D2517" s="114"/>
      <c r="P2517" s="82"/>
      <c r="Q2517" s="82"/>
      <c r="R2517" s="38"/>
      <c r="S2517" s="38"/>
      <c r="T2517" s="38"/>
      <c r="U2517" s="38"/>
      <c r="V2517" s="38"/>
      <c r="W2517" s="38"/>
      <c r="X2517" s="38"/>
      <c r="Y2517" s="38"/>
      <c r="Z2517" s="38"/>
      <c r="AA2517" s="38"/>
      <c r="AB2517" s="38"/>
      <c r="AC2517" s="38"/>
      <c r="AD2517" s="38"/>
      <c r="AE2517" s="38"/>
      <c r="AF2517" s="38"/>
      <c r="AG2517" s="38"/>
      <c r="AH2517" s="38"/>
    </row>
    <row r="2518" spans="3:34" ht="20.100000000000001" customHeight="1">
      <c r="C2518" s="113"/>
      <c r="D2518" s="114"/>
      <c r="P2518" s="82"/>
      <c r="Q2518" s="82"/>
      <c r="R2518" s="38"/>
      <c r="S2518" s="38"/>
      <c r="T2518" s="38"/>
      <c r="U2518" s="38"/>
      <c r="V2518" s="38"/>
      <c r="W2518" s="38"/>
      <c r="X2518" s="38"/>
      <c r="Y2518" s="38"/>
      <c r="Z2518" s="38"/>
      <c r="AA2518" s="38"/>
      <c r="AB2518" s="38"/>
      <c r="AC2518" s="38"/>
      <c r="AD2518" s="38"/>
      <c r="AE2518" s="38"/>
      <c r="AF2518" s="38"/>
      <c r="AG2518" s="38"/>
      <c r="AH2518" s="38"/>
    </row>
    <row r="2519" spans="3:34" ht="20.100000000000001" customHeight="1">
      <c r="C2519" s="113"/>
      <c r="D2519" s="114"/>
      <c r="P2519" s="82"/>
      <c r="Q2519" s="82"/>
      <c r="R2519" s="38"/>
      <c r="S2519" s="38"/>
      <c r="T2519" s="38"/>
      <c r="U2519" s="38"/>
      <c r="V2519" s="38"/>
      <c r="W2519" s="38"/>
      <c r="X2519" s="38"/>
      <c r="Y2519" s="38"/>
      <c r="Z2519" s="38"/>
      <c r="AA2519" s="38"/>
      <c r="AB2519" s="38"/>
      <c r="AC2519" s="38"/>
      <c r="AD2519" s="38"/>
      <c r="AE2519" s="38"/>
      <c r="AF2519" s="38"/>
      <c r="AG2519" s="38"/>
      <c r="AH2519" s="38"/>
    </row>
    <row r="2520" spans="3:34" ht="20.100000000000001" customHeight="1">
      <c r="C2520" s="113"/>
      <c r="D2520" s="114"/>
      <c r="P2520" s="82"/>
      <c r="Q2520" s="82"/>
      <c r="R2520" s="38"/>
      <c r="S2520" s="38"/>
      <c r="T2520" s="38"/>
      <c r="U2520" s="38"/>
      <c r="V2520" s="38"/>
      <c r="W2520" s="38"/>
      <c r="X2520" s="38"/>
      <c r="Y2520" s="38"/>
      <c r="Z2520" s="38"/>
      <c r="AA2520" s="38"/>
      <c r="AB2520" s="38"/>
      <c r="AC2520" s="38"/>
      <c r="AD2520" s="38"/>
      <c r="AE2520" s="38"/>
      <c r="AF2520" s="38"/>
      <c r="AG2520" s="38"/>
      <c r="AH2520" s="38"/>
    </row>
    <row r="2521" spans="3:34" ht="20.100000000000001" customHeight="1">
      <c r="C2521" s="113"/>
      <c r="D2521" s="114"/>
      <c r="P2521" s="82"/>
      <c r="Q2521" s="82"/>
      <c r="R2521" s="38"/>
      <c r="S2521" s="38"/>
      <c r="T2521" s="38"/>
      <c r="U2521" s="38"/>
      <c r="V2521" s="38"/>
      <c r="W2521" s="38"/>
      <c r="X2521" s="38"/>
      <c r="Y2521" s="38"/>
      <c r="Z2521" s="38"/>
      <c r="AA2521" s="38"/>
      <c r="AB2521" s="38"/>
      <c r="AC2521" s="38"/>
      <c r="AD2521" s="38"/>
      <c r="AE2521" s="38"/>
      <c r="AF2521" s="38"/>
      <c r="AG2521" s="38"/>
      <c r="AH2521" s="38"/>
    </row>
    <row r="2522" spans="3:34" ht="20.100000000000001" customHeight="1">
      <c r="C2522" s="113"/>
      <c r="D2522" s="114"/>
      <c r="P2522" s="82"/>
      <c r="Q2522" s="82"/>
      <c r="R2522" s="38"/>
      <c r="S2522" s="38"/>
      <c r="T2522" s="38"/>
      <c r="U2522" s="38"/>
      <c r="V2522" s="38"/>
      <c r="W2522" s="38"/>
      <c r="X2522" s="38"/>
      <c r="Y2522" s="38"/>
      <c r="Z2522" s="38"/>
      <c r="AA2522" s="38"/>
      <c r="AB2522" s="38"/>
      <c r="AC2522" s="38"/>
      <c r="AD2522" s="38"/>
      <c r="AE2522" s="38"/>
      <c r="AF2522" s="38"/>
      <c r="AG2522" s="38"/>
      <c r="AH2522" s="38"/>
    </row>
    <row r="2523" spans="3:34" ht="20.100000000000001" customHeight="1">
      <c r="C2523" s="113"/>
      <c r="D2523" s="114"/>
      <c r="P2523" s="82"/>
      <c r="Q2523" s="82"/>
      <c r="R2523" s="38"/>
      <c r="S2523" s="38"/>
      <c r="T2523" s="38"/>
      <c r="U2523" s="38"/>
      <c r="V2523" s="38"/>
      <c r="W2523" s="38"/>
      <c r="X2523" s="38"/>
      <c r="Y2523" s="38"/>
      <c r="Z2523" s="38"/>
      <c r="AA2523" s="38"/>
      <c r="AB2523" s="38"/>
      <c r="AC2523" s="38"/>
      <c r="AD2523" s="38"/>
      <c r="AE2523" s="38"/>
      <c r="AF2523" s="38"/>
      <c r="AG2523" s="38"/>
      <c r="AH2523" s="38"/>
    </row>
    <row r="2524" spans="3:34" ht="20.100000000000001" customHeight="1">
      <c r="C2524" s="113"/>
      <c r="D2524" s="114"/>
      <c r="P2524" s="82"/>
      <c r="Q2524" s="82"/>
      <c r="R2524" s="38"/>
      <c r="S2524" s="38"/>
      <c r="T2524" s="38"/>
      <c r="U2524" s="38"/>
      <c r="V2524" s="38"/>
      <c r="W2524" s="38"/>
      <c r="X2524" s="38"/>
      <c r="Y2524" s="38"/>
      <c r="Z2524" s="38"/>
      <c r="AA2524" s="38"/>
      <c r="AB2524" s="38"/>
      <c r="AC2524" s="38"/>
      <c r="AD2524" s="38"/>
      <c r="AE2524" s="38"/>
      <c r="AF2524" s="38"/>
      <c r="AG2524" s="38"/>
      <c r="AH2524" s="38"/>
    </row>
    <row r="2525" spans="3:34" ht="20.100000000000001" customHeight="1">
      <c r="C2525" s="113"/>
      <c r="D2525" s="114"/>
      <c r="P2525" s="82"/>
      <c r="Q2525" s="82"/>
      <c r="R2525" s="38"/>
      <c r="S2525" s="38"/>
      <c r="T2525" s="38"/>
      <c r="U2525" s="38"/>
      <c r="V2525" s="38"/>
      <c r="W2525" s="38"/>
      <c r="X2525" s="38"/>
      <c r="Y2525" s="38"/>
      <c r="Z2525" s="38"/>
      <c r="AA2525" s="38"/>
      <c r="AB2525" s="38"/>
      <c r="AC2525" s="38"/>
      <c r="AD2525" s="38"/>
      <c r="AE2525" s="38"/>
      <c r="AF2525" s="38"/>
      <c r="AG2525" s="38"/>
      <c r="AH2525" s="38"/>
    </row>
    <row r="2526" spans="3:34" ht="20.100000000000001" customHeight="1">
      <c r="C2526" s="113"/>
      <c r="D2526" s="114"/>
      <c r="P2526" s="82"/>
      <c r="Q2526" s="82"/>
      <c r="R2526" s="38"/>
      <c r="S2526" s="38"/>
      <c r="T2526" s="38"/>
      <c r="U2526" s="38"/>
      <c r="V2526" s="38"/>
      <c r="W2526" s="38"/>
      <c r="X2526" s="38"/>
      <c r="Y2526" s="38"/>
      <c r="Z2526" s="38"/>
      <c r="AA2526" s="38"/>
      <c r="AB2526" s="38"/>
      <c r="AC2526" s="38"/>
      <c r="AD2526" s="38"/>
      <c r="AE2526" s="38"/>
      <c r="AF2526" s="38"/>
      <c r="AG2526" s="38"/>
      <c r="AH2526" s="38"/>
    </row>
    <row r="2527" spans="3:34" ht="20.100000000000001" customHeight="1">
      <c r="C2527" s="113"/>
      <c r="D2527" s="114"/>
      <c r="P2527" s="82"/>
      <c r="Q2527" s="82"/>
      <c r="R2527" s="38"/>
      <c r="S2527" s="38"/>
      <c r="T2527" s="38"/>
      <c r="U2527" s="38"/>
      <c r="V2527" s="38"/>
      <c r="W2527" s="38"/>
      <c r="X2527" s="38"/>
      <c r="Y2527" s="38"/>
      <c r="Z2527" s="38"/>
      <c r="AA2527" s="38"/>
      <c r="AB2527" s="38"/>
      <c r="AC2527" s="38"/>
      <c r="AD2527" s="38"/>
      <c r="AE2527" s="38"/>
      <c r="AF2527" s="38"/>
      <c r="AG2527" s="38"/>
      <c r="AH2527" s="38"/>
    </row>
    <row r="2528" spans="3:34" ht="20.100000000000001" customHeight="1">
      <c r="C2528" s="113"/>
      <c r="D2528" s="114"/>
      <c r="P2528" s="82"/>
      <c r="Q2528" s="82"/>
      <c r="R2528" s="38"/>
      <c r="S2528" s="38"/>
      <c r="T2528" s="38"/>
      <c r="U2528" s="38"/>
      <c r="V2528" s="38"/>
      <c r="W2528" s="38"/>
      <c r="X2528" s="38"/>
      <c r="Y2528" s="38"/>
      <c r="Z2528" s="38"/>
      <c r="AA2528" s="38"/>
      <c r="AB2528" s="38"/>
      <c r="AC2528" s="38"/>
      <c r="AD2528" s="38"/>
      <c r="AE2528" s="38"/>
      <c r="AF2528" s="38"/>
      <c r="AG2528" s="38"/>
      <c r="AH2528" s="38"/>
    </row>
    <row r="2529" spans="3:34" ht="20.100000000000001" customHeight="1">
      <c r="C2529" s="113"/>
      <c r="D2529" s="114"/>
      <c r="P2529" s="82"/>
      <c r="Q2529" s="82"/>
      <c r="R2529" s="38"/>
      <c r="S2529" s="38"/>
      <c r="T2529" s="38"/>
      <c r="U2529" s="38"/>
      <c r="V2529" s="38"/>
      <c r="W2529" s="38"/>
      <c r="X2529" s="38"/>
      <c r="Y2529" s="38"/>
      <c r="Z2529" s="38"/>
      <c r="AA2529" s="38"/>
      <c r="AB2529" s="38"/>
      <c r="AC2529" s="38"/>
      <c r="AD2529" s="38"/>
      <c r="AE2529" s="38"/>
      <c r="AF2529" s="38"/>
      <c r="AG2529" s="38"/>
      <c r="AH2529" s="38"/>
    </row>
    <row r="2530" spans="3:34" ht="20.100000000000001" customHeight="1">
      <c r="C2530" s="113"/>
      <c r="D2530" s="114"/>
      <c r="P2530" s="82"/>
      <c r="Q2530" s="82"/>
      <c r="R2530" s="38"/>
      <c r="S2530" s="38"/>
      <c r="T2530" s="38"/>
      <c r="U2530" s="38"/>
      <c r="V2530" s="38"/>
      <c r="W2530" s="38"/>
      <c r="X2530" s="38"/>
      <c r="Y2530" s="38"/>
      <c r="Z2530" s="38"/>
      <c r="AA2530" s="38"/>
      <c r="AB2530" s="38"/>
      <c r="AC2530" s="38"/>
      <c r="AD2530" s="38"/>
      <c r="AE2530" s="38"/>
      <c r="AF2530" s="38"/>
      <c r="AG2530" s="38"/>
      <c r="AH2530" s="38"/>
    </row>
    <row r="2531" spans="3:34" ht="20.100000000000001" customHeight="1">
      <c r="C2531" s="113"/>
      <c r="D2531" s="114"/>
      <c r="P2531" s="82"/>
      <c r="Q2531" s="82"/>
      <c r="R2531" s="38"/>
      <c r="S2531" s="38"/>
      <c r="T2531" s="38"/>
      <c r="U2531" s="38"/>
      <c r="V2531" s="38"/>
      <c r="W2531" s="38"/>
      <c r="X2531" s="38"/>
      <c r="Y2531" s="38"/>
      <c r="Z2531" s="38"/>
      <c r="AA2531" s="38"/>
      <c r="AB2531" s="38"/>
      <c r="AC2531" s="38"/>
      <c r="AD2531" s="38"/>
      <c r="AE2531" s="38"/>
      <c r="AF2531" s="38"/>
      <c r="AG2531" s="38"/>
      <c r="AH2531" s="38"/>
    </row>
    <row r="2532" spans="3:34" ht="20.100000000000001" customHeight="1">
      <c r="C2532" s="113"/>
      <c r="D2532" s="114"/>
      <c r="P2532" s="82"/>
      <c r="Q2532" s="82"/>
      <c r="R2532" s="38"/>
      <c r="S2532" s="38"/>
      <c r="T2532" s="38"/>
      <c r="U2532" s="38"/>
      <c r="V2532" s="38"/>
      <c r="W2532" s="38"/>
      <c r="X2532" s="38"/>
      <c r="Y2532" s="38"/>
      <c r="Z2532" s="38"/>
      <c r="AA2532" s="38"/>
      <c r="AB2532" s="38"/>
      <c r="AC2532" s="38"/>
      <c r="AD2532" s="38"/>
      <c r="AE2532" s="38"/>
      <c r="AF2532" s="38"/>
      <c r="AG2532" s="38"/>
      <c r="AH2532" s="38"/>
    </row>
    <row r="2533" spans="3:34" ht="20.100000000000001" customHeight="1">
      <c r="C2533" s="113"/>
      <c r="D2533" s="114"/>
      <c r="P2533" s="82"/>
      <c r="Q2533" s="82"/>
      <c r="R2533" s="38"/>
      <c r="S2533" s="38"/>
      <c r="T2533" s="38"/>
      <c r="U2533" s="38"/>
      <c r="V2533" s="38"/>
      <c r="W2533" s="38"/>
      <c r="X2533" s="38"/>
      <c r="Y2533" s="38"/>
      <c r="Z2533" s="38"/>
      <c r="AA2533" s="38"/>
      <c r="AB2533" s="38"/>
      <c r="AC2533" s="38"/>
      <c r="AD2533" s="38"/>
      <c r="AE2533" s="38"/>
      <c r="AF2533" s="38"/>
      <c r="AG2533" s="38"/>
      <c r="AH2533" s="38"/>
    </row>
    <row r="2534" spans="3:34" ht="20.100000000000001" customHeight="1">
      <c r="C2534" s="113"/>
      <c r="D2534" s="114"/>
      <c r="P2534" s="82"/>
      <c r="Q2534" s="82"/>
      <c r="R2534" s="38"/>
      <c r="S2534" s="38"/>
      <c r="T2534" s="38"/>
      <c r="U2534" s="38"/>
      <c r="V2534" s="38"/>
      <c r="W2534" s="38"/>
      <c r="X2534" s="38"/>
      <c r="Y2534" s="38"/>
      <c r="Z2534" s="38"/>
      <c r="AA2534" s="38"/>
      <c r="AB2534" s="38"/>
      <c r="AC2534" s="38"/>
      <c r="AD2534" s="38"/>
      <c r="AE2534" s="38"/>
      <c r="AF2534" s="38"/>
      <c r="AG2534" s="38"/>
      <c r="AH2534" s="38"/>
    </row>
    <row r="2535" spans="3:34" ht="20.100000000000001" customHeight="1">
      <c r="C2535" s="113"/>
      <c r="D2535" s="114"/>
      <c r="P2535" s="82"/>
      <c r="Q2535" s="82"/>
      <c r="R2535" s="38"/>
      <c r="S2535" s="38"/>
      <c r="T2535" s="38"/>
      <c r="U2535" s="38"/>
      <c r="V2535" s="38"/>
      <c r="W2535" s="38"/>
      <c r="X2535" s="38"/>
      <c r="Y2535" s="38"/>
      <c r="Z2535" s="38"/>
      <c r="AA2535" s="38"/>
      <c r="AB2535" s="38"/>
      <c r="AC2535" s="38"/>
      <c r="AD2535" s="38"/>
      <c r="AE2535" s="38"/>
      <c r="AF2535" s="38"/>
      <c r="AG2535" s="38"/>
      <c r="AH2535" s="38"/>
    </row>
    <row r="2536" spans="3:34" ht="20.100000000000001" customHeight="1">
      <c r="C2536" s="113"/>
      <c r="D2536" s="114"/>
      <c r="P2536" s="82"/>
      <c r="Q2536" s="82"/>
      <c r="R2536" s="38"/>
      <c r="S2536" s="38"/>
      <c r="T2536" s="38"/>
      <c r="U2536" s="38"/>
      <c r="V2536" s="38"/>
      <c r="W2536" s="38"/>
      <c r="X2536" s="38"/>
      <c r="Y2536" s="38"/>
      <c r="Z2536" s="38"/>
      <c r="AA2536" s="38"/>
      <c r="AB2536" s="38"/>
      <c r="AC2536" s="38"/>
      <c r="AD2536" s="38"/>
      <c r="AE2536" s="38"/>
      <c r="AF2536" s="38"/>
      <c r="AG2536" s="38"/>
      <c r="AH2536" s="38"/>
    </row>
    <row r="2537" spans="3:34" ht="20.100000000000001" customHeight="1">
      <c r="C2537" s="113"/>
      <c r="D2537" s="114"/>
      <c r="P2537" s="82"/>
      <c r="Q2537" s="82"/>
      <c r="R2537" s="38"/>
      <c r="S2537" s="38"/>
      <c r="T2537" s="38"/>
      <c r="U2537" s="38"/>
      <c r="V2537" s="38"/>
      <c r="W2537" s="38"/>
      <c r="X2537" s="38"/>
      <c r="Y2537" s="38"/>
      <c r="Z2537" s="38"/>
      <c r="AA2537" s="38"/>
      <c r="AB2537" s="38"/>
      <c r="AC2537" s="38"/>
      <c r="AD2537" s="38"/>
      <c r="AE2537" s="38"/>
      <c r="AF2537" s="38"/>
      <c r="AG2537" s="38"/>
      <c r="AH2537" s="38"/>
    </row>
    <row r="2538" spans="3:34" ht="20.100000000000001" customHeight="1">
      <c r="C2538" s="113"/>
      <c r="D2538" s="114"/>
      <c r="P2538" s="82"/>
      <c r="Q2538" s="82"/>
      <c r="R2538" s="38"/>
      <c r="S2538" s="38"/>
      <c r="T2538" s="38"/>
      <c r="U2538" s="38"/>
      <c r="V2538" s="38"/>
      <c r="W2538" s="38"/>
      <c r="X2538" s="38"/>
      <c r="Y2538" s="38"/>
      <c r="Z2538" s="38"/>
      <c r="AA2538" s="38"/>
      <c r="AB2538" s="38"/>
      <c r="AC2538" s="38"/>
      <c r="AD2538" s="38"/>
      <c r="AE2538" s="38"/>
      <c r="AF2538" s="38"/>
      <c r="AG2538" s="38"/>
      <c r="AH2538" s="38"/>
    </row>
    <row r="2539" spans="3:34" ht="20.100000000000001" customHeight="1">
      <c r="C2539" s="113"/>
      <c r="D2539" s="114"/>
      <c r="P2539" s="82"/>
      <c r="Q2539" s="82"/>
      <c r="R2539" s="38"/>
      <c r="S2539" s="38"/>
      <c r="T2539" s="38"/>
      <c r="U2539" s="38"/>
      <c r="V2539" s="38"/>
      <c r="W2539" s="38"/>
      <c r="X2539" s="38"/>
      <c r="Y2539" s="38"/>
      <c r="Z2539" s="38"/>
      <c r="AA2539" s="38"/>
      <c r="AB2539" s="38"/>
      <c r="AC2539" s="38"/>
      <c r="AD2539" s="38"/>
      <c r="AE2539" s="38"/>
      <c r="AF2539" s="38"/>
      <c r="AG2539" s="38"/>
      <c r="AH2539" s="38"/>
    </row>
    <row r="2540" spans="3:34" ht="20.100000000000001" customHeight="1">
      <c r="C2540" s="113"/>
      <c r="D2540" s="114"/>
      <c r="P2540" s="82"/>
      <c r="Q2540" s="82"/>
      <c r="R2540" s="38"/>
      <c r="S2540" s="38"/>
      <c r="T2540" s="38"/>
      <c r="U2540" s="38"/>
      <c r="V2540" s="38"/>
      <c r="W2540" s="38"/>
      <c r="X2540" s="38"/>
      <c r="Y2540" s="38"/>
      <c r="Z2540" s="38"/>
      <c r="AA2540" s="38"/>
      <c r="AB2540" s="38"/>
      <c r="AC2540" s="38"/>
      <c r="AD2540" s="38"/>
      <c r="AE2540" s="38"/>
      <c r="AF2540" s="38"/>
      <c r="AG2540" s="38"/>
      <c r="AH2540" s="38"/>
    </row>
    <row r="2541" spans="3:34" ht="20.100000000000001" customHeight="1">
      <c r="C2541" s="113"/>
      <c r="D2541" s="114"/>
      <c r="P2541" s="82"/>
      <c r="Q2541" s="82"/>
      <c r="R2541" s="38"/>
      <c r="S2541" s="38"/>
      <c r="T2541" s="38"/>
      <c r="U2541" s="38"/>
      <c r="V2541" s="38"/>
      <c r="W2541" s="38"/>
      <c r="X2541" s="38"/>
      <c r="Y2541" s="38"/>
      <c r="Z2541" s="38"/>
      <c r="AA2541" s="38"/>
      <c r="AB2541" s="38"/>
      <c r="AC2541" s="38"/>
      <c r="AD2541" s="38"/>
      <c r="AE2541" s="38"/>
      <c r="AF2541" s="38"/>
      <c r="AG2541" s="38"/>
      <c r="AH2541" s="38"/>
    </row>
    <row r="2542" spans="3:34" ht="20.100000000000001" customHeight="1">
      <c r="C2542" s="113"/>
      <c r="D2542" s="114"/>
      <c r="P2542" s="82"/>
      <c r="Q2542" s="82"/>
      <c r="R2542" s="38"/>
      <c r="S2542" s="38"/>
      <c r="T2542" s="38"/>
      <c r="U2542" s="38"/>
      <c r="V2542" s="38"/>
      <c r="W2542" s="38"/>
      <c r="X2542" s="38"/>
      <c r="Y2542" s="38"/>
      <c r="Z2542" s="38"/>
      <c r="AA2542" s="38"/>
      <c r="AB2542" s="38"/>
      <c r="AC2542" s="38"/>
      <c r="AD2542" s="38"/>
      <c r="AE2542" s="38"/>
      <c r="AF2542" s="38"/>
      <c r="AG2542" s="38"/>
      <c r="AH2542" s="38"/>
    </row>
    <row r="2543" spans="3:34" ht="20.100000000000001" customHeight="1">
      <c r="C2543" s="113"/>
      <c r="D2543" s="114"/>
      <c r="P2543" s="82"/>
      <c r="Q2543" s="82"/>
      <c r="R2543" s="38"/>
      <c r="S2543" s="38"/>
      <c r="T2543" s="38"/>
      <c r="U2543" s="38"/>
      <c r="V2543" s="38"/>
      <c r="W2543" s="38"/>
      <c r="X2543" s="38"/>
      <c r="Y2543" s="38"/>
      <c r="Z2543" s="38"/>
      <c r="AA2543" s="38"/>
      <c r="AB2543" s="38"/>
      <c r="AC2543" s="38"/>
      <c r="AD2543" s="38"/>
      <c r="AE2543" s="38"/>
      <c r="AF2543" s="38"/>
      <c r="AG2543" s="38"/>
      <c r="AH2543" s="38"/>
    </row>
    <row r="2544" spans="3:34" ht="20.100000000000001" customHeight="1">
      <c r="C2544" s="113"/>
      <c r="D2544" s="114"/>
      <c r="P2544" s="82"/>
      <c r="Q2544" s="82"/>
      <c r="R2544" s="38"/>
      <c r="S2544" s="38"/>
      <c r="T2544" s="38"/>
      <c r="U2544" s="38"/>
      <c r="V2544" s="38"/>
      <c r="W2544" s="38"/>
      <c r="X2544" s="38"/>
      <c r="Y2544" s="38"/>
      <c r="Z2544" s="38"/>
      <c r="AA2544" s="38"/>
      <c r="AB2544" s="38"/>
      <c r="AC2544" s="38"/>
      <c r="AD2544" s="38"/>
      <c r="AE2544" s="38"/>
      <c r="AF2544" s="38"/>
      <c r="AG2544" s="38"/>
      <c r="AH2544" s="38"/>
    </row>
    <row r="2545" spans="3:34" ht="20.100000000000001" customHeight="1">
      <c r="C2545" s="113"/>
      <c r="D2545" s="114"/>
      <c r="P2545" s="82"/>
      <c r="Q2545" s="82"/>
      <c r="R2545" s="38"/>
      <c r="S2545" s="38"/>
      <c r="T2545" s="38"/>
      <c r="U2545" s="38"/>
      <c r="V2545" s="38"/>
      <c r="W2545" s="38"/>
      <c r="X2545" s="38"/>
      <c r="Y2545" s="38"/>
      <c r="Z2545" s="38"/>
      <c r="AA2545" s="38"/>
      <c r="AB2545" s="38"/>
      <c r="AC2545" s="38"/>
      <c r="AD2545" s="38"/>
      <c r="AE2545" s="38"/>
      <c r="AF2545" s="38"/>
      <c r="AG2545" s="38"/>
      <c r="AH2545" s="38"/>
    </row>
    <row r="2546" spans="3:34" ht="20.100000000000001" customHeight="1">
      <c r="C2546" s="113"/>
      <c r="D2546" s="114"/>
      <c r="P2546" s="82"/>
      <c r="Q2546" s="82"/>
      <c r="R2546" s="38"/>
      <c r="S2546" s="38"/>
      <c r="T2546" s="38"/>
      <c r="U2546" s="38"/>
      <c r="V2546" s="38"/>
      <c r="W2546" s="38"/>
      <c r="X2546" s="38"/>
      <c r="Y2546" s="38"/>
      <c r="Z2546" s="38"/>
      <c r="AA2546" s="38"/>
      <c r="AB2546" s="38"/>
      <c r="AC2546" s="38"/>
      <c r="AD2546" s="38"/>
      <c r="AE2546" s="38"/>
      <c r="AF2546" s="38"/>
      <c r="AG2546" s="38"/>
      <c r="AH2546" s="38"/>
    </row>
    <row r="2547" spans="3:34" ht="20.100000000000001" customHeight="1">
      <c r="C2547" s="113"/>
      <c r="D2547" s="114"/>
      <c r="P2547" s="82"/>
      <c r="Q2547" s="82"/>
      <c r="R2547" s="38"/>
      <c r="S2547" s="38"/>
      <c r="T2547" s="38"/>
      <c r="U2547" s="38"/>
      <c r="V2547" s="38"/>
      <c r="W2547" s="38"/>
      <c r="X2547" s="38"/>
      <c r="Y2547" s="38"/>
      <c r="Z2547" s="38"/>
      <c r="AA2547" s="38"/>
      <c r="AB2547" s="38"/>
      <c r="AC2547" s="38"/>
      <c r="AD2547" s="38"/>
      <c r="AE2547" s="38"/>
      <c r="AF2547" s="38"/>
      <c r="AG2547" s="38"/>
      <c r="AH2547" s="38"/>
    </row>
    <row r="2548" spans="3:34" ht="20.100000000000001" customHeight="1">
      <c r="C2548" s="113"/>
      <c r="D2548" s="114"/>
      <c r="P2548" s="82"/>
      <c r="Q2548" s="82"/>
      <c r="R2548" s="38"/>
      <c r="S2548" s="38"/>
      <c r="T2548" s="38"/>
      <c r="U2548" s="38"/>
      <c r="V2548" s="38"/>
      <c r="W2548" s="38"/>
      <c r="X2548" s="38"/>
      <c r="Y2548" s="38"/>
      <c r="Z2548" s="38"/>
      <c r="AA2548" s="38"/>
      <c r="AB2548" s="38"/>
      <c r="AC2548" s="38"/>
      <c r="AD2548" s="38"/>
      <c r="AE2548" s="38"/>
      <c r="AF2548" s="38"/>
      <c r="AG2548" s="38"/>
      <c r="AH2548" s="38"/>
    </row>
    <row r="2549" spans="3:34" ht="20.100000000000001" customHeight="1">
      <c r="C2549" s="113"/>
      <c r="D2549" s="114"/>
      <c r="P2549" s="82"/>
      <c r="Q2549" s="82"/>
      <c r="R2549" s="38"/>
      <c r="S2549" s="38"/>
      <c r="T2549" s="38"/>
      <c r="U2549" s="38"/>
      <c r="V2549" s="38"/>
      <c r="W2549" s="38"/>
      <c r="X2549" s="38"/>
      <c r="Y2549" s="38"/>
      <c r="Z2549" s="38"/>
      <c r="AA2549" s="38"/>
      <c r="AB2549" s="38"/>
      <c r="AC2549" s="38"/>
      <c r="AD2549" s="38"/>
      <c r="AE2549" s="38"/>
      <c r="AF2549" s="38"/>
      <c r="AG2549" s="38"/>
      <c r="AH2549" s="38"/>
    </row>
    <row r="2550" spans="3:34" ht="20.100000000000001" customHeight="1">
      <c r="C2550" s="113"/>
      <c r="D2550" s="114"/>
      <c r="P2550" s="82"/>
      <c r="Q2550" s="82"/>
      <c r="R2550" s="38"/>
      <c r="S2550" s="38"/>
      <c r="T2550" s="38"/>
      <c r="U2550" s="38"/>
      <c r="V2550" s="38"/>
      <c r="W2550" s="38"/>
      <c r="X2550" s="38"/>
      <c r="Y2550" s="38"/>
      <c r="Z2550" s="38"/>
      <c r="AA2550" s="38"/>
      <c r="AB2550" s="38"/>
      <c r="AC2550" s="38"/>
      <c r="AD2550" s="38"/>
      <c r="AE2550" s="38"/>
      <c r="AF2550" s="38"/>
      <c r="AG2550" s="38"/>
      <c r="AH2550" s="38"/>
    </row>
    <row r="2551" spans="3:34" ht="20.100000000000001" customHeight="1">
      <c r="C2551" s="113"/>
      <c r="D2551" s="114"/>
      <c r="P2551" s="82"/>
      <c r="Q2551" s="82"/>
      <c r="R2551" s="38"/>
      <c r="S2551" s="38"/>
      <c r="T2551" s="38"/>
      <c r="U2551" s="38"/>
      <c r="V2551" s="38"/>
      <c r="W2551" s="38"/>
      <c r="X2551" s="38"/>
      <c r="Y2551" s="38"/>
      <c r="Z2551" s="38"/>
      <c r="AA2551" s="38"/>
      <c r="AB2551" s="38"/>
      <c r="AC2551" s="38"/>
      <c r="AD2551" s="38"/>
      <c r="AE2551" s="38"/>
      <c r="AF2551" s="38"/>
      <c r="AG2551" s="38"/>
      <c r="AH2551" s="38"/>
    </row>
    <row r="2552" spans="3:34" ht="20.100000000000001" customHeight="1">
      <c r="C2552" s="113"/>
      <c r="D2552" s="114"/>
      <c r="P2552" s="82"/>
      <c r="Q2552" s="82"/>
      <c r="R2552" s="38"/>
      <c r="S2552" s="38"/>
      <c r="T2552" s="38"/>
      <c r="U2552" s="38"/>
      <c r="V2552" s="38"/>
      <c r="W2552" s="38"/>
      <c r="X2552" s="38"/>
      <c r="Y2552" s="38"/>
      <c r="Z2552" s="38"/>
      <c r="AA2552" s="38"/>
      <c r="AB2552" s="38"/>
      <c r="AC2552" s="38"/>
      <c r="AD2552" s="38"/>
      <c r="AE2552" s="38"/>
      <c r="AF2552" s="38"/>
      <c r="AG2552" s="38"/>
      <c r="AH2552" s="38"/>
    </row>
    <row r="2553" spans="3:34" ht="20.100000000000001" customHeight="1">
      <c r="C2553" s="113"/>
      <c r="D2553" s="114"/>
      <c r="P2553" s="82"/>
      <c r="Q2553" s="82"/>
      <c r="R2553" s="38"/>
      <c r="S2553" s="38"/>
      <c r="T2553" s="38"/>
      <c r="U2553" s="38"/>
      <c r="V2553" s="38"/>
      <c r="W2553" s="38"/>
      <c r="X2553" s="38"/>
      <c r="Y2553" s="38"/>
      <c r="Z2553" s="38"/>
      <c r="AA2553" s="38"/>
      <c r="AB2553" s="38"/>
      <c r="AC2553" s="38"/>
      <c r="AD2553" s="38"/>
      <c r="AE2553" s="38"/>
      <c r="AF2553" s="38"/>
      <c r="AG2553" s="38"/>
      <c r="AH2553" s="38"/>
    </row>
    <row r="2554" spans="3:34" ht="20.100000000000001" customHeight="1">
      <c r="C2554" s="113"/>
      <c r="D2554" s="114"/>
      <c r="P2554" s="82"/>
      <c r="Q2554" s="82"/>
      <c r="R2554" s="38"/>
      <c r="S2554" s="38"/>
      <c r="T2554" s="38"/>
      <c r="U2554" s="38"/>
      <c r="V2554" s="38"/>
      <c r="W2554" s="38"/>
      <c r="X2554" s="38"/>
      <c r="Y2554" s="38"/>
      <c r="Z2554" s="38"/>
      <c r="AA2554" s="38"/>
      <c r="AB2554" s="38"/>
      <c r="AC2554" s="38"/>
      <c r="AD2554" s="38"/>
      <c r="AE2554" s="38"/>
      <c r="AF2554" s="38"/>
      <c r="AG2554" s="38"/>
      <c r="AH2554" s="38"/>
    </row>
    <row r="2555" spans="3:34" ht="20.100000000000001" customHeight="1">
      <c r="C2555" s="113"/>
      <c r="D2555" s="114"/>
      <c r="P2555" s="82"/>
      <c r="Q2555" s="82"/>
      <c r="R2555" s="38"/>
      <c r="S2555" s="38"/>
      <c r="T2555" s="38"/>
      <c r="U2555" s="38"/>
      <c r="V2555" s="38"/>
      <c r="W2555" s="38"/>
      <c r="X2555" s="38"/>
      <c r="Y2555" s="38"/>
      <c r="Z2555" s="38"/>
      <c r="AA2555" s="38"/>
      <c r="AB2555" s="38"/>
      <c r="AC2555" s="38"/>
      <c r="AD2555" s="38"/>
      <c r="AE2555" s="38"/>
      <c r="AF2555" s="38"/>
      <c r="AG2555" s="38"/>
      <c r="AH2555" s="38"/>
    </row>
    <row r="2556" spans="3:34" ht="20.100000000000001" customHeight="1">
      <c r="C2556" s="113"/>
      <c r="D2556" s="114"/>
      <c r="P2556" s="82"/>
      <c r="Q2556" s="82"/>
      <c r="R2556" s="38"/>
      <c r="S2556" s="38"/>
      <c r="T2556" s="38"/>
      <c r="U2556" s="38"/>
      <c r="V2556" s="38"/>
      <c r="W2556" s="38"/>
      <c r="X2556" s="38"/>
      <c r="Y2556" s="38"/>
      <c r="Z2556" s="38"/>
      <c r="AA2556" s="38"/>
      <c r="AB2556" s="38"/>
      <c r="AC2556" s="38"/>
      <c r="AD2556" s="38"/>
      <c r="AE2556" s="38"/>
      <c r="AF2556" s="38"/>
      <c r="AG2556" s="38"/>
      <c r="AH2556" s="38"/>
    </row>
    <row r="2557" spans="3:34" ht="20.100000000000001" customHeight="1">
      <c r="C2557" s="113"/>
      <c r="D2557" s="114"/>
      <c r="P2557" s="82"/>
      <c r="Q2557" s="82"/>
      <c r="R2557" s="38"/>
      <c r="S2557" s="38"/>
      <c r="T2557" s="38"/>
      <c r="U2557" s="38"/>
      <c r="V2557" s="38"/>
      <c r="W2557" s="38"/>
      <c r="X2557" s="38"/>
      <c r="Y2557" s="38"/>
      <c r="Z2557" s="38"/>
      <c r="AA2557" s="38"/>
      <c r="AB2557" s="38"/>
      <c r="AC2557" s="38"/>
      <c r="AD2557" s="38"/>
      <c r="AE2557" s="38"/>
      <c r="AF2557" s="38"/>
      <c r="AG2557" s="38"/>
      <c r="AH2557" s="38"/>
    </row>
    <row r="2558" spans="3:34" ht="20.100000000000001" customHeight="1">
      <c r="C2558" s="113"/>
      <c r="D2558" s="114"/>
      <c r="P2558" s="82"/>
      <c r="Q2558" s="82"/>
      <c r="R2558" s="38"/>
      <c r="S2558" s="38"/>
      <c r="T2558" s="38"/>
      <c r="U2558" s="38"/>
      <c r="V2558" s="38"/>
      <c r="W2558" s="38"/>
      <c r="X2558" s="38"/>
      <c r="Y2558" s="38"/>
      <c r="Z2558" s="38"/>
      <c r="AA2558" s="38"/>
      <c r="AB2558" s="38"/>
      <c r="AC2558" s="38"/>
      <c r="AD2558" s="38"/>
      <c r="AE2558" s="38"/>
      <c r="AF2558" s="38"/>
      <c r="AG2558" s="38"/>
      <c r="AH2558" s="38"/>
    </row>
    <row r="2559" spans="3:34" ht="20.100000000000001" customHeight="1">
      <c r="C2559" s="113"/>
      <c r="D2559" s="114"/>
      <c r="P2559" s="82"/>
      <c r="Q2559" s="82"/>
      <c r="R2559" s="38"/>
      <c r="S2559" s="38"/>
      <c r="T2559" s="38"/>
      <c r="U2559" s="38"/>
      <c r="V2559" s="38"/>
      <c r="W2559" s="38"/>
      <c r="X2559" s="38"/>
      <c r="Y2559" s="38"/>
      <c r="Z2559" s="38"/>
      <c r="AA2559" s="38"/>
      <c r="AB2559" s="38"/>
      <c r="AC2559" s="38"/>
      <c r="AD2559" s="38"/>
      <c r="AE2559" s="38"/>
      <c r="AF2559" s="38"/>
      <c r="AG2559" s="38"/>
      <c r="AH2559" s="38"/>
    </row>
    <row r="2560" spans="3:34" ht="20.100000000000001" customHeight="1">
      <c r="C2560" s="113"/>
      <c r="D2560" s="114"/>
      <c r="P2560" s="82"/>
      <c r="Q2560" s="82"/>
      <c r="R2560" s="38"/>
      <c r="S2560" s="38"/>
      <c r="T2560" s="38"/>
      <c r="U2560" s="38"/>
      <c r="V2560" s="38"/>
      <c r="W2560" s="38"/>
      <c r="X2560" s="38"/>
      <c r="Y2560" s="38"/>
      <c r="Z2560" s="38"/>
      <c r="AA2560" s="38"/>
      <c r="AB2560" s="38"/>
      <c r="AC2560" s="38"/>
      <c r="AD2560" s="38"/>
      <c r="AE2560" s="38"/>
      <c r="AF2560" s="38"/>
      <c r="AG2560" s="38"/>
      <c r="AH2560" s="38"/>
    </row>
    <row r="2561" spans="3:34" ht="20.100000000000001" customHeight="1">
      <c r="C2561" s="113"/>
      <c r="D2561" s="114"/>
      <c r="P2561" s="82"/>
      <c r="Q2561" s="82"/>
      <c r="R2561" s="38"/>
      <c r="S2561" s="38"/>
      <c r="T2561" s="38"/>
      <c r="U2561" s="38"/>
      <c r="V2561" s="38"/>
      <c r="W2561" s="38"/>
      <c r="X2561" s="38"/>
      <c r="Y2561" s="38"/>
      <c r="Z2561" s="38"/>
      <c r="AA2561" s="38"/>
      <c r="AB2561" s="38"/>
      <c r="AC2561" s="38"/>
      <c r="AD2561" s="38"/>
      <c r="AE2561" s="38"/>
      <c r="AF2561" s="38"/>
      <c r="AG2561" s="38"/>
      <c r="AH2561" s="38"/>
    </row>
    <row r="2562" spans="3:34" ht="20.100000000000001" customHeight="1">
      <c r="C2562" s="113"/>
      <c r="D2562" s="114"/>
      <c r="P2562" s="82"/>
      <c r="Q2562" s="82"/>
      <c r="R2562" s="38"/>
      <c r="S2562" s="38"/>
      <c r="T2562" s="38"/>
      <c r="U2562" s="38"/>
      <c r="V2562" s="38"/>
      <c r="W2562" s="38"/>
      <c r="X2562" s="38"/>
      <c r="Y2562" s="38"/>
      <c r="Z2562" s="38"/>
      <c r="AA2562" s="38"/>
      <c r="AB2562" s="38"/>
      <c r="AC2562" s="38"/>
      <c r="AD2562" s="38"/>
      <c r="AE2562" s="38"/>
      <c r="AF2562" s="38"/>
      <c r="AG2562" s="38"/>
      <c r="AH2562" s="38"/>
    </row>
    <row r="2563" spans="3:34" ht="20.100000000000001" customHeight="1">
      <c r="C2563" s="113"/>
      <c r="D2563" s="114"/>
      <c r="P2563" s="82"/>
      <c r="Q2563" s="82"/>
      <c r="R2563" s="38"/>
      <c r="S2563" s="38"/>
      <c r="T2563" s="38"/>
      <c r="U2563" s="38"/>
      <c r="V2563" s="38"/>
      <c r="W2563" s="38"/>
      <c r="X2563" s="38"/>
      <c r="Y2563" s="38"/>
      <c r="Z2563" s="38"/>
      <c r="AA2563" s="38"/>
      <c r="AB2563" s="38"/>
      <c r="AC2563" s="38"/>
      <c r="AD2563" s="38"/>
      <c r="AE2563" s="38"/>
      <c r="AF2563" s="38"/>
      <c r="AG2563" s="38"/>
      <c r="AH2563" s="38"/>
    </row>
    <row r="2564" spans="3:34" ht="20.100000000000001" customHeight="1">
      <c r="C2564" s="113"/>
      <c r="D2564" s="114"/>
      <c r="P2564" s="82"/>
      <c r="Q2564" s="82"/>
      <c r="R2564" s="38"/>
      <c r="S2564" s="38"/>
      <c r="T2564" s="38"/>
      <c r="U2564" s="38"/>
      <c r="V2564" s="38"/>
      <c r="W2564" s="38"/>
      <c r="X2564" s="38"/>
      <c r="Y2564" s="38"/>
      <c r="Z2564" s="38"/>
      <c r="AA2564" s="38"/>
      <c r="AB2564" s="38"/>
      <c r="AC2564" s="38"/>
      <c r="AD2564" s="38"/>
      <c r="AE2564" s="38"/>
      <c r="AF2564" s="38"/>
      <c r="AG2564" s="38"/>
      <c r="AH2564" s="38"/>
    </row>
    <row r="2565" spans="3:34" ht="20.100000000000001" customHeight="1">
      <c r="C2565" s="113"/>
      <c r="D2565" s="114"/>
      <c r="P2565" s="82"/>
      <c r="Q2565" s="82"/>
      <c r="R2565" s="38"/>
      <c r="S2565" s="38"/>
      <c r="T2565" s="38"/>
      <c r="U2565" s="38"/>
      <c r="V2565" s="38"/>
      <c r="W2565" s="38"/>
      <c r="X2565" s="38"/>
      <c r="Y2565" s="38"/>
      <c r="Z2565" s="38"/>
      <c r="AA2565" s="38"/>
      <c r="AB2565" s="38"/>
      <c r="AC2565" s="38"/>
      <c r="AD2565" s="38"/>
      <c r="AE2565" s="38"/>
      <c r="AF2565" s="38"/>
      <c r="AG2565" s="38"/>
      <c r="AH2565" s="38"/>
    </row>
    <row r="2566" spans="3:34" ht="20.100000000000001" customHeight="1">
      <c r="C2566" s="113"/>
      <c r="D2566" s="114"/>
      <c r="P2566" s="82"/>
      <c r="Q2566" s="82"/>
      <c r="R2566" s="38"/>
      <c r="S2566" s="38"/>
      <c r="T2566" s="38"/>
      <c r="U2566" s="38"/>
      <c r="V2566" s="38"/>
      <c r="W2566" s="38"/>
      <c r="X2566" s="38"/>
      <c r="Y2566" s="38"/>
      <c r="Z2566" s="38"/>
      <c r="AA2566" s="38"/>
      <c r="AB2566" s="38"/>
      <c r="AC2566" s="38"/>
      <c r="AD2566" s="38"/>
      <c r="AE2566" s="38"/>
      <c r="AF2566" s="38"/>
      <c r="AG2566" s="38"/>
      <c r="AH2566" s="38"/>
    </row>
    <row r="2567" spans="3:34" ht="20.100000000000001" customHeight="1">
      <c r="C2567" s="113"/>
      <c r="D2567" s="114"/>
      <c r="P2567" s="82"/>
      <c r="Q2567" s="82"/>
      <c r="R2567" s="38"/>
      <c r="S2567" s="38"/>
      <c r="T2567" s="38"/>
      <c r="U2567" s="38"/>
      <c r="V2567" s="38"/>
      <c r="W2567" s="38"/>
      <c r="X2567" s="38"/>
      <c r="Y2567" s="38"/>
      <c r="Z2567" s="38"/>
      <c r="AA2567" s="38"/>
      <c r="AB2567" s="38"/>
      <c r="AC2567" s="38"/>
      <c r="AD2567" s="38"/>
      <c r="AE2567" s="38"/>
      <c r="AF2567" s="38"/>
      <c r="AG2567" s="38"/>
      <c r="AH2567" s="38"/>
    </row>
    <row r="2568" spans="3:34" ht="20.100000000000001" customHeight="1">
      <c r="C2568" s="113"/>
      <c r="D2568" s="114"/>
      <c r="P2568" s="82"/>
      <c r="Q2568" s="82"/>
      <c r="R2568" s="38"/>
      <c r="S2568" s="38"/>
      <c r="T2568" s="38"/>
      <c r="U2568" s="38"/>
      <c r="V2568" s="38"/>
      <c r="W2568" s="38"/>
      <c r="X2568" s="38"/>
      <c r="Y2568" s="38"/>
      <c r="Z2568" s="38"/>
      <c r="AA2568" s="38"/>
      <c r="AB2568" s="38"/>
      <c r="AC2568" s="38"/>
      <c r="AD2568" s="38"/>
      <c r="AE2568" s="38"/>
      <c r="AF2568" s="38"/>
      <c r="AG2568" s="38"/>
      <c r="AH2568" s="38"/>
    </row>
    <row r="2569" spans="3:34" ht="20.100000000000001" customHeight="1">
      <c r="C2569" s="113"/>
      <c r="D2569" s="114"/>
      <c r="P2569" s="82"/>
      <c r="Q2569" s="82"/>
      <c r="R2569" s="38"/>
      <c r="S2569" s="38"/>
      <c r="T2569" s="38"/>
      <c r="U2569" s="38"/>
      <c r="V2569" s="38"/>
      <c r="W2569" s="38"/>
      <c r="X2569" s="38"/>
      <c r="Y2569" s="38"/>
      <c r="Z2569" s="38"/>
      <c r="AA2569" s="38"/>
      <c r="AB2569" s="38"/>
      <c r="AC2569" s="38"/>
      <c r="AD2569" s="38"/>
      <c r="AE2569" s="38"/>
      <c r="AF2569" s="38"/>
      <c r="AG2569" s="38"/>
      <c r="AH2569" s="38"/>
    </row>
    <row r="2570" spans="3:34" ht="20.100000000000001" customHeight="1">
      <c r="C2570" s="113"/>
      <c r="D2570" s="114"/>
      <c r="P2570" s="82"/>
      <c r="Q2570" s="82"/>
      <c r="R2570" s="38"/>
      <c r="S2570" s="38"/>
      <c r="T2570" s="38"/>
      <c r="U2570" s="38"/>
      <c r="V2570" s="38"/>
      <c r="W2570" s="38"/>
      <c r="X2570" s="38"/>
      <c r="Y2570" s="38"/>
      <c r="Z2570" s="38"/>
      <c r="AA2570" s="38"/>
      <c r="AB2570" s="38"/>
      <c r="AC2570" s="38"/>
      <c r="AD2570" s="38"/>
      <c r="AE2570" s="38"/>
      <c r="AF2570" s="38"/>
      <c r="AG2570" s="38"/>
      <c r="AH2570" s="38"/>
    </row>
    <row r="2571" spans="3:34" ht="20.100000000000001" customHeight="1">
      <c r="C2571" s="113"/>
      <c r="D2571" s="114"/>
      <c r="P2571" s="82"/>
      <c r="Q2571" s="82"/>
      <c r="R2571" s="38"/>
      <c r="S2571" s="38"/>
      <c r="T2571" s="38"/>
      <c r="U2571" s="38"/>
      <c r="V2571" s="38"/>
      <c r="W2571" s="38"/>
      <c r="X2571" s="38"/>
      <c r="Y2571" s="38"/>
      <c r="Z2571" s="38"/>
      <c r="AA2571" s="38"/>
      <c r="AB2571" s="38"/>
      <c r="AC2571" s="38"/>
      <c r="AD2571" s="38"/>
      <c r="AE2571" s="38"/>
      <c r="AF2571" s="38"/>
      <c r="AG2571" s="38"/>
      <c r="AH2571" s="38"/>
    </row>
    <row r="2572" spans="3:34" ht="20.100000000000001" customHeight="1">
      <c r="C2572" s="113"/>
      <c r="D2572" s="114"/>
      <c r="P2572" s="82"/>
      <c r="Q2572" s="82"/>
      <c r="R2572" s="38"/>
      <c r="S2572" s="38"/>
      <c r="T2572" s="38"/>
      <c r="U2572" s="38"/>
      <c r="V2572" s="38"/>
      <c r="W2572" s="38"/>
      <c r="X2572" s="38"/>
      <c r="Y2572" s="38"/>
      <c r="Z2572" s="38"/>
      <c r="AA2572" s="38"/>
      <c r="AB2572" s="38"/>
      <c r="AC2572" s="38"/>
      <c r="AD2572" s="38"/>
      <c r="AE2572" s="38"/>
      <c r="AF2572" s="38"/>
      <c r="AG2572" s="38"/>
      <c r="AH2572" s="38"/>
    </row>
    <row r="2573" spans="3:34" ht="20.100000000000001" customHeight="1">
      <c r="C2573" s="113"/>
      <c r="D2573" s="114"/>
      <c r="P2573" s="82"/>
      <c r="Q2573" s="82"/>
      <c r="R2573" s="38"/>
      <c r="S2573" s="38"/>
      <c r="T2573" s="38"/>
      <c r="U2573" s="38"/>
      <c r="V2573" s="38"/>
      <c r="W2573" s="38"/>
      <c r="X2573" s="38"/>
      <c r="Y2573" s="38"/>
      <c r="Z2573" s="38"/>
      <c r="AA2573" s="38"/>
      <c r="AB2573" s="38"/>
      <c r="AC2573" s="38"/>
      <c r="AD2573" s="38"/>
      <c r="AE2573" s="38"/>
      <c r="AF2573" s="38"/>
      <c r="AG2573" s="38"/>
      <c r="AH2573" s="38"/>
    </row>
    <row r="2574" spans="3:34" ht="20.100000000000001" customHeight="1">
      <c r="C2574" s="113"/>
      <c r="D2574" s="114"/>
      <c r="P2574" s="82"/>
      <c r="Q2574" s="82"/>
      <c r="R2574" s="38"/>
      <c r="S2574" s="38"/>
      <c r="T2574" s="38"/>
      <c r="U2574" s="38"/>
      <c r="V2574" s="38"/>
      <c r="W2574" s="38"/>
      <c r="X2574" s="38"/>
      <c r="Y2574" s="38"/>
      <c r="Z2574" s="38"/>
      <c r="AA2574" s="38"/>
      <c r="AB2574" s="38"/>
      <c r="AC2574" s="38"/>
      <c r="AD2574" s="38"/>
      <c r="AE2574" s="38"/>
      <c r="AF2574" s="38"/>
      <c r="AG2574" s="38"/>
      <c r="AH2574" s="38"/>
    </row>
    <row r="2575" spans="3:34" ht="20.100000000000001" customHeight="1">
      <c r="C2575" s="113"/>
      <c r="D2575" s="114"/>
      <c r="P2575" s="82"/>
      <c r="Q2575" s="82"/>
      <c r="R2575" s="38"/>
      <c r="S2575" s="38"/>
      <c r="T2575" s="38"/>
      <c r="U2575" s="38"/>
      <c r="V2575" s="38"/>
      <c r="W2575" s="38"/>
      <c r="X2575" s="38"/>
      <c r="Y2575" s="38"/>
      <c r="Z2575" s="38"/>
      <c r="AA2575" s="38"/>
      <c r="AB2575" s="38"/>
      <c r="AC2575" s="38"/>
      <c r="AD2575" s="38"/>
      <c r="AE2575" s="38"/>
      <c r="AF2575" s="38"/>
      <c r="AG2575" s="38"/>
      <c r="AH2575" s="38"/>
    </row>
    <row r="2576" spans="3:34" ht="20.100000000000001" customHeight="1">
      <c r="C2576" s="113"/>
      <c r="D2576" s="114"/>
      <c r="P2576" s="82"/>
      <c r="Q2576" s="82"/>
      <c r="R2576" s="38"/>
      <c r="S2576" s="38"/>
      <c r="T2576" s="38"/>
      <c r="U2576" s="38"/>
      <c r="V2576" s="38"/>
      <c r="W2576" s="38"/>
      <c r="X2576" s="38"/>
      <c r="Y2576" s="38"/>
      <c r="Z2576" s="38"/>
      <c r="AA2576" s="38"/>
      <c r="AB2576" s="38"/>
      <c r="AC2576" s="38"/>
      <c r="AD2576" s="38"/>
      <c r="AE2576" s="38"/>
      <c r="AF2576" s="38"/>
      <c r="AG2576" s="38"/>
      <c r="AH2576" s="38"/>
    </row>
    <row r="2577" spans="3:34" ht="20.100000000000001" customHeight="1">
      <c r="C2577" s="113"/>
      <c r="D2577" s="114"/>
      <c r="P2577" s="82"/>
      <c r="Q2577" s="82"/>
      <c r="R2577" s="38"/>
      <c r="S2577" s="38"/>
      <c r="T2577" s="38"/>
      <c r="U2577" s="38"/>
      <c r="V2577" s="38"/>
      <c r="W2577" s="38"/>
      <c r="X2577" s="38"/>
      <c r="Y2577" s="38"/>
      <c r="Z2577" s="38"/>
      <c r="AA2577" s="38"/>
      <c r="AB2577" s="38"/>
      <c r="AC2577" s="38"/>
      <c r="AD2577" s="38"/>
      <c r="AE2577" s="38"/>
      <c r="AF2577" s="38"/>
      <c r="AG2577" s="38"/>
      <c r="AH2577" s="38"/>
    </row>
    <row r="2578" spans="3:34" ht="20.100000000000001" customHeight="1">
      <c r="C2578" s="113"/>
      <c r="D2578" s="114"/>
      <c r="P2578" s="82"/>
      <c r="Q2578" s="82"/>
      <c r="R2578" s="38"/>
      <c r="S2578" s="38"/>
      <c r="T2578" s="38"/>
      <c r="U2578" s="38"/>
      <c r="V2578" s="38"/>
      <c r="W2578" s="38"/>
      <c r="X2578" s="38"/>
      <c r="Y2578" s="38"/>
      <c r="Z2578" s="38"/>
      <c r="AA2578" s="38"/>
      <c r="AB2578" s="38"/>
      <c r="AC2578" s="38"/>
      <c r="AD2578" s="38"/>
      <c r="AE2578" s="38"/>
      <c r="AF2578" s="38"/>
      <c r="AG2578" s="38"/>
      <c r="AH2578" s="38"/>
    </row>
    <row r="2579" spans="3:34" ht="20.100000000000001" customHeight="1">
      <c r="C2579" s="113"/>
      <c r="D2579" s="114"/>
      <c r="P2579" s="82"/>
      <c r="Q2579" s="82"/>
      <c r="R2579" s="38"/>
      <c r="S2579" s="38"/>
      <c r="T2579" s="38"/>
      <c r="U2579" s="38"/>
      <c r="V2579" s="38"/>
      <c r="W2579" s="38"/>
      <c r="X2579" s="38"/>
      <c r="Y2579" s="38"/>
      <c r="Z2579" s="38"/>
      <c r="AA2579" s="38"/>
      <c r="AB2579" s="38"/>
      <c r="AC2579" s="38"/>
      <c r="AD2579" s="38"/>
      <c r="AE2579" s="38"/>
      <c r="AF2579" s="38"/>
      <c r="AG2579" s="38"/>
      <c r="AH2579" s="38"/>
    </row>
    <row r="2580" spans="3:34" ht="20.100000000000001" customHeight="1">
      <c r="C2580" s="113"/>
      <c r="D2580" s="114"/>
      <c r="P2580" s="82"/>
      <c r="Q2580" s="82"/>
      <c r="R2580" s="38"/>
      <c r="S2580" s="38"/>
      <c r="T2580" s="38"/>
      <c r="U2580" s="38"/>
      <c r="V2580" s="38"/>
      <c r="W2580" s="38"/>
      <c r="X2580" s="38"/>
      <c r="Y2580" s="38"/>
      <c r="Z2580" s="38"/>
      <c r="AA2580" s="38"/>
      <c r="AB2580" s="38"/>
      <c r="AC2580" s="38"/>
      <c r="AD2580" s="38"/>
      <c r="AE2580" s="38"/>
      <c r="AF2580" s="38"/>
      <c r="AG2580" s="38"/>
      <c r="AH2580" s="38"/>
    </row>
    <row r="2581" spans="3:34" ht="20.100000000000001" customHeight="1">
      <c r="C2581" s="113"/>
      <c r="D2581" s="114"/>
      <c r="P2581" s="82"/>
      <c r="Q2581" s="82"/>
      <c r="R2581" s="38"/>
      <c r="S2581" s="38"/>
      <c r="T2581" s="38"/>
      <c r="U2581" s="38"/>
      <c r="V2581" s="38"/>
      <c r="W2581" s="38"/>
      <c r="X2581" s="38"/>
      <c r="Y2581" s="38"/>
      <c r="Z2581" s="38"/>
      <c r="AA2581" s="38"/>
      <c r="AB2581" s="38"/>
      <c r="AC2581" s="38"/>
      <c r="AD2581" s="38"/>
      <c r="AE2581" s="38"/>
      <c r="AF2581" s="38"/>
      <c r="AG2581" s="38"/>
      <c r="AH2581" s="38"/>
    </row>
    <row r="2582" spans="3:34" ht="20.100000000000001" customHeight="1">
      <c r="C2582" s="113"/>
      <c r="D2582" s="114"/>
      <c r="P2582" s="82"/>
      <c r="Q2582" s="82"/>
      <c r="R2582" s="38"/>
      <c r="S2582" s="38"/>
      <c r="T2582" s="38"/>
      <c r="U2582" s="38"/>
      <c r="V2582" s="38"/>
      <c r="W2582" s="38"/>
      <c r="X2582" s="38"/>
      <c r="Y2582" s="38"/>
      <c r="Z2582" s="38"/>
      <c r="AA2582" s="38"/>
      <c r="AB2582" s="38"/>
      <c r="AC2582" s="38"/>
      <c r="AD2582" s="38"/>
      <c r="AE2582" s="38"/>
      <c r="AF2582" s="38"/>
      <c r="AG2582" s="38"/>
      <c r="AH2582" s="38"/>
    </row>
    <row r="2583" spans="3:34" ht="20.100000000000001" customHeight="1">
      <c r="C2583" s="113"/>
      <c r="D2583" s="114"/>
      <c r="P2583" s="82"/>
      <c r="Q2583" s="82"/>
      <c r="R2583" s="38"/>
      <c r="S2583" s="38"/>
      <c r="T2583" s="38"/>
      <c r="U2583" s="38"/>
      <c r="V2583" s="38"/>
      <c r="W2583" s="38"/>
      <c r="X2583" s="38"/>
      <c r="Y2583" s="38"/>
      <c r="Z2583" s="38"/>
      <c r="AA2583" s="38"/>
      <c r="AB2583" s="38"/>
      <c r="AC2583" s="38"/>
      <c r="AD2583" s="38"/>
      <c r="AE2583" s="38"/>
      <c r="AF2583" s="38"/>
      <c r="AG2583" s="38"/>
      <c r="AH2583" s="38"/>
    </row>
    <row r="2584" spans="3:34" ht="20.100000000000001" customHeight="1">
      <c r="C2584" s="113"/>
      <c r="D2584" s="114"/>
      <c r="P2584" s="82"/>
      <c r="Q2584" s="82"/>
      <c r="R2584" s="38"/>
      <c r="S2584" s="38"/>
      <c r="T2584" s="38"/>
      <c r="U2584" s="38"/>
      <c r="V2584" s="38"/>
      <c r="W2584" s="38"/>
      <c r="X2584" s="38"/>
      <c r="Y2584" s="38"/>
      <c r="Z2584" s="38"/>
      <c r="AA2584" s="38"/>
      <c r="AB2584" s="38"/>
      <c r="AC2584" s="38"/>
      <c r="AD2584" s="38"/>
      <c r="AE2584" s="38"/>
      <c r="AF2584" s="38"/>
      <c r="AG2584" s="38"/>
      <c r="AH2584" s="38"/>
    </row>
    <row r="2585" spans="3:34" ht="20.100000000000001" customHeight="1">
      <c r="C2585" s="113"/>
      <c r="D2585" s="114"/>
      <c r="P2585" s="82"/>
      <c r="Q2585" s="82"/>
      <c r="R2585" s="38"/>
      <c r="S2585" s="38"/>
      <c r="T2585" s="38"/>
      <c r="U2585" s="38"/>
      <c r="V2585" s="38"/>
      <c r="W2585" s="38"/>
      <c r="X2585" s="38"/>
      <c r="Y2585" s="38"/>
      <c r="Z2585" s="38"/>
      <c r="AA2585" s="38"/>
      <c r="AB2585" s="38"/>
      <c r="AC2585" s="38"/>
      <c r="AD2585" s="38"/>
      <c r="AE2585" s="38"/>
      <c r="AF2585" s="38"/>
      <c r="AG2585" s="38"/>
      <c r="AH2585" s="38"/>
    </row>
    <row r="2586" spans="3:34" ht="20.100000000000001" customHeight="1">
      <c r="C2586" s="113"/>
      <c r="D2586" s="114"/>
      <c r="P2586" s="82"/>
      <c r="Q2586" s="82"/>
      <c r="R2586" s="38"/>
      <c r="S2586" s="38"/>
      <c r="T2586" s="38"/>
      <c r="U2586" s="38"/>
      <c r="V2586" s="38"/>
      <c r="W2586" s="38"/>
      <c r="X2586" s="38"/>
      <c r="Y2586" s="38"/>
      <c r="Z2586" s="38"/>
      <c r="AA2586" s="38"/>
      <c r="AB2586" s="38"/>
      <c r="AC2586" s="38"/>
      <c r="AD2586" s="38"/>
      <c r="AE2586" s="38"/>
      <c r="AF2586" s="38"/>
      <c r="AG2586" s="38"/>
      <c r="AH2586" s="38"/>
    </row>
    <row r="2587" spans="3:34" ht="20.100000000000001" customHeight="1">
      <c r="C2587" s="113"/>
      <c r="D2587" s="114"/>
      <c r="P2587" s="82"/>
      <c r="Q2587" s="82"/>
      <c r="R2587" s="38"/>
      <c r="S2587" s="38"/>
      <c r="T2587" s="38"/>
      <c r="U2587" s="38"/>
      <c r="V2587" s="38"/>
      <c r="W2587" s="38"/>
      <c r="X2587" s="38"/>
      <c r="Y2587" s="38"/>
      <c r="Z2587" s="38"/>
      <c r="AA2587" s="38"/>
      <c r="AB2587" s="38"/>
      <c r="AC2587" s="38"/>
      <c r="AD2587" s="38"/>
      <c r="AE2587" s="38"/>
      <c r="AF2587" s="38"/>
      <c r="AG2587" s="38"/>
      <c r="AH2587" s="38"/>
    </row>
    <row r="2588" spans="3:34" ht="20.100000000000001" customHeight="1">
      <c r="C2588" s="113"/>
      <c r="D2588" s="114"/>
      <c r="P2588" s="82"/>
      <c r="Q2588" s="82"/>
      <c r="R2588" s="38"/>
      <c r="S2588" s="38"/>
      <c r="T2588" s="38"/>
      <c r="U2588" s="38"/>
      <c r="V2588" s="38"/>
      <c r="W2588" s="38"/>
      <c r="X2588" s="38"/>
      <c r="Y2588" s="38"/>
      <c r="Z2588" s="38"/>
      <c r="AA2588" s="38"/>
      <c r="AB2588" s="38"/>
      <c r="AC2588" s="38"/>
      <c r="AD2588" s="38"/>
      <c r="AE2588" s="38"/>
      <c r="AF2588" s="38"/>
      <c r="AG2588" s="38"/>
      <c r="AH2588" s="38"/>
    </row>
    <row r="2589" spans="3:34" ht="20.100000000000001" customHeight="1">
      <c r="C2589" s="113"/>
      <c r="D2589" s="114"/>
      <c r="P2589" s="82"/>
      <c r="Q2589" s="82"/>
      <c r="R2589" s="38"/>
      <c r="S2589" s="38"/>
      <c r="T2589" s="38"/>
      <c r="U2589" s="38"/>
      <c r="V2589" s="38"/>
      <c r="W2589" s="38"/>
      <c r="X2589" s="38"/>
      <c r="Y2589" s="38"/>
      <c r="Z2589" s="38"/>
      <c r="AA2589" s="38"/>
      <c r="AB2589" s="38"/>
      <c r="AC2589" s="38"/>
      <c r="AD2589" s="38"/>
      <c r="AE2589" s="38"/>
      <c r="AF2589" s="38"/>
      <c r="AG2589" s="38"/>
      <c r="AH2589" s="38"/>
    </row>
    <row r="2590" spans="3:34" ht="20.100000000000001" customHeight="1">
      <c r="C2590" s="113"/>
      <c r="D2590" s="114"/>
      <c r="P2590" s="82"/>
      <c r="Q2590" s="82"/>
      <c r="R2590" s="38"/>
      <c r="S2590" s="38"/>
      <c r="T2590" s="38"/>
      <c r="U2590" s="38"/>
      <c r="V2590" s="38"/>
      <c r="W2590" s="38"/>
      <c r="X2590" s="38"/>
      <c r="Y2590" s="38"/>
      <c r="Z2590" s="38"/>
      <c r="AA2590" s="38"/>
      <c r="AB2590" s="38"/>
      <c r="AC2590" s="38"/>
      <c r="AD2590" s="38"/>
      <c r="AE2590" s="38"/>
      <c r="AF2590" s="38"/>
      <c r="AG2590" s="38"/>
      <c r="AH2590" s="38"/>
    </row>
    <row r="2591" spans="3:34" ht="20.100000000000001" customHeight="1">
      <c r="C2591" s="113"/>
      <c r="D2591" s="114"/>
      <c r="P2591" s="82"/>
      <c r="Q2591" s="82"/>
      <c r="R2591" s="38"/>
      <c r="S2591" s="38"/>
      <c r="T2591" s="38"/>
      <c r="U2591" s="38"/>
      <c r="V2591" s="38"/>
      <c r="W2591" s="38"/>
      <c r="X2591" s="38"/>
      <c r="Y2591" s="38"/>
      <c r="Z2591" s="38"/>
      <c r="AA2591" s="38"/>
      <c r="AB2591" s="38"/>
      <c r="AC2591" s="38"/>
      <c r="AD2591" s="38"/>
      <c r="AE2591" s="38"/>
      <c r="AF2591" s="38"/>
      <c r="AG2591" s="38"/>
      <c r="AH2591" s="38"/>
    </row>
    <row r="2592" spans="3:34" ht="20.100000000000001" customHeight="1">
      <c r="C2592" s="113"/>
      <c r="D2592" s="114"/>
      <c r="P2592" s="82"/>
      <c r="Q2592" s="82"/>
      <c r="R2592" s="38"/>
      <c r="S2592" s="38"/>
      <c r="T2592" s="38"/>
      <c r="U2592" s="38"/>
      <c r="V2592" s="38"/>
      <c r="W2592" s="38"/>
      <c r="X2592" s="38"/>
      <c r="Y2592" s="38"/>
      <c r="Z2592" s="38"/>
      <c r="AA2592" s="38"/>
      <c r="AB2592" s="38"/>
      <c r="AC2592" s="38"/>
      <c r="AD2592" s="38"/>
      <c r="AE2592" s="38"/>
      <c r="AF2592" s="38"/>
      <c r="AG2592" s="38"/>
      <c r="AH2592" s="38"/>
    </row>
    <row r="2593" spans="3:34" ht="20.100000000000001" customHeight="1">
      <c r="C2593" s="113"/>
      <c r="D2593" s="114"/>
      <c r="P2593" s="82"/>
      <c r="Q2593" s="82"/>
      <c r="R2593" s="38"/>
      <c r="S2593" s="38"/>
      <c r="T2593" s="38"/>
      <c r="U2593" s="38"/>
      <c r="V2593" s="38"/>
      <c r="W2593" s="38"/>
      <c r="X2593" s="38"/>
      <c r="Y2593" s="38"/>
      <c r="Z2593" s="38"/>
      <c r="AA2593" s="38"/>
      <c r="AB2593" s="38"/>
      <c r="AC2593" s="38"/>
      <c r="AD2593" s="38"/>
      <c r="AE2593" s="38"/>
      <c r="AF2593" s="38"/>
      <c r="AG2593" s="38"/>
      <c r="AH2593" s="38"/>
    </row>
    <row r="2594" spans="3:34" ht="20.100000000000001" customHeight="1">
      <c r="C2594" s="113"/>
      <c r="D2594" s="114"/>
      <c r="P2594" s="82"/>
      <c r="Q2594" s="82"/>
      <c r="R2594" s="38"/>
      <c r="S2594" s="38"/>
      <c r="T2594" s="38"/>
      <c r="U2594" s="38"/>
      <c r="V2594" s="38"/>
      <c r="W2594" s="38"/>
      <c r="X2594" s="38"/>
      <c r="Y2594" s="38"/>
      <c r="Z2594" s="38"/>
      <c r="AA2594" s="38"/>
      <c r="AB2594" s="38"/>
      <c r="AC2594" s="38"/>
      <c r="AD2594" s="38"/>
      <c r="AE2594" s="38"/>
      <c r="AF2594" s="38"/>
      <c r="AG2594" s="38"/>
      <c r="AH2594" s="38"/>
    </row>
    <row r="2595" spans="3:34" ht="20.100000000000001" customHeight="1">
      <c r="C2595" s="113"/>
      <c r="D2595" s="114"/>
      <c r="P2595" s="82"/>
      <c r="Q2595" s="82"/>
      <c r="R2595" s="38"/>
      <c r="S2595" s="38"/>
      <c r="T2595" s="38"/>
      <c r="U2595" s="38"/>
      <c r="V2595" s="38"/>
      <c r="W2595" s="38"/>
      <c r="X2595" s="38"/>
      <c r="Y2595" s="38"/>
      <c r="Z2595" s="38"/>
      <c r="AA2595" s="38"/>
      <c r="AB2595" s="38"/>
      <c r="AC2595" s="38"/>
      <c r="AD2595" s="38"/>
      <c r="AE2595" s="38"/>
      <c r="AF2595" s="38"/>
      <c r="AG2595" s="38"/>
      <c r="AH2595" s="38"/>
    </row>
    <row r="2596" spans="3:34" ht="20.100000000000001" customHeight="1">
      <c r="C2596" s="113"/>
      <c r="D2596" s="114"/>
      <c r="P2596" s="82"/>
      <c r="Q2596" s="82"/>
      <c r="R2596" s="38"/>
      <c r="S2596" s="38"/>
      <c r="T2596" s="38"/>
      <c r="U2596" s="38"/>
      <c r="V2596" s="38"/>
      <c r="W2596" s="38"/>
      <c r="X2596" s="38"/>
      <c r="Y2596" s="38"/>
      <c r="Z2596" s="38"/>
      <c r="AA2596" s="38"/>
      <c r="AB2596" s="38"/>
      <c r="AC2596" s="38"/>
      <c r="AD2596" s="38"/>
      <c r="AE2596" s="38"/>
      <c r="AF2596" s="38"/>
      <c r="AG2596" s="38"/>
      <c r="AH2596" s="38"/>
    </row>
    <row r="2597" spans="3:34" ht="20.100000000000001" customHeight="1">
      <c r="C2597" s="113"/>
      <c r="D2597" s="114"/>
      <c r="P2597" s="82"/>
      <c r="Q2597" s="82"/>
      <c r="R2597" s="38"/>
      <c r="S2597" s="38"/>
      <c r="T2597" s="38"/>
      <c r="U2597" s="38"/>
      <c r="V2597" s="38"/>
      <c r="W2597" s="38"/>
      <c r="X2597" s="38"/>
      <c r="Y2597" s="38"/>
      <c r="Z2597" s="38"/>
      <c r="AA2597" s="38"/>
      <c r="AB2597" s="38"/>
      <c r="AC2597" s="38"/>
      <c r="AD2597" s="38"/>
      <c r="AE2597" s="38"/>
      <c r="AF2597" s="38"/>
      <c r="AG2597" s="38"/>
      <c r="AH2597" s="38"/>
    </row>
    <row r="2598" spans="3:34" ht="20.100000000000001" customHeight="1">
      <c r="C2598" s="113"/>
      <c r="D2598" s="114"/>
      <c r="P2598" s="82"/>
      <c r="Q2598" s="82"/>
      <c r="R2598" s="38"/>
      <c r="S2598" s="38"/>
      <c r="T2598" s="38"/>
      <c r="U2598" s="38"/>
      <c r="V2598" s="38"/>
      <c r="W2598" s="38"/>
      <c r="X2598" s="38"/>
      <c r="Y2598" s="38"/>
      <c r="Z2598" s="38"/>
      <c r="AA2598" s="38"/>
      <c r="AB2598" s="38"/>
      <c r="AC2598" s="38"/>
      <c r="AD2598" s="38"/>
      <c r="AE2598" s="38"/>
      <c r="AF2598" s="38"/>
      <c r="AG2598" s="38"/>
      <c r="AH2598" s="38"/>
    </row>
    <row r="2599" spans="3:34" ht="20.100000000000001" customHeight="1">
      <c r="C2599" s="113"/>
      <c r="D2599" s="114"/>
      <c r="P2599" s="82"/>
      <c r="Q2599" s="82"/>
      <c r="R2599" s="38"/>
      <c r="S2599" s="38"/>
      <c r="T2599" s="38"/>
      <c r="U2599" s="38"/>
      <c r="V2599" s="38"/>
      <c r="W2599" s="38"/>
      <c r="X2599" s="38"/>
      <c r="Y2599" s="38"/>
      <c r="Z2599" s="38"/>
      <c r="AA2599" s="38"/>
      <c r="AB2599" s="38"/>
      <c r="AC2599" s="38"/>
      <c r="AD2599" s="38"/>
      <c r="AE2599" s="38"/>
      <c r="AF2599" s="38"/>
      <c r="AG2599" s="38"/>
      <c r="AH2599" s="38"/>
    </row>
    <row r="2600" spans="3:34" ht="20.100000000000001" customHeight="1">
      <c r="C2600" s="113"/>
      <c r="D2600" s="114"/>
      <c r="P2600" s="82"/>
      <c r="Q2600" s="82"/>
      <c r="R2600" s="38"/>
      <c r="S2600" s="38"/>
      <c r="T2600" s="38"/>
      <c r="U2600" s="38"/>
      <c r="V2600" s="38"/>
      <c r="W2600" s="38"/>
      <c r="X2600" s="38"/>
      <c r="Y2600" s="38"/>
      <c r="Z2600" s="38"/>
      <c r="AA2600" s="38"/>
      <c r="AB2600" s="38"/>
      <c r="AC2600" s="38"/>
      <c r="AD2600" s="38"/>
      <c r="AE2600" s="38"/>
      <c r="AF2600" s="38"/>
      <c r="AG2600" s="38"/>
      <c r="AH2600" s="38"/>
    </row>
    <row r="2601" spans="3:34" ht="20.100000000000001" customHeight="1">
      <c r="C2601" s="113"/>
      <c r="D2601" s="114"/>
      <c r="P2601" s="82"/>
      <c r="Q2601" s="82"/>
      <c r="R2601" s="38"/>
      <c r="S2601" s="38"/>
      <c r="T2601" s="38"/>
      <c r="U2601" s="38"/>
      <c r="V2601" s="38"/>
      <c r="W2601" s="38"/>
      <c r="X2601" s="38"/>
      <c r="Y2601" s="38"/>
      <c r="Z2601" s="38"/>
      <c r="AA2601" s="38"/>
      <c r="AB2601" s="38"/>
      <c r="AC2601" s="38"/>
      <c r="AD2601" s="38"/>
      <c r="AE2601" s="38"/>
      <c r="AF2601" s="38"/>
      <c r="AG2601" s="38"/>
      <c r="AH2601" s="38"/>
    </row>
    <row r="2602" spans="3:34" ht="20.100000000000001" customHeight="1">
      <c r="C2602" s="113"/>
      <c r="D2602" s="114"/>
      <c r="P2602" s="82"/>
      <c r="Q2602" s="82"/>
      <c r="R2602" s="38"/>
      <c r="S2602" s="38"/>
      <c r="T2602" s="38"/>
      <c r="U2602" s="38"/>
      <c r="V2602" s="38"/>
      <c r="W2602" s="38"/>
      <c r="X2602" s="38"/>
      <c r="Y2602" s="38"/>
      <c r="Z2602" s="38"/>
      <c r="AA2602" s="38"/>
      <c r="AB2602" s="38"/>
      <c r="AC2602" s="38"/>
      <c r="AD2602" s="38"/>
      <c r="AE2602" s="38"/>
      <c r="AF2602" s="38"/>
      <c r="AG2602" s="38"/>
      <c r="AH2602" s="38"/>
    </row>
    <row r="2603" spans="3:34" ht="20.100000000000001" customHeight="1">
      <c r="C2603" s="113"/>
      <c r="D2603" s="114"/>
      <c r="P2603" s="82"/>
      <c r="Q2603" s="82"/>
      <c r="R2603" s="38"/>
      <c r="S2603" s="38"/>
      <c r="T2603" s="38"/>
      <c r="U2603" s="38"/>
      <c r="V2603" s="38"/>
      <c r="W2603" s="38"/>
      <c r="X2603" s="38"/>
      <c r="Y2603" s="38"/>
      <c r="Z2603" s="38"/>
      <c r="AA2603" s="38"/>
      <c r="AB2603" s="38"/>
      <c r="AC2603" s="38"/>
      <c r="AD2603" s="38"/>
      <c r="AE2603" s="38"/>
      <c r="AF2603" s="38"/>
      <c r="AG2603" s="38"/>
      <c r="AH2603" s="38"/>
    </row>
    <row r="2604" spans="3:34" ht="20.100000000000001" customHeight="1">
      <c r="C2604" s="113"/>
      <c r="D2604" s="114"/>
      <c r="P2604" s="82"/>
      <c r="Q2604" s="82"/>
      <c r="R2604" s="38"/>
      <c r="S2604" s="38"/>
      <c r="T2604" s="38"/>
      <c r="U2604" s="38"/>
      <c r="V2604" s="38"/>
      <c r="W2604" s="38"/>
      <c r="X2604" s="38"/>
      <c r="Y2604" s="38"/>
      <c r="Z2604" s="38"/>
      <c r="AA2604" s="38"/>
      <c r="AB2604" s="38"/>
      <c r="AC2604" s="38"/>
      <c r="AD2604" s="38"/>
      <c r="AE2604" s="38"/>
      <c r="AF2604" s="38"/>
      <c r="AG2604" s="38"/>
      <c r="AH2604" s="38"/>
    </row>
    <row r="2605" spans="3:34" ht="20.100000000000001" customHeight="1">
      <c r="C2605" s="113"/>
      <c r="D2605" s="114"/>
      <c r="P2605" s="82"/>
      <c r="Q2605" s="82"/>
      <c r="R2605" s="38"/>
      <c r="S2605" s="38"/>
      <c r="T2605" s="38"/>
      <c r="U2605" s="38"/>
      <c r="V2605" s="38"/>
      <c r="W2605" s="38"/>
      <c r="X2605" s="38"/>
      <c r="Y2605" s="38"/>
      <c r="Z2605" s="38"/>
      <c r="AA2605" s="38"/>
      <c r="AB2605" s="38"/>
      <c r="AC2605" s="38"/>
      <c r="AD2605" s="38"/>
      <c r="AE2605" s="38"/>
      <c r="AF2605" s="38"/>
      <c r="AG2605" s="38"/>
      <c r="AH2605" s="38"/>
    </row>
    <row r="2606" spans="3:34" ht="20.100000000000001" customHeight="1">
      <c r="C2606" s="113"/>
      <c r="D2606" s="114"/>
      <c r="P2606" s="82"/>
      <c r="Q2606" s="82"/>
      <c r="R2606" s="38"/>
      <c r="S2606" s="38"/>
      <c r="T2606" s="38"/>
      <c r="U2606" s="38"/>
      <c r="V2606" s="38"/>
      <c r="W2606" s="38"/>
      <c r="X2606" s="38"/>
      <c r="Y2606" s="38"/>
      <c r="Z2606" s="38"/>
      <c r="AA2606" s="38"/>
      <c r="AB2606" s="38"/>
      <c r="AC2606" s="38"/>
      <c r="AD2606" s="38"/>
      <c r="AE2606" s="38"/>
      <c r="AF2606" s="38"/>
      <c r="AG2606" s="38"/>
      <c r="AH2606" s="38"/>
    </row>
    <row r="2607" spans="3:34" ht="20.100000000000001" customHeight="1">
      <c r="C2607" s="113"/>
      <c r="D2607" s="114"/>
      <c r="P2607" s="82"/>
      <c r="Q2607" s="82"/>
      <c r="R2607" s="38"/>
      <c r="S2607" s="38"/>
      <c r="T2607" s="38"/>
      <c r="U2607" s="38"/>
      <c r="V2607" s="38"/>
      <c r="W2607" s="38"/>
      <c r="X2607" s="38"/>
      <c r="Y2607" s="38"/>
      <c r="Z2607" s="38"/>
      <c r="AA2607" s="38"/>
      <c r="AB2607" s="38"/>
      <c r="AC2607" s="38"/>
      <c r="AD2607" s="38"/>
      <c r="AE2607" s="38"/>
      <c r="AF2607" s="38"/>
      <c r="AG2607" s="38"/>
      <c r="AH2607" s="38"/>
    </row>
    <row r="2608" spans="3:34" ht="20.100000000000001" customHeight="1">
      <c r="C2608" s="113"/>
      <c r="D2608" s="114"/>
      <c r="P2608" s="82"/>
      <c r="Q2608" s="82"/>
      <c r="R2608" s="38"/>
      <c r="S2608" s="38"/>
      <c r="T2608" s="38"/>
      <c r="U2608" s="38"/>
      <c r="V2608" s="38"/>
      <c r="W2608" s="38"/>
      <c r="X2608" s="38"/>
      <c r="Y2608" s="38"/>
      <c r="Z2608" s="38"/>
      <c r="AA2608" s="38"/>
      <c r="AB2608" s="38"/>
      <c r="AC2608" s="38"/>
      <c r="AD2608" s="38"/>
      <c r="AE2608" s="38"/>
      <c r="AF2608" s="38"/>
      <c r="AG2608" s="38"/>
      <c r="AH2608" s="38"/>
    </row>
    <row r="2609" spans="3:34" ht="20.100000000000001" customHeight="1">
      <c r="C2609" s="113"/>
      <c r="D2609" s="114"/>
      <c r="P2609" s="82"/>
      <c r="Q2609" s="82"/>
      <c r="R2609" s="38"/>
      <c r="S2609" s="38"/>
      <c r="T2609" s="38"/>
      <c r="U2609" s="38"/>
      <c r="V2609" s="38"/>
      <c r="W2609" s="38"/>
      <c r="X2609" s="38"/>
      <c r="Y2609" s="38"/>
      <c r="Z2609" s="38"/>
      <c r="AA2609" s="38"/>
      <c r="AB2609" s="38"/>
      <c r="AC2609" s="38"/>
      <c r="AD2609" s="38"/>
      <c r="AE2609" s="38"/>
      <c r="AF2609" s="38"/>
      <c r="AG2609" s="38"/>
      <c r="AH2609" s="38"/>
    </row>
    <row r="2610" spans="3:34" ht="20.100000000000001" customHeight="1">
      <c r="C2610" s="113"/>
      <c r="D2610" s="114"/>
      <c r="P2610" s="82"/>
      <c r="Q2610" s="82"/>
      <c r="R2610" s="38"/>
      <c r="S2610" s="38"/>
      <c r="T2610" s="38"/>
      <c r="U2610" s="38"/>
      <c r="V2610" s="38"/>
      <c r="W2610" s="38"/>
      <c r="X2610" s="38"/>
      <c r="Y2610" s="38"/>
      <c r="Z2610" s="38"/>
      <c r="AA2610" s="38"/>
      <c r="AB2610" s="38"/>
      <c r="AC2610" s="38"/>
      <c r="AD2610" s="38"/>
      <c r="AE2610" s="38"/>
      <c r="AF2610" s="38"/>
      <c r="AG2610" s="38"/>
      <c r="AH2610" s="38"/>
    </row>
    <row r="2611" spans="3:34" ht="20.100000000000001" customHeight="1">
      <c r="C2611" s="113"/>
      <c r="D2611" s="114"/>
      <c r="P2611" s="82"/>
      <c r="Q2611" s="82"/>
      <c r="R2611" s="38"/>
      <c r="S2611" s="38"/>
      <c r="T2611" s="38"/>
      <c r="U2611" s="38"/>
      <c r="V2611" s="38"/>
      <c r="W2611" s="38"/>
      <c r="X2611" s="38"/>
      <c r="Y2611" s="38"/>
      <c r="Z2611" s="38"/>
      <c r="AA2611" s="38"/>
      <c r="AB2611" s="38"/>
      <c r="AC2611" s="38"/>
      <c r="AD2611" s="38"/>
      <c r="AE2611" s="38"/>
      <c r="AF2611" s="38"/>
      <c r="AG2611" s="38"/>
      <c r="AH2611" s="38"/>
    </row>
    <row r="2612" spans="3:34" ht="20.100000000000001" customHeight="1">
      <c r="C2612" s="113"/>
      <c r="D2612" s="114"/>
      <c r="P2612" s="82"/>
      <c r="Q2612" s="82"/>
      <c r="R2612" s="38"/>
      <c r="S2612" s="38"/>
      <c r="T2612" s="38"/>
      <c r="U2612" s="38"/>
      <c r="V2612" s="38"/>
      <c r="W2612" s="38"/>
      <c r="X2612" s="38"/>
      <c r="Y2612" s="38"/>
      <c r="Z2612" s="38"/>
      <c r="AA2612" s="38"/>
      <c r="AB2612" s="38"/>
      <c r="AC2612" s="38"/>
      <c r="AD2612" s="38"/>
      <c r="AE2612" s="38"/>
      <c r="AF2612" s="38"/>
      <c r="AG2612" s="38"/>
      <c r="AH2612" s="38"/>
    </row>
    <row r="2613" spans="3:34" ht="20.100000000000001" customHeight="1">
      <c r="C2613" s="113"/>
      <c r="D2613" s="114"/>
      <c r="P2613" s="82"/>
      <c r="Q2613" s="82"/>
      <c r="R2613" s="38"/>
      <c r="S2613" s="38"/>
      <c r="T2613" s="38"/>
      <c r="U2613" s="38"/>
      <c r="V2613" s="38"/>
      <c r="W2613" s="38"/>
      <c r="X2613" s="38"/>
      <c r="Y2613" s="38"/>
      <c r="Z2613" s="38"/>
      <c r="AA2613" s="38"/>
      <c r="AB2613" s="38"/>
      <c r="AC2613" s="38"/>
      <c r="AD2613" s="38"/>
      <c r="AE2613" s="38"/>
      <c r="AF2613" s="38"/>
      <c r="AG2613" s="38"/>
      <c r="AH2613" s="38"/>
    </row>
    <row r="2614" spans="3:34" ht="20.100000000000001" customHeight="1">
      <c r="C2614" s="113"/>
      <c r="D2614" s="114"/>
      <c r="P2614" s="82"/>
      <c r="Q2614" s="82"/>
      <c r="R2614" s="38"/>
      <c r="S2614" s="38"/>
      <c r="T2614" s="38"/>
      <c r="U2614" s="38"/>
      <c r="V2614" s="38"/>
      <c r="W2614" s="38"/>
      <c r="X2614" s="38"/>
      <c r="Y2614" s="38"/>
      <c r="Z2614" s="38"/>
      <c r="AA2614" s="38"/>
      <c r="AB2614" s="38"/>
      <c r="AC2614" s="38"/>
      <c r="AD2614" s="38"/>
      <c r="AE2614" s="38"/>
      <c r="AF2614" s="38"/>
      <c r="AG2614" s="38"/>
      <c r="AH2614" s="38"/>
    </row>
    <row r="2615" spans="3:34" ht="20.100000000000001" customHeight="1">
      <c r="C2615" s="113"/>
      <c r="D2615" s="114"/>
      <c r="P2615" s="82"/>
      <c r="Q2615" s="82"/>
      <c r="R2615" s="38"/>
      <c r="S2615" s="38"/>
      <c r="T2615" s="38"/>
      <c r="U2615" s="38"/>
      <c r="V2615" s="38"/>
      <c r="W2615" s="38"/>
      <c r="X2615" s="38"/>
      <c r="Y2615" s="38"/>
      <c r="Z2615" s="38"/>
      <c r="AA2615" s="38"/>
      <c r="AB2615" s="38"/>
      <c r="AC2615" s="38"/>
      <c r="AD2615" s="38"/>
      <c r="AE2615" s="38"/>
      <c r="AF2615" s="38"/>
      <c r="AG2615" s="38"/>
      <c r="AH2615" s="38"/>
    </row>
    <row r="2616" spans="3:34" ht="20.100000000000001" customHeight="1">
      <c r="C2616" s="113"/>
      <c r="D2616" s="114"/>
      <c r="P2616" s="82"/>
      <c r="Q2616" s="82"/>
      <c r="R2616" s="38"/>
      <c r="S2616" s="38"/>
      <c r="T2616" s="38"/>
      <c r="U2616" s="38"/>
      <c r="V2616" s="38"/>
      <c r="W2616" s="38"/>
      <c r="X2616" s="38"/>
      <c r="Y2616" s="38"/>
      <c r="Z2616" s="38"/>
      <c r="AA2616" s="38"/>
      <c r="AB2616" s="38"/>
      <c r="AC2616" s="38"/>
      <c r="AD2616" s="38"/>
      <c r="AE2616" s="38"/>
      <c r="AF2616" s="38"/>
      <c r="AG2616" s="38"/>
      <c r="AH2616" s="38"/>
    </row>
    <row r="2617" spans="3:34" ht="20.100000000000001" customHeight="1">
      <c r="C2617" s="113"/>
      <c r="D2617" s="114"/>
      <c r="P2617" s="82"/>
      <c r="Q2617" s="82"/>
      <c r="R2617" s="38"/>
      <c r="S2617" s="38"/>
      <c r="T2617" s="38"/>
      <c r="U2617" s="38"/>
      <c r="V2617" s="38"/>
      <c r="W2617" s="38"/>
      <c r="X2617" s="38"/>
      <c r="Y2617" s="38"/>
      <c r="Z2617" s="38"/>
      <c r="AA2617" s="38"/>
      <c r="AB2617" s="38"/>
      <c r="AC2617" s="38"/>
      <c r="AD2617" s="38"/>
      <c r="AE2617" s="38"/>
      <c r="AF2617" s="38"/>
      <c r="AG2617" s="38"/>
      <c r="AH2617" s="38"/>
    </row>
    <row r="2618" spans="3:34" ht="20.100000000000001" customHeight="1">
      <c r="C2618" s="113"/>
      <c r="D2618" s="114"/>
      <c r="P2618" s="82"/>
      <c r="Q2618" s="82"/>
      <c r="R2618" s="38"/>
      <c r="S2618" s="38"/>
      <c r="T2618" s="38"/>
      <c r="U2618" s="38"/>
      <c r="V2618" s="38"/>
      <c r="W2618" s="38"/>
      <c r="X2618" s="38"/>
      <c r="Y2618" s="38"/>
      <c r="Z2618" s="38"/>
      <c r="AA2618" s="38"/>
      <c r="AB2618" s="38"/>
      <c r="AC2618" s="38"/>
      <c r="AD2618" s="38"/>
      <c r="AE2618" s="38"/>
      <c r="AF2618" s="38"/>
      <c r="AG2618" s="38"/>
      <c r="AH2618" s="38"/>
    </row>
    <row r="2619" spans="3:34" ht="20.100000000000001" customHeight="1">
      <c r="C2619" s="113"/>
      <c r="D2619" s="114"/>
      <c r="P2619" s="82"/>
      <c r="Q2619" s="82"/>
      <c r="R2619" s="38"/>
      <c r="S2619" s="38"/>
      <c r="T2619" s="38"/>
      <c r="U2619" s="38"/>
      <c r="V2619" s="38"/>
      <c r="W2619" s="38"/>
      <c r="X2619" s="38"/>
      <c r="Y2619" s="38"/>
      <c r="Z2619" s="38"/>
      <c r="AA2619" s="38"/>
      <c r="AB2619" s="38"/>
      <c r="AC2619" s="38"/>
      <c r="AD2619" s="38"/>
      <c r="AE2619" s="38"/>
      <c r="AF2619" s="38"/>
      <c r="AG2619" s="38"/>
      <c r="AH2619" s="38"/>
    </row>
    <row r="2620" spans="3:34" ht="20.100000000000001" customHeight="1">
      <c r="C2620" s="113"/>
      <c r="D2620" s="114"/>
      <c r="P2620" s="82"/>
      <c r="Q2620" s="82"/>
      <c r="R2620" s="38"/>
      <c r="S2620" s="38"/>
      <c r="T2620" s="38"/>
      <c r="U2620" s="38"/>
      <c r="V2620" s="38"/>
      <c r="W2620" s="38"/>
      <c r="X2620" s="38"/>
      <c r="Y2620" s="38"/>
      <c r="Z2620" s="38"/>
      <c r="AA2620" s="38"/>
      <c r="AB2620" s="38"/>
      <c r="AC2620" s="38"/>
      <c r="AD2620" s="38"/>
      <c r="AE2620" s="38"/>
      <c r="AF2620" s="38"/>
      <c r="AG2620" s="38"/>
      <c r="AH2620" s="38"/>
    </row>
    <row r="2621" spans="3:34" ht="20.100000000000001" customHeight="1">
      <c r="C2621" s="113"/>
      <c r="D2621" s="114"/>
      <c r="P2621" s="82"/>
      <c r="Q2621" s="82"/>
      <c r="R2621" s="38"/>
      <c r="S2621" s="38"/>
      <c r="T2621" s="38"/>
      <c r="U2621" s="38"/>
      <c r="V2621" s="38"/>
      <c r="W2621" s="38"/>
      <c r="X2621" s="38"/>
      <c r="Y2621" s="38"/>
      <c r="Z2621" s="38"/>
      <c r="AA2621" s="38"/>
      <c r="AB2621" s="38"/>
      <c r="AC2621" s="38"/>
      <c r="AD2621" s="38"/>
      <c r="AE2621" s="38"/>
      <c r="AF2621" s="38"/>
      <c r="AG2621" s="38"/>
      <c r="AH2621" s="38"/>
    </row>
    <row r="2622" spans="3:34" ht="20.100000000000001" customHeight="1">
      <c r="C2622" s="113"/>
      <c r="D2622" s="114"/>
      <c r="P2622" s="82"/>
      <c r="Q2622" s="82"/>
      <c r="R2622" s="38"/>
      <c r="S2622" s="38"/>
      <c r="T2622" s="38"/>
      <c r="U2622" s="38"/>
      <c r="V2622" s="38"/>
      <c r="W2622" s="38"/>
      <c r="X2622" s="38"/>
      <c r="Y2622" s="38"/>
      <c r="Z2622" s="38"/>
      <c r="AA2622" s="38"/>
      <c r="AB2622" s="38"/>
      <c r="AC2622" s="38"/>
      <c r="AD2622" s="38"/>
      <c r="AE2622" s="38"/>
      <c r="AF2622" s="38"/>
      <c r="AG2622" s="38"/>
      <c r="AH2622" s="38"/>
    </row>
    <row r="2623" spans="3:34" ht="20.100000000000001" customHeight="1">
      <c r="C2623" s="113"/>
      <c r="D2623" s="114"/>
      <c r="P2623" s="82"/>
      <c r="Q2623" s="82"/>
      <c r="R2623" s="38"/>
      <c r="S2623" s="38"/>
      <c r="T2623" s="38"/>
      <c r="U2623" s="38"/>
      <c r="V2623" s="38"/>
      <c r="W2623" s="38"/>
      <c r="X2623" s="38"/>
      <c r="Y2623" s="38"/>
      <c r="Z2623" s="38"/>
      <c r="AA2623" s="38"/>
      <c r="AB2623" s="38"/>
      <c r="AC2623" s="38"/>
      <c r="AD2623" s="38"/>
      <c r="AE2623" s="38"/>
      <c r="AF2623" s="38"/>
      <c r="AG2623" s="38"/>
      <c r="AH2623" s="38"/>
    </row>
    <row r="2624" spans="3:34" ht="20.100000000000001" customHeight="1">
      <c r="C2624" s="113"/>
      <c r="D2624" s="114"/>
      <c r="P2624" s="82"/>
      <c r="Q2624" s="82"/>
      <c r="R2624" s="38"/>
      <c r="S2624" s="38"/>
      <c r="T2624" s="38"/>
      <c r="U2624" s="38"/>
      <c r="V2624" s="38"/>
      <c r="W2624" s="38"/>
      <c r="X2624" s="38"/>
      <c r="Y2624" s="38"/>
      <c r="Z2624" s="38"/>
      <c r="AA2624" s="38"/>
      <c r="AB2624" s="38"/>
      <c r="AC2624" s="38"/>
      <c r="AD2624" s="38"/>
      <c r="AE2624" s="38"/>
      <c r="AF2624" s="38"/>
      <c r="AG2624" s="38"/>
      <c r="AH2624" s="38"/>
    </row>
    <row r="2625" spans="3:34" ht="20.100000000000001" customHeight="1">
      <c r="C2625" s="113"/>
      <c r="D2625" s="114"/>
      <c r="P2625" s="82"/>
      <c r="Q2625" s="82"/>
      <c r="R2625" s="38"/>
      <c r="S2625" s="38"/>
      <c r="T2625" s="38"/>
      <c r="U2625" s="38"/>
      <c r="V2625" s="38"/>
      <c r="W2625" s="38"/>
      <c r="X2625" s="38"/>
      <c r="Y2625" s="38"/>
      <c r="Z2625" s="38"/>
      <c r="AA2625" s="38"/>
      <c r="AB2625" s="38"/>
      <c r="AC2625" s="38"/>
      <c r="AD2625" s="38"/>
      <c r="AE2625" s="38"/>
      <c r="AF2625" s="38"/>
      <c r="AG2625" s="38"/>
      <c r="AH2625" s="38"/>
    </row>
    <row r="2626" spans="3:34" ht="20.100000000000001" customHeight="1">
      <c r="C2626" s="113"/>
      <c r="D2626" s="114"/>
      <c r="P2626" s="82"/>
      <c r="Q2626" s="82"/>
      <c r="R2626" s="38"/>
      <c r="S2626" s="38"/>
      <c r="T2626" s="38"/>
      <c r="U2626" s="38"/>
      <c r="V2626" s="38"/>
      <c r="W2626" s="38"/>
      <c r="X2626" s="38"/>
      <c r="Y2626" s="38"/>
      <c r="Z2626" s="38"/>
      <c r="AA2626" s="38"/>
      <c r="AB2626" s="38"/>
      <c r="AC2626" s="38"/>
      <c r="AD2626" s="38"/>
      <c r="AE2626" s="38"/>
      <c r="AF2626" s="38"/>
      <c r="AG2626" s="38"/>
      <c r="AH2626" s="38"/>
    </row>
    <row r="2627" spans="3:34" ht="20.100000000000001" customHeight="1">
      <c r="C2627" s="113"/>
      <c r="D2627" s="114"/>
      <c r="P2627" s="82"/>
      <c r="Q2627" s="82"/>
      <c r="R2627" s="38"/>
      <c r="S2627" s="38"/>
      <c r="T2627" s="38"/>
      <c r="U2627" s="38"/>
      <c r="V2627" s="38"/>
      <c r="W2627" s="38"/>
      <c r="X2627" s="38"/>
      <c r="Y2627" s="38"/>
      <c r="Z2627" s="38"/>
      <c r="AA2627" s="38"/>
      <c r="AB2627" s="38"/>
      <c r="AC2627" s="38"/>
      <c r="AD2627" s="38"/>
      <c r="AE2627" s="38"/>
      <c r="AF2627" s="38"/>
      <c r="AG2627" s="38"/>
      <c r="AH2627" s="38"/>
    </row>
    <row r="2628" spans="3:34" ht="20.100000000000001" customHeight="1">
      <c r="C2628" s="113"/>
      <c r="D2628" s="114"/>
      <c r="P2628" s="82"/>
      <c r="Q2628" s="82"/>
      <c r="R2628" s="38"/>
      <c r="S2628" s="38"/>
      <c r="T2628" s="38"/>
      <c r="U2628" s="38"/>
      <c r="V2628" s="38"/>
      <c r="W2628" s="38"/>
      <c r="X2628" s="38"/>
      <c r="Y2628" s="38"/>
      <c r="Z2628" s="38"/>
      <c r="AA2628" s="38"/>
      <c r="AB2628" s="38"/>
      <c r="AC2628" s="38"/>
      <c r="AD2628" s="38"/>
      <c r="AE2628" s="38"/>
      <c r="AF2628" s="38"/>
      <c r="AG2628" s="38"/>
      <c r="AH2628" s="38"/>
    </row>
    <row r="2629" spans="3:34" ht="20.100000000000001" customHeight="1">
      <c r="C2629" s="113"/>
      <c r="D2629" s="114"/>
      <c r="P2629" s="82"/>
      <c r="Q2629" s="82"/>
      <c r="R2629" s="38"/>
      <c r="S2629" s="38"/>
      <c r="T2629" s="38"/>
      <c r="U2629" s="38"/>
      <c r="V2629" s="38"/>
      <c r="W2629" s="38"/>
      <c r="X2629" s="38"/>
      <c r="Y2629" s="38"/>
      <c r="Z2629" s="38"/>
      <c r="AA2629" s="38"/>
      <c r="AB2629" s="38"/>
      <c r="AC2629" s="38"/>
      <c r="AD2629" s="38"/>
      <c r="AE2629" s="38"/>
      <c r="AF2629" s="38"/>
      <c r="AG2629" s="38"/>
      <c r="AH2629" s="38"/>
    </row>
    <row r="2630" spans="3:34" ht="20.100000000000001" customHeight="1">
      <c r="C2630" s="113"/>
      <c r="D2630" s="114"/>
      <c r="P2630" s="82"/>
      <c r="Q2630" s="82"/>
      <c r="R2630" s="38"/>
      <c r="S2630" s="38"/>
      <c r="T2630" s="38"/>
      <c r="U2630" s="38"/>
      <c r="V2630" s="38"/>
      <c r="W2630" s="38"/>
      <c r="X2630" s="38"/>
      <c r="Y2630" s="38"/>
      <c r="Z2630" s="38"/>
      <c r="AA2630" s="38"/>
      <c r="AB2630" s="38"/>
      <c r="AC2630" s="38"/>
      <c r="AD2630" s="38"/>
      <c r="AE2630" s="38"/>
      <c r="AF2630" s="38"/>
      <c r="AG2630" s="38"/>
      <c r="AH2630" s="38"/>
    </row>
    <row r="2631" spans="3:34" ht="20.100000000000001" customHeight="1">
      <c r="C2631" s="113"/>
      <c r="D2631" s="114"/>
      <c r="P2631" s="82"/>
      <c r="Q2631" s="82"/>
      <c r="R2631" s="38"/>
      <c r="S2631" s="38"/>
      <c r="T2631" s="38"/>
      <c r="U2631" s="38"/>
      <c r="V2631" s="38"/>
      <c r="W2631" s="38"/>
      <c r="X2631" s="38"/>
      <c r="Y2631" s="38"/>
      <c r="Z2631" s="38"/>
      <c r="AA2631" s="38"/>
      <c r="AB2631" s="38"/>
      <c r="AC2631" s="38"/>
      <c r="AD2631" s="38"/>
      <c r="AE2631" s="38"/>
      <c r="AF2631" s="38"/>
      <c r="AG2631" s="38"/>
      <c r="AH2631" s="38"/>
    </row>
    <row r="2632" spans="3:34" ht="20.100000000000001" customHeight="1">
      <c r="C2632" s="113"/>
      <c r="D2632" s="114"/>
      <c r="P2632" s="82"/>
      <c r="Q2632" s="82"/>
      <c r="R2632" s="38"/>
      <c r="S2632" s="38"/>
      <c r="T2632" s="38"/>
      <c r="U2632" s="38"/>
      <c r="V2632" s="38"/>
      <c r="W2632" s="38"/>
      <c r="X2632" s="38"/>
      <c r="Y2632" s="38"/>
      <c r="Z2632" s="38"/>
      <c r="AA2632" s="38"/>
      <c r="AB2632" s="38"/>
      <c r="AC2632" s="38"/>
      <c r="AD2632" s="38"/>
      <c r="AE2632" s="38"/>
      <c r="AF2632" s="38"/>
      <c r="AG2632" s="38"/>
      <c r="AH2632" s="38"/>
    </row>
    <row r="2633" spans="3:34" ht="20.100000000000001" customHeight="1">
      <c r="C2633" s="113"/>
      <c r="D2633" s="114"/>
      <c r="P2633" s="82"/>
      <c r="Q2633" s="82"/>
      <c r="R2633" s="38"/>
      <c r="S2633" s="38"/>
      <c r="T2633" s="38"/>
      <c r="U2633" s="38"/>
      <c r="V2633" s="38"/>
      <c r="W2633" s="38"/>
      <c r="X2633" s="38"/>
      <c r="Y2633" s="38"/>
      <c r="Z2633" s="38"/>
      <c r="AA2633" s="38"/>
      <c r="AB2633" s="38"/>
      <c r="AC2633" s="38"/>
      <c r="AD2633" s="38"/>
      <c r="AE2633" s="38"/>
      <c r="AF2633" s="38"/>
      <c r="AG2633" s="38"/>
      <c r="AH2633" s="38"/>
    </row>
    <row r="2634" spans="3:34" ht="20.100000000000001" customHeight="1">
      <c r="C2634" s="113"/>
      <c r="D2634" s="114"/>
      <c r="P2634" s="82"/>
      <c r="Q2634" s="82"/>
      <c r="R2634" s="38"/>
      <c r="S2634" s="38"/>
      <c r="T2634" s="38"/>
      <c r="U2634" s="38"/>
      <c r="V2634" s="38"/>
      <c r="W2634" s="38"/>
      <c r="X2634" s="38"/>
      <c r="Y2634" s="38"/>
      <c r="Z2634" s="38"/>
      <c r="AA2634" s="38"/>
      <c r="AB2634" s="38"/>
      <c r="AC2634" s="38"/>
      <c r="AD2634" s="38"/>
      <c r="AE2634" s="38"/>
      <c r="AF2634" s="38"/>
      <c r="AG2634" s="38"/>
      <c r="AH2634" s="38"/>
    </row>
    <row r="2635" spans="3:34" ht="20.100000000000001" customHeight="1">
      <c r="C2635" s="113"/>
      <c r="D2635" s="114"/>
      <c r="P2635" s="82"/>
      <c r="Q2635" s="82"/>
      <c r="R2635" s="38"/>
      <c r="S2635" s="38"/>
      <c r="T2635" s="38"/>
      <c r="U2635" s="38"/>
      <c r="V2635" s="38"/>
      <c r="W2635" s="38"/>
      <c r="X2635" s="38"/>
      <c r="Y2635" s="38"/>
      <c r="Z2635" s="38"/>
      <c r="AA2635" s="38"/>
      <c r="AB2635" s="38"/>
      <c r="AC2635" s="38"/>
      <c r="AD2635" s="38"/>
      <c r="AE2635" s="38"/>
      <c r="AF2635" s="38"/>
      <c r="AG2635" s="38"/>
      <c r="AH2635" s="38"/>
    </row>
    <row r="2636" spans="3:34" ht="20.100000000000001" customHeight="1">
      <c r="C2636" s="113"/>
      <c r="D2636" s="114"/>
      <c r="P2636" s="82"/>
      <c r="Q2636" s="82"/>
      <c r="R2636" s="38"/>
      <c r="S2636" s="38"/>
      <c r="T2636" s="38"/>
      <c r="U2636" s="38"/>
      <c r="V2636" s="38"/>
      <c r="W2636" s="38"/>
      <c r="X2636" s="38"/>
      <c r="Y2636" s="38"/>
      <c r="Z2636" s="38"/>
      <c r="AA2636" s="38"/>
      <c r="AB2636" s="38"/>
      <c r="AC2636" s="38"/>
      <c r="AD2636" s="38"/>
      <c r="AE2636" s="38"/>
      <c r="AF2636" s="38"/>
      <c r="AG2636" s="38"/>
      <c r="AH2636" s="38"/>
    </row>
    <row r="2637" spans="3:34" ht="20.100000000000001" customHeight="1">
      <c r="C2637" s="113"/>
      <c r="D2637" s="114"/>
      <c r="P2637" s="82"/>
      <c r="Q2637" s="82"/>
      <c r="R2637" s="38"/>
      <c r="S2637" s="38"/>
      <c r="T2637" s="38"/>
      <c r="U2637" s="38"/>
      <c r="V2637" s="38"/>
      <c r="W2637" s="38"/>
      <c r="X2637" s="38"/>
      <c r="Y2637" s="38"/>
      <c r="Z2637" s="38"/>
      <c r="AA2637" s="38"/>
      <c r="AB2637" s="38"/>
      <c r="AC2637" s="38"/>
      <c r="AD2637" s="38"/>
      <c r="AE2637" s="38"/>
      <c r="AF2637" s="38"/>
      <c r="AG2637" s="38"/>
      <c r="AH2637" s="38"/>
    </row>
    <row r="2638" spans="3:34" ht="20.100000000000001" customHeight="1">
      <c r="C2638" s="113"/>
      <c r="D2638" s="114"/>
      <c r="P2638" s="82"/>
      <c r="Q2638" s="82"/>
      <c r="R2638" s="38"/>
      <c r="S2638" s="38"/>
      <c r="T2638" s="38"/>
      <c r="U2638" s="38"/>
      <c r="V2638" s="38"/>
      <c r="W2638" s="38"/>
      <c r="X2638" s="38"/>
      <c r="Y2638" s="38"/>
      <c r="Z2638" s="38"/>
      <c r="AA2638" s="38"/>
      <c r="AB2638" s="38"/>
      <c r="AC2638" s="38"/>
      <c r="AD2638" s="38"/>
      <c r="AE2638" s="38"/>
      <c r="AF2638" s="38"/>
      <c r="AG2638" s="38"/>
      <c r="AH2638" s="38"/>
    </row>
    <row r="2639" spans="3:34" ht="20.100000000000001" customHeight="1">
      <c r="C2639" s="113"/>
      <c r="D2639" s="114"/>
      <c r="P2639" s="82"/>
      <c r="Q2639" s="82"/>
      <c r="R2639" s="38"/>
      <c r="S2639" s="38"/>
      <c r="T2639" s="38"/>
      <c r="U2639" s="38"/>
      <c r="V2639" s="38"/>
      <c r="W2639" s="38"/>
      <c r="X2639" s="38"/>
      <c r="Y2639" s="38"/>
      <c r="Z2639" s="38"/>
      <c r="AA2639" s="38"/>
      <c r="AB2639" s="38"/>
      <c r="AC2639" s="38"/>
      <c r="AD2639" s="38"/>
      <c r="AE2639" s="38"/>
      <c r="AF2639" s="38"/>
      <c r="AG2639" s="38"/>
      <c r="AH2639" s="38"/>
    </row>
    <row r="2640" spans="3:34" ht="20.100000000000001" customHeight="1">
      <c r="C2640" s="113"/>
      <c r="D2640" s="114"/>
      <c r="P2640" s="82"/>
      <c r="Q2640" s="82"/>
      <c r="R2640" s="38"/>
      <c r="S2640" s="38"/>
      <c r="T2640" s="38"/>
      <c r="U2640" s="38"/>
      <c r="V2640" s="38"/>
      <c r="W2640" s="38"/>
      <c r="X2640" s="38"/>
      <c r="Y2640" s="38"/>
      <c r="Z2640" s="38"/>
      <c r="AA2640" s="38"/>
      <c r="AB2640" s="38"/>
      <c r="AC2640" s="38"/>
      <c r="AD2640" s="38"/>
      <c r="AE2640" s="38"/>
      <c r="AF2640" s="38"/>
      <c r="AG2640" s="38"/>
      <c r="AH2640" s="38"/>
    </row>
    <row r="2641" spans="3:34" ht="20.100000000000001" customHeight="1">
      <c r="C2641" s="113"/>
      <c r="D2641" s="114"/>
      <c r="P2641" s="82"/>
      <c r="Q2641" s="82"/>
      <c r="R2641" s="38"/>
      <c r="S2641" s="38"/>
      <c r="T2641" s="38"/>
      <c r="U2641" s="38"/>
      <c r="V2641" s="38"/>
      <c r="W2641" s="38"/>
      <c r="X2641" s="38"/>
      <c r="Y2641" s="38"/>
      <c r="Z2641" s="38"/>
      <c r="AA2641" s="38"/>
      <c r="AB2641" s="38"/>
      <c r="AC2641" s="38"/>
      <c r="AD2641" s="38"/>
      <c r="AE2641" s="38"/>
      <c r="AF2641" s="38"/>
      <c r="AG2641" s="38"/>
      <c r="AH2641" s="38"/>
    </row>
    <row r="2642" spans="3:34" ht="20.100000000000001" customHeight="1">
      <c r="C2642" s="113"/>
      <c r="D2642" s="114"/>
      <c r="P2642" s="82"/>
      <c r="Q2642" s="82"/>
      <c r="R2642" s="38"/>
      <c r="S2642" s="38"/>
      <c r="T2642" s="38"/>
      <c r="U2642" s="38"/>
      <c r="V2642" s="38"/>
      <c r="W2642" s="38"/>
      <c r="X2642" s="38"/>
      <c r="Y2642" s="38"/>
      <c r="Z2642" s="38"/>
      <c r="AA2642" s="38"/>
      <c r="AB2642" s="38"/>
      <c r="AC2642" s="38"/>
      <c r="AD2642" s="38"/>
      <c r="AE2642" s="38"/>
      <c r="AF2642" s="38"/>
      <c r="AG2642" s="38"/>
      <c r="AH2642" s="38"/>
    </row>
    <row r="2643" spans="3:34" ht="20.100000000000001" customHeight="1">
      <c r="C2643" s="113"/>
      <c r="D2643" s="114"/>
      <c r="P2643" s="82"/>
      <c r="Q2643" s="82"/>
      <c r="R2643" s="38"/>
      <c r="S2643" s="38"/>
      <c r="T2643" s="38"/>
      <c r="U2643" s="38"/>
      <c r="V2643" s="38"/>
      <c r="W2643" s="38"/>
      <c r="X2643" s="38"/>
      <c r="Y2643" s="38"/>
      <c r="Z2643" s="38"/>
      <c r="AA2643" s="38"/>
      <c r="AB2643" s="38"/>
      <c r="AC2643" s="38"/>
      <c r="AD2643" s="38"/>
      <c r="AE2643" s="38"/>
      <c r="AF2643" s="38"/>
      <c r="AG2643" s="38"/>
      <c r="AH2643" s="38"/>
    </row>
    <row r="2644" spans="3:34" ht="20.100000000000001" customHeight="1">
      <c r="C2644" s="113"/>
      <c r="D2644" s="114"/>
      <c r="P2644" s="82"/>
      <c r="Q2644" s="82"/>
      <c r="R2644" s="38"/>
      <c r="S2644" s="38"/>
      <c r="T2644" s="38"/>
      <c r="U2644" s="38"/>
      <c r="V2644" s="38"/>
      <c r="W2644" s="38"/>
      <c r="X2644" s="38"/>
      <c r="Y2644" s="38"/>
      <c r="Z2644" s="38"/>
      <c r="AA2644" s="38"/>
      <c r="AB2644" s="38"/>
      <c r="AC2644" s="38"/>
      <c r="AD2644" s="38"/>
      <c r="AE2644" s="38"/>
      <c r="AF2644" s="38"/>
      <c r="AG2644" s="38"/>
      <c r="AH2644" s="38"/>
    </row>
    <row r="2645" spans="3:34" ht="20.100000000000001" customHeight="1">
      <c r="C2645" s="113"/>
      <c r="D2645" s="114"/>
      <c r="P2645" s="82"/>
      <c r="Q2645" s="82"/>
      <c r="R2645" s="38"/>
      <c r="S2645" s="38"/>
      <c r="T2645" s="38"/>
      <c r="U2645" s="38"/>
      <c r="V2645" s="38"/>
      <c r="W2645" s="38"/>
      <c r="X2645" s="38"/>
      <c r="Y2645" s="38"/>
      <c r="Z2645" s="38"/>
      <c r="AA2645" s="38"/>
      <c r="AB2645" s="38"/>
      <c r="AC2645" s="38"/>
      <c r="AD2645" s="38"/>
      <c r="AE2645" s="38"/>
      <c r="AF2645" s="38"/>
      <c r="AG2645" s="38"/>
      <c r="AH2645" s="38"/>
    </row>
    <row r="2646" spans="3:34" ht="20.100000000000001" customHeight="1">
      <c r="C2646" s="113"/>
      <c r="D2646" s="114"/>
      <c r="P2646" s="82"/>
      <c r="Q2646" s="82"/>
      <c r="R2646" s="38"/>
      <c r="S2646" s="38"/>
      <c r="T2646" s="38"/>
      <c r="U2646" s="38"/>
      <c r="V2646" s="38"/>
      <c r="W2646" s="38"/>
      <c r="X2646" s="38"/>
      <c r="Y2646" s="38"/>
      <c r="Z2646" s="38"/>
      <c r="AA2646" s="38"/>
      <c r="AB2646" s="38"/>
      <c r="AC2646" s="38"/>
      <c r="AD2646" s="38"/>
      <c r="AE2646" s="38"/>
      <c r="AF2646" s="38"/>
      <c r="AG2646" s="38"/>
      <c r="AH2646" s="38"/>
    </row>
    <row r="2647" spans="3:34" ht="20.100000000000001" customHeight="1">
      <c r="C2647" s="113"/>
      <c r="D2647" s="114"/>
      <c r="P2647" s="82"/>
      <c r="Q2647" s="82"/>
      <c r="R2647" s="38"/>
      <c r="S2647" s="38"/>
      <c r="T2647" s="38"/>
      <c r="U2647" s="38"/>
      <c r="V2647" s="38"/>
      <c r="W2647" s="38"/>
      <c r="X2647" s="38"/>
      <c r="Y2647" s="38"/>
      <c r="Z2647" s="38"/>
      <c r="AA2647" s="38"/>
      <c r="AB2647" s="38"/>
      <c r="AC2647" s="38"/>
      <c r="AD2647" s="38"/>
      <c r="AE2647" s="38"/>
      <c r="AF2647" s="38"/>
      <c r="AG2647" s="38"/>
      <c r="AH2647" s="38"/>
    </row>
    <row r="2648" spans="3:34" ht="20.100000000000001" customHeight="1">
      <c r="C2648" s="113"/>
      <c r="D2648" s="114"/>
      <c r="P2648" s="82"/>
      <c r="Q2648" s="82"/>
      <c r="R2648" s="38"/>
      <c r="S2648" s="38"/>
      <c r="T2648" s="38"/>
      <c r="U2648" s="38"/>
      <c r="V2648" s="38"/>
      <c r="W2648" s="38"/>
      <c r="X2648" s="38"/>
      <c r="Y2648" s="38"/>
      <c r="Z2648" s="38"/>
      <c r="AA2648" s="38"/>
      <c r="AB2648" s="38"/>
      <c r="AC2648" s="38"/>
      <c r="AD2648" s="38"/>
      <c r="AE2648" s="38"/>
      <c r="AF2648" s="38"/>
      <c r="AG2648" s="38"/>
      <c r="AH2648" s="38"/>
    </row>
    <row r="2649" spans="3:34" ht="20.100000000000001" customHeight="1">
      <c r="C2649" s="113"/>
      <c r="D2649" s="114"/>
      <c r="P2649" s="82"/>
      <c r="Q2649" s="82"/>
      <c r="R2649" s="38"/>
      <c r="S2649" s="38"/>
      <c r="T2649" s="38"/>
      <c r="U2649" s="38"/>
      <c r="V2649" s="38"/>
      <c r="W2649" s="38"/>
      <c r="X2649" s="38"/>
      <c r="Y2649" s="38"/>
      <c r="Z2649" s="38"/>
      <c r="AA2649" s="38"/>
      <c r="AB2649" s="38"/>
      <c r="AC2649" s="38"/>
      <c r="AD2649" s="38"/>
      <c r="AE2649" s="38"/>
      <c r="AF2649" s="38"/>
      <c r="AG2649" s="38"/>
      <c r="AH2649" s="38"/>
    </row>
    <row r="2650" spans="3:34" ht="20.100000000000001" customHeight="1">
      <c r="C2650" s="113"/>
      <c r="D2650" s="114"/>
      <c r="P2650" s="82"/>
      <c r="Q2650" s="82"/>
      <c r="R2650" s="38"/>
      <c r="S2650" s="38"/>
      <c r="T2650" s="38"/>
      <c r="U2650" s="38"/>
      <c r="V2650" s="38"/>
      <c r="W2650" s="38"/>
      <c r="X2650" s="38"/>
      <c r="Y2650" s="38"/>
      <c r="Z2650" s="38"/>
      <c r="AA2650" s="38"/>
      <c r="AB2650" s="38"/>
      <c r="AC2650" s="38"/>
      <c r="AD2650" s="38"/>
      <c r="AE2650" s="38"/>
      <c r="AF2650" s="38"/>
      <c r="AG2650" s="38"/>
      <c r="AH2650" s="38"/>
    </row>
    <row r="2651" spans="3:34" ht="20.100000000000001" customHeight="1">
      <c r="C2651" s="113"/>
      <c r="D2651" s="114"/>
      <c r="P2651" s="82"/>
      <c r="Q2651" s="82"/>
      <c r="R2651" s="38"/>
      <c r="S2651" s="38"/>
      <c r="T2651" s="38"/>
      <c r="U2651" s="38"/>
      <c r="V2651" s="38"/>
      <c r="W2651" s="38"/>
      <c r="X2651" s="38"/>
      <c r="Y2651" s="38"/>
      <c r="Z2651" s="38"/>
      <c r="AA2651" s="38"/>
      <c r="AB2651" s="38"/>
      <c r="AC2651" s="38"/>
      <c r="AD2651" s="38"/>
      <c r="AE2651" s="38"/>
      <c r="AF2651" s="38"/>
      <c r="AG2651" s="38"/>
      <c r="AH2651" s="38"/>
    </row>
    <row r="2652" spans="3:34" ht="20.100000000000001" customHeight="1">
      <c r="C2652" s="113"/>
      <c r="D2652" s="114"/>
      <c r="P2652" s="82"/>
      <c r="Q2652" s="82"/>
      <c r="R2652" s="38"/>
      <c r="S2652" s="38"/>
      <c r="T2652" s="38"/>
      <c r="U2652" s="38"/>
      <c r="V2652" s="38"/>
      <c r="W2652" s="38"/>
      <c r="X2652" s="38"/>
      <c r="Y2652" s="38"/>
      <c r="Z2652" s="38"/>
      <c r="AA2652" s="38"/>
      <c r="AB2652" s="38"/>
      <c r="AC2652" s="38"/>
      <c r="AD2652" s="38"/>
      <c r="AE2652" s="38"/>
      <c r="AF2652" s="38"/>
      <c r="AG2652" s="38"/>
      <c r="AH2652" s="38"/>
    </row>
    <row r="2653" spans="3:34" ht="20.100000000000001" customHeight="1">
      <c r="C2653" s="113"/>
      <c r="D2653" s="114"/>
      <c r="P2653" s="82"/>
      <c r="Q2653" s="82"/>
      <c r="R2653" s="38"/>
      <c r="S2653" s="38"/>
      <c r="T2653" s="38"/>
      <c r="U2653" s="38"/>
      <c r="V2653" s="38"/>
      <c r="W2653" s="38"/>
      <c r="X2653" s="38"/>
      <c r="Y2653" s="38"/>
      <c r="Z2653" s="38"/>
      <c r="AA2653" s="38"/>
      <c r="AB2653" s="38"/>
      <c r="AC2653" s="38"/>
      <c r="AD2653" s="38"/>
      <c r="AE2653" s="38"/>
      <c r="AF2653" s="38"/>
      <c r="AG2653" s="38"/>
      <c r="AH2653" s="38"/>
    </row>
    <row r="2654" spans="3:34" ht="20.100000000000001" customHeight="1">
      <c r="C2654" s="113"/>
      <c r="D2654" s="114"/>
      <c r="P2654" s="82"/>
      <c r="Q2654" s="82"/>
      <c r="R2654" s="38"/>
      <c r="S2654" s="38"/>
      <c r="T2654" s="38"/>
      <c r="U2654" s="38"/>
      <c r="V2654" s="38"/>
      <c r="W2654" s="38"/>
      <c r="X2654" s="38"/>
      <c r="Y2654" s="38"/>
      <c r="Z2654" s="38"/>
      <c r="AA2654" s="38"/>
      <c r="AB2654" s="38"/>
      <c r="AC2654" s="38"/>
      <c r="AD2654" s="38"/>
      <c r="AE2654" s="38"/>
      <c r="AF2654" s="38"/>
      <c r="AG2654" s="38"/>
      <c r="AH2654" s="38"/>
    </row>
    <row r="2655" spans="3:34" ht="20.100000000000001" customHeight="1">
      <c r="C2655" s="113"/>
      <c r="D2655" s="114"/>
      <c r="P2655" s="82"/>
      <c r="Q2655" s="82"/>
      <c r="R2655" s="38"/>
      <c r="S2655" s="38"/>
      <c r="T2655" s="38"/>
      <c r="U2655" s="38"/>
      <c r="V2655" s="38"/>
      <c r="W2655" s="38"/>
      <c r="X2655" s="38"/>
      <c r="Y2655" s="38"/>
      <c r="Z2655" s="38"/>
      <c r="AA2655" s="38"/>
      <c r="AB2655" s="38"/>
      <c r="AC2655" s="38"/>
      <c r="AD2655" s="38"/>
      <c r="AE2655" s="38"/>
      <c r="AF2655" s="38"/>
      <c r="AG2655" s="38"/>
      <c r="AH2655" s="38"/>
    </row>
    <row r="2656" spans="3:34" ht="20.100000000000001" customHeight="1">
      <c r="C2656" s="113"/>
      <c r="D2656" s="114"/>
      <c r="P2656" s="82"/>
      <c r="Q2656" s="82"/>
      <c r="R2656" s="38"/>
      <c r="S2656" s="38"/>
      <c r="T2656" s="38"/>
      <c r="U2656" s="38"/>
      <c r="V2656" s="38"/>
      <c r="W2656" s="38"/>
      <c r="X2656" s="38"/>
      <c r="Y2656" s="38"/>
      <c r="Z2656" s="38"/>
      <c r="AA2656" s="38"/>
      <c r="AB2656" s="38"/>
      <c r="AC2656" s="38"/>
      <c r="AD2656" s="38"/>
      <c r="AE2656" s="38"/>
      <c r="AF2656" s="38"/>
      <c r="AG2656" s="38"/>
      <c r="AH2656" s="38"/>
    </row>
    <row r="2657" spans="3:34" ht="20.100000000000001" customHeight="1">
      <c r="C2657" s="113"/>
      <c r="D2657" s="114"/>
      <c r="P2657" s="82"/>
      <c r="Q2657" s="82"/>
      <c r="R2657" s="38"/>
      <c r="S2657" s="38"/>
      <c r="T2657" s="38"/>
      <c r="U2657" s="38"/>
      <c r="V2657" s="38"/>
      <c r="W2657" s="38"/>
      <c r="X2657" s="38"/>
      <c r="Y2657" s="38"/>
      <c r="Z2657" s="38"/>
      <c r="AA2657" s="38"/>
      <c r="AB2657" s="38"/>
      <c r="AC2657" s="38"/>
      <c r="AD2657" s="38"/>
      <c r="AE2657" s="38"/>
      <c r="AF2657" s="38"/>
      <c r="AG2657" s="38"/>
      <c r="AH2657" s="38"/>
    </row>
    <row r="2658" spans="3:34" ht="20.100000000000001" customHeight="1">
      <c r="C2658" s="113"/>
      <c r="D2658" s="114"/>
      <c r="P2658" s="82"/>
      <c r="Q2658" s="82"/>
      <c r="R2658" s="38"/>
      <c r="S2658" s="38"/>
      <c r="T2658" s="38"/>
      <c r="U2658" s="38"/>
      <c r="V2658" s="38"/>
      <c r="W2658" s="38"/>
      <c r="X2658" s="38"/>
      <c r="Y2658" s="38"/>
      <c r="Z2658" s="38"/>
      <c r="AA2658" s="38"/>
      <c r="AB2658" s="38"/>
      <c r="AC2658" s="38"/>
      <c r="AD2658" s="38"/>
      <c r="AE2658" s="38"/>
      <c r="AF2658" s="38"/>
      <c r="AG2658" s="38"/>
      <c r="AH2658" s="38"/>
    </row>
    <row r="2659" spans="3:34" ht="20.100000000000001" customHeight="1">
      <c r="C2659" s="113"/>
      <c r="D2659" s="114"/>
      <c r="P2659" s="82"/>
      <c r="Q2659" s="82"/>
      <c r="R2659" s="38"/>
      <c r="S2659" s="38"/>
      <c r="T2659" s="38"/>
      <c r="U2659" s="38"/>
      <c r="V2659" s="38"/>
      <c r="W2659" s="38"/>
      <c r="X2659" s="38"/>
      <c r="Y2659" s="38"/>
      <c r="Z2659" s="38"/>
      <c r="AA2659" s="38"/>
      <c r="AB2659" s="38"/>
      <c r="AC2659" s="38"/>
      <c r="AD2659" s="38"/>
      <c r="AE2659" s="38"/>
      <c r="AF2659" s="38"/>
      <c r="AG2659" s="38"/>
      <c r="AH2659" s="38"/>
    </row>
    <row r="2660" spans="3:34" ht="20.100000000000001" customHeight="1">
      <c r="C2660" s="113"/>
      <c r="D2660" s="114"/>
      <c r="P2660" s="82"/>
      <c r="Q2660" s="82"/>
      <c r="R2660" s="38"/>
      <c r="S2660" s="38"/>
      <c r="T2660" s="38"/>
      <c r="U2660" s="38"/>
      <c r="V2660" s="38"/>
      <c r="W2660" s="38"/>
      <c r="X2660" s="38"/>
      <c r="Y2660" s="38"/>
      <c r="Z2660" s="38"/>
      <c r="AA2660" s="38"/>
      <c r="AB2660" s="38"/>
      <c r="AC2660" s="38"/>
      <c r="AD2660" s="38"/>
      <c r="AE2660" s="38"/>
      <c r="AF2660" s="38"/>
      <c r="AG2660" s="38"/>
      <c r="AH2660" s="38"/>
    </row>
    <row r="2661" spans="3:34" ht="20.100000000000001" customHeight="1">
      <c r="C2661" s="113"/>
      <c r="D2661" s="114"/>
      <c r="P2661" s="82"/>
      <c r="Q2661" s="82"/>
      <c r="R2661" s="38"/>
      <c r="S2661" s="38"/>
      <c r="T2661" s="38"/>
      <c r="U2661" s="38"/>
      <c r="V2661" s="38"/>
      <c r="W2661" s="38"/>
      <c r="X2661" s="38"/>
      <c r="Y2661" s="38"/>
      <c r="Z2661" s="38"/>
      <c r="AA2661" s="38"/>
      <c r="AB2661" s="38"/>
      <c r="AC2661" s="38"/>
      <c r="AD2661" s="38"/>
      <c r="AE2661" s="38"/>
      <c r="AF2661" s="38"/>
      <c r="AG2661" s="38"/>
      <c r="AH2661" s="38"/>
    </row>
    <row r="2662" spans="3:34" ht="20.100000000000001" customHeight="1">
      <c r="C2662" s="113"/>
      <c r="D2662" s="114"/>
      <c r="P2662" s="82"/>
      <c r="Q2662" s="82"/>
      <c r="R2662" s="38"/>
      <c r="S2662" s="38"/>
      <c r="T2662" s="38"/>
      <c r="U2662" s="38"/>
      <c r="V2662" s="38"/>
      <c r="W2662" s="38"/>
      <c r="X2662" s="38"/>
      <c r="Y2662" s="38"/>
      <c r="Z2662" s="38"/>
      <c r="AA2662" s="38"/>
      <c r="AB2662" s="38"/>
      <c r="AC2662" s="38"/>
      <c r="AD2662" s="38"/>
      <c r="AE2662" s="38"/>
      <c r="AF2662" s="38"/>
      <c r="AG2662" s="38"/>
      <c r="AH2662" s="38"/>
    </row>
    <row r="2663" spans="3:34" ht="20.100000000000001" customHeight="1">
      <c r="C2663" s="113"/>
      <c r="D2663" s="114"/>
      <c r="P2663" s="82"/>
      <c r="Q2663" s="82"/>
      <c r="R2663" s="38"/>
      <c r="S2663" s="38"/>
      <c r="T2663" s="38"/>
      <c r="U2663" s="38"/>
      <c r="V2663" s="38"/>
      <c r="W2663" s="38"/>
      <c r="X2663" s="38"/>
      <c r="Y2663" s="38"/>
      <c r="Z2663" s="38"/>
      <c r="AA2663" s="38"/>
      <c r="AB2663" s="38"/>
      <c r="AC2663" s="38"/>
      <c r="AD2663" s="38"/>
      <c r="AE2663" s="38"/>
      <c r="AF2663" s="38"/>
      <c r="AG2663" s="38"/>
      <c r="AH2663" s="38"/>
    </row>
    <row r="2664" spans="3:34" ht="20.100000000000001" customHeight="1">
      <c r="C2664" s="113"/>
      <c r="D2664" s="114"/>
      <c r="P2664" s="82"/>
      <c r="Q2664" s="82"/>
      <c r="R2664" s="38"/>
      <c r="S2664" s="38"/>
      <c r="T2664" s="38"/>
      <c r="U2664" s="38"/>
      <c r="V2664" s="38"/>
      <c r="W2664" s="38"/>
      <c r="X2664" s="38"/>
      <c r="Y2664" s="38"/>
      <c r="Z2664" s="38"/>
      <c r="AA2664" s="38"/>
      <c r="AB2664" s="38"/>
      <c r="AC2664" s="38"/>
      <c r="AD2664" s="38"/>
      <c r="AE2664" s="38"/>
      <c r="AF2664" s="38"/>
      <c r="AG2664" s="38"/>
      <c r="AH2664" s="38"/>
    </row>
    <row r="2665" spans="3:34" ht="20.100000000000001" customHeight="1">
      <c r="C2665" s="113"/>
      <c r="D2665" s="114"/>
      <c r="P2665" s="82"/>
      <c r="Q2665" s="82"/>
      <c r="R2665" s="38"/>
      <c r="S2665" s="38"/>
      <c r="T2665" s="38"/>
      <c r="U2665" s="38"/>
      <c r="V2665" s="38"/>
      <c r="W2665" s="38"/>
      <c r="X2665" s="38"/>
      <c r="Y2665" s="38"/>
      <c r="Z2665" s="38"/>
      <c r="AA2665" s="38"/>
      <c r="AB2665" s="38"/>
      <c r="AC2665" s="38"/>
      <c r="AD2665" s="38"/>
      <c r="AE2665" s="38"/>
      <c r="AF2665" s="38"/>
      <c r="AG2665" s="38"/>
      <c r="AH2665" s="38"/>
    </row>
    <row r="2666" spans="3:34" ht="20.100000000000001" customHeight="1">
      <c r="C2666" s="113"/>
      <c r="D2666" s="114"/>
      <c r="P2666" s="82"/>
      <c r="Q2666" s="82"/>
      <c r="R2666" s="38"/>
      <c r="S2666" s="38"/>
      <c r="T2666" s="38"/>
      <c r="U2666" s="38"/>
      <c r="V2666" s="38"/>
      <c r="W2666" s="38"/>
      <c r="X2666" s="38"/>
      <c r="Y2666" s="38"/>
      <c r="Z2666" s="38"/>
      <c r="AA2666" s="38"/>
      <c r="AB2666" s="38"/>
      <c r="AC2666" s="38"/>
      <c r="AD2666" s="38"/>
      <c r="AE2666" s="38"/>
      <c r="AF2666" s="38"/>
      <c r="AG2666" s="38"/>
      <c r="AH2666" s="38"/>
    </row>
    <row r="2667" spans="3:34" ht="20.100000000000001" customHeight="1">
      <c r="C2667" s="113"/>
      <c r="D2667" s="114"/>
      <c r="P2667" s="82"/>
      <c r="Q2667" s="82"/>
      <c r="R2667" s="38"/>
      <c r="S2667" s="38"/>
      <c r="T2667" s="38"/>
      <c r="U2667" s="38"/>
      <c r="V2667" s="38"/>
      <c r="W2667" s="38"/>
      <c r="X2667" s="38"/>
      <c r="Y2667" s="38"/>
      <c r="Z2667" s="38"/>
      <c r="AA2667" s="38"/>
      <c r="AB2667" s="38"/>
      <c r="AC2667" s="38"/>
      <c r="AD2667" s="38"/>
      <c r="AE2667" s="38"/>
      <c r="AF2667" s="38"/>
      <c r="AG2667" s="38"/>
      <c r="AH2667" s="38"/>
    </row>
    <row r="2668" spans="3:34" ht="20.100000000000001" customHeight="1">
      <c r="C2668" s="113"/>
      <c r="D2668" s="114"/>
      <c r="P2668" s="82"/>
      <c r="Q2668" s="82"/>
      <c r="R2668" s="38"/>
      <c r="S2668" s="38"/>
      <c r="T2668" s="38"/>
      <c r="U2668" s="38"/>
      <c r="V2668" s="38"/>
      <c r="W2668" s="38"/>
      <c r="X2668" s="38"/>
      <c r="Y2668" s="38"/>
      <c r="Z2668" s="38"/>
      <c r="AA2668" s="38"/>
      <c r="AB2668" s="38"/>
      <c r="AC2668" s="38"/>
      <c r="AD2668" s="38"/>
      <c r="AE2668" s="38"/>
      <c r="AF2668" s="38"/>
      <c r="AG2668" s="38"/>
      <c r="AH2668" s="38"/>
    </row>
    <row r="2669" spans="3:34" ht="20.100000000000001" customHeight="1">
      <c r="C2669" s="113"/>
      <c r="D2669" s="114"/>
      <c r="P2669" s="82"/>
      <c r="Q2669" s="82"/>
      <c r="R2669" s="38"/>
      <c r="S2669" s="38"/>
      <c r="T2669" s="38"/>
      <c r="U2669" s="38"/>
      <c r="V2669" s="38"/>
      <c r="W2669" s="38"/>
      <c r="X2669" s="38"/>
      <c r="Y2669" s="38"/>
      <c r="Z2669" s="38"/>
      <c r="AA2669" s="38"/>
      <c r="AB2669" s="38"/>
      <c r="AC2669" s="38"/>
      <c r="AD2669" s="38"/>
      <c r="AE2669" s="38"/>
      <c r="AF2669" s="38"/>
      <c r="AG2669" s="38"/>
      <c r="AH2669" s="38"/>
    </row>
    <row r="2670" spans="3:34" ht="20.100000000000001" customHeight="1">
      <c r="C2670" s="113"/>
      <c r="D2670" s="114"/>
      <c r="P2670" s="82"/>
      <c r="Q2670" s="82"/>
      <c r="R2670" s="38"/>
      <c r="S2670" s="38"/>
      <c r="T2670" s="38"/>
      <c r="U2670" s="38"/>
      <c r="V2670" s="38"/>
      <c r="W2670" s="38"/>
      <c r="X2670" s="38"/>
      <c r="Y2670" s="38"/>
      <c r="Z2670" s="38"/>
      <c r="AA2670" s="38"/>
      <c r="AB2670" s="38"/>
      <c r="AC2670" s="38"/>
      <c r="AD2670" s="38"/>
      <c r="AE2670" s="38"/>
      <c r="AF2670" s="38"/>
      <c r="AG2670" s="38"/>
      <c r="AH2670" s="38"/>
    </row>
    <row r="2671" spans="3:34" ht="20.100000000000001" customHeight="1">
      <c r="C2671" s="113"/>
      <c r="D2671" s="114"/>
      <c r="P2671" s="82"/>
      <c r="Q2671" s="82"/>
      <c r="R2671" s="38"/>
      <c r="S2671" s="38"/>
      <c r="T2671" s="38"/>
      <c r="U2671" s="38"/>
      <c r="V2671" s="38"/>
      <c r="W2671" s="38"/>
      <c r="X2671" s="38"/>
      <c r="Y2671" s="38"/>
      <c r="Z2671" s="38"/>
      <c r="AA2671" s="38"/>
      <c r="AB2671" s="38"/>
      <c r="AC2671" s="38"/>
      <c r="AD2671" s="38"/>
      <c r="AE2671" s="38"/>
      <c r="AF2671" s="38"/>
      <c r="AG2671" s="38"/>
      <c r="AH2671" s="38"/>
    </row>
    <row r="2672" spans="3:34" ht="20.100000000000001" customHeight="1">
      <c r="C2672" s="113"/>
      <c r="D2672" s="114"/>
      <c r="P2672" s="82"/>
      <c r="Q2672" s="82"/>
      <c r="R2672" s="38"/>
      <c r="S2672" s="38"/>
      <c r="T2672" s="38"/>
      <c r="U2672" s="38"/>
      <c r="V2672" s="38"/>
      <c r="W2672" s="38"/>
      <c r="X2672" s="38"/>
      <c r="Y2672" s="38"/>
      <c r="Z2672" s="38"/>
      <c r="AA2672" s="38"/>
      <c r="AB2672" s="38"/>
      <c r="AC2672" s="38"/>
      <c r="AD2672" s="38"/>
      <c r="AE2672" s="38"/>
      <c r="AF2672" s="38"/>
      <c r="AG2672" s="38"/>
      <c r="AH2672" s="38"/>
    </row>
    <row r="2673" spans="3:34" ht="20.100000000000001" customHeight="1">
      <c r="C2673" s="113"/>
      <c r="D2673" s="114"/>
      <c r="P2673" s="82"/>
      <c r="Q2673" s="82"/>
      <c r="R2673" s="38"/>
      <c r="S2673" s="38"/>
      <c r="T2673" s="38"/>
      <c r="U2673" s="38"/>
      <c r="V2673" s="38"/>
      <c r="W2673" s="38"/>
      <c r="X2673" s="38"/>
      <c r="Y2673" s="38"/>
      <c r="Z2673" s="38"/>
      <c r="AA2673" s="38"/>
      <c r="AB2673" s="38"/>
      <c r="AC2673" s="38"/>
      <c r="AD2673" s="38"/>
      <c r="AE2673" s="38"/>
      <c r="AF2673" s="38"/>
      <c r="AG2673" s="38"/>
      <c r="AH2673" s="38"/>
    </row>
    <row r="2674" spans="3:34" ht="20.100000000000001" customHeight="1">
      <c r="C2674" s="113"/>
      <c r="D2674" s="114"/>
      <c r="P2674" s="82"/>
      <c r="Q2674" s="82"/>
      <c r="R2674" s="38"/>
      <c r="S2674" s="38"/>
      <c r="T2674" s="38"/>
      <c r="U2674" s="38"/>
      <c r="V2674" s="38"/>
      <c r="W2674" s="38"/>
      <c r="X2674" s="38"/>
      <c r="Y2674" s="38"/>
      <c r="Z2674" s="38"/>
      <c r="AA2674" s="38"/>
      <c r="AB2674" s="38"/>
      <c r="AC2674" s="38"/>
      <c r="AD2674" s="38"/>
      <c r="AE2674" s="38"/>
      <c r="AF2674" s="38"/>
      <c r="AG2674" s="38"/>
      <c r="AH2674" s="38"/>
    </row>
    <row r="2675" spans="3:34" ht="20.100000000000001" customHeight="1">
      <c r="C2675" s="113"/>
      <c r="D2675" s="114"/>
      <c r="P2675" s="82"/>
      <c r="Q2675" s="82"/>
      <c r="R2675" s="38"/>
      <c r="S2675" s="38"/>
      <c r="T2675" s="38"/>
      <c r="U2675" s="38"/>
      <c r="V2675" s="38"/>
      <c r="W2675" s="38"/>
      <c r="X2675" s="38"/>
      <c r="Y2675" s="38"/>
      <c r="Z2675" s="38"/>
      <c r="AA2675" s="38"/>
      <c r="AB2675" s="38"/>
      <c r="AC2675" s="38"/>
      <c r="AD2675" s="38"/>
      <c r="AE2675" s="38"/>
      <c r="AF2675" s="38"/>
      <c r="AG2675" s="38"/>
      <c r="AH2675" s="38"/>
    </row>
    <row r="2676" spans="3:34" ht="20.100000000000001" customHeight="1">
      <c r="C2676" s="113"/>
      <c r="D2676" s="114"/>
      <c r="P2676" s="82"/>
      <c r="Q2676" s="82"/>
      <c r="R2676" s="38"/>
      <c r="S2676" s="38"/>
      <c r="T2676" s="38"/>
      <c r="U2676" s="38"/>
      <c r="V2676" s="38"/>
      <c r="W2676" s="38"/>
      <c r="X2676" s="38"/>
      <c r="Y2676" s="38"/>
      <c r="Z2676" s="38"/>
      <c r="AA2676" s="38"/>
      <c r="AB2676" s="38"/>
      <c r="AC2676" s="38"/>
      <c r="AD2676" s="38"/>
      <c r="AE2676" s="38"/>
      <c r="AF2676" s="38"/>
      <c r="AG2676" s="38"/>
      <c r="AH2676" s="38"/>
    </row>
    <row r="2677" spans="3:34" ht="20.100000000000001" customHeight="1">
      <c r="C2677" s="113"/>
      <c r="D2677" s="114"/>
      <c r="P2677" s="82"/>
      <c r="Q2677" s="82"/>
      <c r="R2677" s="38"/>
      <c r="S2677" s="38"/>
      <c r="T2677" s="38"/>
      <c r="U2677" s="38"/>
      <c r="V2677" s="38"/>
      <c r="W2677" s="38"/>
      <c r="X2677" s="38"/>
      <c r="Y2677" s="38"/>
      <c r="Z2677" s="38"/>
      <c r="AA2677" s="38"/>
      <c r="AB2677" s="38"/>
      <c r="AC2677" s="38"/>
      <c r="AD2677" s="38"/>
      <c r="AE2677" s="38"/>
      <c r="AF2677" s="38"/>
      <c r="AG2677" s="38"/>
      <c r="AH2677" s="38"/>
    </row>
    <row r="2678" spans="3:34" ht="20.100000000000001" customHeight="1">
      <c r="C2678" s="113"/>
      <c r="D2678" s="114"/>
      <c r="P2678" s="82"/>
      <c r="Q2678" s="82"/>
      <c r="R2678" s="38"/>
      <c r="S2678" s="38"/>
      <c r="T2678" s="38"/>
      <c r="U2678" s="38"/>
      <c r="V2678" s="38"/>
      <c r="W2678" s="38"/>
      <c r="X2678" s="38"/>
      <c r="Y2678" s="38"/>
      <c r="Z2678" s="38"/>
      <c r="AA2678" s="38"/>
      <c r="AB2678" s="38"/>
      <c r="AC2678" s="38"/>
      <c r="AD2678" s="38"/>
      <c r="AE2678" s="38"/>
      <c r="AF2678" s="38"/>
      <c r="AG2678" s="38"/>
      <c r="AH2678" s="38"/>
    </row>
    <row r="2679" spans="3:34" ht="20.100000000000001" customHeight="1">
      <c r="C2679" s="113"/>
      <c r="D2679" s="114"/>
      <c r="P2679" s="82"/>
      <c r="Q2679" s="82"/>
      <c r="R2679" s="38"/>
      <c r="S2679" s="38"/>
      <c r="T2679" s="38"/>
      <c r="U2679" s="38"/>
      <c r="V2679" s="38"/>
      <c r="W2679" s="38"/>
      <c r="X2679" s="38"/>
      <c r="Y2679" s="38"/>
      <c r="Z2679" s="38"/>
      <c r="AA2679" s="38"/>
      <c r="AB2679" s="38"/>
      <c r="AC2679" s="38"/>
      <c r="AD2679" s="38"/>
      <c r="AE2679" s="38"/>
      <c r="AF2679" s="38"/>
      <c r="AG2679" s="38"/>
      <c r="AH2679" s="38"/>
    </row>
    <row r="2680" spans="3:34" ht="20.100000000000001" customHeight="1">
      <c r="C2680" s="113"/>
      <c r="D2680" s="114"/>
      <c r="P2680" s="82"/>
      <c r="Q2680" s="82"/>
      <c r="R2680" s="38"/>
      <c r="S2680" s="38"/>
      <c r="T2680" s="38"/>
      <c r="U2680" s="38"/>
      <c r="V2680" s="38"/>
      <c r="W2680" s="38"/>
      <c r="X2680" s="38"/>
      <c r="Y2680" s="38"/>
      <c r="Z2680" s="38"/>
      <c r="AA2680" s="38"/>
      <c r="AB2680" s="38"/>
      <c r="AC2680" s="38"/>
      <c r="AD2680" s="38"/>
      <c r="AE2680" s="38"/>
      <c r="AF2680" s="38"/>
      <c r="AG2680" s="38"/>
      <c r="AH2680" s="38"/>
    </row>
    <row r="2681" spans="3:34" ht="20.100000000000001" customHeight="1">
      <c r="C2681" s="113"/>
      <c r="D2681" s="114"/>
      <c r="P2681" s="82"/>
      <c r="Q2681" s="82"/>
      <c r="R2681" s="38"/>
      <c r="S2681" s="38"/>
      <c r="T2681" s="38"/>
      <c r="U2681" s="38"/>
      <c r="V2681" s="38"/>
      <c r="W2681" s="38"/>
      <c r="X2681" s="38"/>
      <c r="Y2681" s="38"/>
      <c r="Z2681" s="38"/>
      <c r="AA2681" s="38"/>
      <c r="AB2681" s="38"/>
      <c r="AC2681" s="38"/>
      <c r="AD2681" s="38"/>
      <c r="AE2681" s="38"/>
      <c r="AF2681" s="38"/>
      <c r="AG2681" s="38"/>
      <c r="AH2681" s="38"/>
    </row>
    <row r="2682" spans="3:34" ht="20.100000000000001" customHeight="1">
      <c r="C2682" s="113"/>
      <c r="D2682" s="114"/>
      <c r="P2682" s="82"/>
      <c r="Q2682" s="82"/>
      <c r="R2682" s="38"/>
      <c r="S2682" s="38"/>
      <c r="T2682" s="38"/>
      <c r="U2682" s="38"/>
      <c r="V2682" s="38"/>
      <c r="W2682" s="38"/>
      <c r="X2682" s="38"/>
      <c r="Y2682" s="38"/>
      <c r="Z2682" s="38"/>
      <c r="AA2682" s="38"/>
      <c r="AB2682" s="38"/>
      <c r="AC2682" s="38"/>
      <c r="AD2682" s="38"/>
      <c r="AE2682" s="38"/>
      <c r="AF2682" s="38"/>
      <c r="AG2682" s="38"/>
      <c r="AH2682" s="38"/>
    </row>
    <row r="2683" spans="3:34" ht="20.100000000000001" customHeight="1">
      <c r="C2683" s="113"/>
      <c r="D2683" s="114"/>
      <c r="P2683" s="82"/>
      <c r="Q2683" s="82"/>
      <c r="R2683" s="38"/>
      <c r="S2683" s="38"/>
      <c r="T2683" s="38"/>
      <c r="U2683" s="38"/>
      <c r="V2683" s="38"/>
      <c r="W2683" s="38"/>
      <c r="X2683" s="38"/>
      <c r="Y2683" s="38"/>
      <c r="Z2683" s="38"/>
      <c r="AA2683" s="38"/>
      <c r="AB2683" s="38"/>
      <c r="AC2683" s="38"/>
      <c r="AD2683" s="38"/>
      <c r="AE2683" s="38"/>
      <c r="AF2683" s="38"/>
      <c r="AG2683" s="38"/>
      <c r="AH2683" s="38"/>
    </row>
    <row r="2684" spans="3:34" ht="20.100000000000001" customHeight="1">
      <c r="C2684" s="113"/>
      <c r="D2684" s="114"/>
      <c r="P2684" s="82"/>
      <c r="Q2684" s="82"/>
      <c r="R2684" s="38"/>
      <c r="S2684" s="38"/>
      <c r="T2684" s="38"/>
      <c r="U2684" s="38"/>
      <c r="V2684" s="38"/>
      <c r="W2684" s="38"/>
      <c r="X2684" s="38"/>
      <c r="Y2684" s="38"/>
      <c r="Z2684" s="38"/>
      <c r="AA2684" s="38"/>
      <c r="AB2684" s="38"/>
      <c r="AC2684" s="38"/>
      <c r="AD2684" s="38"/>
      <c r="AE2684" s="38"/>
      <c r="AF2684" s="38"/>
      <c r="AG2684" s="38"/>
      <c r="AH2684" s="38"/>
    </row>
    <row r="2685" spans="3:34" ht="20.100000000000001" customHeight="1">
      <c r="C2685" s="113"/>
      <c r="D2685" s="114"/>
      <c r="P2685" s="82"/>
      <c r="Q2685" s="82"/>
      <c r="R2685" s="38"/>
      <c r="S2685" s="38"/>
      <c r="T2685" s="38"/>
      <c r="U2685" s="38"/>
      <c r="V2685" s="38"/>
      <c r="W2685" s="38"/>
      <c r="X2685" s="38"/>
      <c r="Y2685" s="38"/>
      <c r="Z2685" s="38"/>
      <c r="AA2685" s="38"/>
      <c r="AB2685" s="38"/>
      <c r="AC2685" s="38"/>
      <c r="AD2685" s="38"/>
      <c r="AE2685" s="38"/>
      <c r="AF2685" s="38"/>
      <c r="AG2685" s="38"/>
      <c r="AH2685" s="38"/>
    </row>
    <row r="2686" spans="3:34" ht="20.100000000000001" customHeight="1">
      <c r="C2686" s="113"/>
      <c r="D2686" s="114"/>
      <c r="P2686" s="82"/>
      <c r="Q2686" s="82"/>
      <c r="R2686" s="38"/>
      <c r="S2686" s="38"/>
      <c r="T2686" s="38"/>
      <c r="U2686" s="38"/>
      <c r="V2686" s="38"/>
      <c r="W2686" s="38"/>
      <c r="X2686" s="38"/>
      <c r="Y2686" s="38"/>
      <c r="Z2686" s="38"/>
      <c r="AA2686" s="38"/>
      <c r="AB2686" s="38"/>
      <c r="AC2686" s="38"/>
      <c r="AD2686" s="38"/>
      <c r="AE2686" s="38"/>
      <c r="AF2686" s="38"/>
      <c r="AG2686" s="38"/>
      <c r="AH2686" s="38"/>
    </row>
    <row r="2687" spans="3:34" ht="20.100000000000001" customHeight="1">
      <c r="C2687" s="113"/>
      <c r="D2687" s="114"/>
      <c r="P2687" s="82"/>
      <c r="Q2687" s="82"/>
      <c r="R2687" s="38"/>
      <c r="S2687" s="38"/>
      <c r="T2687" s="38"/>
      <c r="U2687" s="38"/>
      <c r="V2687" s="38"/>
      <c r="W2687" s="38"/>
      <c r="X2687" s="38"/>
      <c r="Y2687" s="38"/>
      <c r="Z2687" s="38"/>
      <c r="AA2687" s="38"/>
      <c r="AB2687" s="38"/>
      <c r="AC2687" s="38"/>
      <c r="AD2687" s="38"/>
      <c r="AE2687" s="38"/>
      <c r="AF2687" s="38"/>
      <c r="AG2687" s="38"/>
      <c r="AH2687" s="38"/>
    </row>
    <row r="2688" spans="3:34" ht="20.100000000000001" customHeight="1">
      <c r="C2688" s="113"/>
      <c r="D2688" s="114"/>
      <c r="P2688" s="82"/>
      <c r="Q2688" s="82"/>
      <c r="R2688" s="38"/>
      <c r="S2688" s="38"/>
      <c r="T2688" s="38"/>
      <c r="U2688" s="38"/>
      <c r="V2688" s="38"/>
      <c r="W2688" s="38"/>
      <c r="X2688" s="38"/>
      <c r="Y2688" s="38"/>
      <c r="Z2688" s="38"/>
      <c r="AA2688" s="38"/>
      <c r="AB2688" s="38"/>
      <c r="AC2688" s="38"/>
      <c r="AD2688" s="38"/>
      <c r="AE2688" s="38"/>
      <c r="AF2688" s="38"/>
      <c r="AG2688" s="38"/>
      <c r="AH2688" s="38"/>
    </row>
    <row r="2689" spans="3:34" ht="20.100000000000001" customHeight="1">
      <c r="C2689" s="113"/>
      <c r="D2689" s="114"/>
      <c r="P2689" s="82"/>
      <c r="Q2689" s="82"/>
      <c r="R2689" s="38"/>
      <c r="S2689" s="38"/>
      <c r="T2689" s="38"/>
      <c r="U2689" s="38"/>
      <c r="V2689" s="38"/>
      <c r="W2689" s="38"/>
      <c r="X2689" s="38"/>
      <c r="Y2689" s="38"/>
      <c r="Z2689" s="38"/>
      <c r="AA2689" s="38"/>
      <c r="AB2689" s="38"/>
      <c r="AC2689" s="38"/>
      <c r="AD2689" s="38"/>
      <c r="AE2689" s="38"/>
      <c r="AF2689" s="38"/>
      <c r="AG2689" s="38"/>
      <c r="AH2689" s="38"/>
    </row>
    <row r="2690" spans="3:34" ht="20.100000000000001" customHeight="1">
      <c r="C2690" s="113"/>
      <c r="D2690" s="114"/>
      <c r="P2690" s="82"/>
      <c r="Q2690" s="82"/>
      <c r="R2690" s="38"/>
      <c r="S2690" s="38"/>
      <c r="T2690" s="38"/>
      <c r="U2690" s="38"/>
      <c r="V2690" s="38"/>
      <c r="W2690" s="38"/>
      <c r="X2690" s="38"/>
      <c r="Y2690" s="38"/>
      <c r="Z2690" s="38"/>
      <c r="AA2690" s="38"/>
      <c r="AB2690" s="38"/>
      <c r="AC2690" s="38"/>
      <c r="AD2690" s="38"/>
      <c r="AE2690" s="38"/>
      <c r="AF2690" s="38"/>
      <c r="AG2690" s="38"/>
      <c r="AH2690" s="38"/>
    </row>
    <row r="2691" spans="3:34" ht="20.100000000000001" customHeight="1">
      <c r="C2691" s="113"/>
      <c r="D2691" s="114"/>
      <c r="P2691" s="82"/>
      <c r="Q2691" s="82"/>
      <c r="R2691" s="38"/>
      <c r="S2691" s="38"/>
      <c r="T2691" s="38"/>
      <c r="U2691" s="38"/>
      <c r="V2691" s="38"/>
      <c r="W2691" s="38"/>
      <c r="X2691" s="38"/>
      <c r="Y2691" s="38"/>
      <c r="Z2691" s="38"/>
      <c r="AA2691" s="38"/>
      <c r="AB2691" s="38"/>
      <c r="AC2691" s="38"/>
      <c r="AD2691" s="38"/>
      <c r="AE2691" s="38"/>
      <c r="AF2691" s="38"/>
      <c r="AG2691" s="38"/>
      <c r="AH2691" s="38"/>
    </row>
    <row r="2692" spans="3:34" ht="20.100000000000001" customHeight="1">
      <c r="C2692" s="113"/>
      <c r="D2692" s="114"/>
      <c r="P2692" s="82"/>
      <c r="Q2692" s="82"/>
      <c r="R2692" s="38"/>
      <c r="S2692" s="38"/>
      <c r="T2692" s="38"/>
      <c r="U2692" s="38"/>
      <c r="V2692" s="38"/>
      <c r="W2692" s="38"/>
      <c r="X2692" s="38"/>
      <c r="Y2692" s="38"/>
      <c r="Z2692" s="38"/>
      <c r="AA2692" s="38"/>
      <c r="AB2692" s="38"/>
      <c r="AC2692" s="38"/>
      <c r="AD2692" s="38"/>
      <c r="AE2692" s="38"/>
      <c r="AF2692" s="38"/>
      <c r="AG2692" s="38"/>
      <c r="AH2692" s="38"/>
    </row>
    <row r="2693" spans="3:34" ht="20.100000000000001" customHeight="1">
      <c r="C2693" s="113"/>
      <c r="D2693" s="114"/>
      <c r="P2693" s="82"/>
      <c r="Q2693" s="82"/>
      <c r="R2693" s="38"/>
      <c r="S2693" s="38"/>
      <c r="T2693" s="38"/>
      <c r="U2693" s="38"/>
      <c r="V2693" s="38"/>
      <c r="W2693" s="38"/>
      <c r="X2693" s="38"/>
      <c r="Y2693" s="38"/>
      <c r="Z2693" s="38"/>
      <c r="AA2693" s="38"/>
      <c r="AB2693" s="38"/>
      <c r="AC2693" s="38"/>
      <c r="AD2693" s="38"/>
      <c r="AE2693" s="38"/>
      <c r="AF2693" s="38"/>
      <c r="AG2693" s="38"/>
      <c r="AH2693" s="38"/>
    </row>
    <row r="2694" spans="3:34" ht="20.100000000000001" customHeight="1">
      <c r="C2694" s="113"/>
      <c r="D2694" s="114"/>
      <c r="P2694" s="82"/>
      <c r="Q2694" s="82"/>
      <c r="R2694" s="38"/>
      <c r="S2694" s="38"/>
      <c r="T2694" s="38"/>
      <c r="U2694" s="38"/>
      <c r="V2694" s="38"/>
      <c r="W2694" s="38"/>
      <c r="X2694" s="38"/>
      <c r="Y2694" s="38"/>
      <c r="Z2694" s="38"/>
      <c r="AA2694" s="38"/>
      <c r="AB2694" s="38"/>
      <c r="AC2694" s="38"/>
      <c r="AD2694" s="38"/>
      <c r="AE2694" s="38"/>
      <c r="AF2694" s="38"/>
      <c r="AG2694" s="38"/>
      <c r="AH2694" s="38"/>
    </row>
    <row r="2695" spans="3:34" ht="20.100000000000001" customHeight="1">
      <c r="C2695" s="113"/>
      <c r="D2695" s="114"/>
      <c r="P2695" s="82"/>
      <c r="Q2695" s="82"/>
      <c r="R2695" s="38"/>
      <c r="S2695" s="38"/>
      <c r="T2695" s="38"/>
      <c r="U2695" s="38"/>
      <c r="V2695" s="38"/>
      <c r="W2695" s="38"/>
      <c r="X2695" s="38"/>
      <c r="Y2695" s="38"/>
      <c r="Z2695" s="38"/>
      <c r="AA2695" s="38"/>
      <c r="AB2695" s="38"/>
      <c r="AC2695" s="38"/>
      <c r="AD2695" s="38"/>
      <c r="AE2695" s="38"/>
      <c r="AF2695" s="38"/>
      <c r="AG2695" s="38"/>
      <c r="AH2695" s="38"/>
    </row>
    <row r="2696" spans="3:34" ht="20.100000000000001" customHeight="1">
      <c r="C2696" s="113"/>
      <c r="D2696" s="114"/>
      <c r="P2696" s="82"/>
      <c r="Q2696" s="82"/>
      <c r="R2696" s="38"/>
      <c r="S2696" s="38"/>
      <c r="T2696" s="38"/>
      <c r="U2696" s="38"/>
      <c r="V2696" s="38"/>
      <c r="W2696" s="38"/>
      <c r="X2696" s="38"/>
      <c r="Y2696" s="38"/>
      <c r="Z2696" s="38"/>
      <c r="AA2696" s="38"/>
      <c r="AB2696" s="38"/>
      <c r="AC2696" s="38"/>
      <c r="AD2696" s="38"/>
      <c r="AE2696" s="38"/>
      <c r="AF2696" s="38"/>
      <c r="AG2696" s="38"/>
      <c r="AH2696" s="38"/>
    </row>
    <row r="2697" spans="3:34" ht="20.100000000000001" customHeight="1">
      <c r="C2697" s="113"/>
      <c r="D2697" s="114"/>
      <c r="P2697" s="82"/>
      <c r="Q2697" s="82"/>
      <c r="R2697" s="38"/>
      <c r="S2697" s="38"/>
      <c r="T2697" s="38"/>
      <c r="U2697" s="38"/>
      <c r="V2697" s="38"/>
      <c r="W2697" s="38"/>
      <c r="X2697" s="38"/>
      <c r="Y2697" s="38"/>
      <c r="Z2697" s="38"/>
      <c r="AA2697" s="38"/>
      <c r="AB2697" s="38"/>
      <c r="AC2697" s="38"/>
      <c r="AD2697" s="38"/>
      <c r="AE2697" s="38"/>
      <c r="AF2697" s="38"/>
      <c r="AG2697" s="38"/>
      <c r="AH2697" s="38"/>
    </row>
    <row r="2698" spans="3:34" ht="20.100000000000001" customHeight="1">
      <c r="C2698" s="113"/>
      <c r="D2698" s="114"/>
      <c r="P2698" s="82"/>
      <c r="Q2698" s="82"/>
      <c r="R2698" s="38"/>
      <c r="S2698" s="38"/>
      <c r="T2698" s="38"/>
      <c r="U2698" s="38"/>
      <c r="V2698" s="38"/>
      <c r="W2698" s="38"/>
      <c r="X2698" s="38"/>
      <c r="Y2698" s="38"/>
      <c r="Z2698" s="38"/>
      <c r="AA2698" s="38"/>
      <c r="AB2698" s="38"/>
      <c r="AC2698" s="38"/>
      <c r="AD2698" s="38"/>
      <c r="AE2698" s="38"/>
      <c r="AF2698" s="38"/>
      <c r="AG2698" s="38"/>
      <c r="AH2698" s="38"/>
    </row>
    <row r="2699" spans="3:34" ht="20.100000000000001" customHeight="1">
      <c r="C2699" s="113"/>
      <c r="D2699" s="114"/>
      <c r="P2699" s="82"/>
      <c r="Q2699" s="82"/>
      <c r="R2699" s="38"/>
      <c r="S2699" s="38"/>
      <c r="T2699" s="38"/>
      <c r="U2699" s="38"/>
      <c r="V2699" s="38"/>
      <c r="W2699" s="38"/>
      <c r="X2699" s="38"/>
      <c r="Y2699" s="38"/>
      <c r="Z2699" s="38"/>
      <c r="AA2699" s="38"/>
      <c r="AB2699" s="38"/>
      <c r="AC2699" s="38"/>
      <c r="AD2699" s="38"/>
      <c r="AE2699" s="38"/>
      <c r="AF2699" s="38"/>
      <c r="AG2699" s="38"/>
      <c r="AH2699" s="38"/>
    </row>
    <row r="2700" spans="3:34" ht="20.100000000000001" customHeight="1">
      <c r="C2700" s="113"/>
      <c r="D2700" s="114"/>
      <c r="P2700" s="82"/>
      <c r="Q2700" s="82"/>
      <c r="R2700" s="38"/>
      <c r="S2700" s="38"/>
      <c r="T2700" s="38"/>
      <c r="U2700" s="38"/>
      <c r="V2700" s="38"/>
      <c r="W2700" s="38"/>
      <c r="X2700" s="38"/>
      <c r="Y2700" s="38"/>
      <c r="Z2700" s="38"/>
      <c r="AA2700" s="38"/>
      <c r="AB2700" s="38"/>
      <c r="AC2700" s="38"/>
      <c r="AD2700" s="38"/>
      <c r="AE2700" s="38"/>
      <c r="AF2700" s="38"/>
      <c r="AG2700" s="38"/>
      <c r="AH2700" s="38"/>
    </row>
    <row r="2701" spans="3:34" ht="20.100000000000001" customHeight="1">
      <c r="C2701" s="113"/>
      <c r="D2701" s="114"/>
      <c r="P2701" s="82"/>
      <c r="Q2701" s="82"/>
      <c r="R2701" s="38"/>
      <c r="S2701" s="38"/>
      <c r="T2701" s="38"/>
      <c r="U2701" s="38"/>
      <c r="V2701" s="38"/>
      <c r="W2701" s="38"/>
      <c r="X2701" s="38"/>
      <c r="Y2701" s="38"/>
      <c r="Z2701" s="38"/>
      <c r="AA2701" s="38"/>
      <c r="AB2701" s="38"/>
      <c r="AC2701" s="38"/>
      <c r="AD2701" s="38"/>
      <c r="AE2701" s="38"/>
      <c r="AF2701" s="38"/>
      <c r="AG2701" s="38"/>
      <c r="AH2701" s="38"/>
    </row>
    <row r="2702" spans="3:34" ht="20.100000000000001" customHeight="1">
      <c r="C2702" s="113"/>
      <c r="D2702" s="114"/>
      <c r="P2702" s="82"/>
      <c r="Q2702" s="82"/>
      <c r="R2702" s="38"/>
      <c r="S2702" s="38"/>
      <c r="T2702" s="38"/>
      <c r="U2702" s="38"/>
      <c r="V2702" s="38"/>
      <c r="W2702" s="38"/>
      <c r="X2702" s="38"/>
      <c r="Y2702" s="38"/>
      <c r="Z2702" s="38"/>
      <c r="AA2702" s="38"/>
      <c r="AB2702" s="38"/>
      <c r="AC2702" s="38"/>
      <c r="AD2702" s="38"/>
      <c r="AE2702" s="38"/>
      <c r="AF2702" s="38"/>
      <c r="AG2702" s="38"/>
      <c r="AH2702" s="38"/>
    </row>
    <row r="2703" spans="3:34" ht="20.100000000000001" customHeight="1">
      <c r="C2703" s="113"/>
      <c r="D2703" s="114"/>
      <c r="P2703" s="82"/>
      <c r="Q2703" s="82"/>
      <c r="R2703" s="38"/>
      <c r="S2703" s="38"/>
      <c r="T2703" s="38"/>
      <c r="U2703" s="38"/>
      <c r="V2703" s="38"/>
      <c r="W2703" s="38"/>
      <c r="X2703" s="38"/>
      <c r="Y2703" s="38"/>
      <c r="Z2703" s="38"/>
      <c r="AA2703" s="38"/>
      <c r="AB2703" s="38"/>
      <c r="AC2703" s="38"/>
      <c r="AD2703" s="38"/>
      <c r="AE2703" s="38"/>
      <c r="AF2703" s="38"/>
      <c r="AG2703" s="38"/>
      <c r="AH2703" s="38"/>
    </row>
    <row r="2704" spans="3:34" ht="20.100000000000001" customHeight="1">
      <c r="C2704" s="113"/>
      <c r="D2704" s="114"/>
      <c r="P2704" s="82"/>
      <c r="Q2704" s="82"/>
      <c r="R2704" s="38"/>
      <c r="S2704" s="38"/>
      <c r="T2704" s="38"/>
      <c r="U2704" s="38"/>
      <c r="V2704" s="38"/>
      <c r="W2704" s="38"/>
      <c r="X2704" s="38"/>
      <c r="Y2704" s="38"/>
      <c r="Z2704" s="38"/>
      <c r="AA2704" s="38"/>
      <c r="AB2704" s="38"/>
      <c r="AC2704" s="38"/>
      <c r="AD2704" s="38"/>
      <c r="AE2704" s="38"/>
      <c r="AF2704" s="38"/>
      <c r="AG2704" s="38"/>
      <c r="AH2704" s="38"/>
    </row>
    <row r="2705" spans="3:34" ht="20.100000000000001" customHeight="1">
      <c r="C2705" s="113"/>
      <c r="D2705" s="114"/>
      <c r="P2705" s="82"/>
      <c r="Q2705" s="82"/>
      <c r="R2705" s="38"/>
      <c r="S2705" s="38"/>
      <c r="T2705" s="38"/>
      <c r="U2705" s="38"/>
      <c r="V2705" s="38"/>
      <c r="W2705" s="38"/>
      <c r="X2705" s="38"/>
      <c r="Y2705" s="38"/>
      <c r="Z2705" s="38"/>
      <c r="AA2705" s="38"/>
      <c r="AB2705" s="38"/>
      <c r="AC2705" s="38"/>
      <c r="AD2705" s="38"/>
      <c r="AE2705" s="38"/>
      <c r="AF2705" s="38"/>
      <c r="AG2705" s="38"/>
      <c r="AH2705" s="38"/>
    </row>
    <row r="2706" spans="3:34" ht="20.100000000000001" customHeight="1">
      <c r="C2706" s="113"/>
      <c r="D2706" s="114"/>
      <c r="P2706" s="82"/>
      <c r="Q2706" s="82"/>
      <c r="R2706" s="38"/>
      <c r="S2706" s="38"/>
      <c r="T2706" s="38"/>
      <c r="U2706" s="38"/>
      <c r="V2706" s="38"/>
      <c r="W2706" s="38"/>
      <c r="X2706" s="38"/>
      <c r="Y2706" s="38"/>
      <c r="Z2706" s="38"/>
      <c r="AA2706" s="38"/>
      <c r="AB2706" s="38"/>
      <c r="AC2706" s="38"/>
      <c r="AD2706" s="38"/>
      <c r="AE2706" s="38"/>
      <c r="AF2706" s="38"/>
      <c r="AG2706" s="38"/>
      <c r="AH2706" s="38"/>
    </row>
    <row r="2707" spans="3:34" ht="20.100000000000001" customHeight="1">
      <c r="C2707" s="113"/>
      <c r="D2707" s="114"/>
      <c r="P2707" s="82"/>
      <c r="Q2707" s="82"/>
      <c r="R2707" s="38"/>
      <c r="S2707" s="38"/>
      <c r="T2707" s="38"/>
      <c r="U2707" s="38"/>
      <c r="V2707" s="38"/>
      <c r="W2707" s="38"/>
      <c r="X2707" s="38"/>
      <c r="Y2707" s="38"/>
      <c r="Z2707" s="38"/>
      <c r="AA2707" s="38"/>
      <c r="AB2707" s="38"/>
      <c r="AC2707" s="38"/>
      <c r="AD2707" s="38"/>
      <c r="AE2707" s="38"/>
      <c r="AF2707" s="38"/>
      <c r="AG2707" s="38"/>
      <c r="AH2707" s="38"/>
    </row>
    <row r="2708" spans="3:34" ht="20.100000000000001" customHeight="1">
      <c r="C2708" s="113"/>
      <c r="D2708" s="114"/>
      <c r="P2708" s="82"/>
      <c r="Q2708" s="82"/>
      <c r="R2708" s="38"/>
      <c r="S2708" s="38"/>
      <c r="T2708" s="38"/>
      <c r="U2708" s="38"/>
      <c r="V2708" s="38"/>
      <c r="W2708" s="38"/>
      <c r="X2708" s="38"/>
      <c r="Y2708" s="38"/>
      <c r="Z2708" s="38"/>
      <c r="AA2708" s="38"/>
      <c r="AB2708" s="38"/>
      <c r="AC2708" s="38"/>
      <c r="AD2708" s="38"/>
      <c r="AE2708" s="38"/>
      <c r="AF2708" s="38"/>
      <c r="AG2708" s="38"/>
      <c r="AH2708" s="38"/>
    </row>
    <row r="2709" spans="3:34" ht="20.100000000000001" customHeight="1">
      <c r="C2709" s="113"/>
      <c r="D2709" s="114"/>
      <c r="P2709" s="82"/>
      <c r="Q2709" s="82"/>
      <c r="R2709" s="38"/>
      <c r="S2709" s="38"/>
      <c r="T2709" s="38"/>
      <c r="U2709" s="38"/>
      <c r="V2709" s="38"/>
      <c r="W2709" s="38"/>
      <c r="X2709" s="38"/>
      <c r="Y2709" s="38"/>
      <c r="Z2709" s="38"/>
      <c r="AA2709" s="38"/>
      <c r="AB2709" s="38"/>
      <c r="AC2709" s="38"/>
      <c r="AD2709" s="38"/>
      <c r="AE2709" s="38"/>
      <c r="AF2709" s="38"/>
      <c r="AG2709" s="38"/>
      <c r="AH2709" s="38"/>
    </row>
    <row r="2710" spans="3:34" ht="20.100000000000001" customHeight="1">
      <c r="C2710" s="113"/>
      <c r="D2710" s="114"/>
      <c r="P2710" s="82"/>
      <c r="Q2710" s="82"/>
      <c r="R2710" s="38"/>
      <c r="S2710" s="38"/>
      <c r="T2710" s="38"/>
      <c r="U2710" s="38"/>
      <c r="V2710" s="38"/>
      <c r="W2710" s="38"/>
      <c r="X2710" s="38"/>
      <c r="Y2710" s="38"/>
      <c r="Z2710" s="38"/>
      <c r="AA2710" s="38"/>
      <c r="AB2710" s="38"/>
      <c r="AC2710" s="38"/>
      <c r="AD2710" s="38"/>
      <c r="AE2710" s="38"/>
      <c r="AF2710" s="38"/>
      <c r="AG2710" s="38"/>
      <c r="AH2710" s="38"/>
    </row>
    <row r="2711" spans="3:34" ht="20.100000000000001" customHeight="1">
      <c r="C2711" s="113"/>
      <c r="D2711" s="114"/>
      <c r="P2711" s="82"/>
      <c r="Q2711" s="82"/>
      <c r="R2711" s="38"/>
      <c r="S2711" s="38"/>
      <c r="T2711" s="38"/>
      <c r="U2711" s="38"/>
      <c r="V2711" s="38"/>
      <c r="W2711" s="38"/>
      <c r="X2711" s="38"/>
      <c r="Y2711" s="38"/>
      <c r="Z2711" s="38"/>
      <c r="AA2711" s="38"/>
      <c r="AB2711" s="38"/>
      <c r="AC2711" s="38"/>
      <c r="AD2711" s="38"/>
      <c r="AE2711" s="38"/>
      <c r="AF2711" s="38"/>
      <c r="AG2711" s="38"/>
      <c r="AH2711" s="38"/>
    </row>
    <row r="2712" spans="3:34" ht="20.100000000000001" customHeight="1">
      <c r="C2712" s="113"/>
      <c r="D2712" s="114"/>
      <c r="P2712" s="82"/>
      <c r="Q2712" s="82"/>
      <c r="R2712" s="38"/>
      <c r="S2712" s="38"/>
      <c r="T2712" s="38"/>
      <c r="U2712" s="38"/>
      <c r="V2712" s="38"/>
      <c r="W2712" s="38"/>
      <c r="X2712" s="38"/>
      <c r="Y2712" s="38"/>
      <c r="Z2712" s="38"/>
      <c r="AA2712" s="38"/>
      <c r="AB2712" s="38"/>
      <c r="AC2712" s="38"/>
      <c r="AD2712" s="38"/>
      <c r="AE2712" s="38"/>
      <c r="AF2712" s="38"/>
      <c r="AG2712" s="38"/>
      <c r="AH2712" s="38"/>
    </row>
    <row r="2713" spans="3:34" ht="20.100000000000001" customHeight="1">
      <c r="C2713" s="113"/>
      <c r="D2713" s="114"/>
      <c r="P2713" s="82"/>
      <c r="Q2713" s="82"/>
      <c r="R2713" s="38"/>
      <c r="S2713" s="38"/>
      <c r="T2713" s="38"/>
      <c r="U2713" s="38"/>
      <c r="V2713" s="38"/>
      <c r="W2713" s="38"/>
      <c r="X2713" s="38"/>
      <c r="Y2713" s="38"/>
      <c r="Z2713" s="38"/>
      <c r="AA2713" s="38"/>
      <c r="AB2713" s="38"/>
      <c r="AC2713" s="38"/>
      <c r="AD2713" s="38"/>
      <c r="AE2713" s="38"/>
      <c r="AF2713" s="38"/>
      <c r="AG2713" s="38"/>
      <c r="AH2713" s="38"/>
    </row>
    <row r="2714" spans="3:34" ht="20.100000000000001" customHeight="1">
      <c r="C2714" s="113"/>
      <c r="D2714" s="114"/>
      <c r="P2714" s="82"/>
      <c r="Q2714" s="82"/>
      <c r="R2714" s="38"/>
      <c r="S2714" s="38"/>
      <c r="T2714" s="38"/>
      <c r="U2714" s="38"/>
      <c r="V2714" s="38"/>
      <c r="W2714" s="38"/>
      <c r="X2714" s="38"/>
      <c r="Y2714" s="38"/>
      <c r="Z2714" s="38"/>
      <c r="AA2714" s="38"/>
      <c r="AB2714" s="38"/>
      <c r="AC2714" s="38"/>
      <c r="AD2714" s="38"/>
      <c r="AE2714" s="38"/>
      <c r="AF2714" s="38"/>
      <c r="AG2714" s="38"/>
      <c r="AH2714" s="38"/>
    </row>
    <row r="2715" spans="3:34" ht="20.100000000000001" customHeight="1">
      <c r="C2715" s="113"/>
      <c r="D2715" s="114"/>
      <c r="P2715" s="82"/>
      <c r="Q2715" s="82"/>
      <c r="R2715" s="38"/>
      <c r="S2715" s="38"/>
      <c r="T2715" s="38"/>
      <c r="U2715" s="38"/>
      <c r="V2715" s="38"/>
      <c r="W2715" s="38"/>
      <c r="X2715" s="38"/>
      <c r="Y2715" s="38"/>
      <c r="Z2715" s="38"/>
      <c r="AA2715" s="38"/>
      <c r="AB2715" s="38"/>
      <c r="AC2715" s="38"/>
      <c r="AD2715" s="38"/>
      <c r="AE2715" s="38"/>
      <c r="AF2715" s="38"/>
      <c r="AG2715" s="38"/>
      <c r="AH2715" s="38"/>
    </row>
    <row r="2716" spans="3:34" ht="20.100000000000001" customHeight="1">
      <c r="C2716" s="113"/>
      <c r="D2716" s="114"/>
      <c r="P2716" s="82"/>
      <c r="Q2716" s="82"/>
      <c r="R2716" s="38"/>
      <c r="S2716" s="38"/>
      <c r="T2716" s="38"/>
      <c r="U2716" s="38"/>
      <c r="V2716" s="38"/>
      <c r="W2716" s="38"/>
      <c r="X2716" s="38"/>
      <c r="Y2716" s="38"/>
      <c r="Z2716" s="38"/>
      <c r="AA2716" s="38"/>
      <c r="AB2716" s="38"/>
      <c r="AC2716" s="38"/>
      <c r="AD2716" s="38"/>
      <c r="AE2716" s="38"/>
      <c r="AF2716" s="38"/>
      <c r="AG2716" s="38"/>
      <c r="AH2716" s="38"/>
    </row>
    <row r="2717" spans="3:34" ht="20.100000000000001" customHeight="1">
      <c r="C2717" s="113"/>
      <c r="D2717" s="114"/>
      <c r="P2717" s="82"/>
      <c r="Q2717" s="82"/>
      <c r="R2717" s="38"/>
      <c r="S2717" s="38"/>
      <c r="T2717" s="38"/>
      <c r="U2717" s="38"/>
      <c r="V2717" s="38"/>
      <c r="W2717" s="38"/>
      <c r="X2717" s="38"/>
      <c r="Y2717" s="38"/>
      <c r="Z2717" s="38"/>
      <c r="AA2717" s="38"/>
      <c r="AB2717" s="38"/>
      <c r="AC2717" s="38"/>
      <c r="AD2717" s="38"/>
      <c r="AE2717" s="38"/>
      <c r="AF2717" s="38"/>
      <c r="AG2717" s="38"/>
      <c r="AH2717" s="38"/>
    </row>
    <row r="2718" spans="3:34" ht="20.100000000000001" customHeight="1">
      <c r="C2718" s="113"/>
      <c r="D2718" s="114"/>
      <c r="P2718" s="82"/>
      <c r="Q2718" s="82"/>
      <c r="R2718" s="38"/>
      <c r="S2718" s="38"/>
      <c r="T2718" s="38"/>
      <c r="U2718" s="38"/>
      <c r="V2718" s="38"/>
      <c r="W2718" s="38"/>
      <c r="X2718" s="38"/>
      <c r="Y2718" s="38"/>
      <c r="Z2718" s="38"/>
      <c r="AA2718" s="38"/>
      <c r="AB2718" s="38"/>
      <c r="AC2718" s="38"/>
      <c r="AD2718" s="38"/>
      <c r="AE2718" s="38"/>
      <c r="AF2718" s="38"/>
      <c r="AG2718" s="38"/>
      <c r="AH2718" s="38"/>
    </row>
    <row r="2719" spans="3:34" ht="20.100000000000001" customHeight="1">
      <c r="C2719" s="113"/>
      <c r="D2719" s="114"/>
      <c r="P2719" s="82"/>
      <c r="Q2719" s="82"/>
      <c r="R2719" s="38"/>
      <c r="S2719" s="38"/>
      <c r="T2719" s="38"/>
      <c r="U2719" s="38"/>
      <c r="V2719" s="38"/>
      <c r="W2719" s="38"/>
      <c r="X2719" s="38"/>
      <c r="Y2719" s="38"/>
      <c r="Z2719" s="38"/>
      <c r="AA2719" s="38"/>
      <c r="AB2719" s="38"/>
      <c r="AC2719" s="38"/>
      <c r="AD2719" s="38"/>
      <c r="AE2719" s="38"/>
      <c r="AF2719" s="38"/>
      <c r="AG2719" s="38"/>
      <c r="AH2719" s="38"/>
    </row>
    <row r="2720" spans="3:34" ht="20.100000000000001" customHeight="1">
      <c r="C2720" s="113"/>
      <c r="D2720" s="114"/>
      <c r="P2720" s="82"/>
      <c r="Q2720" s="82"/>
      <c r="R2720" s="38"/>
      <c r="S2720" s="38"/>
      <c r="T2720" s="38"/>
      <c r="U2720" s="38"/>
      <c r="V2720" s="38"/>
      <c r="W2720" s="38"/>
      <c r="X2720" s="38"/>
      <c r="Y2720" s="38"/>
      <c r="Z2720" s="38"/>
      <c r="AA2720" s="38"/>
      <c r="AB2720" s="38"/>
      <c r="AC2720" s="38"/>
      <c r="AD2720" s="38"/>
      <c r="AE2720" s="38"/>
      <c r="AF2720" s="38"/>
      <c r="AG2720" s="38"/>
      <c r="AH2720" s="38"/>
    </row>
    <row r="2721" spans="3:34" ht="20.100000000000001" customHeight="1">
      <c r="C2721" s="113"/>
      <c r="D2721" s="114"/>
      <c r="P2721" s="82"/>
      <c r="Q2721" s="82"/>
      <c r="R2721" s="38"/>
      <c r="S2721" s="38"/>
      <c r="T2721" s="38"/>
      <c r="U2721" s="38"/>
      <c r="V2721" s="38"/>
      <c r="W2721" s="38"/>
      <c r="X2721" s="38"/>
      <c r="Y2721" s="38"/>
      <c r="Z2721" s="38"/>
      <c r="AA2721" s="38"/>
      <c r="AB2721" s="38"/>
      <c r="AC2721" s="38"/>
      <c r="AD2721" s="38"/>
      <c r="AE2721" s="38"/>
      <c r="AF2721" s="38"/>
      <c r="AG2721" s="38"/>
      <c r="AH2721" s="38"/>
    </row>
    <row r="2722" spans="3:34" ht="20.100000000000001" customHeight="1">
      <c r="C2722" s="113"/>
      <c r="D2722" s="114"/>
      <c r="P2722" s="82"/>
      <c r="Q2722" s="82"/>
      <c r="R2722" s="38"/>
      <c r="S2722" s="38"/>
      <c r="T2722" s="38"/>
      <c r="U2722" s="38"/>
      <c r="V2722" s="38"/>
      <c r="W2722" s="38"/>
      <c r="X2722" s="38"/>
      <c r="Y2722" s="38"/>
      <c r="Z2722" s="38"/>
      <c r="AA2722" s="38"/>
      <c r="AB2722" s="38"/>
      <c r="AC2722" s="38"/>
      <c r="AD2722" s="38"/>
      <c r="AE2722" s="38"/>
      <c r="AF2722" s="38"/>
      <c r="AG2722" s="38"/>
      <c r="AH2722" s="38"/>
    </row>
    <row r="2723" spans="3:34" ht="20.100000000000001" customHeight="1">
      <c r="C2723" s="113"/>
      <c r="D2723" s="114"/>
      <c r="P2723" s="82"/>
      <c r="Q2723" s="82"/>
      <c r="R2723" s="38"/>
      <c r="S2723" s="38"/>
      <c r="T2723" s="38"/>
      <c r="U2723" s="38"/>
      <c r="V2723" s="38"/>
      <c r="W2723" s="38"/>
      <c r="X2723" s="38"/>
      <c r="Y2723" s="38"/>
      <c r="Z2723" s="38"/>
      <c r="AA2723" s="38"/>
      <c r="AB2723" s="38"/>
      <c r="AC2723" s="38"/>
      <c r="AD2723" s="38"/>
      <c r="AE2723" s="38"/>
      <c r="AF2723" s="38"/>
      <c r="AG2723" s="38"/>
      <c r="AH2723" s="38"/>
    </row>
    <row r="2724" spans="3:34" ht="20.100000000000001" customHeight="1">
      <c r="C2724" s="113"/>
      <c r="D2724" s="114"/>
      <c r="P2724" s="82"/>
      <c r="Q2724" s="82"/>
      <c r="R2724" s="38"/>
      <c r="S2724" s="38"/>
      <c r="T2724" s="38"/>
      <c r="U2724" s="38"/>
      <c r="V2724" s="38"/>
      <c r="W2724" s="38"/>
      <c r="X2724" s="38"/>
      <c r="Y2724" s="38"/>
      <c r="Z2724" s="38"/>
      <c r="AA2724" s="38"/>
      <c r="AB2724" s="38"/>
      <c r="AC2724" s="38"/>
      <c r="AD2724" s="38"/>
      <c r="AE2724" s="38"/>
      <c r="AF2724" s="38"/>
      <c r="AG2724" s="38"/>
      <c r="AH2724" s="38"/>
    </row>
    <row r="2725" spans="3:34" ht="20.100000000000001" customHeight="1">
      <c r="C2725" s="113"/>
      <c r="D2725" s="114"/>
      <c r="P2725" s="82"/>
      <c r="Q2725" s="82"/>
      <c r="R2725" s="38"/>
      <c r="S2725" s="38"/>
      <c r="T2725" s="38"/>
      <c r="U2725" s="38"/>
      <c r="V2725" s="38"/>
      <c r="W2725" s="38"/>
      <c r="X2725" s="38"/>
      <c r="Y2725" s="38"/>
      <c r="Z2725" s="38"/>
      <c r="AA2725" s="38"/>
      <c r="AB2725" s="38"/>
      <c r="AC2725" s="38"/>
      <c r="AD2725" s="38"/>
      <c r="AE2725" s="38"/>
      <c r="AF2725" s="38"/>
      <c r="AG2725" s="38"/>
      <c r="AH2725" s="38"/>
    </row>
    <row r="2726" spans="3:34" ht="20.100000000000001" customHeight="1">
      <c r="C2726" s="113"/>
      <c r="D2726" s="114"/>
      <c r="P2726" s="82"/>
      <c r="Q2726" s="82"/>
      <c r="R2726" s="38"/>
      <c r="S2726" s="38"/>
      <c r="T2726" s="38"/>
      <c r="U2726" s="38"/>
      <c r="V2726" s="38"/>
      <c r="W2726" s="38"/>
      <c r="X2726" s="38"/>
      <c r="Y2726" s="38"/>
      <c r="Z2726" s="38"/>
      <c r="AA2726" s="38"/>
      <c r="AB2726" s="38"/>
      <c r="AC2726" s="38"/>
      <c r="AD2726" s="38"/>
      <c r="AE2726" s="38"/>
      <c r="AF2726" s="38"/>
      <c r="AG2726" s="38"/>
      <c r="AH2726" s="38"/>
    </row>
    <row r="2727" spans="3:34" ht="20.100000000000001" customHeight="1">
      <c r="C2727" s="113"/>
      <c r="D2727" s="114"/>
      <c r="P2727" s="82"/>
      <c r="Q2727" s="82"/>
      <c r="R2727" s="38"/>
      <c r="S2727" s="38"/>
      <c r="T2727" s="38"/>
      <c r="U2727" s="38"/>
      <c r="V2727" s="38"/>
      <c r="W2727" s="38"/>
      <c r="X2727" s="38"/>
      <c r="Y2727" s="38"/>
      <c r="Z2727" s="38"/>
      <c r="AA2727" s="38"/>
      <c r="AB2727" s="38"/>
      <c r="AC2727" s="38"/>
      <c r="AD2727" s="38"/>
      <c r="AE2727" s="38"/>
      <c r="AF2727" s="38"/>
      <c r="AG2727" s="38"/>
      <c r="AH2727" s="38"/>
    </row>
    <row r="2728" spans="3:34" ht="20.100000000000001" customHeight="1">
      <c r="C2728" s="113"/>
      <c r="D2728" s="114"/>
      <c r="P2728" s="82"/>
      <c r="Q2728" s="82"/>
      <c r="R2728" s="38"/>
      <c r="S2728" s="38"/>
      <c r="T2728" s="38"/>
      <c r="U2728" s="38"/>
      <c r="V2728" s="38"/>
      <c r="W2728" s="38"/>
      <c r="X2728" s="38"/>
      <c r="Y2728" s="38"/>
      <c r="Z2728" s="38"/>
      <c r="AA2728" s="38"/>
      <c r="AB2728" s="38"/>
      <c r="AC2728" s="38"/>
      <c r="AD2728" s="38"/>
      <c r="AE2728" s="38"/>
      <c r="AF2728" s="38"/>
      <c r="AG2728" s="38"/>
      <c r="AH2728" s="38"/>
    </row>
    <row r="2729" spans="3:34" ht="20.100000000000001" customHeight="1">
      <c r="C2729" s="113"/>
      <c r="D2729" s="114"/>
      <c r="P2729" s="82"/>
      <c r="Q2729" s="82"/>
      <c r="R2729" s="38"/>
      <c r="S2729" s="38"/>
      <c r="T2729" s="38"/>
      <c r="U2729" s="38"/>
      <c r="V2729" s="38"/>
      <c r="W2729" s="38"/>
      <c r="X2729" s="38"/>
      <c r="Y2729" s="38"/>
      <c r="Z2729" s="38"/>
      <c r="AA2729" s="38"/>
      <c r="AB2729" s="38"/>
      <c r="AC2729" s="38"/>
      <c r="AD2729" s="38"/>
      <c r="AE2729" s="38"/>
      <c r="AF2729" s="38"/>
      <c r="AG2729" s="38"/>
      <c r="AH2729" s="38"/>
    </row>
    <row r="2730" spans="3:34" ht="20.100000000000001" customHeight="1">
      <c r="C2730" s="113"/>
      <c r="D2730" s="114"/>
      <c r="P2730" s="82"/>
      <c r="Q2730" s="82"/>
      <c r="R2730" s="38"/>
      <c r="S2730" s="38"/>
      <c r="T2730" s="38"/>
      <c r="U2730" s="38"/>
      <c r="V2730" s="38"/>
      <c r="W2730" s="38"/>
      <c r="X2730" s="38"/>
      <c r="Y2730" s="38"/>
      <c r="Z2730" s="38"/>
      <c r="AA2730" s="38"/>
      <c r="AB2730" s="38"/>
      <c r="AC2730" s="38"/>
      <c r="AD2730" s="38"/>
      <c r="AE2730" s="38"/>
      <c r="AF2730" s="38"/>
      <c r="AG2730" s="38"/>
      <c r="AH2730" s="38"/>
    </row>
    <row r="2731" spans="3:34" ht="20.100000000000001" customHeight="1">
      <c r="C2731" s="113"/>
      <c r="D2731" s="114"/>
      <c r="P2731" s="82"/>
      <c r="Q2731" s="82"/>
      <c r="R2731" s="38"/>
      <c r="S2731" s="38"/>
      <c r="T2731" s="38"/>
      <c r="U2731" s="38"/>
      <c r="V2731" s="38"/>
      <c r="W2731" s="38"/>
      <c r="X2731" s="38"/>
      <c r="Y2731" s="38"/>
      <c r="Z2731" s="38"/>
      <c r="AA2731" s="38"/>
      <c r="AB2731" s="38"/>
      <c r="AC2731" s="38"/>
      <c r="AD2731" s="38"/>
      <c r="AE2731" s="38"/>
      <c r="AF2731" s="38"/>
      <c r="AG2731" s="38"/>
      <c r="AH2731" s="38"/>
    </row>
    <row r="2732" spans="3:34" ht="20.100000000000001" customHeight="1">
      <c r="C2732" s="113"/>
      <c r="D2732" s="114"/>
      <c r="P2732" s="82"/>
      <c r="Q2732" s="82"/>
      <c r="R2732" s="38"/>
      <c r="S2732" s="38"/>
      <c r="T2732" s="38"/>
      <c r="U2732" s="38"/>
      <c r="V2732" s="38"/>
      <c r="W2732" s="38"/>
      <c r="X2732" s="38"/>
      <c r="Y2732" s="38"/>
      <c r="Z2732" s="38"/>
      <c r="AA2732" s="38"/>
      <c r="AB2732" s="38"/>
      <c r="AC2732" s="38"/>
      <c r="AD2732" s="38"/>
      <c r="AE2732" s="38"/>
      <c r="AF2732" s="38"/>
      <c r="AG2732" s="38"/>
      <c r="AH2732" s="38"/>
    </row>
    <row r="2733" spans="3:34" ht="20.100000000000001" customHeight="1">
      <c r="C2733" s="113"/>
      <c r="D2733" s="114"/>
      <c r="P2733" s="82"/>
      <c r="Q2733" s="82"/>
      <c r="R2733" s="38"/>
      <c r="S2733" s="38"/>
      <c r="T2733" s="38"/>
      <c r="U2733" s="38"/>
      <c r="V2733" s="38"/>
      <c r="W2733" s="38"/>
      <c r="X2733" s="38"/>
      <c r="Y2733" s="38"/>
      <c r="Z2733" s="38"/>
      <c r="AA2733" s="38"/>
      <c r="AB2733" s="38"/>
      <c r="AC2733" s="38"/>
      <c r="AD2733" s="38"/>
      <c r="AE2733" s="38"/>
      <c r="AF2733" s="38"/>
      <c r="AG2733" s="38"/>
      <c r="AH2733" s="38"/>
    </row>
    <row r="2734" spans="3:34" ht="20.100000000000001" customHeight="1">
      <c r="C2734" s="113"/>
      <c r="D2734" s="114"/>
      <c r="P2734" s="82"/>
      <c r="Q2734" s="82"/>
      <c r="R2734" s="38"/>
      <c r="S2734" s="38"/>
      <c r="T2734" s="38"/>
      <c r="U2734" s="38"/>
      <c r="V2734" s="38"/>
      <c r="W2734" s="38"/>
      <c r="X2734" s="38"/>
      <c r="Y2734" s="38"/>
      <c r="Z2734" s="38"/>
      <c r="AA2734" s="38"/>
      <c r="AB2734" s="38"/>
      <c r="AC2734" s="38"/>
      <c r="AD2734" s="38"/>
      <c r="AE2734" s="38"/>
      <c r="AF2734" s="38"/>
      <c r="AG2734" s="38"/>
      <c r="AH2734" s="38"/>
    </row>
    <row r="2735" spans="3:34" ht="20.100000000000001" customHeight="1">
      <c r="C2735" s="113"/>
      <c r="D2735" s="114"/>
      <c r="P2735" s="82"/>
      <c r="Q2735" s="82"/>
      <c r="R2735" s="38"/>
      <c r="S2735" s="38"/>
      <c r="T2735" s="38"/>
      <c r="U2735" s="38"/>
      <c r="V2735" s="38"/>
      <c r="W2735" s="38"/>
      <c r="X2735" s="38"/>
      <c r="Y2735" s="38"/>
      <c r="Z2735" s="38"/>
      <c r="AA2735" s="38"/>
      <c r="AB2735" s="38"/>
      <c r="AC2735" s="38"/>
      <c r="AD2735" s="38"/>
      <c r="AE2735" s="38"/>
      <c r="AF2735" s="38"/>
      <c r="AG2735" s="38"/>
      <c r="AH2735" s="38"/>
    </row>
    <row r="2736" spans="3:34" ht="20.100000000000001" customHeight="1">
      <c r="C2736" s="113"/>
      <c r="D2736" s="114"/>
      <c r="P2736" s="82"/>
      <c r="Q2736" s="82"/>
      <c r="R2736" s="38"/>
      <c r="S2736" s="38"/>
      <c r="T2736" s="38"/>
      <c r="U2736" s="38"/>
      <c r="V2736" s="38"/>
      <c r="W2736" s="38"/>
      <c r="X2736" s="38"/>
      <c r="Y2736" s="38"/>
      <c r="Z2736" s="38"/>
      <c r="AA2736" s="38"/>
      <c r="AB2736" s="38"/>
      <c r="AC2736" s="38"/>
      <c r="AD2736" s="38"/>
      <c r="AE2736" s="38"/>
      <c r="AF2736" s="38"/>
      <c r="AG2736" s="38"/>
      <c r="AH2736" s="38"/>
    </row>
    <row r="2737" spans="3:34" ht="20.100000000000001" customHeight="1">
      <c r="C2737" s="113"/>
      <c r="D2737" s="114"/>
      <c r="P2737" s="82"/>
      <c r="Q2737" s="82"/>
      <c r="R2737" s="38"/>
      <c r="S2737" s="38"/>
      <c r="T2737" s="38"/>
      <c r="U2737" s="38"/>
      <c r="V2737" s="38"/>
      <c r="W2737" s="38"/>
      <c r="X2737" s="38"/>
      <c r="Y2737" s="38"/>
      <c r="Z2737" s="38"/>
      <c r="AA2737" s="38"/>
      <c r="AB2737" s="38"/>
      <c r="AC2737" s="38"/>
      <c r="AD2737" s="38"/>
      <c r="AE2737" s="38"/>
      <c r="AF2737" s="38"/>
      <c r="AG2737" s="38"/>
      <c r="AH2737" s="38"/>
    </row>
    <row r="2738" spans="3:34" ht="20.100000000000001" customHeight="1">
      <c r="C2738" s="113"/>
      <c r="D2738" s="114"/>
      <c r="P2738" s="82"/>
      <c r="Q2738" s="82"/>
      <c r="R2738" s="38"/>
      <c r="S2738" s="38"/>
      <c r="T2738" s="38"/>
      <c r="U2738" s="38"/>
      <c r="V2738" s="38"/>
      <c r="W2738" s="38"/>
      <c r="X2738" s="38"/>
      <c r="Y2738" s="38"/>
      <c r="Z2738" s="38"/>
      <c r="AA2738" s="38"/>
      <c r="AB2738" s="38"/>
      <c r="AC2738" s="38"/>
      <c r="AD2738" s="38"/>
      <c r="AE2738" s="38"/>
      <c r="AF2738" s="38"/>
      <c r="AG2738" s="38"/>
      <c r="AH2738" s="38"/>
    </row>
    <row r="2739" spans="3:34" ht="20.100000000000001" customHeight="1">
      <c r="C2739" s="113"/>
      <c r="D2739" s="114"/>
      <c r="P2739" s="82"/>
      <c r="Q2739" s="82"/>
      <c r="R2739" s="38"/>
      <c r="S2739" s="38"/>
      <c r="T2739" s="38"/>
      <c r="U2739" s="38"/>
      <c r="V2739" s="38"/>
      <c r="W2739" s="38"/>
      <c r="X2739" s="38"/>
      <c r="Y2739" s="38"/>
      <c r="Z2739" s="38"/>
      <c r="AA2739" s="38"/>
      <c r="AB2739" s="38"/>
      <c r="AC2739" s="38"/>
      <c r="AD2739" s="38"/>
      <c r="AE2739" s="38"/>
      <c r="AF2739" s="38"/>
      <c r="AG2739" s="38"/>
      <c r="AH2739" s="38"/>
    </row>
    <row r="2740" spans="3:34" ht="20.100000000000001" customHeight="1">
      <c r="C2740" s="113"/>
      <c r="D2740" s="114"/>
      <c r="P2740" s="82"/>
      <c r="Q2740" s="82"/>
      <c r="R2740" s="38"/>
      <c r="S2740" s="38"/>
      <c r="T2740" s="38"/>
      <c r="U2740" s="38"/>
      <c r="V2740" s="38"/>
      <c r="W2740" s="38"/>
      <c r="X2740" s="38"/>
      <c r="Y2740" s="38"/>
      <c r="Z2740" s="38"/>
      <c r="AA2740" s="38"/>
      <c r="AB2740" s="38"/>
      <c r="AC2740" s="38"/>
      <c r="AD2740" s="38"/>
      <c r="AE2740" s="38"/>
      <c r="AF2740" s="38"/>
      <c r="AG2740" s="38"/>
      <c r="AH2740" s="38"/>
    </row>
    <row r="2741" spans="3:34" ht="20.100000000000001" customHeight="1">
      <c r="C2741" s="113"/>
      <c r="D2741" s="114"/>
      <c r="P2741" s="82"/>
      <c r="Q2741" s="82"/>
      <c r="R2741" s="38"/>
      <c r="S2741" s="38"/>
      <c r="T2741" s="38"/>
      <c r="U2741" s="38"/>
      <c r="V2741" s="38"/>
      <c r="W2741" s="38"/>
      <c r="X2741" s="38"/>
      <c r="Y2741" s="38"/>
      <c r="Z2741" s="38"/>
      <c r="AA2741" s="38"/>
      <c r="AB2741" s="38"/>
      <c r="AC2741" s="38"/>
      <c r="AD2741" s="38"/>
      <c r="AE2741" s="38"/>
      <c r="AF2741" s="38"/>
      <c r="AG2741" s="38"/>
      <c r="AH2741" s="38"/>
    </row>
    <row r="2742" spans="3:34" ht="20.100000000000001" customHeight="1">
      <c r="C2742" s="113"/>
      <c r="D2742" s="114"/>
      <c r="P2742" s="82"/>
      <c r="Q2742" s="82"/>
      <c r="R2742" s="38"/>
      <c r="S2742" s="38"/>
      <c r="T2742" s="38"/>
      <c r="U2742" s="38"/>
      <c r="V2742" s="38"/>
      <c r="W2742" s="38"/>
      <c r="X2742" s="38"/>
      <c r="Y2742" s="38"/>
      <c r="Z2742" s="38"/>
      <c r="AA2742" s="38"/>
      <c r="AB2742" s="38"/>
      <c r="AC2742" s="38"/>
      <c r="AD2742" s="38"/>
      <c r="AE2742" s="38"/>
      <c r="AF2742" s="38"/>
      <c r="AG2742" s="38"/>
      <c r="AH2742" s="38"/>
    </row>
    <row r="2743" spans="3:34" ht="20.100000000000001" customHeight="1">
      <c r="C2743" s="113"/>
      <c r="D2743" s="114"/>
      <c r="P2743" s="82"/>
      <c r="Q2743" s="82"/>
      <c r="R2743" s="38"/>
      <c r="S2743" s="38"/>
      <c r="T2743" s="38"/>
      <c r="U2743" s="38"/>
      <c r="V2743" s="38"/>
      <c r="W2743" s="38"/>
      <c r="X2743" s="38"/>
      <c r="Y2743" s="38"/>
      <c r="Z2743" s="38"/>
      <c r="AA2743" s="38"/>
      <c r="AB2743" s="38"/>
      <c r="AC2743" s="38"/>
      <c r="AD2743" s="38"/>
      <c r="AE2743" s="38"/>
      <c r="AF2743" s="38"/>
      <c r="AG2743" s="38"/>
      <c r="AH2743" s="38"/>
    </row>
    <row r="2744" spans="3:34" ht="20.100000000000001" customHeight="1">
      <c r="C2744" s="113"/>
      <c r="D2744" s="114"/>
      <c r="P2744" s="82"/>
      <c r="Q2744" s="82"/>
      <c r="R2744" s="38"/>
      <c r="S2744" s="38"/>
      <c r="T2744" s="38"/>
      <c r="U2744" s="38"/>
      <c r="V2744" s="38"/>
      <c r="W2744" s="38"/>
      <c r="X2744" s="38"/>
      <c r="Y2744" s="38"/>
      <c r="Z2744" s="38"/>
      <c r="AA2744" s="38"/>
      <c r="AB2744" s="38"/>
      <c r="AC2744" s="38"/>
      <c r="AD2744" s="38"/>
      <c r="AE2744" s="38"/>
      <c r="AF2744" s="38"/>
      <c r="AG2744" s="38"/>
      <c r="AH2744" s="38"/>
    </row>
    <row r="2745" spans="3:34" ht="20.100000000000001" customHeight="1">
      <c r="C2745" s="113"/>
      <c r="D2745" s="114"/>
      <c r="P2745" s="82"/>
      <c r="Q2745" s="82"/>
      <c r="R2745" s="38"/>
      <c r="S2745" s="38"/>
      <c r="T2745" s="38"/>
      <c r="U2745" s="38"/>
      <c r="V2745" s="38"/>
      <c r="W2745" s="38"/>
      <c r="X2745" s="38"/>
      <c r="Y2745" s="38"/>
      <c r="Z2745" s="38"/>
      <c r="AA2745" s="38"/>
      <c r="AB2745" s="38"/>
      <c r="AC2745" s="38"/>
      <c r="AD2745" s="38"/>
      <c r="AE2745" s="38"/>
      <c r="AF2745" s="38"/>
      <c r="AG2745" s="38"/>
      <c r="AH2745" s="38"/>
    </row>
    <row r="2746" spans="3:34" ht="20.100000000000001" customHeight="1">
      <c r="C2746" s="113"/>
      <c r="D2746" s="114"/>
      <c r="P2746" s="82"/>
      <c r="Q2746" s="82"/>
      <c r="R2746" s="38"/>
      <c r="S2746" s="38"/>
      <c r="T2746" s="38"/>
      <c r="U2746" s="38"/>
      <c r="V2746" s="38"/>
      <c r="W2746" s="38"/>
      <c r="X2746" s="38"/>
      <c r="Y2746" s="38"/>
      <c r="Z2746" s="38"/>
      <c r="AA2746" s="38"/>
      <c r="AB2746" s="38"/>
      <c r="AC2746" s="38"/>
      <c r="AD2746" s="38"/>
      <c r="AE2746" s="38"/>
      <c r="AF2746" s="38"/>
      <c r="AG2746" s="38"/>
      <c r="AH2746" s="38"/>
    </row>
    <row r="2747" spans="3:34" ht="20.100000000000001" customHeight="1">
      <c r="C2747" s="113"/>
      <c r="D2747" s="114"/>
      <c r="P2747" s="82"/>
      <c r="Q2747" s="82"/>
      <c r="R2747" s="38"/>
      <c r="S2747" s="38"/>
      <c r="T2747" s="38"/>
      <c r="U2747" s="38"/>
      <c r="V2747" s="38"/>
      <c r="W2747" s="38"/>
      <c r="X2747" s="38"/>
      <c r="Y2747" s="38"/>
      <c r="Z2747" s="38"/>
      <c r="AA2747" s="38"/>
      <c r="AB2747" s="38"/>
      <c r="AC2747" s="38"/>
      <c r="AD2747" s="38"/>
      <c r="AE2747" s="38"/>
      <c r="AF2747" s="38"/>
      <c r="AG2747" s="38"/>
      <c r="AH2747" s="38"/>
    </row>
    <row r="2748" spans="3:34" ht="20.100000000000001" customHeight="1">
      <c r="C2748" s="113"/>
      <c r="D2748" s="114"/>
      <c r="P2748" s="82"/>
      <c r="Q2748" s="82"/>
      <c r="R2748" s="38"/>
      <c r="S2748" s="38"/>
      <c r="T2748" s="38"/>
      <c r="U2748" s="38"/>
      <c r="V2748" s="38"/>
      <c r="W2748" s="38"/>
      <c r="X2748" s="38"/>
      <c r="Y2748" s="38"/>
      <c r="Z2748" s="38"/>
      <c r="AA2748" s="38"/>
      <c r="AB2748" s="38"/>
      <c r="AC2748" s="38"/>
      <c r="AD2748" s="38"/>
      <c r="AE2748" s="38"/>
      <c r="AF2748" s="38"/>
      <c r="AG2748" s="38"/>
      <c r="AH2748" s="38"/>
    </row>
    <row r="2749" spans="3:34" ht="20.100000000000001" customHeight="1">
      <c r="C2749" s="113"/>
      <c r="D2749" s="114"/>
      <c r="P2749" s="82"/>
      <c r="Q2749" s="82"/>
      <c r="R2749" s="38"/>
      <c r="S2749" s="38"/>
      <c r="T2749" s="38"/>
      <c r="U2749" s="38"/>
      <c r="V2749" s="38"/>
      <c r="W2749" s="38"/>
      <c r="X2749" s="38"/>
      <c r="Y2749" s="38"/>
      <c r="Z2749" s="38"/>
      <c r="AA2749" s="38"/>
      <c r="AB2749" s="38"/>
      <c r="AC2749" s="38"/>
      <c r="AD2749" s="38"/>
      <c r="AE2749" s="38"/>
      <c r="AF2749" s="38"/>
      <c r="AG2749" s="38"/>
      <c r="AH2749" s="38"/>
    </row>
    <row r="2750" spans="3:34" ht="20.100000000000001" customHeight="1">
      <c r="C2750" s="113"/>
      <c r="D2750" s="114"/>
      <c r="P2750" s="82"/>
      <c r="Q2750" s="82"/>
      <c r="R2750" s="38"/>
      <c r="S2750" s="38"/>
      <c r="T2750" s="38"/>
      <c r="U2750" s="38"/>
      <c r="V2750" s="38"/>
      <c r="W2750" s="38"/>
      <c r="X2750" s="38"/>
      <c r="Y2750" s="38"/>
      <c r="Z2750" s="38"/>
      <c r="AA2750" s="38"/>
      <c r="AB2750" s="38"/>
      <c r="AC2750" s="38"/>
      <c r="AD2750" s="38"/>
      <c r="AE2750" s="38"/>
      <c r="AF2750" s="38"/>
      <c r="AG2750" s="38"/>
      <c r="AH2750" s="38"/>
    </row>
    <row r="2751" spans="3:34" ht="20.100000000000001" customHeight="1">
      <c r="C2751" s="113"/>
      <c r="D2751" s="114"/>
      <c r="P2751" s="82"/>
      <c r="Q2751" s="82"/>
      <c r="R2751" s="38"/>
      <c r="S2751" s="38"/>
      <c r="T2751" s="38"/>
      <c r="U2751" s="38"/>
      <c r="V2751" s="38"/>
      <c r="W2751" s="38"/>
      <c r="X2751" s="38"/>
      <c r="Y2751" s="38"/>
      <c r="Z2751" s="38"/>
      <c r="AA2751" s="38"/>
      <c r="AB2751" s="38"/>
      <c r="AC2751" s="38"/>
      <c r="AD2751" s="38"/>
      <c r="AE2751" s="38"/>
      <c r="AF2751" s="38"/>
      <c r="AG2751" s="38"/>
      <c r="AH2751" s="38"/>
    </row>
    <row r="2752" spans="3:34" ht="20.100000000000001" customHeight="1">
      <c r="C2752" s="113"/>
      <c r="D2752" s="114"/>
      <c r="P2752" s="82"/>
      <c r="Q2752" s="82"/>
      <c r="R2752" s="38"/>
      <c r="S2752" s="38"/>
      <c r="T2752" s="38"/>
      <c r="U2752" s="38"/>
      <c r="V2752" s="38"/>
      <c r="W2752" s="38"/>
      <c r="X2752" s="38"/>
      <c r="Y2752" s="38"/>
      <c r="Z2752" s="38"/>
      <c r="AA2752" s="38"/>
      <c r="AB2752" s="38"/>
      <c r="AC2752" s="38"/>
      <c r="AD2752" s="38"/>
      <c r="AE2752" s="38"/>
      <c r="AF2752" s="38"/>
      <c r="AG2752" s="38"/>
      <c r="AH2752" s="38"/>
    </row>
    <row r="2753" spans="3:34" ht="20.100000000000001" customHeight="1">
      <c r="C2753" s="113"/>
      <c r="D2753" s="114"/>
      <c r="P2753" s="82"/>
      <c r="Q2753" s="82"/>
      <c r="R2753" s="38"/>
      <c r="S2753" s="38"/>
      <c r="T2753" s="38"/>
      <c r="U2753" s="38"/>
      <c r="V2753" s="38"/>
      <c r="W2753" s="38"/>
      <c r="X2753" s="38"/>
      <c r="Y2753" s="38"/>
      <c r="Z2753" s="38"/>
      <c r="AA2753" s="38"/>
      <c r="AB2753" s="38"/>
      <c r="AC2753" s="38"/>
      <c r="AD2753" s="38"/>
      <c r="AE2753" s="38"/>
      <c r="AF2753" s="38"/>
      <c r="AG2753" s="38"/>
      <c r="AH2753" s="38"/>
    </row>
    <row r="2754" spans="3:34" ht="20.100000000000001" customHeight="1">
      <c r="C2754" s="113"/>
      <c r="D2754" s="114"/>
      <c r="P2754" s="82"/>
      <c r="Q2754" s="82"/>
      <c r="R2754" s="38"/>
      <c r="S2754" s="38"/>
      <c r="T2754" s="38"/>
      <c r="U2754" s="38"/>
      <c r="V2754" s="38"/>
      <c r="W2754" s="38"/>
      <c r="X2754" s="38"/>
      <c r="Y2754" s="38"/>
      <c r="Z2754" s="38"/>
      <c r="AA2754" s="38"/>
      <c r="AB2754" s="38"/>
      <c r="AC2754" s="38"/>
      <c r="AD2754" s="38"/>
      <c r="AE2754" s="38"/>
      <c r="AF2754" s="38"/>
      <c r="AG2754" s="38"/>
      <c r="AH2754" s="38"/>
    </row>
    <row r="2755" spans="3:34" ht="20.100000000000001" customHeight="1">
      <c r="C2755" s="113"/>
      <c r="D2755" s="114"/>
      <c r="P2755" s="82"/>
      <c r="Q2755" s="82"/>
      <c r="R2755" s="38"/>
      <c r="S2755" s="38"/>
      <c r="T2755" s="38"/>
      <c r="U2755" s="38"/>
      <c r="V2755" s="38"/>
      <c r="W2755" s="38"/>
      <c r="X2755" s="38"/>
      <c r="Y2755" s="38"/>
      <c r="Z2755" s="38"/>
      <c r="AA2755" s="38"/>
      <c r="AB2755" s="38"/>
      <c r="AC2755" s="38"/>
      <c r="AD2755" s="38"/>
      <c r="AE2755" s="38"/>
      <c r="AF2755" s="38"/>
      <c r="AG2755" s="38"/>
      <c r="AH2755" s="38"/>
    </row>
    <row r="2756" spans="3:34" ht="20.100000000000001" customHeight="1">
      <c r="C2756" s="113"/>
      <c r="D2756" s="114"/>
      <c r="P2756" s="82"/>
      <c r="Q2756" s="82"/>
      <c r="R2756" s="38"/>
      <c r="S2756" s="38"/>
      <c r="T2756" s="38"/>
      <c r="U2756" s="38"/>
      <c r="V2756" s="38"/>
      <c r="W2756" s="38"/>
      <c r="X2756" s="38"/>
      <c r="Y2756" s="38"/>
      <c r="Z2756" s="38"/>
      <c r="AA2756" s="38"/>
      <c r="AB2756" s="38"/>
      <c r="AC2756" s="38"/>
      <c r="AD2756" s="38"/>
      <c r="AE2756" s="38"/>
      <c r="AF2756" s="38"/>
      <c r="AG2756" s="38"/>
      <c r="AH2756" s="38"/>
    </row>
    <row r="2757" spans="3:34" ht="20.100000000000001" customHeight="1">
      <c r="C2757" s="113"/>
      <c r="D2757" s="114"/>
      <c r="P2757" s="82"/>
      <c r="Q2757" s="82"/>
      <c r="R2757" s="38"/>
      <c r="S2757" s="38"/>
      <c r="T2757" s="38"/>
      <c r="U2757" s="38"/>
      <c r="V2757" s="38"/>
      <c r="W2757" s="38"/>
      <c r="X2757" s="38"/>
      <c r="Y2757" s="38"/>
      <c r="Z2757" s="38"/>
      <c r="AA2757" s="38"/>
      <c r="AB2757" s="38"/>
      <c r="AC2757" s="38"/>
      <c r="AD2757" s="38"/>
      <c r="AE2757" s="38"/>
      <c r="AF2757" s="38"/>
      <c r="AG2757" s="38"/>
      <c r="AH2757" s="38"/>
    </row>
    <row r="2758" spans="3:34" ht="20.100000000000001" customHeight="1">
      <c r="C2758" s="113"/>
      <c r="D2758" s="114"/>
      <c r="P2758" s="82"/>
      <c r="Q2758" s="82"/>
      <c r="R2758" s="38"/>
      <c r="S2758" s="38"/>
      <c r="T2758" s="38"/>
      <c r="U2758" s="38"/>
      <c r="V2758" s="38"/>
      <c r="W2758" s="38"/>
      <c r="X2758" s="38"/>
      <c r="Y2758" s="38"/>
      <c r="Z2758" s="38"/>
      <c r="AA2758" s="38"/>
      <c r="AB2758" s="38"/>
      <c r="AC2758" s="38"/>
      <c r="AD2758" s="38"/>
      <c r="AE2758" s="38"/>
      <c r="AF2758" s="38"/>
      <c r="AG2758" s="38"/>
      <c r="AH2758" s="38"/>
    </row>
    <row r="2759" spans="3:34" ht="20.100000000000001" customHeight="1">
      <c r="C2759" s="113"/>
      <c r="D2759" s="114"/>
      <c r="P2759" s="82"/>
      <c r="Q2759" s="82"/>
      <c r="R2759" s="38"/>
      <c r="S2759" s="38"/>
      <c r="T2759" s="38"/>
      <c r="U2759" s="38"/>
      <c r="V2759" s="38"/>
      <c r="W2759" s="38"/>
      <c r="X2759" s="38"/>
      <c r="Y2759" s="38"/>
      <c r="Z2759" s="38"/>
      <c r="AA2759" s="38"/>
      <c r="AB2759" s="38"/>
      <c r="AC2759" s="38"/>
      <c r="AD2759" s="38"/>
      <c r="AE2759" s="38"/>
      <c r="AF2759" s="38"/>
      <c r="AG2759" s="38"/>
      <c r="AH2759" s="38"/>
    </row>
    <row r="2760" spans="3:34" ht="20.100000000000001" customHeight="1">
      <c r="C2760" s="113"/>
      <c r="D2760" s="114"/>
      <c r="P2760" s="82"/>
      <c r="Q2760" s="82"/>
      <c r="R2760" s="38"/>
      <c r="S2760" s="38"/>
      <c r="T2760" s="38"/>
      <c r="U2760" s="38"/>
      <c r="V2760" s="38"/>
      <c r="W2760" s="38"/>
      <c r="X2760" s="38"/>
      <c r="Y2760" s="38"/>
      <c r="Z2760" s="38"/>
      <c r="AA2760" s="38"/>
      <c r="AB2760" s="38"/>
      <c r="AC2760" s="38"/>
      <c r="AD2760" s="38"/>
      <c r="AE2760" s="38"/>
      <c r="AF2760" s="38"/>
      <c r="AG2760" s="38"/>
      <c r="AH2760" s="38"/>
    </row>
    <row r="2761" spans="3:34" ht="20.100000000000001" customHeight="1">
      <c r="C2761" s="113"/>
      <c r="D2761" s="114"/>
      <c r="P2761" s="82"/>
      <c r="Q2761" s="82"/>
      <c r="R2761" s="38"/>
      <c r="S2761" s="38"/>
      <c r="T2761" s="38"/>
      <c r="U2761" s="38"/>
      <c r="V2761" s="38"/>
      <c r="W2761" s="38"/>
      <c r="X2761" s="38"/>
      <c r="Y2761" s="38"/>
      <c r="Z2761" s="38"/>
      <c r="AA2761" s="38"/>
      <c r="AB2761" s="38"/>
      <c r="AC2761" s="38"/>
      <c r="AD2761" s="38"/>
      <c r="AE2761" s="38"/>
      <c r="AF2761" s="38"/>
      <c r="AG2761" s="38"/>
      <c r="AH2761" s="38"/>
    </row>
    <row r="2762" spans="3:34" ht="20.100000000000001" customHeight="1">
      <c r="C2762" s="113"/>
      <c r="D2762" s="114"/>
      <c r="P2762" s="82"/>
      <c r="Q2762" s="82"/>
      <c r="R2762" s="38"/>
      <c r="S2762" s="38"/>
      <c r="T2762" s="38"/>
      <c r="U2762" s="38"/>
      <c r="V2762" s="38"/>
      <c r="W2762" s="38"/>
      <c r="X2762" s="38"/>
      <c r="Y2762" s="38"/>
      <c r="Z2762" s="38"/>
      <c r="AA2762" s="38"/>
      <c r="AB2762" s="38"/>
      <c r="AC2762" s="38"/>
      <c r="AD2762" s="38"/>
      <c r="AE2762" s="38"/>
      <c r="AF2762" s="38"/>
      <c r="AG2762" s="38"/>
      <c r="AH2762" s="38"/>
    </row>
    <row r="2763" spans="3:34" ht="20.100000000000001" customHeight="1">
      <c r="C2763" s="113"/>
      <c r="D2763" s="114"/>
      <c r="P2763" s="82"/>
      <c r="Q2763" s="82"/>
      <c r="R2763" s="38"/>
      <c r="S2763" s="38"/>
      <c r="T2763" s="38"/>
      <c r="U2763" s="38"/>
      <c r="V2763" s="38"/>
      <c r="W2763" s="38"/>
      <c r="X2763" s="38"/>
      <c r="Y2763" s="38"/>
      <c r="Z2763" s="38"/>
      <c r="AA2763" s="38"/>
      <c r="AB2763" s="38"/>
      <c r="AC2763" s="38"/>
      <c r="AD2763" s="38"/>
      <c r="AE2763" s="38"/>
      <c r="AF2763" s="38"/>
      <c r="AG2763" s="38"/>
      <c r="AH2763" s="38"/>
    </row>
    <row r="2764" spans="3:34" ht="20.100000000000001" customHeight="1">
      <c r="C2764" s="113"/>
      <c r="D2764" s="114"/>
      <c r="P2764" s="82"/>
      <c r="Q2764" s="82"/>
      <c r="R2764" s="38"/>
      <c r="S2764" s="38"/>
      <c r="T2764" s="38"/>
      <c r="U2764" s="38"/>
      <c r="V2764" s="38"/>
      <c r="W2764" s="38"/>
      <c r="X2764" s="38"/>
      <c r="Y2764" s="38"/>
      <c r="Z2764" s="38"/>
      <c r="AA2764" s="38"/>
      <c r="AB2764" s="38"/>
      <c r="AC2764" s="38"/>
      <c r="AD2764" s="38"/>
      <c r="AE2764" s="38"/>
      <c r="AF2764" s="38"/>
      <c r="AG2764" s="38"/>
      <c r="AH2764" s="38"/>
    </row>
    <row r="2765" spans="3:34" ht="20.100000000000001" customHeight="1">
      <c r="C2765" s="113"/>
      <c r="D2765" s="114"/>
      <c r="P2765" s="82"/>
      <c r="Q2765" s="82"/>
      <c r="R2765" s="38"/>
      <c r="S2765" s="38"/>
      <c r="T2765" s="38"/>
      <c r="U2765" s="38"/>
      <c r="V2765" s="38"/>
      <c r="W2765" s="38"/>
      <c r="X2765" s="38"/>
      <c r="Y2765" s="38"/>
      <c r="Z2765" s="38"/>
      <c r="AA2765" s="38"/>
      <c r="AB2765" s="38"/>
      <c r="AC2765" s="38"/>
      <c r="AD2765" s="38"/>
      <c r="AE2765" s="38"/>
      <c r="AF2765" s="38"/>
      <c r="AG2765" s="38"/>
      <c r="AH2765" s="38"/>
    </row>
    <row r="2766" spans="3:34" ht="20.100000000000001" customHeight="1">
      <c r="C2766" s="113"/>
      <c r="D2766" s="114"/>
      <c r="P2766" s="82"/>
      <c r="Q2766" s="82"/>
      <c r="R2766" s="38"/>
      <c r="S2766" s="38"/>
      <c r="T2766" s="38"/>
      <c r="U2766" s="38"/>
      <c r="V2766" s="38"/>
      <c r="W2766" s="38"/>
      <c r="X2766" s="38"/>
      <c r="Y2766" s="38"/>
      <c r="Z2766" s="38"/>
      <c r="AA2766" s="38"/>
      <c r="AB2766" s="38"/>
      <c r="AC2766" s="38"/>
      <c r="AD2766" s="38"/>
      <c r="AE2766" s="38"/>
      <c r="AF2766" s="38"/>
      <c r="AG2766" s="38"/>
      <c r="AH2766" s="38"/>
    </row>
    <row r="2767" spans="3:34" ht="20.100000000000001" customHeight="1">
      <c r="C2767" s="113"/>
      <c r="D2767" s="114"/>
      <c r="P2767" s="82"/>
      <c r="Q2767" s="82"/>
      <c r="R2767" s="38"/>
      <c r="S2767" s="38"/>
      <c r="T2767" s="38"/>
      <c r="U2767" s="38"/>
      <c r="V2767" s="38"/>
      <c r="W2767" s="38"/>
      <c r="X2767" s="38"/>
      <c r="Y2767" s="38"/>
      <c r="Z2767" s="38"/>
      <c r="AA2767" s="38"/>
      <c r="AB2767" s="38"/>
      <c r="AC2767" s="38"/>
      <c r="AD2767" s="38"/>
      <c r="AE2767" s="38"/>
      <c r="AF2767" s="38"/>
      <c r="AG2767" s="38"/>
      <c r="AH2767" s="38"/>
    </row>
    <row r="2768" spans="3:34" ht="20.100000000000001" customHeight="1">
      <c r="C2768" s="113"/>
      <c r="D2768" s="114"/>
      <c r="P2768" s="82"/>
      <c r="Q2768" s="82"/>
      <c r="R2768" s="38"/>
      <c r="S2768" s="38"/>
      <c r="T2768" s="38"/>
      <c r="U2768" s="38"/>
      <c r="V2768" s="38"/>
      <c r="W2768" s="38"/>
      <c r="X2768" s="38"/>
      <c r="Y2768" s="38"/>
      <c r="Z2768" s="38"/>
      <c r="AA2768" s="38"/>
      <c r="AB2768" s="38"/>
      <c r="AC2768" s="38"/>
      <c r="AD2768" s="38"/>
      <c r="AE2768" s="38"/>
      <c r="AF2768" s="38"/>
      <c r="AG2768" s="38"/>
      <c r="AH2768" s="38"/>
    </row>
    <row r="2769" spans="3:34" ht="20.100000000000001" customHeight="1">
      <c r="C2769" s="113"/>
      <c r="D2769" s="114"/>
      <c r="P2769" s="82"/>
      <c r="Q2769" s="82"/>
      <c r="R2769" s="38"/>
      <c r="S2769" s="38"/>
      <c r="T2769" s="38"/>
      <c r="U2769" s="38"/>
      <c r="V2769" s="38"/>
      <c r="W2769" s="38"/>
      <c r="X2769" s="38"/>
      <c r="Y2769" s="38"/>
      <c r="Z2769" s="38"/>
      <c r="AA2769" s="38"/>
      <c r="AB2769" s="38"/>
      <c r="AC2769" s="38"/>
      <c r="AD2769" s="38"/>
      <c r="AE2769" s="38"/>
      <c r="AF2769" s="38"/>
      <c r="AG2769" s="38"/>
      <c r="AH2769" s="38"/>
    </row>
    <row r="2770" spans="3:34" ht="20.100000000000001" customHeight="1">
      <c r="C2770" s="113"/>
      <c r="D2770" s="114"/>
      <c r="P2770" s="82"/>
      <c r="Q2770" s="82"/>
      <c r="R2770" s="38"/>
      <c r="S2770" s="38"/>
      <c r="T2770" s="38"/>
      <c r="U2770" s="38"/>
      <c r="V2770" s="38"/>
      <c r="W2770" s="38"/>
      <c r="X2770" s="38"/>
      <c r="Y2770" s="38"/>
      <c r="Z2770" s="38"/>
      <c r="AA2770" s="38"/>
      <c r="AB2770" s="38"/>
      <c r="AC2770" s="38"/>
      <c r="AD2770" s="38"/>
      <c r="AE2770" s="38"/>
      <c r="AF2770" s="38"/>
      <c r="AG2770" s="38"/>
      <c r="AH2770" s="38"/>
    </row>
    <row r="2771" spans="3:34" ht="20.100000000000001" customHeight="1">
      <c r="C2771" s="113"/>
      <c r="D2771" s="114"/>
      <c r="P2771" s="82"/>
      <c r="Q2771" s="82"/>
      <c r="R2771" s="38"/>
      <c r="S2771" s="38"/>
      <c r="T2771" s="38"/>
      <c r="U2771" s="38"/>
      <c r="V2771" s="38"/>
      <c r="W2771" s="38"/>
      <c r="X2771" s="38"/>
      <c r="Y2771" s="38"/>
      <c r="Z2771" s="38"/>
      <c r="AA2771" s="38"/>
      <c r="AB2771" s="38"/>
      <c r="AC2771" s="38"/>
      <c r="AD2771" s="38"/>
      <c r="AE2771" s="38"/>
      <c r="AF2771" s="38"/>
      <c r="AG2771" s="38"/>
      <c r="AH2771" s="38"/>
    </row>
    <row r="2772" spans="3:34" ht="20.100000000000001" customHeight="1">
      <c r="C2772" s="113"/>
      <c r="D2772" s="114"/>
      <c r="P2772" s="82"/>
      <c r="Q2772" s="82"/>
      <c r="R2772" s="38"/>
      <c r="S2772" s="38"/>
      <c r="T2772" s="38"/>
      <c r="U2772" s="38"/>
      <c r="V2772" s="38"/>
      <c r="W2772" s="38"/>
      <c r="X2772" s="38"/>
      <c r="Y2772" s="38"/>
      <c r="Z2772" s="38"/>
      <c r="AA2772" s="38"/>
      <c r="AB2772" s="38"/>
      <c r="AC2772" s="38"/>
      <c r="AD2772" s="38"/>
      <c r="AE2772" s="38"/>
      <c r="AF2772" s="38"/>
      <c r="AG2772" s="38"/>
      <c r="AH2772" s="38"/>
    </row>
    <row r="2773" spans="3:34" ht="20.100000000000001" customHeight="1">
      <c r="C2773" s="113"/>
      <c r="D2773" s="114"/>
      <c r="P2773" s="82"/>
      <c r="Q2773" s="82"/>
      <c r="R2773" s="38"/>
      <c r="S2773" s="38"/>
      <c r="T2773" s="38"/>
      <c r="U2773" s="38"/>
      <c r="V2773" s="38"/>
      <c r="W2773" s="38"/>
      <c r="X2773" s="38"/>
      <c r="Y2773" s="38"/>
      <c r="Z2773" s="38"/>
      <c r="AA2773" s="38"/>
      <c r="AB2773" s="38"/>
      <c r="AC2773" s="38"/>
      <c r="AD2773" s="38"/>
      <c r="AE2773" s="38"/>
      <c r="AF2773" s="38"/>
      <c r="AG2773" s="38"/>
      <c r="AH2773" s="38"/>
    </row>
    <row r="2774" spans="3:34" ht="20.100000000000001" customHeight="1">
      <c r="C2774" s="113"/>
      <c r="D2774" s="114"/>
      <c r="P2774" s="82"/>
      <c r="Q2774" s="82"/>
      <c r="R2774" s="38"/>
      <c r="S2774" s="38"/>
      <c r="T2774" s="38"/>
      <c r="U2774" s="38"/>
      <c r="V2774" s="38"/>
      <c r="W2774" s="38"/>
      <c r="X2774" s="38"/>
      <c r="Y2774" s="38"/>
      <c r="Z2774" s="38"/>
      <c r="AA2774" s="38"/>
      <c r="AB2774" s="38"/>
      <c r="AC2774" s="38"/>
      <c r="AD2774" s="38"/>
      <c r="AE2774" s="38"/>
      <c r="AF2774" s="38"/>
      <c r="AG2774" s="38"/>
      <c r="AH2774" s="38"/>
    </row>
    <row r="2775" spans="3:34" ht="20.100000000000001" customHeight="1">
      <c r="C2775" s="113"/>
      <c r="D2775" s="114"/>
      <c r="P2775" s="82"/>
      <c r="Q2775" s="82"/>
      <c r="R2775" s="38"/>
      <c r="S2775" s="38"/>
      <c r="T2775" s="38"/>
      <c r="U2775" s="38"/>
      <c r="V2775" s="38"/>
      <c r="W2775" s="38"/>
      <c r="X2775" s="38"/>
      <c r="Y2775" s="38"/>
      <c r="Z2775" s="38"/>
      <c r="AA2775" s="38"/>
      <c r="AB2775" s="38"/>
      <c r="AC2775" s="38"/>
      <c r="AD2775" s="38"/>
      <c r="AE2775" s="38"/>
      <c r="AF2775" s="38"/>
      <c r="AG2775" s="38"/>
      <c r="AH2775" s="38"/>
    </row>
    <row r="2776" spans="3:34" ht="20.100000000000001" customHeight="1">
      <c r="C2776" s="113"/>
      <c r="D2776" s="114"/>
      <c r="P2776" s="82"/>
      <c r="Q2776" s="82"/>
      <c r="R2776" s="38"/>
      <c r="S2776" s="38"/>
      <c r="T2776" s="38"/>
      <c r="U2776" s="38"/>
      <c r="V2776" s="38"/>
      <c r="W2776" s="38"/>
      <c r="X2776" s="38"/>
      <c r="Y2776" s="38"/>
      <c r="Z2776" s="38"/>
      <c r="AA2776" s="38"/>
      <c r="AB2776" s="38"/>
      <c r="AC2776" s="38"/>
      <c r="AD2776" s="38"/>
      <c r="AE2776" s="38"/>
      <c r="AF2776" s="38"/>
      <c r="AG2776" s="38"/>
      <c r="AH2776" s="38"/>
    </row>
    <row r="2777" spans="3:34" ht="20.100000000000001" customHeight="1">
      <c r="C2777" s="113"/>
      <c r="D2777" s="114"/>
      <c r="P2777" s="82"/>
      <c r="Q2777" s="82"/>
      <c r="R2777" s="38"/>
      <c r="S2777" s="38"/>
      <c r="T2777" s="38"/>
      <c r="U2777" s="38"/>
      <c r="V2777" s="38"/>
      <c r="W2777" s="38"/>
      <c r="X2777" s="38"/>
      <c r="Y2777" s="38"/>
      <c r="Z2777" s="38"/>
      <c r="AA2777" s="38"/>
      <c r="AB2777" s="38"/>
      <c r="AC2777" s="38"/>
      <c r="AD2777" s="38"/>
      <c r="AE2777" s="38"/>
      <c r="AF2777" s="38"/>
      <c r="AG2777" s="38"/>
      <c r="AH2777" s="38"/>
    </row>
    <row r="2778" spans="3:34" ht="20.100000000000001" customHeight="1">
      <c r="C2778" s="113"/>
      <c r="D2778" s="114"/>
      <c r="P2778" s="82"/>
      <c r="Q2778" s="82"/>
      <c r="R2778" s="38"/>
      <c r="S2778" s="38"/>
      <c r="T2778" s="38"/>
      <c r="U2778" s="38"/>
      <c r="V2778" s="38"/>
      <c r="W2778" s="38"/>
      <c r="X2778" s="38"/>
      <c r="Y2778" s="38"/>
      <c r="Z2778" s="38"/>
      <c r="AA2778" s="38"/>
      <c r="AB2778" s="38"/>
      <c r="AC2778" s="38"/>
      <c r="AD2778" s="38"/>
      <c r="AE2778" s="38"/>
      <c r="AF2778" s="38"/>
      <c r="AG2778" s="38"/>
      <c r="AH2778" s="38"/>
    </row>
    <row r="2779" spans="3:34" ht="20.100000000000001" customHeight="1">
      <c r="C2779" s="113"/>
      <c r="D2779" s="114"/>
      <c r="P2779" s="82"/>
      <c r="Q2779" s="82"/>
      <c r="R2779" s="38"/>
      <c r="S2779" s="38"/>
      <c r="T2779" s="38"/>
      <c r="U2779" s="38"/>
      <c r="V2779" s="38"/>
      <c r="W2779" s="38"/>
      <c r="X2779" s="38"/>
      <c r="Y2779" s="38"/>
      <c r="Z2779" s="38"/>
      <c r="AA2779" s="38"/>
      <c r="AB2779" s="38"/>
      <c r="AC2779" s="38"/>
      <c r="AD2779" s="38"/>
      <c r="AE2779" s="38"/>
      <c r="AF2779" s="38"/>
      <c r="AG2779" s="38"/>
      <c r="AH2779" s="38"/>
    </row>
    <row r="2780" spans="3:34" ht="20.100000000000001" customHeight="1">
      <c r="C2780" s="113"/>
      <c r="D2780" s="114"/>
      <c r="P2780" s="82"/>
      <c r="Q2780" s="82"/>
      <c r="R2780" s="38"/>
      <c r="S2780" s="38"/>
      <c r="T2780" s="38"/>
      <c r="U2780" s="38"/>
      <c r="V2780" s="38"/>
      <c r="W2780" s="38"/>
      <c r="X2780" s="38"/>
      <c r="Y2780" s="38"/>
      <c r="Z2780" s="38"/>
      <c r="AA2780" s="38"/>
      <c r="AB2780" s="38"/>
      <c r="AC2780" s="38"/>
      <c r="AD2780" s="38"/>
      <c r="AE2780" s="38"/>
      <c r="AF2780" s="38"/>
      <c r="AG2780" s="38"/>
      <c r="AH2780" s="38"/>
    </row>
    <row r="2781" spans="3:34" ht="20.100000000000001" customHeight="1">
      <c r="C2781" s="113"/>
      <c r="D2781" s="114"/>
      <c r="P2781" s="82"/>
      <c r="Q2781" s="82"/>
      <c r="R2781" s="38"/>
      <c r="S2781" s="38"/>
      <c r="T2781" s="38"/>
      <c r="U2781" s="38"/>
      <c r="V2781" s="38"/>
      <c r="W2781" s="38"/>
      <c r="X2781" s="38"/>
      <c r="Y2781" s="38"/>
      <c r="Z2781" s="38"/>
      <c r="AA2781" s="38"/>
      <c r="AB2781" s="38"/>
      <c r="AC2781" s="38"/>
      <c r="AD2781" s="38"/>
      <c r="AE2781" s="38"/>
      <c r="AF2781" s="38"/>
      <c r="AG2781" s="38"/>
      <c r="AH2781" s="38"/>
    </row>
    <row r="2782" spans="3:34" ht="20.100000000000001" customHeight="1">
      <c r="C2782" s="113"/>
      <c r="D2782" s="114"/>
      <c r="P2782" s="82"/>
      <c r="Q2782" s="82"/>
      <c r="R2782" s="38"/>
      <c r="S2782" s="38"/>
      <c r="T2782" s="38"/>
      <c r="U2782" s="38"/>
      <c r="V2782" s="38"/>
      <c r="W2782" s="38"/>
      <c r="X2782" s="38"/>
      <c r="Y2782" s="38"/>
      <c r="Z2782" s="38"/>
      <c r="AA2782" s="38"/>
      <c r="AB2782" s="38"/>
      <c r="AC2782" s="38"/>
      <c r="AD2782" s="38"/>
      <c r="AE2782" s="38"/>
      <c r="AF2782" s="38"/>
      <c r="AG2782" s="38"/>
      <c r="AH2782" s="38"/>
    </row>
    <row r="2783" spans="3:34" ht="20.100000000000001" customHeight="1">
      <c r="C2783" s="113"/>
      <c r="D2783" s="114"/>
      <c r="P2783" s="82"/>
      <c r="Q2783" s="82"/>
      <c r="R2783" s="38"/>
      <c r="S2783" s="38"/>
      <c r="T2783" s="38"/>
      <c r="U2783" s="38"/>
      <c r="V2783" s="38"/>
      <c r="W2783" s="38"/>
      <c r="X2783" s="38"/>
      <c r="Y2783" s="38"/>
      <c r="Z2783" s="38"/>
      <c r="AA2783" s="38"/>
      <c r="AB2783" s="38"/>
      <c r="AC2783" s="38"/>
      <c r="AD2783" s="38"/>
      <c r="AE2783" s="38"/>
      <c r="AF2783" s="38"/>
      <c r="AG2783" s="38"/>
      <c r="AH2783" s="38"/>
    </row>
    <row r="2784" spans="3:34" ht="20.100000000000001" customHeight="1">
      <c r="C2784" s="113"/>
      <c r="D2784" s="114"/>
      <c r="P2784" s="82"/>
      <c r="Q2784" s="82"/>
      <c r="R2784" s="38"/>
      <c r="S2784" s="38"/>
      <c r="T2784" s="38"/>
      <c r="U2784" s="38"/>
      <c r="V2784" s="38"/>
      <c r="W2784" s="38"/>
      <c r="X2784" s="38"/>
      <c r="Y2784" s="38"/>
      <c r="Z2784" s="38"/>
      <c r="AA2784" s="38"/>
      <c r="AB2784" s="38"/>
      <c r="AC2784" s="38"/>
      <c r="AD2784" s="38"/>
      <c r="AE2784" s="38"/>
      <c r="AF2784" s="38"/>
      <c r="AG2784" s="38"/>
      <c r="AH2784" s="38"/>
    </row>
    <row r="2785" spans="3:34" ht="20.100000000000001" customHeight="1">
      <c r="C2785" s="113"/>
      <c r="D2785" s="114"/>
      <c r="P2785" s="82"/>
      <c r="Q2785" s="82"/>
      <c r="R2785" s="38"/>
      <c r="S2785" s="38"/>
      <c r="T2785" s="38"/>
      <c r="U2785" s="38"/>
      <c r="V2785" s="38"/>
      <c r="W2785" s="38"/>
      <c r="X2785" s="38"/>
      <c r="Y2785" s="38"/>
      <c r="Z2785" s="38"/>
      <c r="AA2785" s="38"/>
      <c r="AB2785" s="38"/>
      <c r="AC2785" s="38"/>
      <c r="AD2785" s="38"/>
      <c r="AE2785" s="38"/>
      <c r="AF2785" s="38"/>
      <c r="AG2785" s="38"/>
      <c r="AH2785" s="38"/>
    </row>
    <row r="2786" spans="3:34" ht="20.100000000000001" customHeight="1">
      <c r="C2786" s="113"/>
      <c r="D2786" s="114"/>
      <c r="P2786" s="82"/>
      <c r="Q2786" s="82"/>
      <c r="R2786" s="38"/>
      <c r="S2786" s="38"/>
      <c r="T2786" s="38"/>
      <c r="U2786" s="38"/>
      <c r="V2786" s="38"/>
      <c r="W2786" s="38"/>
      <c r="X2786" s="38"/>
      <c r="Y2786" s="38"/>
      <c r="Z2786" s="38"/>
      <c r="AA2786" s="38"/>
      <c r="AB2786" s="38"/>
      <c r="AC2786" s="38"/>
      <c r="AD2786" s="38"/>
      <c r="AE2786" s="38"/>
      <c r="AF2786" s="38"/>
      <c r="AG2786" s="38"/>
      <c r="AH2786" s="38"/>
    </row>
    <row r="2787" spans="3:34" ht="20.100000000000001" customHeight="1">
      <c r="C2787" s="113"/>
      <c r="D2787" s="114"/>
      <c r="P2787" s="82"/>
      <c r="Q2787" s="82"/>
      <c r="R2787" s="38"/>
      <c r="S2787" s="38"/>
      <c r="T2787" s="38"/>
      <c r="U2787" s="38"/>
      <c r="V2787" s="38"/>
      <c r="W2787" s="38"/>
      <c r="X2787" s="38"/>
      <c r="Y2787" s="38"/>
      <c r="Z2787" s="38"/>
      <c r="AA2787" s="38"/>
      <c r="AB2787" s="38"/>
      <c r="AC2787" s="38"/>
      <c r="AD2787" s="38"/>
      <c r="AE2787" s="38"/>
      <c r="AF2787" s="38"/>
      <c r="AG2787" s="38"/>
      <c r="AH2787" s="38"/>
    </row>
    <row r="2788" spans="3:34" ht="20.100000000000001" customHeight="1">
      <c r="C2788" s="113"/>
      <c r="D2788" s="114"/>
      <c r="P2788" s="82"/>
      <c r="Q2788" s="82"/>
      <c r="R2788" s="38"/>
      <c r="S2788" s="38"/>
      <c r="T2788" s="38"/>
      <c r="U2788" s="38"/>
      <c r="V2788" s="38"/>
      <c r="W2788" s="38"/>
      <c r="X2788" s="38"/>
      <c r="Y2788" s="38"/>
      <c r="Z2788" s="38"/>
      <c r="AA2788" s="38"/>
      <c r="AB2788" s="38"/>
      <c r="AC2788" s="38"/>
      <c r="AD2788" s="38"/>
      <c r="AE2788" s="38"/>
      <c r="AF2788" s="38"/>
      <c r="AG2788" s="38"/>
      <c r="AH2788" s="38"/>
    </row>
    <row r="2789" spans="3:34" ht="20.100000000000001" customHeight="1">
      <c r="C2789" s="113"/>
      <c r="D2789" s="114"/>
      <c r="P2789" s="82"/>
      <c r="Q2789" s="82"/>
      <c r="R2789" s="38"/>
      <c r="S2789" s="38"/>
      <c r="T2789" s="38"/>
      <c r="U2789" s="38"/>
      <c r="V2789" s="38"/>
      <c r="W2789" s="38"/>
      <c r="X2789" s="38"/>
      <c r="Y2789" s="38"/>
      <c r="Z2789" s="38"/>
      <c r="AA2789" s="38"/>
      <c r="AB2789" s="38"/>
      <c r="AC2789" s="38"/>
      <c r="AD2789" s="38"/>
      <c r="AE2789" s="38"/>
      <c r="AF2789" s="38"/>
      <c r="AG2789" s="38"/>
      <c r="AH2789" s="38"/>
    </row>
    <row r="2790" spans="3:34" ht="20.100000000000001" customHeight="1">
      <c r="C2790" s="113"/>
      <c r="D2790" s="114"/>
      <c r="P2790" s="82"/>
      <c r="Q2790" s="82"/>
      <c r="R2790" s="38"/>
      <c r="S2790" s="38"/>
      <c r="T2790" s="38"/>
      <c r="U2790" s="38"/>
      <c r="V2790" s="38"/>
      <c r="W2790" s="38"/>
      <c r="X2790" s="38"/>
      <c r="Y2790" s="38"/>
      <c r="Z2790" s="38"/>
      <c r="AA2790" s="38"/>
      <c r="AB2790" s="38"/>
      <c r="AC2790" s="38"/>
      <c r="AD2790" s="38"/>
      <c r="AE2790" s="38"/>
      <c r="AF2790" s="38"/>
      <c r="AG2790" s="38"/>
      <c r="AH2790" s="38"/>
    </row>
    <row r="2791" spans="3:34" ht="20.100000000000001" customHeight="1">
      <c r="C2791" s="113"/>
      <c r="D2791" s="114"/>
      <c r="P2791" s="82"/>
      <c r="Q2791" s="82"/>
      <c r="R2791" s="38"/>
      <c r="S2791" s="38"/>
      <c r="T2791" s="38"/>
      <c r="U2791" s="38"/>
      <c r="V2791" s="38"/>
      <c r="W2791" s="38"/>
      <c r="X2791" s="38"/>
      <c r="Y2791" s="38"/>
      <c r="Z2791" s="38"/>
      <c r="AA2791" s="38"/>
      <c r="AB2791" s="38"/>
      <c r="AC2791" s="38"/>
      <c r="AD2791" s="38"/>
      <c r="AE2791" s="38"/>
      <c r="AF2791" s="38"/>
      <c r="AG2791" s="38"/>
      <c r="AH2791" s="38"/>
    </row>
    <row r="2792" spans="3:34" ht="20.100000000000001" customHeight="1">
      <c r="C2792" s="113"/>
      <c r="D2792" s="114"/>
      <c r="P2792" s="82"/>
      <c r="Q2792" s="82"/>
      <c r="R2792" s="38"/>
      <c r="S2792" s="38"/>
      <c r="T2792" s="38"/>
      <c r="U2792" s="38"/>
      <c r="V2792" s="38"/>
      <c r="W2792" s="38"/>
      <c r="X2792" s="38"/>
      <c r="Y2792" s="38"/>
      <c r="Z2792" s="38"/>
      <c r="AA2792" s="38"/>
      <c r="AB2792" s="38"/>
      <c r="AC2792" s="38"/>
      <c r="AD2792" s="38"/>
      <c r="AE2792" s="38"/>
      <c r="AF2792" s="38"/>
      <c r="AG2792" s="38"/>
      <c r="AH2792" s="38"/>
    </row>
    <row r="2793" spans="3:34" ht="20.100000000000001" customHeight="1">
      <c r="C2793" s="113"/>
      <c r="D2793" s="114"/>
      <c r="P2793" s="82"/>
      <c r="Q2793" s="82"/>
      <c r="R2793" s="38"/>
      <c r="S2793" s="38"/>
      <c r="T2793" s="38"/>
      <c r="U2793" s="38"/>
      <c r="V2793" s="38"/>
      <c r="W2793" s="38"/>
      <c r="X2793" s="38"/>
      <c r="Y2793" s="38"/>
      <c r="Z2793" s="38"/>
      <c r="AA2793" s="38"/>
      <c r="AB2793" s="38"/>
      <c r="AC2793" s="38"/>
      <c r="AD2793" s="38"/>
      <c r="AE2793" s="38"/>
      <c r="AF2793" s="38"/>
      <c r="AG2793" s="38"/>
      <c r="AH2793" s="38"/>
    </row>
    <row r="2794" spans="3:34" ht="20.100000000000001" customHeight="1">
      <c r="C2794" s="113"/>
      <c r="D2794" s="114"/>
      <c r="P2794" s="82"/>
      <c r="Q2794" s="82"/>
      <c r="R2794" s="38"/>
      <c r="S2794" s="38"/>
      <c r="T2794" s="38"/>
      <c r="U2794" s="38"/>
      <c r="V2794" s="38"/>
      <c r="W2794" s="38"/>
      <c r="X2794" s="38"/>
      <c r="Y2794" s="38"/>
      <c r="Z2794" s="38"/>
      <c r="AA2794" s="38"/>
      <c r="AB2794" s="38"/>
      <c r="AC2794" s="38"/>
      <c r="AD2794" s="38"/>
      <c r="AE2794" s="38"/>
      <c r="AF2794" s="38"/>
      <c r="AG2794" s="38"/>
      <c r="AH2794" s="38"/>
    </row>
    <row r="2795" spans="3:34" ht="20.100000000000001" customHeight="1">
      <c r="C2795" s="113"/>
      <c r="D2795" s="114"/>
      <c r="P2795" s="82"/>
      <c r="Q2795" s="82"/>
      <c r="R2795" s="38"/>
      <c r="S2795" s="38"/>
      <c r="T2795" s="38"/>
      <c r="U2795" s="38"/>
      <c r="V2795" s="38"/>
      <c r="W2795" s="38"/>
      <c r="X2795" s="38"/>
      <c r="Y2795" s="38"/>
      <c r="Z2795" s="38"/>
      <c r="AA2795" s="38"/>
      <c r="AB2795" s="38"/>
      <c r="AC2795" s="38"/>
      <c r="AD2795" s="38"/>
      <c r="AE2795" s="38"/>
      <c r="AF2795" s="38"/>
      <c r="AG2795" s="38"/>
      <c r="AH2795" s="38"/>
    </row>
    <row r="2796" spans="3:34" ht="20.100000000000001" customHeight="1">
      <c r="C2796" s="113"/>
      <c r="D2796" s="114"/>
      <c r="P2796" s="82"/>
      <c r="Q2796" s="82"/>
      <c r="R2796" s="38"/>
      <c r="S2796" s="38"/>
      <c r="T2796" s="38"/>
      <c r="U2796" s="38"/>
      <c r="V2796" s="38"/>
      <c r="W2796" s="38"/>
      <c r="X2796" s="38"/>
      <c r="Y2796" s="38"/>
      <c r="Z2796" s="38"/>
      <c r="AA2796" s="38"/>
      <c r="AB2796" s="38"/>
      <c r="AC2796" s="38"/>
      <c r="AD2796" s="38"/>
      <c r="AE2796" s="38"/>
      <c r="AF2796" s="38"/>
      <c r="AG2796" s="38"/>
      <c r="AH2796" s="38"/>
    </row>
    <row r="2797" spans="3:34" ht="20.100000000000001" customHeight="1">
      <c r="C2797" s="113"/>
      <c r="D2797" s="114"/>
      <c r="P2797" s="82"/>
      <c r="Q2797" s="82"/>
      <c r="R2797" s="38"/>
      <c r="S2797" s="38"/>
      <c r="T2797" s="38"/>
      <c r="U2797" s="38"/>
      <c r="V2797" s="38"/>
      <c r="W2797" s="38"/>
      <c r="X2797" s="38"/>
      <c r="Y2797" s="38"/>
      <c r="Z2797" s="38"/>
      <c r="AA2797" s="38"/>
      <c r="AB2797" s="38"/>
      <c r="AC2797" s="38"/>
      <c r="AD2797" s="38"/>
      <c r="AE2797" s="38"/>
      <c r="AF2797" s="38"/>
      <c r="AG2797" s="38"/>
      <c r="AH2797" s="38"/>
    </row>
    <row r="2798" spans="3:34" ht="20.100000000000001" customHeight="1">
      <c r="C2798" s="113"/>
      <c r="D2798" s="114"/>
      <c r="P2798" s="82"/>
      <c r="Q2798" s="82"/>
      <c r="R2798" s="38"/>
      <c r="S2798" s="38"/>
      <c r="T2798" s="38"/>
      <c r="U2798" s="38"/>
      <c r="V2798" s="38"/>
      <c r="W2798" s="38"/>
      <c r="X2798" s="38"/>
      <c r="Y2798" s="38"/>
      <c r="Z2798" s="38"/>
      <c r="AA2798" s="38"/>
      <c r="AB2798" s="38"/>
      <c r="AC2798" s="38"/>
      <c r="AD2798" s="38"/>
      <c r="AE2798" s="38"/>
      <c r="AF2798" s="38"/>
      <c r="AG2798" s="38"/>
      <c r="AH2798" s="38"/>
    </row>
    <row r="2799" spans="3:34" ht="20.100000000000001" customHeight="1">
      <c r="C2799" s="113"/>
      <c r="D2799" s="114"/>
      <c r="P2799" s="82"/>
      <c r="Q2799" s="82"/>
      <c r="R2799" s="38"/>
      <c r="S2799" s="38"/>
      <c r="T2799" s="38"/>
      <c r="U2799" s="38"/>
      <c r="V2799" s="38"/>
      <c r="W2799" s="38"/>
      <c r="X2799" s="38"/>
      <c r="Y2799" s="38"/>
      <c r="Z2799" s="38"/>
      <c r="AA2799" s="38"/>
      <c r="AB2799" s="38"/>
      <c r="AC2799" s="38"/>
      <c r="AD2799" s="38"/>
      <c r="AE2799" s="38"/>
      <c r="AF2799" s="38"/>
      <c r="AG2799" s="38"/>
      <c r="AH2799" s="38"/>
    </row>
    <row r="2800" spans="3:34" ht="20.100000000000001" customHeight="1">
      <c r="C2800" s="113"/>
      <c r="D2800" s="114"/>
      <c r="P2800" s="82"/>
      <c r="Q2800" s="82"/>
      <c r="R2800" s="38"/>
      <c r="S2800" s="38"/>
      <c r="T2800" s="38"/>
      <c r="U2800" s="38"/>
      <c r="V2800" s="38"/>
      <c r="W2800" s="38"/>
      <c r="X2800" s="38"/>
      <c r="Y2800" s="38"/>
      <c r="Z2800" s="38"/>
      <c r="AA2800" s="38"/>
      <c r="AB2800" s="38"/>
      <c r="AC2800" s="38"/>
      <c r="AD2800" s="38"/>
      <c r="AE2800" s="38"/>
      <c r="AF2800" s="38"/>
      <c r="AG2800" s="38"/>
      <c r="AH2800" s="38"/>
    </row>
    <row r="2801" spans="3:34" ht="20.100000000000001" customHeight="1">
      <c r="C2801" s="113"/>
      <c r="D2801" s="114"/>
      <c r="P2801" s="82"/>
      <c r="Q2801" s="82"/>
      <c r="R2801" s="38"/>
      <c r="S2801" s="38"/>
      <c r="T2801" s="38"/>
      <c r="U2801" s="38"/>
      <c r="V2801" s="38"/>
      <c r="W2801" s="38"/>
      <c r="X2801" s="38"/>
      <c r="Y2801" s="38"/>
      <c r="Z2801" s="38"/>
      <c r="AA2801" s="38"/>
      <c r="AB2801" s="38"/>
      <c r="AC2801" s="38"/>
      <c r="AD2801" s="38"/>
      <c r="AE2801" s="38"/>
      <c r="AF2801" s="38"/>
      <c r="AG2801" s="38"/>
      <c r="AH2801" s="38"/>
    </row>
    <row r="2802" spans="3:34" ht="20.100000000000001" customHeight="1">
      <c r="C2802" s="113"/>
      <c r="D2802" s="114"/>
      <c r="P2802" s="82"/>
      <c r="Q2802" s="82"/>
      <c r="R2802" s="38"/>
      <c r="S2802" s="38"/>
      <c r="T2802" s="38"/>
      <c r="U2802" s="38"/>
      <c r="V2802" s="38"/>
      <c r="W2802" s="38"/>
      <c r="X2802" s="38"/>
      <c r="Y2802" s="38"/>
      <c r="Z2802" s="38"/>
      <c r="AA2802" s="38"/>
      <c r="AB2802" s="38"/>
      <c r="AC2802" s="38"/>
      <c r="AD2802" s="38"/>
      <c r="AE2802" s="38"/>
      <c r="AF2802" s="38"/>
      <c r="AG2802" s="38"/>
      <c r="AH2802" s="38"/>
    </row>
    <row r="2803" spans="3:34" ht="20.100000000000001" customHeight="1">
      <c r="C2803" s="113"/>
      <c r="D2803" s="114"/>
      <c r="P2803" s="82"/>
      <c r="Q2803" s="82"/>
      <c r="R2803" s="38"/>
      <c r="S2803" s="38"/>
      <c r="T2803" s="38"/>
      <c r="U2803" s="38"/>
      <c r="V2803" s="38"/>
      <c r="W2803" s="38"/>
      <c r="X2803" s="38"/>
      <c r="Y2803" s="38"/>
      <c r="Z2803" s="38"/>
      <c r="AA2803" s="38"/>
      <c r="AB2803" s="38"/>
      <c r="AC2803" s="38"/>
      <c r="AD2803" s="38"/>
      <c r="AE2803" s="38"/>
      <c r="AF2803" s="38"/>
      <c r="AG2803" s="38"/>
      <c r="AH2803" s="38"/>
    </row>
    <row r="2804" spans="3:34" ht="20.100000000000001" customHeight="1">
      <c r="C2804" s="113"/>
      <c r="D2804" s="114"/>
      <c r="P2804" s="82"/>
      <c r="Q2804" s="82"/>
      <c r="R2804" s="38"/>
      <c r="S2804" s="38"/>
      <c r="T2804" s="38"/>
      <c r="U2804" s="38"/>
      <c r="V2804" s="38"/>
      <c r="W2804" s="38"/>
      <c r="X2804" s="38"/>
      <c r="Y2804" s="38"/>
      <c r="Z2804" s="38"/>
      <c r="AA2804" s="38"/>
      <c r="AB2804" s="38"/>
      <c r="AC2804" s="38"/>
      <c r="AD2804" s="38"/>
      <c r="AE2804" s="38"/>
      <c r="AF2804" s="38"/>
      <c r="AG2804" s="38"/>
      <c r="AH2804" s="38"/>
    </row>
    <row r="2805" spans="3:34" ht="20.100000000000001" customHeight="1">
      <c r="C2805" s="113"/>
      <c r="D2805" s="114"/>
      <c r="P2805" s="82"/>
      <c r="Q2805" s="82"/>
      <c r="R2805" s="38"/>
      <c r="S2805" s="38"/>
      <c r="T2805" s="38"/>
      <c r="U2805" s="38"/>
      <c r="V2805" s="38"/>
      <c r="W2805" s="38"/>
      <c r="X2805" s="38"/>
      <c r="Y2805" s="38"/>
      <c r="Z2805" s="38"/>
      <c r="AA2805" s="38"/>
      <c r="AB2805" s="38"/>
      <c r="AC2805" s="38"/>
      <c r="AD2805" s="38"/>
      <c r="AE2805" s="38"/>
      <c r="AF2805" s="38"/>
      <c r="AG2805" s="38"/>
      <c r="AH2805" s="38"/>
    </row>
    <row r="2806" spans="3:34" ht="20.100000000000001" customHeight="1">
      <c r="C2806" s="113"/>
      <c r="D2806" s="114"/>
      <c r="P2806" s="82"/>
      <c r="Q2806" s="82"/>
      <c r="R2806" s="38"/>
      <c r="S2806" s="38"/>
      <c r="T2806" s="38"/>
      <c r="U2806" s="38"/>
      <c r="V2806" s="38"/>
      <c r="W2806" s="38"/>
      <c r="X2806" s="38"/>
      <c r="Y2806" s="38"/>
      <c r="Z2806" s="38"/>
      <c r="AA2806" s="38"/>
      <c r="AB2806" s="38"/>
      <c r="AC2806" s="38"/>
      <c r="AD2806" s="38"/>
      <c r="AE2806" s="38"/>
      <c r="AF2806" s="38"/>
      <c r="AG2806" s="38"/>
      <c r="AH2806" s="38"/>
    </row>
    <row r="2807" spans="3:34" ht="20.100000000000001" customHeight="1">
      <c r="C2807" s="113"/>
      <c r="D2807" s="114"/>
      <c r="P2807" s="82"/>
      <c r="Q2807" s="82"/>
      <c r="R2807" s="38"/>
      <c r="S2807" s="38"/>
      <c r="T2807" s="38"/>
      <c r="U2807" s="38"/>
      <c r="V2807" s="38"/>
      <c r="W2807" s="38"/>
      <c r="X2807" s="38"/>
      <c r="Y2807" s="38"/>
      <c r="Z2807" s="38"/>
      <c r="AA2807" s="38"/>
      <c r="AB2807" s="38"/>
      <c r="AC2807" s="38"/>
      <c r="AD2807" s="38"/>
      <c r="AE2807" s="38"/>
      <c r="AF2807" s="38"/>
      <c r="AG2807" s="38"/>
      <c r="AH2807" s="38"/>
    </row>
    <row r="2808" spans="3:34" ht="20.100000000000001" customHeight="1">
      <c r="C2808" s="113"/>
      <c r="D2808" s="114"/>
      <c r="P2808" s="82"/>
      <c r="Q2808" s="82"/>
      <c r="R2808" s="38"/>
      <c r="S2808" s="38"/>
      <c r="T2808" s="38"/>
      <c r="U2808" s="38"/>
      <c r="V2808" s="38"/>
      <c r="W2808" s="38"/>
      <c r="X2808" s="38"/>
      <c r="Y2808" s="38"/>
      <c r="Z2808" s="38"/>
      <c r="AA2808" s="38"/>
      <c r="AB2808" s="38"/>
      <c r="AC2808" s="38"/>
      <c r="AD2808" s="38"/>
      <c r="AE2808" s="38"/>
      <c r="AF2808" s="38"/>
      <c r="AG2808" s="38"/>
      <c r="AH2808" s="38"/>
    </row>
    <row r="2809" spans="3:34" ht="20.100000000000001" customHeight="1">
      <c r="C2809" s="113"/>
      <c r="D2809" s="114"/>
      <c r="P2809" s="82"/>
      <c r="Q2809" s="82"/>
      <c r="R2809" s="38"/>
      <c r="S2809" s="38"/>
      <c r="T2809" s="38"/>
      <c r="U2809" s="38"/>
      <c r="V2809" s="38"/>
      <c r="W2809" s="38"/>
      <c r="X2809" s="38"/>
      <c r="Y2809" s="38"/>
      <c r="Z2809" s="38"/>
      <c r="AA2809" s="38"/>
      <c r="AB2809" s="38"/>
      <c r="AC2809" s="38"/>
      <c r="AD2809" s="38"/>
      <c r="AE2809" s="38"/>
      <c r="AF2809" s="38"/>
      <c r="AG2809" s="38"/>
      <c r="AH2809" s="38"/>
    </row>
    <row r="2810" spans="3:34" ht="20.100000000000001" customHeight="1">
      <c r="C2810" s="113"/>
      <c r="D2810" s="114"/>
      <c r="P2810" s="82"/>
      <c r="Q2810" s="82"/>
      <c r="R2810" s="38"/>
      <c r="S2810" s="38"/>
      <c r="T2810" s="38"/>
      <c r="U2810" s="38"/>
      <c r="V2810" s="38"/>
      <c r="W2810" s="38"/>
      <c r="X2810" s="38"/>
      <c r="Y2810" s="38"/>
      <c r="Z2810" s="38"/>
      <c r="AA2810" s="38"/>
      <c r="AB2810" s="38"/>
      <c r="AC2810" s="38"/>
      <c r="AD2810" s="38"/>
      <c r="AE2810" s="38"/>
      <c r="AF2810" s="38"/>
      <c r="AG2810" s="38"/>
      <c r="AH2810" s="38"/>
    </row>
    <row r="2811" spans="3:34" ht="20.100000000000001" customHeight="1">
      <c r="C2811" s="113"/>
      <c r="D2811" s="114"/>
      <c r="P2811" s="82"/>
      <c r="Q2811" s="82"/>
      <c r="R2811" s="38"/>
      <c r="S2811" s="38"/>
      <c r="T2811" s="38"/>
      <c r="U2811" s="38"/>
      <c r="V2811" s="38"/>
      <c r="W2811" s="38"/>
      <c r="X2811" s="38"/>
      <c r="Y2811" s="38"/>
      <c r="Z2811" s="38"/>
      <c r="AA2811" s="38"/>
      <c r="AB2811" s="38"/>
      <c r="AC2811" s="38"/>
      <c r="AD2811" s="38"/>
      <c r="AE2811" s="38"/>
      <c r="AF2811" s="38"/>
      <c r="AG2811" s="38"/>
      <c r="AH2811" s="38"/>
    </row>
    <row r="2812" spans="3:34" ht="20.100000000000001" customHeight="1">
      <c r="C2812" s="113"/>
      <c r="D2812" s="114"/>
      <c r="P2812" s="82"/>
      <c r="Q2812" s="82"/>
      <c r="R2812" s="38"/>
      <c r="S2812" s="38"/>
      <c r="T2812" s="38"/>
      <c r="U2812" s="38"/>
      <c r="V2812" s="38"/>
      <c r="W2812" s="38"/>
      <c r="X2812" s="38"/>
      <c r="Y2812" s="38"/>
      <c r="Z2812" s="38"/>
      <c r="AA2812" s="38"/>
      <c r="AB2812" s="38"/>
      <c r="AC2812" s="38"/>
      <c r="AD2812" s="38"/>
      <c r="AE2812" s="38"/>
      <c r="AF2812" s="38"/>
      <c r="AG2812" s="38"/>
      <c r="AH2812" s="38"/>
    </row>
    <row r="2813" spans="3:34" ht="20.100000000000001" customHeight="1">
      <c r="C2813" s="113"/>
      <c r="D2813" s="114"/>
      <c r="P2813" s="82"/>
      <c r="Q2813" s="82"/>
      <c r="R2813" s="38"/>
      <c r="S2813" s="38"/>
      <c r="T2813" s="38"/>
      <c r="U2813" s="38"/>
      <c r="V2813" s="38"/>
      <c r="W2813" s="38"/>
      <c r="X2813" s="38"/>
      <c r="Y2813" s="38"/>
      <c r="Z2813" s="38"/>
      <c r="AA2813" s="38"/>
      <c r="AB2813" s="38"/>
      <c r="AC2813" s="38"/>
      <c r="AD2813" s="38"/>
      <c r="AE2813" s="38"/>
      <c r="AF2813" s="38"/>
      <c r="AG2813" s="38"/>
      <c r="AH2813" s="38"/>
    </row>
    <row r="2814" spans="3:34" ht="20.100000000000001" customHeight="1">
      <c r="C2814" s="113"/>
      <c r="D2814" s="114"/>
      <c r="P2814" s="82"/>
      <c r="Q2814" s="82"/>
      <c r="R2814" s="38"/>
      <c r="S2814" s="38"/>
      <c r="T2814" s="38"/>
      <c r="U2814" s="38"/>
      <c r="V2814" s="38"/>
      <c r="W2814" s="38"/>
      <c r="X2814" s="38"/>
      <c r="Y2814" s="38"/>
      <c r="Z2814" s="38"/>
      <c r="AA2814" s="38"/>
      <c r="AB2814" s="38"/>
      <c r="AC2814" s="38"/>
      <c r="AD2814" s="38"/>
      <c r="AE2814" s="38"/>
      <c r="AF2814" s="38"/>
      <c r="AG2814" s="38"/>
      <c r="AH2814" s="38"/>
    </row>
    <row r="2815" spans="3:34" ht="20.100000000000001" customHeight="1">
      <c r="C2815" s="113"/>
      <c r="D2815" s="114"/>
      <c r="P2815" s="82"/>
      <c r="Q2815" s="82"/>
      <c r="R2815" s="38"/>
      <c r="S2815" s="38"/>
      <c r="T2815" s="38"/>
      <c r="U2815" s="38"/>
      <c r="V2815" s="38"/>
      <c r="W2815" s="38"/>
      <c r="X2815" s="38"/>
      <c r="Y2815" s="38"/>
      <c r="Z2815" s="38"/>
      <c r="AA2815" s="38"/>
      <c r="AB2815" s="38"/>
      <c r="AC2815" s="38"/>
      <c r="AD2815" s="38"/>
      <c r="AE2815" s="38"/>
      <c r="AF2815" s="38"/>
      <c r="AG2815" s="38"/>
      <c r="AH2815" s="38"/>
    </row>
    <row r="2816" spans="3:34" ht="20.100000000000001" customHeight="1">
      <c r="C2816" s="113"/>
      <c r="D2816" s="114"/>
      <c r="P2816" s="82"/>
      <c r="Q2816" s="82"/>
      <c r="R2816" s="38"/>
      <c r="S2816" s="38"/>
      <c r="T2816" s="38"/>
      <c r="U2816" s="38"/>
      <c r="V2816" s="38"/>
      <c r="W2816" s="38"/>
      <c r="X2816" s="38"/>
      <c r="Y2816" s="38"/>
      <c r="Z2816" s="38"/>
      <c r="AA2816" s="38"/>
      <c r="AB2816" s="38"/>
      <c r="AC2816" s="38"/>
      <c r="AD2816" s="38"/>
      <c r="AE2816" s="38"/>
      <c r="AF2816" s="38"/>
      <c r="AG2816" s="38"/>
      <c r="AH2816" s="38"/>
    </row>
    <row r="2817" spans="3:34" ht="20.100000000000001" customHeight="1">
      <c r="C2817" s="113"/>
      <c r="D2817" s="114"/>
      <c r="P2817" s="82"/>
      <c r="Q2817" s="82"/>
      <c r="R2817" s="38"/>
      <c r="S2817" s="38"/>
      <c r="T2817" s="38"/>
      <c r="U2817" s="38"/>
      <c r="V2817" s="38"/>
      <c r="W2817" s="38"/>
      <c r="X2817" s="38"/>
      <c r="Y2817" s="38"/>
      <c r="Z2817" s="38"/>
      <c r="AA2817" s="38"/>
      <c r="AB2817" s="38"/>
      <c r="AC2817" s="38"/>
      <c r="AD2817" s="38"/>
      <c r="AE2817" s="38"/>
      <c r="AF2817" s="38"/>
      <c r="AG2817" s="38"/>
      <c r="AH2817" s="38"/>
    </row>
    <row r="2818" spans="3:34" ht="20.100000000000001" customHeight="1">
      <c r="C2818" s="113"/>
      <c r="D2818" s="114"/>
      <c r="P2818" s="82"/>
      <c r="Q2818" s="82"/>
      <c r="R2818" s="38"/>
      <c r="S2818" s="38"/>
      <c r="T2818" s="38"/>
      <c r="U2818" s="38"/>
      <c r="V2818" s="38"/>
      <c r="W2818" s="38"/>
      <c r="X2818" s="38"/>
      <c r="Y2818" s="38"/>
      <c r="Z2818" s="38"/>
      <c r="AA2818" s="38"/>
      <c r="AB2818" s="38"/>
      <c r="AC2818" s="38"/>
      <c r="AD2818" s="38"/>
      <c r="AE2818" s="38"/>
      <c r="AF2818" s="38"/>
      <c r="AG2818" s="38"/>
      <c r="AH2818" s="38"/>
    </row>
    <row r="2819" spans="3:34" ht="20.100000000000001" customHeight="1">
      <c r="C2819" s="113"/>
      <c r="D2819" s="114"/>
      <c r="P2819" s="82"/>
      <c r="Q2819" s="82"/>
      <c r="R2819" s="38"/>
      <c r="S2819" s="38"/>
      <c r="T2819" s="38"/>
      <c r="U2819" s="38"/>
      <c r="V2819" s="38"/>
      <c r="W2819" s="38"/>
      <c r="X2819" s="38"/>
      <c r="Y2819" s="38"/>
      <c r="Z2819" s="38"/>
      <c r="AA2819" s="38"/>
      <c r="AB2819" s="38"/>
      <c r="AC2819" s="38"/>
      <c r="AD2819" s="38"/>
      <c r="AE2819" s="38"/>
      <c r="AF2819" s="38"/>
      <c r="AG2819" s="38"/>
      <c r="AH2819" s="38"/>
    </row>
    <row r="2820" spans="3:34" ht="20.100000000000001" customHeight="1">
      <c r="C2820" s="113"/>
      <c r="D2820" s="114"/>
      <c r="P2820" s="82"/>
      <c r="Q2820" s="82"/>
      <c r="R2820" s="38"/>
      <c r="S2820" s="38"/>
      <c r="T2820" s="38"/>
      <c r="U2820" s="38"/>
      <c r="V2820" s="38"/>
      <c r="W2820" s="38"/>
      <c r="X2820" s="38"/>
      <c r="Y2820" s="38"/>
      <c r="Z2820" s="38"/>
      <c r="AA2820" s="38"/>
      <c r="AB2820" s="38"/>
      <c r="AC2820" s="38"/>
      <c r="AD2820" s="38"/>
      <c r="AE2820" s="38"/>
      <c r="AF2820" s="38"/>
      <c r="AG2820" s="38"/>
      <c r="AH2820" s="38"/>
    </row>
    <row r="2821" spans="3:34" ht="20.100000000000001" customHeight="1">
      <c r="C2821" s="113"/>
      <c r="D2821" s="114"/>
      <c r="P2821" s="82"/>
      <c r="Q2821" s="82"/>
      <c r="R2821" s="38"/>
      <c r="S2821" s="38"/>
      <c r="T2821" s="38"/>
      <c r="U2821" s="38"/>
      <c r="V2821" s="38"/>
      <c r="W2821" s="38"/>
      <c r="X2821" s="38"/>
      <c r="Y2821" s="38"/>
      <c r="Z2821" s="38"/>
      <c r="AA2821" s="38"/>
      <c r="AB2821" s="38"/>
      <c r="AC2821" s="38"/>
      <c r="AD2821" s="38"/>
      <c r="AE2821" s="38"/>
      <c r="AF2821" s="38"/>
      <c r="AG2821" s="38"/>
      <c r="AH2821" s="38"/>
    </row>
    <row r="2822" spans="3:34" ht="20.100000000000001" customHeight="1">
      <c r="C2822" s="113"/>
      <c r="D2822" s="114"/>
      <c r="P2822" s="82"/>
      <c r="Q2822" s="82"/>
      <c r="R2822" s="38"/>
      <c r="S2822" s="38"/>
      <c r="T2822" s="38"/>
      <c r="U2822" s="38"/>
      <c r="V2822" s="38"/>
      <c r="W2822" s="38"/>
      <c r="X2822" s="38"/>
      <c r="Y2822" s="38"/>
      <c r="Z2822" s="38"/>
      <c r="AA2822" s="38"/>
      <c r="AB2822" s="38"/>
      <c r="AC2822" s="38"/>
      <c r="AD2822" s="38"/>
      <c r="AE2822" s="38"/>
      <c r="AF2822" s="38"/>
      <c r="AG2822" s="38"/>
      <c r="AH2822" s="38"/>
    </row>
    <row r="2823" spans="3:34" ht="20.100000000000001" customHeight="1">
      <c r="C2823" s="113"/>
      <c r="D2823" s="114"/>
      <c r="P2823" s="82"/>
      <c r="Q2823" s="82"/>
      <c r="R2823" s="38"/>
      <c r="S2823" s="38"/>
      <c r="T2823" s="38"/>
      <c r="U2823" s="38"/>
      <c r="V2823" s="38"/>
      <c r="W2823" s="38"/>
      <c r="X2823" s="38"/>
      <c r="Y2823" s="38"/>
      <c r="Z2823" s="38"/>
      <c r="AA2823" s="38"/>
      <c r="AB2823" s="38"/>
      <c r="AC2823" s="38"/>
      <c r="AD2823" s="38"/>
      <c r="AE2823" s="38"/>
      <c r="AF2823" s="38"/>
      <c r="AG2823" s="38"/>
      <c r="AH2823" s="38"/>
    </row>
    <row r="2824" spans="3:34" ht="20.100000000000001" customHeight="1">
      <c r="C2824" s="113"/>
      <c r="D2824" s="114"/>
      <c r="P2824" s="82"/>
      <c r="Q2824" s="82"/>
      <c r="R2824" s="38"/>
      <c r="S2824" s="38"/>
      <c r="T2824" s="38"/>
      <c r="U2824" s="38"/>
      <c r="V2824" s="38"/>
      <c r="W2824" s="38"/>
      <c r="X2824" s="38"/>
      <c r="Y2824" s="38"/>
      <c r="Z2824" s="38"/>
      <c r="AA2824" s="38"/>
      <c r="AB2824" s="38"/>
      <c r="AC2824" s="38"/>
      <c r="AD2824" s="38"/>
      <c r="AE2824" s="38"/>
      <c r="AF2824" s="38"/>
      <c r="AG2824" s="38"/>
      <c r="AH2824" s="38"/>
    </row>
    <row r="2825" spans="3:34" ht="20.100000000000001" customHeight="1">
      <c r="C2825" s="113"/>
      <c r="D2825" s="114"/>
      <c r="P2825" s="82"/>
      <c r="Q2825" s="82"/>
      <c r="R2825" s="38"/>
      <c r="S2825" s="38"/>
      <c r="T2825" s="38"/>
      <c r="U2825" s="38"/>
      <c r="V2825" s="38"/>
      <c r="W2825" s="38"/>
      <c r="X2825" s="38"/>
      <c r="Y2825" s="38"/>
      <c r="Z2825" s="38"/>
      <c r="AA2825" s="38"/>
      <c r="AB2825" s="38"/>
      <c r="AC2825" s="38"/>
      <c r="AD2825" s="38"/>
      <c r="AE2825" s="38"/>
      <c r="AF2825" s="38"/>
      <c r="AG2825" s="38"/>
      <c r="AH2825" s="38"/>
    </row>
    <row r="2826" spans="3:34" ht="20.100000000000001" customHeight="1">
      <c r="C2826" s="113"/>
      <c r="D2826" s="114"/>
      <c r="P2826" s="82"/>
      <c r="Q2826" s="82"/>
      <c r="R2826" s="38"/>
      <c r="S2826" s="38"/>
      <c r="T2826" s="38"/>
      <c r="U2826" s="38"/>
      <c r="V2826" s="38"/>
      <c r="W2826" s="38"/>
      <c r="X2826" s="38"/>
      <c r="Y2826" s="38"/>
      <c r="Z2826" s="38"/>
      <c r="AA2826" s="38"/>
      <c r="AB2826" s="38"/>
      <c r="AC2826" s="38"/>
      <c r="AD2826" s="38"/>
      <c r="AE2826" s="38"/>
      <c r="AF2826" s="38"/>
      <c r="AG2826" s="38"/>
      <c r="AH2826" s="38"/>
    </row>
    <row r="2827" spans="3:34" ht="20.100000000000001" customHeight="1">
      <c r="C2827" s="113"/>
      <c r="D2827" s="114"/>
      <c r="P2827" s="82"/>
      <c r="Q2827" s="82"/>
      <c r="R2827" s="38"/>
      <c r="S2827" s="38"/>
      <c r="T2827" s="38"/>
      <c r="U2827" s="38"/>
      <c r="V2827" s="38"/>
      <c r="W2827" s="38"/>
      <c r="X2827" s="38"/>
      <c r="Y2827" s="38"/>
      <c r="Z2827" s="38"/>
      <c r="AA2827" s="38"/>
      <c r="AB2827" s="38"/>
      <c r="AC2827" s="38"/>
      <c r="AD2827" s="38"/>
      <c r="AE2827" s="38"/>
      <c r="AF2827" s="38"/>
      <c r="AG2827" s="38"/>
      <c r="AH2827" s="38"/>
    </row>
    <row r="2828" spans="3:34" ht="20.100000000000001" customHeight="1">
      <c r="C2828" s="113"/>
      <c r="D2828" s="114"/>
      <c r="P2828" s="82"/>
      <c r="Q2828" s="82"/>
      <c r="R2828" s="38"/>
      <c r="S2828" s="38"/>
      <c r="T2828" s="38"/>
      <c r="U2828" s="38"/>
      <c r="V2828" s="38"/>
      <c r="W2828" s="38"/>
      <c r="X2828" s="38"/>
      <c r="Y2828" s="38"/>
      <c r="Z2828" s="38"/>
      <c r="AA2828" s="38"/>
      <c r="AB2828" s="38"/>
      <c r="AC2828" s="38"/>
      <c r="AD2828" s="38"/>
      <c r="AE2828" s="38"/>
      <c r="AF2828" s="38"/>
      <c r="AG2828" s="38"/>
      <c r="AH2828" s="38"/>
    </row>
    <row r="2829" spans="3:34" ht="20.100000000000001" customHeight="1">
      <c r="C2829" s="113"/>
      <c r="D2829" s="114"/>
      <c r="P2829" s="82"/>
      <c r="Q2829" s="82"/>
      <c r="R2829" s="38"/>
      <c r="S2829" s="38"/>
      <c r="T2829" s="38"/>
      <c r="U2829" s="38"/>
      <c r="V2829" s="38"/>
      <c r="W2829" s="38"/>
      <c r="X2829" s="38"/>
      <c r="Y2829" s="38"/>
      <c r="Z2829" s="38"/>
      <c r="AA2829" s="38"/>
      <c r="AB2829" s="38"/>
      <c r="AC2829" s="38"/>
      <c r="AD2829" s="38"/>
      <c r="AE2829" s="38"/>
      <c r="AF2829" s="38"/>
      <c r="AG2829" s="38"/>
      <c r="AH2829" s="38"/>
    </row>
    <row r="2830" spans="3:34" ht="20.100000000000001" customHeight="1">
      <c r="C2830" s="113"/>
      <c r="D2830" s="114"/>
      <c r="P2830" s="82"/>
      <c r="Q2830" s="82"/>
      <c r="R2830" s="38"/>
      <c r="S2830" s="38"/>
      <c r="T2830" s="38"/>
      <c r="U2830" s="38"/>
      <c r="V2830" s="38"/>
      <c r="W2830" s="38"/>
      <c r="X2830" s="38"/>
      <c r="Y2830" s="38"/>
      <c r="Z2830" s="38"/>
      <c r="AA2830" s="38"/>
      <c r="AB2830" s="38"/>
      <c r="AC2830" s="38"/>
      <c r="AD2830" s="38"/>
      <c r="AE2830" s="38"/>
      <c r="AF2830" s="38"/>
      <c r="AG2830" s="38"/>
      <c r="AH2830" s="38"/>
    </row>
    <row r="2831" spans="3:34" ht="20.100000000000001" customHeight="1">
      <c r="C2831" s="113"/>
      <c r="D2831" s="114"/>
      <c r="P2831" s="82"/>
      <c r="Q2831" s="82"/>
      <c r="R2831" s="38"/>
      <c r="S2831" s="38"/>
      <c r="T2831" s="38"/>
      <c r="U2831" s="38"/>
      <c r="V2831" s="38"/>
      <c r="W2831" s="38"/>
      <c r="X2831" s="38"/>
      <c r="Y2831" s="38"/>
      <c r="Z2831" s="38"/>
      <c r="AA2831" s="38"/>
      <c r="AB2831" s="38"/>
      <c r="AC2831" s="38"/>
      <c r="AD2831" s="38"/>
      <c r="AE2831" s="38"/>
      <c r="AF2831" s="38"/>
      <c r="AG2831" s="38"/>
      <c r="AH2831" s="38"/>
    </row>
    <row r="2832" spans="3:34" ht="20.100000000000001" customHeight="1">
      <c r="C2832" s="113"/>
      <c r="D2832" s="114"/>
      <c r="P2832" s="82"/>
      <c r="Q2832" s="82"/>
      <c r="R2832" s="38"/>
      <c r="S2832" s="38"/>
      <c r="T2832" s="38"/>
      <c r="U2832" s="38"/>
      <c r="V2832" s="38"/>
      <c r="W2832" s="38"/>
      <c r="X2832" s="38"/>
      <c r="Y2832" s="38"/>
      <c r="Z2832" s="38"/>
      <c r="AA2832" s="38"/>
      <c r="AB2832" s="38"/>
      <c r="AC2832" s="38"/>
      <c r="AD2832" s="38"/>
      <c r="AE2832" s="38"/>
      <c r="AF2832" s="38"/>
      <c r="AG2832" s="38"/>
      <c r="AH2832" s="38"/>
    </row>
    <row r="2833" spans="3:34" ht="20.100000000000001" customHeight="1">
      <c r="C2833" s="113"/>
      <c r="D2833" s="114"/>
      <c r="P2833" s="82"/>
      <c r="Q2833" s="82"/>
      <c r="R2833" s="38"/>
      <c r="S2833" s="38"/>
      <c r="T2833" s="38"/>
      <c r="U2833" s="38"/>
      <c r="V2833" s="38"/>
      <c r="W2833" s="38"/>
      <c r="X2833" s="38"/>
      <c r="Y2833" s="38"/>
      <c r="Z2833" s="38"/>
      <c r="AA2833" s="38"/>
      <c r="AB2833" s="38"/>
      <c r="AC2833" s="38"/>
      <c r="AD2833" s="38"/>
      <c r="AE2833" s="38"/>
      <c r="AF2833" s="38"/>
      <c r="AG2833" s="38"/>
      <c r="AH2833" s="38"/>
    </row>
    <row r="2834" spans="3:34" ht="20.100000000000001" customHeight="1">
      <c r="C2834" s="113"/>
      <c r="D2834" s="114"/>
      <c r="P2834" s="82"/>
      <c r="Q2834" s="82"/>
      <c r="R2834" s="38"/>
      <c r="S2834" s="38"/>
      <c r="T2834" s="38"/>
      <c r="U2834" s="38"/>
      <c r="V2834" s="38"/>
      <c r="W2834" s="38"/>
      <c r="X2834" s="38"/>
      <c r="Y2834" s="38"/>
      <c r="Z2834" s="38"/>
      <c r="AA2834" s="38"/>
      <c r="AB2834" s="38"/>
      <c r="AC2834" s="38"/>
      <c r="AD2834" s="38"/>
      <c r="AE2834" s="38"/>
      <c r="AF2834" s="38"/>
      <c r="AG2834" s="38"/>
      <c r="AH2834" s="38"/>
    </row>
    <row r="2835" spans="3:34" ht="20.100000000000001" customHeight="1">
      <c r="C2835" s="113"/>
      <c r="D2835" s="114"/>
      <c r="P2835" s="82"/>
      <c r="Q2835" s="82"/>
      <c r="R2835" s="38"/>
      <c r="S2835" s="38"/>
      <c r="T2835" s="38"/>
      <c r="U2835" s="38"/>
      <c r="V2835" s="38"/>
      <c r="W2835" s="38"/>
      <c r="X2835" s="38"/>
      <c r="Y2835" s="38"/>
      <c r="Z2835" s="38"/>
      <c r="AA2835" s="38"/>
      <c r="AB2835" s="38"/>
      <c r="AC2835" s="38"/>
      <c r="AD2835" s="38"/>
      <c r="AE2835" s="38"/>
      <c r="AF2835" s="38"/>
      <c r="AG2835" s="38"/>
      <c r="AH2835" s="38"/>
    </row>
    <row r="2836" spans="3:34" ht="20.100000000000001" customHeight="1">
      <c r="C2836" s="113"/>
      <c r="D2836" s="114"/>
      <c r="P2836" s="82"/>
      <c r="Q2836" s="82"/>
      <c r="R2836" s="38"/>
      <c r="S2836" s="38"/>
      <c r="T2836" s="38"/>
      <c r="U2836" s="38"/>
      <c r="V2836" s="38"/>
      <c r="W2836" s="38"/>
      <c r="X2836" s="38"/>
      <c r="Y2836" s="38"/>
      <c r="Z2836" s="38"/>
      <c r="AA2836" s="38"/>
      <c r="AB2836" s="38"/>
      <c r="AC2836" s="38"/>
      <c r="AD2836" s="38"/>
      <c r="AE2836" s="38"/>
      <c r="AF2836" s="38"/>
      <c r="AG2836" s="38"/>
      <c r="AH2836" s="38"/>
    </row>
    <row r="2837" spans="3:34" ht="20.100000000000001" customHeight="1">
      <c r="C2837" s="113"/>
      <c r="D2837" s="114"/>
      <c r="P2837" s="82"/>
      <c r="Q2837" s="82"/>
      <c r="R2837" s="38"/>
      <c r="S2837" s="38"/>
      <c r="T2837" s="38"/>
      <c r="U2837" s="38"/>
      <c r="V2837" s="38"/>
      <c r="W2837" s="38"/>
      <c r="X2837" s="38"/>
      <c r="Y2837" s="38"/>
      <c r="Z2837" s="38"/>
      <c r="AA2837" s="38"/>
      <c r="AB2837" s="38"/>
      <c r="AC2837" s="38"/>
      <c r="AD2837" s="38"/>
      <c r="AE2837" s="38"/>
      <c r="AF2837" s="38"/>
      <c r="AG2837" s="38"/>
      <c r="AH2837" s="38"/>
    </row>
    <row r="2838" spans="3:34" ht="20.100000000000001" customHeight="1">
      <c r="C2838" s="113"/>
      <c r="D2838" s="114"/>
      <c r="P2838" s="82"/>
      <c r="Q2838" s="82"/>
      <c r="R2838" s="38"/>
      <c r="S2838" s="38"/>
      <c r="T2838" s="38"/>
      <c r="U2838" s="38"/>
      <c r="V2838" s="38"/>
      <c r="W2838" s="38"/>
      <c r="X2838" s="38"/>
      <c r="Y2838" s="38"/>
      <c r="Z2838" s="38"/>
      <c r="AA2838" s="38"/>
      <c r="AB2838" s="38"/>
      <c r="AC2838" s="38"/>
      <c r="AD2838" s="38"/>
      <c r="AE2838" s="38"/>
      <c r="AF2838" s="38"/>
      <c r="AG2838" s="38"/>
      <c r="AH2838" s="38"/>
    </row>
    <row r="2839" spans="3:34" ht="20.100000000000001" customHeight="1">
      <c r="C2839" s="113"/>
      <c r="D2839" s="114"/>
      <c r="P2839" s="82"/>
      <c r="Q2839" s="82"/>
      <c r="R2839" s="38"/>
      <c r="S2839" s="38"/>
      <c r="T2839" s="38"/>
      <c r="U2839" s="38"/>
      <c r="V2839" s="38"/>
      <c r="W2839" s="38"/>
      <c r="X2839" s="38"/>
      <c r="Y2839" s="38"/>
      <c r="Z2839" s="38"/>
      <c r="AA2839" s="38"/>
      <c r="AB2839" s="38"/>
      <c r="AC2839" s="38"/>
      <c r="AD2839" s="38"/>
      <c r="AE2839" s="38"/>
      <c r="AF2839" s="38"/>
      <c r="AG2839" s="38"/>
      <c r="AH2839" s="38"/>
    </row>
    <row r="2840" spans="3:34" ht="20.100000000000001" customHeight="1">
      <c r="C2840" s="113"/>
      <c r="D2840" s="114"/>
      <c r="P2840" s="82"/>
      <c r="Q2840" s="82"/>
      <c r="R2840" s="38"/>
      <c r="S2840" s="38"/>
      <c r="T2840" s="38"/>
      <c r="U2840" s="38"/>
      <c r="V2840" s="38"/>
      <c r="W2840" s="38"/>
      <c r="X2840" s="38"/>
      <c r="Y2840" s="38"/>
      <c r="Z2840" s="38"/>
      <c r="AA2840" s="38"/>
      <c r="AB2840" s="38"/>
      <c r="AC2840" s="38"/>
      <c r="AD2840" s="38"/>
      <c r="AE2840" s="38"/>
      <c r="AF2840" s="38"/>
      <c r="AG2840" s="38"/>
      <c r="AH2840" s="38"/>
    </row>
    <row r="2841" spans="3:34" ht="20.100000000000001" customHeight="1">
      <c r="C2841" s="113"/>
      <c r="D2841" s="114"/>
      <c r="P2841" s="82"/>
      <c r="Q2841" s="82"/>
      <c r="R2841" s="38"/>
      <c r="S2841" s="38"/>
      <c r="T2841" s="38"/>
      <c r="U2841" s="38"/>
      <c r="V2841" s="38"/>
      <c r="W2841" s="38"/>
      <c r="X2841" s="38"/>
      <c r="Y2841" s="38"/>
      <c r="Z2841" s="38"/>
      <c r="AA2841" s="38"/>
      <c r="AB2841" s="38"/>
      <c r="AC2841" s="38"/>
      <c r="AD2841" s="38"/>
      <c r="AE2841" s="38"/>
      <c r="AF2841" s="38"/>
      <c r="AG2841" s="38"/>
      <c r="AH2841" s="38"/>
    </row>
    <row r="2842" spans="3:34" ht="20.100000000000001" customHeight="1">
      <c r="C2842" s="113"/>
      <c r="D2842" s="114"/>
      <c r="P2842" s="82"/>
      <c r="Q2842" s="82"/>
      <c r="R2842" s="38"/>
      <c r="S2842" s="38"/>
      <c r="T2842" s="38"/>
      <c r="U2842" s="38"/>
      <c r="V2842" s="38"/>
      <c r="W2842" s="38"/>
      <c r="X2842" s="38"/>
      <c r="Y2842" s="38"/>
      <c r="Z2842" s="38"/>
      <c r="AA2842" s="38"/>
      <c r="AB2842" s="38"/>
      <c r="AC2842" s="38"/>
      <c r="AD2842" s="38"/>
      <c r="AE2842" s="38"/>
      <c r="AF2842" s="38"/>
      <c r="AG2842" s="38"/>
      <c r="AH2842" s="38"/>
    </row>
    <row r="2843" spans="3:34" ht="20.100000000000001" customHeight="1">
      <c r="C2843" s="113"/>
      <c r="D2843" s="114"/>
      <c r="P2843" s="82"/>
      <c r="Q2843" s="82"/>
      <c r="R2843" s="38"/>
      <c r="S2843" s="38"/>
      <c r="T2843" s="38"/>
      <c r="U2843" s="38"/>
      <c r="V2843" s="38"/>
      <c r="W2843" s="38"/>
      <c r="X2843" s="38"/>
      <c r="Y2843" s="38"/>
      <c r="Z2843" s="38"/>
      <c r="AA2843" s="38"/>
      <c r="AB2843" s="38"/>
      <c r="AC2843" s="38"/>
      <c r="AD2843" s="38"/>
      <c r="AE2843" s="38"/>
      <c r="AF2843" s="38"/>
      <c r="AG2843" s="38"/>
      <c r="AH2843" s="38"/>
    </row>
    <row r="2844" spans="3:34" ht="20.100000000000001" customHeight="1">
      <c r="C2844" s="113"/>
      <c r="D2844" s="114"/>
      <c r="P2844" s="82"/>
      <c r="Q2844" s="82"/>
      <c r="R2844" s="38"/>
      <c r="S2844" s="38"/>
      <c r="T2844" s="38"/>
      <c r="U2844" s="38"/>
      <c r="V2844" s="38"/>
      <c r="W2844" s="38"/>
      <c r="X2844" s="38"/>
      <c r="Y2844" s="38"/>
      <c r="Z2844" s="38"/>
      <c r="AA2844" s="38"/>
      <c r="AB2844" s="38"/>
      <c r="AC2844" s="38"/>
      <c r="AD2844" s="38"/>
      <c r="AE2844" s="38"/>
      <c r="AF2844" s="38"/>
      <c r="AG2844" s="38"/>
      <c r="AH2844" s="38"/>
    </row>
    <row r="2845" spans="3:34" ht="20.100000000000001" customHeight="1">
      <c r="C2845" s="113"/>
      <c r="D2845" s="114"/>
      <c r="P2845" s="82"/>
      <c r="Q2845" s="82"/>
      <c r="R2845" s="38"/>
      <c r="S2845" s="38"/>
      <c r="T2845" s="38"/>
      <c r="U2845" s="38"/>
      <c r="V2845" s="38"/>
      <c r="W2845" s="38"/>
      <c r="X2845" s="38"/>
      <c r="Y2845" s="38"/>
      <c r="Z2845" s="38"/>
      <c r="AA2845" s="38"/>
      <c r="AB2845" s="38"/>
      <c r="AC2845" s="38"/>
      <c r="AD2845" s="38"/>
      <c r="AE2845" s="38"/>
      <c r="AF2845" s="38"/>
      <c r="AG2845" s="38"/>
      <c r="AH2845" s="38"/>
    </row>
    <row r="2846" spans="3:34" ht="20.100000000000001" customHeight="1">
      <c r="C2846" s="113"/>
      <c r="D2846" s="114"/>
      <c r="P2846" s="82"/>
      <c r="Q2846" s="82"/>
      <c r="R2846" s="38"/>
      <c r="S2846" s="38"/>
      <c r="T2846" s="38"/>
      <c r="U2846" s="38"/>
      <c r="V2846" s="38"/>
      <c r="W2846" s="38"/>
      <c r="X2846" s="38"/>
      <c r="Y2846" s="38"/>
      <c r="Z2846" s="38"/>
      <c r="AA2846" s="38"/>
      <c r="AB2846" s="38"/>
      <c r="AC2846" s="38"/>
      <c r="AD2846" s="38"/>
      <c r="AE2846" s="38"/>
      <c r="AF2846" s="38"/>
      <c r="AG2846" s="38"/>
      <c r="AH2846" s="38"/>
    </row>
    <row r="2847" spans="3:34" ht="20.100000000000001" customHeight="1">
      <c r="C2847" s="113"/>
      <c r="D2847" s="114"/>
      <c r="P2847" s="82"/>
      <c r="Q2847" s="82"/>
      <c r="R2847" s="38"/>
      <c r="S2847" s="38"/>
      <c r="T2847" s="38"/>
      <c r="U2847" s="38"/>
      <c r="V2847" s="38"/>
      <c r="W2847" s="38"/>
      <c r="X2847" s="38"/>
      <c r="Y2847" s="38"/>
      <c r="Z2847" s="38"/>
      <c r="AA2847" s="38"/>
      <c r="AB2847" s="38"/>
      <c r="AC2847" s="38"/>
      <c r="AD2847" s="38"/>
      <c r="AE2847" s="38"/>
      <c r="AF2847" s="38"/>
      <c r="AG2847" s="38"/>
      <c r="AH2847" s="38"/>
    </row>
    <row r="2848" spans="3:34" ht="20.100000000000001" customHeight="1">
      <c r="C2848" s="113"/>
      <c r="D2848" s="114"/>
      <c r="P2848" s="82"/>
      <c r="Q2848" s="82"/>
      <c r="R2848" s="38"/>
      <c r="S2848" s="38"/>
      <c r="T2848" s="38"/>
      <c r="U2848" s="38"/>
      <c r="V2848" s="38"/>
      <c r="W2848" s="38"/>
      <c r="X2848" s="38"/>
      <c r="Y2848" s="38"/>
      <c r="Z2848" s="38"/>
      <c r="AA2848" s="38"/>
      <c r="AB2848" s="38"/>
      <c r="AC2848" s="38"/>
      <c r="AD2848" s="38"/>
      <c r="AE2848" s="38"/>
      <c r="AF2848" s="38"/>
      <c r="AG2848" s="38"/>
      <c r="AH2848" s="38"/>
    </row>
    <row r="2849" spans="3:34" ht="20.100000000000001" customHeight="1">
      <c r="C2849" s="113"/>
      <c r="D2849" s="114"/>
      <c r="P2849" s="82"/>
      <c r="Q2849" s="82"/>
      <c r="R2849" s="38"/>
      <c r="S2849" s="38"/>
      <c r="T2849" s="38"/>
      <c r="U2849" s="38"/>
      <c r="V2849" s="38"/>
      <c r="W2849" s="38"/>
      <c r="X2849" s="38"/>
      <c r="Y2849" s="38"/>
      <c r="Z2849" s="38"/>
      <c r="AA2849" s="38"/>
      <c r="AB2849" s="38"/>
      <c r="AC2849" s="38"/>
      <c r="AD2849" s="38"/>
      <c r="AE2849" s="38"/>
      <c r="AF2849" s="38"/>
      <c r="AG2849" s="38"/>
      <c r="AH2849" s="38"/>
    </row>
    <row r="2850" spans="3:34" ht="20.100000000000001" customHeight="1">
      <c r="C2850" s="113"/>
      <c r="D2850" s="114"/>
      <c r="P2850" s="82"/>
      <c r="Q2850" s="82"/>
      <c r="R2850" s="38"/>
      <c r="S2850" s="38"/>
      <c r="T2850" s="38"/>
      <c r="U2850" s="38"/>
      <c r="V2850" s="38"/>
      <c r="W2850" s="38"/>
      <c r="X2850" s="38"/>
      <c r="Y2850" s="38"/>
      <c r="Z2850" s="38"/>
      <c r="AA2850" s="38"/>
      <c r="AB2850" s="38"/>
      <c r="AC2850" s="38"/>
      <c r="AD2850" s="38"/>
      <c r="AE2850" s="38"/>
      <c r="AF2850" s="38"/>
      <c r="AG2850" s="38"/>
      <c r="AH2850" s="38"/>
    </row>
    <row r="2851" spans="3:34" ht="20.100000000000001" customHeight="1">
      <c r="C2851" s="113"/>
      <c r="D2851" s="114"/>
      <c r="P2851" s="82"/>
      <c r="Q2851" s="82"/>
      <c r="R2851" s="38"/>
      <c r="S2851" s="38"/>
      <c r="T2851" s="38"/>
      <c r="U2851" s="38"/>
      <c r="V2851" s="38"/>
      <c r="W2851" s="38"/>
      <c r="X2851" s="38"/>
      <c r="Y2851" s="38"/>
      <c r="Z2851" s="38"/>
      <c r="AA2851" s="38"/>
      <c r="AB2851" s="38"/>
      <c r="AC2851" s="38"/>
      <c r="AD2851" s="38"/>
      <c r="AE2851" s="38"/>
      <c r="AF2851" s="38"/>
      <c r="AG2851" s="38"/>
      <c r="AH2851" s="38"/>
    </row>
    <row r="2852" spans="3:34" ht="20.100000000000001" customHeight="1">
      <c r="C2852" s="113"/>
      <c r="D2852" s="114"/>
      <c r="P2852" s="82"/>
      <c r="Q2852" s="82"/>
      <c r="R2852" s="38"/>
      <c r="S2852" s="38"/>
      <c r="T2852" s="38"/>
      <c r="U2852" s="38"/>
      <c r="V2852" s="38"/>
      <c r="W2852" s="38"/>
      <c r="X2852" s="38"/>
      <c r="Y2852" s="38"/>
      <c r="Z2852" s="38"/>
      <c r="AA2852" s="38"/>
      <c r="AB2852" s="38"/>
      <c r="AC2852" s="38"/>
      <c r="AD2852" s="38"/>
      <c r="AE2852" s="38"/>
      <c r="AF2852" s="38"/>
      <c r="AG2852" s="38"/>
      <c r="AH2852" s="38"/>
    </row>
    <row r="2853" spans="3:34" ht="20.100000000000001" customHeight="1">
      <c r="C2853" s="113"/>
      <c r="D2853" s="114"/>
      <c r="P2853" s="82"/>
      <c r="Q2853" s="82"/>
      <c r="R2853" s="38"/>
      <c r="S2853" s="38"/>
      <c r="T2853" s="38"/>
      <c r="U2853" s="38"/>
      <c r="V2853" s="38"/>
      <c r="W2853" s="38"/>
      <c r="X2853" s="38"/>
      <c r="Y2853" s="38"/>
      <c r="Z2853" s="38"/>
      <c r="AA2853" s="38"/>
      <c r="AB2853" s="38"/>
      <c r="AC2853" s="38"/>
      <c r="AD2853" s="38"/>
      <c r="AE2853" s="38"/>
      <c r="AF2853" s="38"/>
      <c r="AG2853" s="38"/>
      <c r="AH2853" s="38"/>
    </row>
    <row r="2854" spans="3:34" ht="20.100000000000001" customHeight="1">
      <c r="C2854" s="113"/>
      <c r="D2854" s="114"/>
      <c r="P2854" s="82"/>
      <c r="Q2854" s="82"/>
      <c r="R2854" s="38"/>
      <c r="S2854" s="38"/>
      <c r="T2854" s="38"/>
      <c r="U2854" s="38"/>
      <c r="V2854" s="38"/>
      <c r="W2854" s="38"/>
      <c r="X2854" s="38"/>
      <c r="Y2854" s="38"/>
      <c r="Z2854" s="38"/>
      <c r="AA2854" s="38"/>
      <c r="AB2854" s="38"/>
      <c r="AC2854" s="38"/>
      <c r="AD2854" s="38"/>
      <c r="AE2854" s="38"/>
      <c r="AF2854" s="38"/>
      <c r="AG2854" s="38"/>
      <c r="AH2854" s="38"/>
    </row>
    <row r="2855" spans="3:34" ht="20.100000000000001" customHeight="1">
      <c r="C2855" s="113"/>
      <c r="D2855" s="114"/>
      <c r="P2855" s="82"/>
      <c r="Q2855" s="82"/>
      <c r="R2855" s="38"/>
      <c r="S2855" s="38"/>
      <c r="T2855" s="38"/>
      <c r="U2855" s="38"/>
      <c r="V2855" s="38"/>
      <c r="W2855" s="38"/>
      <c r="X2855" s="38"/>
      <c r="Y2855" s="38"/>
      <c r="Z2855" s="38"/>
      <c r="AA2855" s="38"/>
      <c r="AB2855" s="38"/>
      <c r="AC2855" s="38"/>
      <c r="AD2855" s="38"/>
      <c r="AE2855" s="38"/>
      <c r="AF2855" s="38"/>
      <c r="AG2855" s="38"/>
      <c r="AH2855" s="38"/>
    </row>
    <row r="2856" spans="3:34" ht="20.100000000000001" customHeight="1">
      <c r="C2856" s="113"/>
      <c r="D2856" s="114"/>
      <c r="P2856" s="82"/>
      <c r="Q2856" s="82"/>
      <c r="R2856" s="38"/>
      <c r="S2856" s="38"/>
      <c r="T2856" s="38"/>
      <c r="U2856" s="38"/>
      <c r="V2856" s="38"/>
      <c r="W2856" s="38"/>
      <c r="X2856" s="38"/>
      <c r="Y2856" s="38"/>
      <c r="Z2856" s="38"/>
      <c r="AA2856" s="38"/>
      <c r="AB2856" s="38"/>
      <c r="AC2856" s="38"/>
      <c r="AD2856" s="38"/>
      <c r="AE2856" s="38"/>
      <c r="AF2856" s="38"/>
      <c r="AG2856" s="38"/>
      <c r="AH2856" s="38"/>
    </row>
    <row r="2857" spans="3:34" ht="20.100000000000001" customHeight="1">
      <c r="C2857" s="113"/>
      <c r="D2857" s="114"/>
      <c r="P2857" s="82"/>
      <c r="Q2857" s="82"/>
      <c r="R2857" s="38"/>
      <c r="S2857" s="38"/>
      <c r="T2857" s="38"/>
      <c r="U2857" s="38"/>
      <c r="V2857" s="38"/>
      <c r="W2857" s="38"/>
      <c r="X2857" s="38"/>
      <c r="Y2857" s="38"/>
      <c r="Z2857" s="38"/>
      <c r="AA2857" s="38"/>
      <c r="AB2857" s="38"/>
      <c r="AC2857" s="38"/>
      <c r="AD2857" s="38"/>
      <c r="AE2857" s="38"/>
      <c r="AF2857" s="38"/>
      <c r="AG2857" s="38"/>
      <c r="AH2857" s="38"/>
    </row>
    <row r="2858" spans="3:34" ht="20.100000000000001" customHeight="1">
      <c r="C2858" s="113"/>
      <c r="D2858" s="114"/>
      <c r="P2858" s="82"/>
      <c r="Q2858" s="82"/>
      <c r="R2858" s="38"/>
      <c r="S2858" s="38"/>
      <c r="T2858" s="38"/>
      <c r="U2858" s="38"/>
      <c r="V2858" s="38"/>
      <c r="W2858" s="38"/>
      <c r="X2858" s="38"/>
      <c r="Y2858" s="38"/>
      <c r="Z2858" s="38"/>
      <c r="AA2858" s="38"/>
      <c r="AB2858" s="38"/>
      <c r="AC2858" s="38"/>
      <c r="AD2858" s="38"/>
      <c r="AE2858" s="38"/>
      <c r="AF2858" s="38"/>
      <c r="AG2858" s="38"/>
      <c r="AH2858" s="38"/>
    </row>
    <row r="2859" spans="3:34" ht="20.100000000000001" customHeight="1">
      <c r="C2859" s="113"/>
      <c r="D2859" s="114"/>
      <c r="P2859" s="82"/>
      <c r="Q2859" s="82"/>
      <c r="R2859" s="38"/>
      <c r="S2859" s="38"/>
      <c r="T2859" s="38"/>
      <c r="U2859" s="38"/>
      <c r="V2859" s="38"/>
      <c r="W2859" s="38"/>
      <c r="X2859" s="38"/>
      <c r="Y2859" s="38"/>
      <c r="Z2859" s="38"/>
      <c r="AA2859" s="38"/>
      <c r="AB2859" s="38"/>
      <c r="AC2859" s="38"/>
      <c r="AD2859" s="38"/>
      <c r="AE2859" s="38"/>
      <c r="AF2859" s="38"/>
      <c r="AG2859" s="38"/>
      <c r="AH2859" s="38"/>
    </row>
    <row r="2860" spans="3:34" ht="20.100000000000001" customHeight="1">
      <c r="C2860" s="113"/>
      <c r="D2860" s="114"/>
      <c r="P2860" s="82"/>
      <c r="Q2860" s="82"/>
      <c r="R2860" s="38"/>
      <c r="S2860" s="38"/>
      <c r="T2860" s="38"/>
      <c r="U2860" s="38"/>
      <c r="V2860" s="38"/>
      <c r="W2860" s="38"/>
      <c r="X2860" s="38"/>
      <c r="Y2860" s="38"/>
      <c r="Z2860" s="38"/>
      <c r="AA2860" s="38"/>
      <c r="AB2860" s="38"/>
      <c r="AC2860" s="38"/>
      <c r="AD2860" s="38"/>
      <c r="AE2860" s="38"/>
      <c r="AF2860" s="38"/>
      <c r="AG2860" s="38"/>
      <c r="AH2860" s="38"/>
    </row>
    <row r="2861" spans="3:34" ht="20.100000000000001" customHeight="1">
      <c r="C2861" s="113"/>
      <c r="D2861" s="114"/>
      <c r="P2861" s="82"/>
      <c r="Q2861" s="82"/>
      <c r="R2861" s="38"/>
      <c r="S2861" s="38"/>
      <c r="T2861" s="38"/>
      <c r="U2861" s="38"/>
      <c r="V2861" s="38"/>
      <c r="W2861" s="38"/>
      <c r="X2861" s="38"/>
      <c r="Y2861" s="38"/>
      <c r="Z2861" s="38"/>
      <c r="AA2861" s="38"/>
      <c r="AB2861" s="38"/>
      <c r="AC2861" s="38"/>
      <c r="AD2861" s="38"/>
      <c r="AE2861" s="38"/>
      <c r="AF2861" s="38"/>
      <c r="AG2861" s="38"/>
      <c r="AH2861" s="38"/>
    </row>
    <row r="2862" spans="3:34" ht="20.100000000000001" customHeight="1">
      <c r="C2862" s="113"/>
      <c r="D2862" s="114"/>
      <c r="P2862" s="82"/>
      <c r="Q2862" s="82"/>
      <c r="R2862" s="38"/>
      <c r="S2862" s="38"/>
      <c r="T2862" s="38"/>
      <c r="U2862" s="38"/>
      <c r="V2862" s="38"/>
      <c r="W2862" s="38"/>
      <c r="X2862" s="38"/>
      <c r="Y2862" s="38"/>
      <c r="Z2862" s="38"/>
      <c r="AA2862" s="38"/>
      <c r="AB2862" s="38"/>
      <c r="AC2862" s="38"/>
      <c r="AD2862" s="38"/>
      <c r="AE2862" s="38"/>
      <c r="AF2862" s="38"/>
      <c r="AG2862" s="38"/>
      <c r="AH2862" s="38"/>
    </row>
    <row r="2863" spans="3:34" ht="20.100000000000001" customHeight="1">
      <c r="C2863" s="113"/>
      <c r="D2863" s="114"/>
      <c r="P2863" s="82"/>
      <c r="Q2863" s="82"/>
      <c r="R2863" s="38"/>
      <c r="S2863" s="38"/>
      <c r="T2863" s="38"/>
      <c r="U2863" s="38"/>
      <c r="V2863" s="38"/>
      <c r="W2863" s="38"/>
      <c r="X2863" s="38"/>
      <c r="Y2863" s="38"/>
      <c r="Z2863" s="38"/>
      <c r="AA2863" s="38"/>
      <c r="AB2863" s="38"/>
      <c r="AC2863" s="38"/>
      <c r="AD2863" s="38"/>
      <c r="AE2863" s="38"/>
      <c r="AF2863" s="38"/>
      <c r="AG2863" s="38"/>
      <c r="AH2863" s="38"/>
    </row>
    <row r="2864" spans="3:34" ht="20.100000000000001" customHeight="1">
      <c r="C2864" s="113"/>
      <c r="D2864" s="114"/>
      <c r="P2864" s="82"/>
      <c r="Q2864" s="82"/>
      <c r="R2864" s="38"/>
      <c r="S2864" s="38"/>
      <c r="T2864" s="38"/>
      <c r="U2864" s="38"/>
      <c r="V2864" s="38"/>
      <c r="W2864" s="38"/>
      <c r="X2864" s="38"/>
      <c r="Y2864" s="38"/>
      <c r="Z2864" s="38"/>
      <c r="AA2864" s="38"/>
      <c r="AB2864" s="38"/>
      <c r="AC2864" s="38"/>
      <c r="AD2864" s="38"/>
      <c r="AE2864" s="38"/>
      <c r="AF2864" s="38"/>
      <c r="AG2864" s="38"/>
      <c r="AH2864" s="38"/>
    </row>
    <row r="2865" spans="3:34" ht="20.100000000000001" customHeight="1">
      <c r="C2865" s="113"/>
      <c r="D2865" s="114"/>
      <c r="P2865" s="82"/>
      <c r="Q2865" s="82"/>
      <c r="R2865" s="38"/>
      <c r="S2865" s="38"/>
      <c r="T2865" s="38"/>
      <c r="U2865" s="38"/>
      <c r="V2865" s="38"/>
      <c r="W2865" s="38"/>
      <c r="X2865" s="38"/>
      <c r="Y2865" s="38"/>
      <c r="Z2865" s="38"/>
      <c r="AA2865" s="38"/>
      <c r="AB2865" s="38"/>
      <c r="AC2865" s="38"/>
      <c r="AD2865" s="38"/>
      <c r="AE2865" s="38"/>
      <c r="AF2865" s="38"/>
      <c r="AG2865" s="38"/>
      <c r="AH2865" s="38"/>
    </row>
    <row r="2866" spans="3:34" ht="20.100000000000001" customHeight="1">
      <c r="C2866" s="113"/>
      <c r="D2866" s="114"/>
      <c r="P2866" s="82"/>
      <c r="Q2866" s="82"/>
      <c r="R2866" s="38"/>
      <c r="S2866" s="38"/>
      <c r="T2866" s="38"/>
      <c r="U2866" s="38"/>
      <c r="V2866" s="38"/>
      <c r="W2866" s="38"/>
      <c r="X2866" s="38"/>
      <c r="Y2866" s="38"/>
      <c r="Z2866" s="38"/>
      <c r="AA2866" s="38"/>
      <c r="AB2866" s="38"/>
      <c r="AC2866" s="38"/>
      <c r="AD2866" s="38"/>
      <c r="AE2866" s="38"/>
      <c r="AF2866" s="38"/>
      <c r="AG2866" s="38"/>
      <c r="AH2866" s="38"/>
    </row>
    <row r="2867" spans="3:34" ht="20.100000000000001" customHeight="1">
      <c r="C2867" s="113"/>
      <c r="D2867" s="114"/>
      <c r="P2867" s="82"/>
      <c r="Q2867" s="82"/>
      <c r="R2867" s="38"/>
      <c r="S2867" s="38"/>
      <c r="T2867" s="38"/>
      <c r="U2867" s="38"/>
      <c r="V2867" s="38"/>
      <c r="W2867" s="38"/>
      <c r="X2867" s="38"/>
      <c r="Y2867" s="38"/>
      <c r="Z2867" s="38"/>
      <c r="AA2867" s="38"/>
      <c r="AB2867" s="38"/>
      <c r="AC2867" s="38"/>
      <c r="AD2867" s="38"/>
      <c r="AE2867" s="38"/>
      <c r="AF2867" s="38"/>
      <c r="AG2867" s="38"/>
      <c r="AH2867" s="38"/>
    </row>
    <row r="2868" spans="3:34" ht="20.100000000000001" customHeight="1">
      <c r="C2868" s="113"/>
      <c r="D2868" s="114"/>
      <c r="P2868" s="82"/>
      <c r="Q2868" s="82"/>
      <c r="R2868" s="38"/>
      <c r="S2868" s="38"/>
      <c r="T2868" s="38"/>
      <c r="U2868" s="38"/>
      <c r="V2868" s="38"/>
      <c r="W2868" s="38"/>
      <c r="X2868" s="38"/>
      <c r="Y2868" s="38"/>
      <c r="Z2868" s="38"/>
      <c r="AA2868" s="38"/>
      <c r="AB2868" s="38"/>
      <c r="AC2868" s="38"/>
      <c r="AD2868" s="38"/>
      <c r="AE2868" s="38"/>
      <c r="AF2868" s="38"/>
      <c r="AG2868" s="38"/>
      <c r="AH2868" s="38"/>
    </row>
    <row r="2869" spans="3:34" ht="20.100000000000001" customHeight="1">
      <c r="C2869" s="113"/>
      <c r="D2869" s="114"/>
      <c r="P2869" s="82"/>
      <c r="Q2869" s="82"/>
      <c r="R2869" s="38"/>
      <c r="S2869" s="38"/>
      <c r="T2869" s="38"/>
      <c r="U2869" s="38"/>
      <c r="V2869" s="38"/>
      <c r="W2869" s="38"/>
      <c r="X2869" s="38"/>
      <c r="Y2869" s="38"/>
      <c r="Z2869" s="38"/>
      <c r="AA2869" s="38"/>
      <c r="AB2869" s="38"/>
      <c r="AC2869" s="38"/>
      <c r="AD2869" s="38"/>
      <c r="AE2869" s="38"/>
      <c r="AF2869" s="38"/>
      <c r="AG2869" s="38"/>
      <c r="AH2869" s="38"/>
    </row>
    <row r="2870" spans="3:34" ht="20.100000000000001" customHeight="1">
      <c r="C2870" s="113"/>
      <c r="D2870" s="114"/>
      <c r="P2870" s="82"/>
      <c r="Q2870" s="82"/>
      <c r="R2870" s="38"/>
      <c r="S2870" s="38"/>
      <c r="T2870" s="38"/>
      <c r="U2870" s="38"/>
      <c r="V2870" s="38"/>
      <c r="W2870" s="38"/>
      <c r="X2870" s="38"/>
      <c r="Y2870" s="38"/>
      <c r="Z2870" s="38"/>
      <c r="AA2870" s="38"/>
      <c r="AB2870" s="38"/>
      <c r="AC2870" s="38"/>
      <c r="AD2870" s="38"/>
      <c r="AE2870" s="38"/>
      <c r="AF2870" s="38"/>
      <c r="AG2870" s="38"/>
      <c r="AH2870" s="38"/>
    </row>
    <row r="2871" spans="3:34" ht="20.100000000000001" customHeight="1">
      <c r="C2871" s="113"/>
      <c r="D2871" s="114"/>
      <c r="P2871" s="82"/>
      <c r="Q2871" s="82"/>
      <c r="R2871" s="38"/>
      <c r="S2871" s="38"/>
      <c r="T2871" s="38"/>
      <c r="U2871" s="38"/>
      <c r="V2871" s="38"/>
      <c r="W2871" s="38"/>
      <c r="X2871" s="38"/>
      <c r="Y2871" s="38"/>
      <c r="Z2871" s="38"/>
      <c r="AA2871" s="38"/>
      <c r="AB2871" s="38"/>
      <c r="AC2871" s="38"/>
      <c r="AD2871" s="38"/>
      <c r="AE2871" s="38"/>
      <c r="AF2871" s="38"/>
      <c r="AG2871" s="38"/>
      <c r="AH2871" s="38"/>
    </row>
    <row r="2872" spans="3:34" ht="20.100000000000001" customHeight="1">
      <c r="C2872" s="113"/>
      <c r="D2872" s="114"/>
      <c r="P2872" s="82"/>
      <c r="Q2872" s="82"/>
      <c r="R2872" s="38"/>
      <c r="S2872" s="38"/>
      <c r="T2872" s="38"/>
      <c r="U2872" s="38"/>
      <c r="V2872" s="38"/>
      <c r="W2872" s="38"/>
      <c r="X2872" s="38"/>
      <c r="Y2872" s="38"/>
      <c r="Z2872" s="38"/>
      <c r="AA2872" s="38"/>
      <c r="AB2872" s="38"/>
      <c r="AC2872" s="38"/>
      <c r="AD2872" s="38"/>
      <c r="AE2872" s="38"/>
      <c r="AF2872" s="38"/>
      <c r="AG2872" s="38"/>
      <c r="AH2872" s="38"/>
    </row>
    <row r="2873" spans="3:34" ht="20.100000000000001" customHeight="1">
      <c r="C2873" s="113"/>
      <c r="D2873" s="114"/>
      <c r="P2873" s="82"/>
      <c r="Q2873" s="82"/>
      <c r="R2873" s="38"/>
      <c r="S2873" s="38"/>
      <c r="T2873" s="38"/>
      <c r="U2873" s="38"/>
      <c r="V2873" s="38"/>
      <c r="W2873" s="38"/>
      <c r="X2873" s="38"/>
      <c r="Y2873" s="38"/>
      <c r="Z2873" s="38"/>
      <c r="AA2873" s="38"/>
      <c r="AB2873" s="38"/>
      <c r="AC2873" s="38"/>
      <c r="AD2873" s="38"/>
      <c r="AE2873" s="38"/>
      <c r="AF2873" s="38"/>
      <c r="AG2873" s="38"/>
      <c r="AH2873" s="38"/>
    </row>
    <row r="2874" spans="3:34" ht="20.100000000000001" customHeight="1">
      <c r="C2874" s="113"/>
      <c r="D2874" s="114"/>
      <c r="P2874" s="82"/>
      <c r="Q2874" s="82"/>
      <c r="R2874" s="38"/>
      <c r="S2874" s="38"/>
      <c r="T2874" s="38"/>
      <c r="U2874" s="38"/>
      <c r="V2874" s="38"/>
      <c r="W2874" s="38"/>
      <c r="X2874" s="38"/>
      <c r="Y2874" s="38"/>
      <c r="Z2874" s="38"/>
      <c r="AA2874" s="38"/>
      <c r="AB2874" s="38"/>
      <c r="AC2874" s="38"/>
      <c r="AD2874" s="38"/>
      <c r="AE2874" s="38"/>
      <c r="AF2874" s="38"/>
      <c r="AG2874" s="38"/>
      <c r="AH2874" s="38"/>
    </row>
    <row r="2875" spans="3:34" ht="20.100000000000001" customHeight="1">
      <c r="C2875" s="113"/>
      <c r="D2875" s="114"/>
      <c r="P2875" s="82"/>
      <c r="Q2875" s="82"/>
      <c r="R2875" s="38"/>
      <c r="S2875" s="38"/>
      <c r="T2875" s="38"/>
      <c r="U2875" s="38"/>
      <c r="V2875" s="38"/>
      <c r="W2875" s="38"/>
      <c r="X2875" s="38"/>
      <c r="Y2875" s="38"/>
      <c r="Z2875" s="38"/>
      <c r="AA2875" s="38"/>
      <c r="AB2875" s="38"/>
      <c r="AC2875" s="38"/>
      <c r="AD2875" s="38"/>
      <c r="AE2875" s="38"/>
      <c r="AF2875" s="38"/>
      <c r="AG2875" s="38"/>
      <c r="AH2875" s="38"/>
    </row>
    <row r="2876" spans="3:34" ht="20.100000000000001" customHeight="1">
      <c r="C2876" s="113"/>
      <c r="D2876" s="114"/>
      <c r="P2876" s="82"/>
      <c r="Q2876" s="82"/>
      <c r="R2876" s="38"/>
      <c r="S2876" s="38"/>
      <c r="T2876" s="38"/>
      <c r="U2876" s="38"/>
      <c r="V2876" s="38"/>
      <c r="W2876" s="38"/>
      <c r="X2876" s="38"/>
      <c r="Y2876" s="38"/>
      <c r="Z2876" s="38"/>
      <c r="AA2876" s="38"/>
      <c r="AB2876" s="38"/>
      <c r="AC2876" s="38"/>
      <c r="AD2876" s="38"/>
      <c r="AE2876" s="38"/>
      <c r="AF2876" s="38"/>
      <c r="AG2876" s="38"/>
      <c r="AH2876" s="38"/>
    </row>
    <row r="2877" spans="3:34" ht="20.100000000000001" customHeight="1">
      <c r="C2877" s="113"/>
      <c r="D2877" s="114"/>
      <c r="P2877" s="82"/>
      <c r="Q2877" s="82"/>
      <c r="R2877" s="38"/>
      <c r="S2877" s="38"/>
      <c r="T2877" s="38"/>
      <c r="U2877" s="38"/>
      <c r="V2877" s="38"/>
      <c r="W2877" s="38"/>
      <c r="X2877" s="38"/>
      <c r="Y2877" s="38"/>
      <c r="Z2877" s="38"/>
      <c r="AA2877" s="38"/>
      <c r="AB2877" s="38"/>
      <c r="AC2877" s="38"/>
      <c r="AD2877" s="38"/>
      <c r="AE2877" s="38"/>
      <c r="AF2877" s="38"/>
      <c r="AG2877" s="38"/>
      <c r="AH2877" s="38"/>
    </row>
    <row r="2878" spans="3:34" ht="20.100000000000001" customHeight="1">
      <c r="C2878" s="113"/>
      <c r="D2878" s="114"/>
      <c r="P2878" s="82"/>
      <c r="Q2878" s="82"/>
      <c r="R2878" s="38"/>
      <c r="S2878" s="38"/>
      <c r="T2878" s="38"/>
      <c r="U2878" s="38"/>
      <c r="V2878" s="38"/>
      <c r="W2878" s="38"/>
      <c r="X2878" s="38"/>
      <c r="Y2878" s="38"/>
      <c r="Z2878" s="38"/>
      <c r="AA2878" s="38"/>
      <c r="AB2878" s="38"/>
      <c r="AC2878" s="38"/>
      <c r="AD2878" s="38"/>
      <c r="AE2878" s="38"/>
      <c r="AF2878" s="38"/>
      <c r="AG2878" s="38"/>
      <c r="AH2878" s="38"/>
    </row>
    <row r="2879" spans="3:34" ht="20.100000000000001" customHeight="1">
      <c r="C2879" s="113"/>
      <c r="D2879" s="114"/>
      <c r="P2879" s="82"/>
      <c r="Q2879" s="82"/>
      <c r="R2879" s="38"/>
      <c r="S2879" s="38"/>
      <c r="T2879" s="38"/>
      <c r="U2879" s="38"/>
      <c r="V2879" s="38"/>
      <c r="W2879" s="38"/>
      <c r="X2879" s="38"/>
      <c r="Y2879" s="38"/>
      <c r="Z2879" s="38"/>
      <c r="AA2879" s="38"/>
      <c r="AB2879" s="38"/>
      <c r="AC2879" s="38"/>
      <c r="AD2879" s="38"/>
      <c r="AE2879" s="38"/>
      <c r="AF2879" s="38"/>
      <c r="AG2879" s="38"/>
      <c r="AH2879" s="38"/>
    </row>
    <row r="2880" spans="3:34" ht="20.100000000000001" customHeight="1">
      <c r="C2880" s="113"/>
      <c r="D2880" s="114"/>
      <c r="P2880" s="82"/>
      <c r="Q2880" s="82"/>
      <c r="R2880" s="38"/>
      <c r="S2880" s="38"/>
      <c r="T2880" s="38"/>
      <c r="U2880" s="38"/>
      <c r="V2880" s="38"/>
      <c r="W2880" s="38"/>
      <c r="X2880" s="38"/>
      <c r="Y2880" s="38"/>
      <c r="Z2880" s="38"/>
      <c r="AA2880" s="38"/>
      <c r="AB2880" s="38"/>
      <c r="AC2880" s="38"/>
      <c r="AD2880" s="38"/>
      <c r="AE2880" s="38"/>
      <c r="AF2880" s="38"/>
      <c r="AG2880" s="38"/>
      <c r="AH2880" s="38"/>
    </row>
    <row r="2881" spans="3:34" ht="20.100000000000001" customHeight="1">
      <c r="C2881" s="113"/>
      <c r="D2881" s="114"/>
      <c r="P2881" s="82"/>
      <c r="Q2881" s="82"/>
      <c r="R2881" s="38"/>
      <c r="S2881" s="38"/>
      <c r="T2881" s="38"/>
      <c r="U2881" s="38"/>
      <c r="V2881" s="38"/>
      <c r="W2881" s="38"/>
      <c r="X2881" s="38"/>
      <c r="Y2881" s="38"/>
      <c r="Z2881" s="38"/>
      <c r="AA2881" s="38"/>
      <c r="AB2881" s="38"/>
      <c r="AC2881" s="38"/>
      <c r="AD2881" s="38"/>
      <c r="AE2881" s="38"/>
      <c r="AF2881" s="38"/>
      <c r="AG2881" s="38"/>
      <c r="AH2881" s="38"/>
    </row>
    <row r="2882" spans="3:34" ht="20.100000000000001" customHeight="1">
      <c r="C2882" s="113"/>
      <c r="D2882" s="114"/>
      <c r="P2882" s="82"/>
      <c r="Q2882" s="82"/>
      <c r="R2882" s="38"/>
      <c r="S2882" s="38"/>
      <c r="T2882" s="38"/>
      <c r="U2882" s="38"/>
      <c r="V2882" s="38"/>
      <c r="W2882" s="38"/>
      <c r="X2882" s="38"/>
      <c r="Y2882" s="38"/>
      <c r="Z2882" s="38"/>
      <c r="AA2882" s="38"/>
      <c r="AB2882" s="38"/>
      <c r="AC2882" s="38"/>
      <c r="AD2882" s="38"/>
      <c r="AE2882" s="38"/>
      <c r="AF2882" s="38"/>
      <c r="AG2882" s="38"/>
      <c r="AH2882" s="38"/>
    </row>
    <row r="2883" spans="3:34" ht="20.100000000000001" customHeight="1">
      <c r="C2883" s="113"/>
      <c r="D2883" s="114"/>
      <c r="P2883" s="82"/>
      <c r="Q2883" s="82"/>
      <c r="R2883" s="38"/>
      <c r="S2883" s="38"/>
      <c r="T2883" s="38"/>
      <c r="U2883" s="38"/>
      <c r="V2883" s="38"/>
      <c r="W2883" s="38"/>
      <c r="X2883" s="38"/>
      <c r="Y2883" s="38"/>
      <c r="Z2883" s="38"/>
      <c r="AA2883" s="38"/>
      <c r="AB2883" s="38"/>
      <c r="AC2883" s="38"/>
      <c r="AD2883" s="38"/>
      <c r="AE2883" s="38"/>
      <c r="AF2883" s="38"/>
      <c r="AG2883" s="38"/>
      <c r="AH2883" s="38"/>
    </row>
    <row r="2884" spans="3:34" ht="20.100000000000001" customHeight="1">
      <c r="C2884" s="113"/>
      <c r="D2884" s="114"/>
      <c r="P2884" s="82"/>
      <c r="Q2884" s="82"/>
      <c r="R2884" s="38"/>
      <c r="S2884" s="38"/>
      <c r="T2884" s="38"/>
      <c r="U2884" s="38"/>
      <c r="V2884" s="38"/>
      <c r="W2884" s="38"/>
      <c r="X2884" s="38"/>
      <c r="Y2884" s="38"/>
      <c r="Z2884" s="38"/>
      <c r="AA2884" s="38"/>
      <c r="AB2884" s="38"/>
      <c r="AC2884" s="38"/>
      <c r="AD2884" s="38"/>
      <c r="AE2884" s="38"/>
      <c r="AF2884" s="38"/>
      <c r="AG2884" s="38"/>
      <c r="AH2884" s="38"/>
    </row>
    <row r="2885" spans="3:34" ht="20.100000000000001" customHeight="1">
      <c r="C2885" s="113"/>
      <c r="D2885" s="114"/>
      <c r="P2885" s="82"/>
      <c r="Q2885" s="82"/>
      <c r="R2885" s="38"/>
      <c r="S2885" s="38"/>
      <c r="T2885" s="38"/>
      <c r="U2885" s="38"/>
      <c r="V2885" s="38"/>
      <c r="W2885" s="38"/>
      <c r="X2885" s="38"/>
      <c r="Y2885" s="38"/>
      <c r="Z2885" s="38"/>
      <c r="AA2885" s="38"/>
      <c r="AB2885" s="38"/>
      <c r="AC2885" s="38"/>
      <c r="AD2885" s="38"/>
      <c r="AE2885" s="38"/>
      <c r="AF2885" s="38"/>
      <c r="AG2885" s="38"/>
      <c r="AH2885" s="38"/>
    </row>
    <row r="2886" spans="3:34" ht="20.100000000000001" customHeight="1">
      <c r="C2886" s="113"/>
      <c r="D2886" s="114"/>
      <c r="P2886" s="82"/>
      <c r="Q2886" s="82"/>
      <c r="R2886" s="38"/>
      <c r="S2886" s="38"/>
      <c r="T2886" s="38"/>
      <c r="U2886" s="38"/>
      <c r="V2886" s="38"/>
      <c r="W2886" s="38"/>
      <c r="X2886" s="38"/>
      <c r="Y2886" s="38"/>
      <c r="Z2886" s="38"/>
      <c r="AA2886" s="38"/>
      <c r="AB2886" s="38"/>
      <c r="AC2886" s="38"/>
      <c r="AD2886" s="38"/>
      <c r="AE2886" s="38"/>
      <c r="AF2886" s="38"/>
      <c r="AG2886" s="38"/>
      <c r="AH2886" s="38"/>
    </row>
    <row r="2887" spans="3:34" ht="20.100000000000001" customHeight="1">
      <c r="C2887" s="113"/>
      <c r="D2887" s="114"/>
      <c r="P2887" s="82"/>
      <c r="Q2887" s="82"/>
      <c r="R2887" s="38"/>
      <c r="S2887" s="38"/>
      <c r="T2887" s="38"/>
      <c r="U2887" s="38"/>
      <c r="V2887" s="38"/>
      <c r="W2887" s="38"/>
      <c r="X2887" s="38"/>
      <c r="Y2887" s="38"/>
      <c r="Z2887" s="38"/>
      <c r="AA2887" s="38"/>
      <c r="AB2887" s="38"/>
      <c r="AC2887" s="38"/>
      <c r="AD2887" s="38"/>
      <c r="AE2887" s="38"/>
      <c r="AF2887" s="38"/>
      <c r="AG2887" s="38"/>
      <c r="AH2887" s="38"/>
    </row>
    <row r="2888" spans="3:34" ht="20.100000000000001" customHeight="1">
      <c r="C2888" s="113"/>
      <c r="D2888" s="114"/>
      <c r="P2888" s="82"/>
      <c r="Q2888" s="82"/>
      <c r="R2888" s="38"/>
      <c r="S2888" s="38"/>
      <c r="T2888" s="38"/>
      <c r="U2888" s="38"/>
      <c r="V2888" s="38"/>
      <c r="W2888" s="38"/>
      <c r="X2888" s="38"/>
      <c r="Y2888" s="38"/>
      <c r="Z2888" s="38"/>
      <c r="AA2888" s="38"/>
      <c r="AB2888" s="38"/>
      <c r="AC2888" s="38"/>
      <c r="AD2888" s="38"/>
      <c r="AE2888" s="38"/>
      <c r="AF2888" s="38"/>
      <c r="AG2888" s="38"/>
      <c r="AH2888" s="38"/>
    </row>
    <row r="2889" spans="3:34" ht="20.100000000000001" customHeight="1">
      <c r="C2889" s="113"/>
      <c r="D2889" s="114"/>
      <c r="P2889" s="82"/>
      <c r="Q2889" s="82"/>
      <c r="R2889" s="38"/>
      <c r="S2889" s="38"/>
      <c r="T2889" s="38"/>
      <c r="U2889" s="38"/>
      <c r="V2889" s="38"/>
      <c r="W2889" s="38"/>
      <c r="X2889" s="38"/>
      <c r="Y2889" s="38"/>
      <c r="Z2889" s="38"/>
      <c r="AA2889" s="38"/>
      <c r="AB2889" s="38"/>
      <c r="AC2889" s="38"/>
      <c r="AD2889" s="38"/>
      <c r="AE2889" s="38"/>
      <c r="AF2889" s="38"/>
      <c r="AG2889" s="38"/>
      <c r="AH2889" s="38"/>
    </row>
    <row r="2890" spans="3:34" ht="20.100000000000001" customHeight="1">
      <c r="C2890" s="113"/>
      <c r="D2890" s="114"/>
      <c r="P2890" s="82"/>
      <c r="Q2890" s="82"/>
      <c r="R2890" s="38"/>
      <c r="S2890" s="38"/>
      <c r="T2890" s="38"/>
      <c r="U2890" s="38"/>
      <c r="V2890" s="38"/>
      <c r="W2890" s="38"/>
      <c r="X2890" s="38"/>
      <c r="Y2890" s="38"/>
      <c r="Z2890" s="38"/>
      <c r="AA2890" s="38"/>
      <c r="AB2890" s="38"/>
      <c r="AC2890" s="38"/>
      <c r="AD2890" s="38"/>
      <c r="AE2890" s="38"/>
      <c r="AF2890" s="38"/>
      <c r="AG2890" s="38"/>
      <c r="AH2890" s="38"/>
    </row>
    <row r="2891" spans="3:34" ht="20.100000000000001" customHeight="1">
      <c r="C2891" s="113"/>
      <c r="D2891" s="114"/>
      <c r="P2891" s="82"/>
      <c r="Q2891" s="82"/>
      <c r="R2891" s="38"/>
      <c r="S2891" s="38"/>
      <c r="T2891" s="38"/>
      <c r="U2891" s="38"/>
      <c r="V2891" s="38"/>
      <c r="W2891" s="38"/>
      <c r="X2891" s="38"/>
      <c r="Y2891" s="38"/>
      <c r="Z2891" s="38"/>
      <c r="AA2891" s="38"/>
      <c r="AB2891" s="38"/>
      <c r="AC2891" s="38"/>
      <c r="AD2891" s="38"/>
      <c r="AE2891" s="38"/>
      <c r="AF2891" s="38"/>
      <c r="AG2891" s="38"/>
      <c r="AH2891" s="38"/>
    </row>
    <row r="2892" spans="3:34" ht="20.100000000000001" customHeight="1">
      <c r="C2892" s="113"/>
      <c r="D2892" s="114"/>
      <c r="P2892" s="82"/>
      <c r="Q2892" s="82"/>
      <c r="R2892" s="38"/>
      <c r="S2892" s="38"/>
      <c r="T2892" s="38"/>
      <c r="U2892" s="38"/>
      <c r="V2892" s="38"/>
      <c r="W2892" s="38"/>
      <c r="X2892" s="38"/>
      <c r="Y2892" s="38"/>
      <c r="Z2892" s="38"/>
      <c r="AA2892" s="38"/>
      <c r="AB2892" s="38"/>
      <c r="AC2892" s="38"/>
      <c r="AD2892" s="38"/>
      <c r="AE2892" s="38"/>
      <c r="AF2892" s="38"/>
      <c r="AG2892" s="38"/>
      <c r="AH2892" s="38"/>
    </row>
    <row r="2893" spans="3:34" ht="20.100000000000001" customHeight="1">
      <c r="C2893" s="113"/>
      <c r="D2893" s="114"/>
      <c r="P2893" s="82"/>
      <c r="Q2893" s="82"/>
      <c r="R2893" s="38"/>
      <c r="S2893" s="38"/>
      <c r="T2893" s="38"/>
      <c r="U2893" s="38"/>
      <c r="V2893" s="38"/>
      <c r="W2893" s="38"/>
      <c r="X2893" s="38"/>
      <c r="Y2893" s="38"/>
      <c r="Z2893" s="38"/>
      <c r="AA2893" s="38"/>
      <c r="AB2893" s="38"/>
      <c r="AC2893" s="38"/>
      <c r="AD2893" s="38"/>
      <c r="AE2893" s="38"/>
      <c r="AF2893" s="38"/>
      <c r="AG2893" s="38"/>
      <c r="AH2893" s="38"/>
    </row>
    <row r="2894" spans="3:34" ht="20.100000000000001" customHeight="1">
      <c r="C2894" s="113"/>
      <c r="D2894" s="114"/>
      <c r="P2894" s="82"/>
      <c r="Q2894" s="82"/>
      <c r="R2894" s="38"/>
      <c r="S2894" s="38"/>
      <c r="T2894" s="38"/>
      <c r="U2894" s="38"/>
      <c r="V2894" s="38"/>
      <c r="W2894" s="38"/>
      <c r="X2894" s="38"/>
      <c r="Y2894" s="38"/>
      <c r="Z2894" s="38"/>
      <c r="AA2894" s="38"/>
      <c r="AB2894" s="38"/>
      <c r="AC2894" s="38"/>
      <c r="AD2894" s="38"/>
      <c r="AE2894" s="38"/>
      <c r="AF2894" s="38"/>
      <c r="AG2894" s="38"/>
      <c r="AH2894" s="38"/>
    </row>
    <row r="2895" spans="3:34" ht="20.100000000000001" customHeight="1">
      <c r="C2895" s="113"/>
      <c r="D2895" s="114"/>
      <c r="P2895" s="82"/>
      <c r="Q2895" s="82"/>
      <c r="R2895" s="38"/>
      <c r="S2895" s="38"/>
      <c r="T2895" s="38"/>
      <c r="U2895" s="38"/>
      <c r="V2895" s="38"/>
      <c r="W2895" s="38"/>
      <c r="X2895" s="38"/>
      <c r="Y2895" s="38"/>
      <c r="Z2895" s="38"/>
      <c r="AA2895" s="38"/>
      <c r="AB2895" s="38"/>
      <c r="AC2895" s="38"/>
      <c r="AD2895" s="38"/>
      <c r="AE2895" s="38"/>
      <c r="AF2895" s="38"/>
      <c r="AG2895" s="38"/>
      <c r="AH2895" s="38"/>
    </row>
    <row r="2896" spans="3:34" ht="20.100000000000001" customHeight="1">
      <c r="C2896" s="113"/>
      <c r="D2896" s="114"/>
      <c r="P2896" s="82"/>
      <c r="Q2896" s="82"/>
      <c r="R2896" s="38"/>
      <c r="S2896" s="38"/>
      <c r="T2896" s="38"/>
      <c r="U2896" s="38"/>
      <c r="V2896" s="38"/>
      <c r="W2896" s="38"/>
      <c r="X2896" s="38"/>
      <c r="Y2896" s="38"/>
      <c r="Z2896" s="38"/>
      <c r="AA2896" s="38"/>
      <c r="AB2896" s="38"/>
      <c r="AC2896" s="38"/>
      <c r="AD2896" s="38"/>
      <c r="AE2896" s="38"/>
      <c r="AF2896" s="38"/>
      <c r="AG2896" s="38"/>
      <c r="AH2896" s="38"/>
    </row>
    <row r="2897" spans="3:34" ht="20.100000000000001" customHeight="1">
      <c r="C2897" s="113"/>
      <c r="D2897" s="114"/>
      <c r="P2897" s="82"/>
      <c r="Q2897" s="82"/>
      <c r="R2897" s="38"/>
      <c r="S2897" s="38"/>
      <c r="T2897" s="38"/>
      <c r="U2897" s="38"/>
      <c r="V2897" s="38"/>
      <c r="W2897" s="38"/>
      <c r="X2897" s="38"/>
      <c r="Y2897" s="38"/>
      <c r="Z2897" s="38"/>
      <c r="AA2897" s="38"/>
      <c r="AB2897" s="38"/>
      <c r="AC2897" s="38"/>
      <c r="AD2897" s="38"/>
      <c r="AE2897" s="38"/>
      <c r="AF2897" s="38"/>
      <c r="AG2897" s="38"/>
      <c r="AH2897" s="38"/>
    </row>
    <row r="2898" spans="3:34" ht="20.100000000000001" customHeight="1">
      <c r="C2898" s="113"/>
      <c r="D2898" s="114"/>
      <c r="P2898" s="82"/>
      <c r="Q2898" s="82"/>
      <c r="R2898" s="38"/>
      <c r="S2898" s="38"/>
      <c r="T2898" s="38"/>
      <c r="U2898" s="38"/>
      <c r="V2898" s="38"/>
      <c r="W2898" s="38"/>
      <c r="X2898" s="38"/>
      <c r="Y2898" s="38"/>
      <c r="Z2898" s="38"/>
      <c r="AA2898" s="38"/>
      <c r="AB2898" s="38"/>
      <c r="AC2898" s="38"/>
      <c r="AD2898" s="38"/>
      <c r="AE2898" s="38"/>
      <c r="AF2898" s="38"/>
      <c r="AG2898" s="38"/>
      <c r="AH2898" s="38"/>
    </row>
    <row r="2899" spans="3:34" ht="20.100000000000001" customHeight="1">
      <c r="C2899" s="113"/>
      <c r="D2899" s="114"/>
      <c r="P2899" s="82"/>
      <c r="Q2899" s="82"/>
      <c r="R2899" s="38"/>
      <c r="S2899" s="38"/>
      <c r="T2899" s="38"/>
      <c r="U2899" s="38"/>
      <c r="V2899" s="38"/>
      <c r="W2899" s="38"/>
      <c r="X2899" s="38"/>
      <c r="Y2899" s="38"/>
      <c r="Z2899" s="38"/>
      <c r="AA2899" s="38"/>
      <c r="AB2899" s="38"/>
      <c r="AC2899" s="38"/>
      <c r="AD2899" s="38"/>
      <c r="AE2899" s="38"/>
      <c r="AF2899" s="38"/>
      <c r="AG2899" s="38"/>
      <c r="AH2899" s="38"/>
    </row>
    <row r="2900" spans="3:34" ht="20.100000000000001" customHeight="1">
      <c r="C2900" s="113"/>
      <c r="D2900" s="114"/>
      <c r="P2900" s="82"/>
      <c r="Q2900" s="82"/>
      <c r="R2900" s="38"/>
      <c r="S2900" s="38"/>
      <c r="T2900" s="38"/>
      <c r="U2900" s="38"/>
      <c r="V2900" s="38"/>
      <c r="W2900" s="38"/>
      <c r="X2900" s="38"/>
      <c r="Y2900" s="38"/>
      <c r="Z2900" s="38"/>
      <c r="AA2900" s="38"/>
      <c r="AB2900" s="38"/>
      <c r="AC2900" s="38"/>
      <c r="AD2900" s="38"/>
      <c r="AE2900" s="38"/>
      <c r="AF2900" s="38"/>
      <c r="AG2900" s="38"/>
      <c r="AH2900" s="38"/>
    </row>
    <row r="2901" spans="3:34" ht="20.100000000000001" customHeight="1">
      <c r="C2901" s="113"/>
      <c r="D2901" s="114"/>
      <c r="P2901" s="82"/>
      <c r="Q2901" s="82"/>
      <c r="R2901" s="38"/>
      <c r="S2901" s="38"/>
      <c r="T2901" s="38"/>
      <c r="U2901" s="38"/>
      <c r="V2901" s="38"/>
      <c r="W2901" s="38"/>
      <c r="X2901" s="38"/>
      <c r="Y2901" s="38"/>
      <c r="Z2901" s="38"/>
      <c r="AA2901" s="38"/>
      <c r="AB2901" s="38"/>
      <c r="AC2901" s="38"/>
      <c r="AD2901" s="38"/>
      <c r="AE2901" s="38"/>
      <c r="AF2901" s="38"/>
      <c r="AG2901" s="38"/>
      <c r="AH2901" s="38"/>
    </row>
    <row r="2902" spans="3:34" ht="20.100000000000001" customHeight="1">
      <c r="C2902" s="113"/>
      <c r="D2902" s="114"/>
      <c r="P2902" s="82"/>
      <c r="Q2902" s="82"/>
      <c r="R2902" s="38"/>
      <c r="S2902" s="38"/>
      <c r="T2902" s="38"/>
      <c r="U2902" s="38"/>
      <c r="V2902" s="38"/>
      <c r="W2902" s="38"/>
      <c r="X2902" s="38"/>
      <c r="Y2902" s="38"/>
      <c r="Z2902" s="38"/>
      <c r="AA2902" s="38"/>
      <c r="AB2902" s="38"/>
      <c r="AC2902" s="38"/>
      <c r="AD2902" s="38"/>
      <c r="AE2902" s="38"/>
      <c r="AF2902" s="38"/>
      <c r="AG2902" s="38"/>
      <c r="AH2902" s="38"/>
    </row>
    <row r="2903" spans="3:34" ht="20.100000000000001" customHeight="1">
      <c r="C2903" s="113"/>
      <c r="D2903" s="114"/>
      <c r="P2903" s="82"/>
      <c r="Q2903" s="82"/>
      <c r="R2903" s="38"/>
      <c r="S2903" s="38"/>
      <c r="T2903" s="38"/>
      <c r="U2903" s="38"/>
      <c r="V2903" s="38"/>
      <c r="W2903" s="38"/>
      <c r="X2903" s="38"/>
      <c r="Y2903" s="38"/>
      <c r="Z2903" s="38"/>
      <c r="AA2903" s="38"/>
      <c r="AB2903" s="38"/>
      <c r="AC2903" s="38"/>
      <c r="AD2903" s="38"/>
      <c r="AE2903" s="38"/>
      <c r="AF2903" s="38"/>
      <c r="AG2903" s="38"/>
      <c r="AH2903" s="38"/>
    </row>
    <row r="2904" spans="3:34" ht="20.100000000000001" customHeight="1">
      <c r="C2904" s="113"/>
      <c r="D2904" s="114"/>
      <c r="P2904" s="82"/>
      <c r="Q2904" s="82"/>
      <c r="R2904" s="38"/>
      <c r="S2904" s="38"/>
      <c r="T2904" s="38"/>
      <c r="U2904" s="38"/>
      <c r="V2904" s="38"/>
      <c r="W2904" s="38"/>
      <c r="X2904" s="38"/>
      <c r="Y2904" s="38"/>
      <c r="Z2904" s="38"/>
      <c r="AA2904" s="38"/>
      <c r="AB2904" s="38"/>
      <c r="AC2904" s="38"/>
      <c r="AD2904" s="38"/>
      <c r="AE2904" s="38"/>
      <c r="AF2904" s="38"/>
      <c r="AG2904" s="38"/>
      <c r="AH2904" s="38"/>
    </row>
    <row r="2905" spans="3:34" ht="20.100000000000001" customHeight="1">
      <c r="C2905" s="113"/>
      <c r="D2905" s="114"/>
      <c r="P2905" s="82"/>
      <c r="Q2905" s="82"/>
      <c r="R2905" s="38"/>
      <c r="S2905" s="38"/>
      <c r="T2905" s="38"/>
      <c r="U2905" s="38"/>
      <c r="V2905" s="38"/>
      <c r="W2905" s="38"/>
      <c r="X2905" s="38"/>
      <c r="Y2905" s="38"/>
      <c r="Z2905" s="38"/>
      <c r="AA2905" s="38"/>
      <c r="AB2905" s="38"/>
      <c r="AC2905" s="38"/>
      <c r="AD2905" s="38"/>
      <c r="AE2905" s="38"/>
      <c r="AF2905" s="38"/>
      <c r="AG2905" s="38"/>
      <c r="AH2905" s="38"/>
    </row>
    <row r="2906" spans="3:34" ht="20.100000000000001" customHeight="1">
      <c r="C2906" s="113"/>
      <c r="D2906" s="114"/>
      <c r="P2906" s="82"/>
      <c r="Q2906" s="82"/>
      <c r="R2906" s="38"/>
      <c r="S2906" s="38"/>
      <c r="T2906" s="38"/>
      <c r="U2906" s="38"/>
      <c r="V2906" s="38"/>
      <c r="W2906" s="38"/>
      <c r="X2906" s="38"/>
      <c r="Y2906" s="38"/>
      <c r="Z2906" s="38"/>
      <c r="AA2906" s="38"/>
      <c r="AB2906" s="38"/>
      <c r="AC2906" s="38"/>
      <c r="AD2906" s="38"/>
      <c r="AE2906" s="38"/>
      <c r="AF2906" s="38"/>
      <c r="AG2906" s="38"/>
      <c r="AH2906" s="38"/>
    </row>
    <row r="2907" spans="3:34" ht="20.100000000000001" customHeight="1">
      <c r="C2907" s="113"/>
      <c r="D2907" s="114"/>
      <c r="P2907" s="82"/>
      <c r="Q2907" s="82"/>
      <c r="R2907" s="38"/>
      <c r="S2907" s="38"/>
      <c r="T2907" s="38"/>
      <c r="U2907" s="38"/>
      <c r="V2907" s="38"/>
      <c r="W2907" s="38"/>
      <c r="X2907" s="38"/>
      <c r="Y2907" s="38"/>
      <c r="Z2907" s="38"/>
      <c r="AA2907" s="38"/>
      <c r="AB2907" s="38"/>
      <c r="AC2907" s="38"/>
      <c r="AD2907" s="38"/>
      <c r="AE2907" s="38"/>
      <c r="AF2907" s="38"/>
      <c r="AG2907" s="38"/>
      <c r="AH2907" s="38"/>
    </row>
    <row r="2908" spans="3:34" ht="20.100000000000001" customHeight="1">
      <c r="C2908" s="113"/>
      <c r="D2908" s="114"/>
      <c r="P2908" s="82"/>
      <c r="Q2908" s="82"/>
      <c r="R2908" s="38"/>
      <c r="S2908" s="38"/>
      <c r="T2908" s="38"/>
      <c r="U2908" s="38"/>
      <c r="V2908" s="38"/>
      <c r="W2908" s="38"/>
      <c r="X2908" s="38"/>
      <c r="Y2908" s="38"/>
      <c r="Z2908" s="38"/>
      <c r="AA2908" s="38"/>
      <c r="AB2908" s="38"/>
      <c r="AC2908" s="38"/>
      <c r="AD2908" s="38"/>
      <c r="AE2908" s="38"/>
      <c r="AF2908" s="38"/>
      <c r="AG2908" s="38"/>
      <c r="AH2908" s="38"/>
    </row>
    <row r="2909" spans="3:34" ht="20.100000000000001" customHeight="1">
      <c r="C2909" s="113"/>
      <c r="D2909" s="114"/>
      <c r="P2909" s="82"/>
      <c r="Q2909" s="82"/>
      <c r="R2909" s="38"/>
      <c r="S2909" s="38"/>
      <c r="T2909" s="38"/>
      <c r="U2909" s="38"/>
      <c r="V2909" s="38"/>
      <c r="W2909" s="38"/>
      <c r="X2909" s="38"/>
      <c r="Y2909" s="38"/>
      <c r="Z2909" s="38"/>
      <c r="AA2909" s="38"/>
      <c r="AB2909" s="38"/>
      <c r="AC2909" s="38"/>
      <c r="AD2909" s="38"/>
      <c r="AE2909" s="38"/>
      <c r="AF2909" s="38"/>
      <c r="AG2909" s="38"/>
      <c r="AH2909" s="38"/>
    </row>
    <row r="2910" spans="3:34" ht="20.100000000000001" customHeight="1">
      <c r="C2910" s="113"/>
      <c r="D2910" s="114"/>
      <c r="P2910" s="82"/>
      <c r="Q2910" s="82"/>
      <c r="R2910" s="38"/>
      <c r="S2910" s="38"/>
      <c r="T2910" s="38"/>
      <c r="U2910" s="38"/>
      <c r="V2910" s="38"/>
      <c r="W2910" s="38"/>
      <c r="X2910" s="38"/>
      <c r="Y2910" s="38"/>
      <c r="Z2910" s="38"/>
      <c r="AA2910" s="38"/>
      <c r="AB2910" s="38"/>
      <c r="AC2910" s="38"/>
      <c r="AD2910" s="38"/>
      <c r="AE2910" s="38"/>
      <c r="AF2910" s="38"/>
      <c r="AG2910" s="38"/>
      <c r="AH2910" s="38"/>
    </row>
    <row r="2911" spans="3:34" ht="20.100000000000001" customHeight="1">
      <c r="C2911" s="113"/>
      <c r="D2911" s="114"/>
      <c r="P2911" s="82"/>
      <c r="Q2911" s="82"/>
      <c r="R2911" s="38"/>
      <c r="S2911" s="38"/>
      <c r="T2911" s="38"/>
      <c r="U2911" s="38"/>
      <c r="V2911" s="38"/>
      <c r="W2911" s="38"/>
      <c r="X2911" s="38"/>
      <c r="Y2911" s="38"/>
      <c r="Z2911" s="38"/>
      <c r="AA2911" s="38"/>
      <c r="AB2911" s="38"/>
      <c r="AC2911" s="38"/>
      <c r="AD2911" s="38"/>
      <c r="AE2911" s="38"/>
      <c r="AF2911" s="38"/>
      <c r="AG2911" s="38"/>
      <c r="AH2911" s="38"/>
    </row>
    <row r="2912" spans="3:34" ht="20.100000000000001" customHeight="1">
      <c r="C2912" s="113"/>
      <c r="D2912" s="114"/>
      <c r="P2912" s="82"/>
      <c r="Q2912" s="82"/>
      <c r="R2912" s="38"/>
      <c r="S2912" s="38"/>
      <c r="T2912" s="38"/>
      <c r="U2912" s="38"/>
      <c r="V2912" s="38"/>
      <c r="W2912" s="38"/>
      <c r="X2912" s="38"/>
      <c r="Y2912" s="38"/>
      <c r="Z2912" s="38"/>
      <c r="AA2912" s="38"/>
      <c r="AB2912" s="38"/>
      <c r="AC2912" s="38"/>
      <c r="AD2912" s="38"/>
      <c r="AE2912" s="38"/>
      <c r="AF2912" s="38"/>
      <c r="AG2912" s="38"/>
      <c r="AH2912" s="38"/>
    </row>
    <row r="2913" spans="3:34" ht="20.100000000000001" customHeight="1">
      <c r="C2913" s="113"/>
      <c r="D2913" s="114"/>
      <c r="P2913" s="82"/>
      <c r="Q2913" s="82"/>
      <c r="R2913" s="38"/>
      <c r="S2913" s="38"/>
      <c r="T2913" s="38"/>
      <c r="U2913" s="38"/>
      <c r="V2913" s="38"/>
      <c r="W2913" s="38"/>
      <c r="X2913" s="38"/>
      <c r="Y2913" s="38"/>
      <c r="Z2913" s="38"/>
      <c r="AA2913" s="38"/>
      <c r="AB2913" s="38"/>
      <c r="AC2913" s="38"/>
      <c r="AD2913" s="38"/>
      <c r="AE2913" s="38"/>
      <c r="AF2913" s="38"/>
      <c r="AG2913" s="38"/>
      <c r="AH2913" s="38"/>
    </row>
    <row r="2914" spans="3:34" ht="20.100000000000001" customHeight="1">
      <c r="C2914" s="113"/>
      <c r="D2914" s="114"/>
      <c r="P2914" s="82"/>
      <c r="Q2914" s="82"/>
      <c r="R2914" s="38"/>
      <c r="S2914" s="38"/>
      <c r="T2914" s="38"/>
      <c r="U2914" s="38"/>
      <c r="V2914" s="38"/>
      <c r="W2914" s="38"/>
      <c r="X2914" s="38"/>
      <c r="Y2914" s="38"/>
      <c r="Z2914" s="38"/>
      <c r="AA2914" s="38"/>
      <c r="AB2914" s="38"/>
      <c r="AC2914" s="38"/>
      <c r="AD2914" s="38"/>
      <c r="AE2914" s="38"/>
      <c r="AF2914" s="38"/>
      <c r="AG2914" s="38"/>
      <c r="AH2914" s="38"/>
    </row>
    <row r="2915" spans="3:34" ht="20.100000000000001" customHeight="1">
      <c r="C2915" s="113"/>
      <c r="D2915" s="114"/>
      <c r="P2915" s="82"/>
      <c r="Q2915" s="82"/>
      <c r="R2915" s="38"/>
      <c r="S2915" s="38"/>
      <c r="T2915" s="38"/>
      <c r="U2915" s="38"/>
      <c r="V2915" s="38"/>
      <c r="W2915" s="38"/>
      <c r="X2915" s="38"/>
      <c r="Y2915" s="38"/>
      <c r="Z2915" s="38"/>
      <c r="AA2915" s="38"/>
      <c r="AB2915" s="38"/>
      <c r="AC2915" s="38"/>
      <c r="AD2915" s="38"/>
      <c r="AE2915" s="38"/>
      <c r="AF2915" s="38"/>
      <c r="AG2915" s="38"/>
      <c r="AH2915" s="38"/>
    </row>
    <row r="2916" spans="3:34" ht="20.100000000000001" customHeight="1">
      <c r="C2916" s="113"/>
      <c r="D2916" s="114"/>
      <c r="P2916" s="82"/>
      <c r="Q2916" s="82"/>
      <c r="R2916" s="38"/>
      <c r="S2916" s="38"/>
      <c r="T2916" s="38"/>
      <c r="U2916" s="38"/>
      <c r="V2916" s="38"/>
      <c r="W2916" s="38"/>
      <c r="X2916" s="38"/>
      <c r="Y2916" s="38"/>
      <c r="Z2916" s="38"/>
      <c r="AA2916" s="38"/>
      <c r="AB2916" s="38"/>
      <c r="AC2916" s="38"/>
      <c r="AD2916" s="38"/>
      <c r="AE2916" s="38"/>
      <c r="AF2916" s="38"/>
      <c r="AG2916" s="38"/>
      <c r="AH2916" s="38"/>
    </row>
    <row r="2917" spans="3:34" ht="20.100000000000001" customHeight="1">
      <c r="C2917" s="113"/>
      <c r="D2917" s="114"/>
      <c r="P2917" s="82"/>
      <c r="Q2917" s="82"/>
      <c r="R2917" s="38"/>
      <c r="S2917" s="38"/>
      <c r="T2917" s="38"/>
      <c r="U2917" s="38"/>
      <c r="V2917" s="38"/>
      <c r="W2917" s="38"/>
      <c r="X2917" s="38"/>
      <c r="Y2917" s="38"/>
      <c r="Z2917" s="38"/>
      <c r="AA2917" s="38"/>
      <c r="AB2917" s="38"/>
      <c r="AC2917" s="38"/>
      <c r="AD2917" s="38"/>
      <c r="AE2917" s="38"/>
      <c r="AF2917" s="38"/>
      <c r="AG2917" s="38"/>
      <c r="AH2917" s="38"/>
    </row>
    <row r="2918" spans="3:34" ht="20.100000000000001" customHeight="1">
      <c r="C2918" s="113"/>
      <c r="D2918" s="114"/>
      <c r="P2918" s="82"/>
      <c r="Q2918" s="82"/>
      <c r="R2918" s="38"/>
      <c r="S2918" s="38"/>
      <c r="T2918" s="38"/>
      <c r="U2918" s="38"/>
      <c r="V2918" s="38"/>
      <c r="W2918" s="38"/>
      <c r="X2918" s="38"/>
      <c r="Y2918" s="38"/>
      <c r="Z2918" s="38"/>
      <c r="AA2918" s="38"/>
      <c r="AB2918" s="38"/>
      <c r="AC2918" s="38"/>
      <c r="AD2918" s="38"/>
      <c r="AE2918" s="38"/>
      <c r="AF2918" s="38"/>
      <c r="AG2918" s="38"/>
      <c r="AH2918" s="38"/>
    </row>
    <row r="2919" spans="3:34" ht="20.100000000000001" customHeight="1">
      <c r="C2919" s="113"/>
      <c r="D2919" s="114"/>
      <c r="P2919" s="82"/>
      <c r="Q2919" s="82"/>
      <c r="R2919" s="38"/>
      <c r="S2919" s="38"/>
      <c r="T2919" s="38"/>
      <c r="U2919" s="38"/>
      <c r="V2919" s="38"/>
      <c r="W2919" s="38"/>
      <c r="X2919" s="38"/>
      <c r="Y2919" s="38"/>
      <c r="Z2919" s="38"/>
      <c r="AA2919" s="38"/>
      <c r="AB2919" s="38"/>
      <c r="AC2919" s="38"/>
      <c r="AD2919" s="38"/>
      <c r="AE2919" s="38"/>
      <c r="AF2919" s="38"/>
      <c r="AG2919" s="38"/>
      <c r="AH2919" s="38"/>
    </row>
    <row r="2920" spans="3:34" ht="20.100000000000001" customHeight="1">
      <c r="C2920" s="113"/>
      <c r="D2920" s="114"/>
      <c r="P2920" s="82"/>
      <c r="Q2920" s="82"/>
      <c r="R2920" s="38"/>
      <c r="S2920" s="38"/>
      <c r="T2920" s="38"/>
      <c r="U2920" s="38"/>
      <c r="V2920" s="38"/>
      <c r="W2920" s="38"/>
      <c r="X2920" s="38"/>
      <c r="Y2920" s="38"/>
      <c r="Z2920" s="38"/>
      <c r="AA2920" s="38"/>
      <c r="AB2920" s="38"/>
      <c r="AC2920" s="38"/>
      <c r="AD2920" s="38"/>
      <c r="AE2920" s="38"/>
      <c r="AF2920" s="38"/>
      <c r="AG2920" s="38"/>
      <c r="AH2920" s="38"/>
    </row>
    <row r="2921" spans="3:34" ht="20.100000000000001" customHeight="1">
      <c r="C2921" s="113"/>
      <c r="D2921" s="114"/>
      <c r="P2921" s="82"/>
      <c r="Q2921" s="82"/>
      <c r="R2921" s="38"/>
      <c r="S2921" s="38"/>
      <c r="T2921" s="38"/>
      <c r="U2921" s="38"/>
      <c r="V2921" s="38"/>
      <c r="W2921" s="38"/>
      <c r="X2921" s="38"/>
      <c r="Y2921" s="38"/>
      <c r="Z2921" s="38"/>
      <c r="AA2921" s="38"/>
      <c r="AB2921" s="38"/>
      <c r="AC2921" s="38"/>
      <c r="AD2921" s="38"/>
      <c r="AE2921" s="38"/>
      <c r="AF2921" s="38"/>
      <c r="AG2921" s="38"/>
      <c r="AH2921" s="38"/>
    </row>
    <row r="2922" spans="3:34" ht="20.100000000000001" customHeight="1">
      <c r="C2922" s="113"/>
      <c r="D2922" s="114"/>
      <c r="P2922" s="82"/>
      <c r="Q2922" s="82"/>
      <c r="R2922" s="38"/>
      <c r="S2922" s="38"/>
      <c r="T2922" s="38"/>
      <c r="U2922" s="38"/>
      <c r="V2922" s="38"/>
      <c r="W2922" s="38"/>
      <c r="X2922" s="38"/>
      <c r="Y2922" s="38"/>
      <c r="Z2922" s="38"/>
      <c r="AA2922" s="38"/>
      <c r="AB2922" s="38"/>
      <c r="AC2922" s="38"/>
      <c r="AD2922" s="38"/>
      <c r="AE2922" s="38"/>
      <c r="AF2922" s="38"/>
      <c r="AG2922" s="38"/>
      <c r="AH2922" s="38"/>
    </row>
    <row r="2923" spans="3:34" ht="20.100000000000001" customHeight="1">
      <c r="C2923" s="113"/>
      <c r="D2923" s="114"/>
      <c r="P2923" s="82"/>
      <c r="Q2923" s="82"/>
      <c r="R2923" s="38"/>
      <c r="S2923" s="38"/>
      <c r="T2923" s="38"/>
      <c r="U2923" s="38"/>
      <c r="V2923" s="38"/>
      <c r="W2923" s="38"/>
      <c r="X2923" s="38"/>
      <c r="Y2923" s="38"/>
      <c r="Z2923" s="38"/>
      <c r="AA2923" s="38"/>
      <c r="AB2923" s="38"/>
      <c r="AC2923" s="38"/>
      <c r="AD2923" s="38"/>
      <c r="AE2923" s="38"/>
      <c r="AF2923" s="38"/>
      <c r="AG2923" s="38"/>
      <c r="AH2923" s="38"/>
    </row>
    <row r="2924" spans="3:34" ht="20.100000000000001" customHeight="1">
      <c r="C2924" s="113"/>
      <c r="D2924" s="114"/>
      <c r="P2924" s="82"/>
      <c r="Q2924" s="82"/>
      <c r="R2924" s="38"/>
      <c r="S2924" s="38"/>
      <c r="T2924" s="38"/>
      <c r="U2924" s="38"/>
      <c r="V2924" s="38"/>
      <c r="W2924" s="38"/>
      <c r="X2924" s="38"/>
      <c r="Y2924" s="38"/>
      <c r="Z2924" s="38"/>
      <c r="AA2924" s="38"/>
      <c r="AB2924" s="38"/>
      <c r="AC2924" s="38"/>
      <c r="AD2924" s="38"/>
      <c r="AE2924" s="38"/>
      <c r="AF2924" s="38"/>
      <c r="AG2924" s="38"/>
      <c r="AH2924" s="38"/>
    </row>
    <row r="2925" spans="3:34" ht="20.100000000000001" customHeight="1">
      <c r="C2925" s="113"/>
      <c r="D2925" s="114"/>
      <c r="P2925" s="82"/>
      <c r="Q2925" s="82"/>
      <c r="R2925" s="38"/>
      <c r="S2925" s="38"/>
      <c r="T2925" s="38"/>
      <c r="U2925" s="38"/>
      <c r="V2925" s="38"/>
      <c r="W2925" s="38"/>
      <c r="X2925" s="38"/>
      <c r="Y2925" s="38"/>
      <c r="Z2925" s="38"/>
      <c r="AA2925" s="38"/>
      <c r="AB2925" s="38"/>
      <c r="AC2925" s="38"/>
      <c r="AD2925" s="38"/>
      <c r="AE2925" s="38"/>
      <c r="AF2925" s="38"/>
      <c r="AG2925" s="38"/>
      <c r="AH2925" s="38"/>
    </row>
    <row r="2926" spans="3:34" ht="20.100000000000001" customHeight="1">
      <c r="C2926" s="113"/>
      <c r="D2926" s="114"/>
      <c r="P2926" s="82"/>
      <c r="Q2926" s="82"/>
      <c r="R2926" s="38"/>
      <c r="S2926" s="38"/>
      <c r="T2926" s="38"/>
      <c r="U2926" s="38"/>
      <c r="V2926" s="38"/>
      <c r="W2926" s="38"/>
      <c r="X2926" s="38"/>
      <c r="Y2926" s="38"/>
      <c r="Z2926" s="38"/>
      <c r="AA2926" s="38"/>
      <c r="AB2926" s="38"/>
      <c r="AC2926" s="38"/>
      <c r="AD2926" s="38"/>
      <c r="AE2926" s="38"/>
      <c r="AF2926" s="38"/>
      <c r="AG2926" s="38"/>
      <c r="AH2926" s="38"/>
    </row>
    <row r="2927" spans="3:34" ht="20.100000000000001" customHeight="1">
      <c r="C2927" s="113"/>
      <c r="D2927" s="114"/>
      <c r="P2927" s="82"/>
      <c r="Q2927" s="82"/>
      <c r="R2927" s="38"/>
      <c r="S2927" s="38"/>
      <c r="T2927" s="38"/>
      <c r="U2927" s="38"/>
      <c r="V2927" s="38"/>
      <c r="W2927" s="38"/>
      <c r="X2927" s="38"/>
      <c r="Y2927" s="38"/>
      <c r="Z2927" s="38"/>
      <c r="AA2927" s="38"/>
      <c r="AB2927" s="38"/>
      <c r="AC2927" s="38"/>
      <c r="AD2927" s="38"/>
      <c r="AE2927" s="38"/>
      <c r="AF2927" s="38"/>
      <c r="AG2927" s="38"/>
      <c r="AH2927" s="38"/>
    </row>
    <row r="2928" spans="3:34" ht="20.100000000000001" customHeight="1">
      <c r="C2928" s="113"/>
      <c r="D2928" s="114"/>
      <c r="P2928" s="82"/>
      <c r="Q2928" s="82"/>
      <c r="R2928" s="38"/>
      <c r="S2928" s="38"/>
      <c r="T2928" s="38"/>
      <c r="U2928" s="38"/>
      <c r="V2928" s="38"/>
      <c r="W2928" s="38"/>
      <c r="X2928" s="38"/>
      <c r="Y2928" s="38"/>
      <c r="Z2928" s="38"/>
      <c r="AA2928" s="38"/>
      <c r="AB2928" s="38"/>
      <c r="AC2928" s="38"/>
      <c r="AD2928" s="38"/>
      <c r="AE2928" s="38"/>
      <c r="AF2928" s="38"/>
      <c r="AG2928" s="38"/>
      <c r="AH2928" s="38"/>
    </row>
    <row r="2929" spans="3:34" ht="20.100000000000001" customHeight="1">
      <c r="C2929" s="113"/>
      <c r="D2929" s="114"/>
      <c r="P2929" s="82"/>
      <c r="Q2929" s="82"/>
      <c r="R2929" s="38"/>
      <c r="S2929" s="38"/>
      <c r="T2929" s="38"/>
      <c r="U2929" s="38"/>
      <c r="V2929" s="38"/>
      <c r="W2929" s="38"/>
      <c r="X2929" s="38"/>
      <c r="Y2929" s="38"/>
      <c r="Z2929" s="38"/>
      <c r="AA2929" s="38"/>
      <c r="AB2929" s="38"/>
      <c r="AC2929" s="38"/>
      <c r="AD2929" s="38"/>
      <c r="AE2929" s="38"/>
      <c r="AF2929" s="38"/>
      <c r="AG2929" s="38"/>
      <c r="AH2929" s="38"/>
    </row>
    <row r="2930" spans="3:34" ht="20.100000000000001" customHeight="1">
      <c r="C2930" s="113"/>
      <c r="D2930" s="114"/>
      <c r="P2930" s="82"/>
      <c r="Q2930" s="82"/>
      <c r="R2930" s="38"/>
      <c r="S2930" s="38"/>
      <c r="T2930" s="38"/>
      <c r="U2930" s="38"/>
      <c r="V2930" s="38"/>
      <c r="W2930" s="38"/>
      <c r="X2930" s="38"/>
      <c r="Y2930" s="38"/>
      <c r="Z2930" s="38"/>
      <c r="AA2930" s="38"/>
      <c r="AB2930" s="38"/>
      <c r="AC2930" s="38"/>
      <c r="AD2930" s="38"/>
      <c r="AE2930" s="38"/>
      <c r="AF2930" s="38"/>
      <c r="AG2930" s="38"/>
      <c r="AH2930" s="38"/>
    </row>
    <row r="2931" spans="3:34" ht="20.100000000000001" customHeight="1">
      <c r="C2931" s="113"/>
      <c r="D2931" s="114"/>
      <c r="P2931" s="82"/>
      <c r="Q2931" s="82"/>
      <c r="R2931" s="38"/>
      <c r="S2931" s="38"/>
      <c r="T2931" s="38"/>
      <c r="U2931" s="38"/>
      <c r="V2931" s="38"/>
      <c r="W2931" s="38"/>
      <c r="X2931" s="38"/>
      <c r="Y2931" s="38"/>
      <c r="Z2931" s="38"/>
      <c r="AA2931" s="38"/>
      <c r="AB2931" s="38"/>
      <c r="AC2931" s="38"/>
      <c r="AD2931" s="38"/>
      <c r="AE2931" s="38"/>
      <c r="AF2931" s="38"/>
      <c r="AG2931" s="38"/>
      <c r="AH2931" s="38"/>
    </row>
    <row r="2932" spans="3:34" ht="20.100000000000001" customHeight="1">
      <c r="C2932" s="113"/>
      <c r="D2932" s="114"/>
      <c r="P2932" s="82"/>
      <c r="Q2932" s="82"/>
      <c r="R2932" s="38"/>
      <c r="S2932" s="38"/>
      <c r="T2932" s="38"/>
      <c r="U2932" s="38"/>
      <c r="V2932" s="38"/>
      <c r="W2932" s="38"/>
      <c r="X2932" s="38"/>
      <c r="Y2932" s="38"/>
      <c r="Z2932" s="38"/>
      <c r="AA2932" s="38"/>
      <c r="AB2932" s="38"/>
      <c r="AC2932" s="38"/>
      <c r="AD2932" s="38"/>
      <c r="AE2932" s="38"/>
      <c r="AF2932" s="38"/>
      <c r="AG2932" s="38"/>
      <c r="AH2932" s="38"/>
    </row>
    <row r="2933" spans="3:34" ht="20.100000000000001" customHeight="1">
      <c r="C2933" s="113"/>
      <c r="D2933" s="114"/>
      <c r="P2933" s="82"/>
      <c r="Q2933" s="82"/>
      <c r="R2933" s="38"/>
      <c r="S2933" s="38"/>
      <c r="T2933" s="38"/>
      <c r="U2933" s="38"/>
      <c r="V2933" s="38"/>
      <c r="W2933" s="38"/>
      <c r="X2933" s="38"/>
      <c r="Y2933" s="38"/>
      <c r="Z2933" s="38"/>
      <c r="AA2933" s="38"/>
      <c r="AB2933" s="38"/>
      <c r="AC2933" s="38"/>
      <c r="AD2933" s="38"/>
      <c r="AE2933" s="38"/>
      <c r="AF2933" s="38"/>
      <c r="AG2933" s="38"/>
      <c r="AH2933" s="38"/>
    </row>
    <row r="2934" spans="3:34" ht="20.100000000000001" customHeight="1">
      <c r="C2934" s="113"/>
      <c r="D2934" s="114"/>
      <c r="P2934" s="82"/>
      <c r="Q2934" s="82"/>
      <c r="R2934" s="38"/>
      <c r="S2934" s="38"/>
      <c r="T2934" s="38"/>
      <c r="U2934" s="38"/>
      <c r="V2934" s="38"/>
      <c r="W2934" s="38"/>
      <c r="X2934" s="38"/>
      <c r="Y2934" s="38"/>
      <c r="Z2934" s="38"/>
      <c r="AA2934" s="38"/>
      <c r="AB2934" s="38"/>
      <c r="AC2934" s="38"/>
      <c r="AD2934" s="38"/>
      <c r="AE2934" s="38"/>
      <c r="AF2934" s="38"/>
      <c r="AG2934" s="38"/>
      <c r="AH2934" s="38"/>
    </row>
    <row r="2935" spans="3:34" ht="20.100000000000001" customHeight="1">
      <c r="C2935" s="113"/>
      <c r="D2935" s="114"/>
      <c r="P2935" s="82"/>
      <c r="Q2935" s="82"/>
      <c r="R2935" s="38"/>
      <c r="S2935" s="38"/>
      <c r="T2935" s="38"/>
      <c r="U2935" s="38"/>
      <c r="V2935" s="38"/>
      <c r="W2935" s="38"/>
      <c r="X2935" s="38"/>
      <c r="Y2935" s="38"/>
      <c r="Z2935" s="38"/>
      <c r="AA2935" s="38"/>
      <c r="AB2935" s="38"/>
      <c r="AC2935" s="38"/>
      <c r="AD2935" s="38"/>
      <c r="AE2935" s="38"/>
      <c r="AF2935" s="38"/>
      <c r="AG2935" s="38"/>
      <c r="AH2935" s="38"/>
    </row>
    <row r="2936" spans="3:34" ht="20.100000000000001" customHeight="1">
      <c r="C2936" s="113"/>
      <c r="D2936" s="114"/>
      <c r="P2936" s="82"/>
      <c r="Q2936" s="82"/>
      <c r="R2936" s="38"/>
      <c r="S2936" s="38"/>
      <c r="T2936" s="38"/>
      <c r="U2936" s="38"/>
      <c r="V2936" s="38"/>
      <c r="W2936" s="38"/>
      <c r="X2936" s="38"/>
      <c r="Y2936" s="38"/>
      <c r="Z2936" s="38"/>
      <c r="AA2936" s="38"/>
      <c r="AB2936" s="38"/>
      <c r="AC2936" s="38"/>
      <c r="AD2936" s="38"/>
      <c r="AE2936" s="38"/>
      <c r="AF2936" s="38"/>
      <c r="AG2936" s="38"/>
      <c r="AH2936" s="38"/>
    </row>
    <row r="2937" spans="3:34" ht="20.100000000000001" customHeight="1">
      <c r="C2937" s="113"/>
      <c r="D2937" s="114"/>
      <c r="P2937" s="82"/>
      <c r="Q2937" s="82"/>
      <c r="R2937" s="38"/>
      <c r="S2937" s="38"/>
      <c r="T2937" s="38"/>
      <c r="U2937" s="38"/>
      <c r="V2937" s="38"/>
      <c r="W2937" s="38"/>
      <c r="X2937" s="38"/>
      <c r="Y2937" s="38"/>
      <c r="Z2937" s="38"/>
      <c r="AA2937" s="38"/>
      <c r="AB2937" s="38"/>
      <c r="AC2937" s="38"/>
      <c r="AD2937" s="38"/>
      <c r="AE2937" s="38"/>
      <c r="AF2937" s="38"/>
      <c r="AG2937" s="38"/>
      <c r="AH2937" s="38"/>
    </row>
    <row r="2938" spans="3:34" ht="20.100000000000001" customHeight="1">
      <c r="C2938" s="113"/>
      <c r="D2938" s="114"/>
      <c r="P2938" s="82"/>
      <c r="Q2938" s="82"/>
      <c r="R2938" s="38"/>
      <c r="S2938" s="38"/>
      <c r="T2938" s="38"/>
      <c r="U2938" s="38"/>
      <c r="V2938" s="38"/>
      <c r="W2938" s="38"/>
      <c r="X2938" s="38"/>
      <c r="Y2938" s="38"/>
      <c r="Z2938" s="38"/>
      <c r="AA2938" s="38"/>
      <c r="AB2938" s="38"/>
      <c r="AC2938" s="38"/>
      <c r="AD2938" s="38"/>
      <c r="AE2938" s="38"/>
      <c r="AF2938" s="38"/>
      <c r="AG2938" s="38"/>
      <c r="AH2938" s="38"/>
    </row>
    <row r="2939" spans="3:34" ht="20.100000000000001" customHeight="1">
      <c r="C2939" s="113"/>
      <c r="D2939" s="114"/>
      <c r="P2939" s="82"/>
      <c r="Q2939" s="82"/>
      <c r="R2939" s="38"/>
      <c r="S2939" s="38"/>
      <c r="T2939" s="38"/>
      <c r="U2939" s="38"/>
      <c r="V2939" s="38"/>
      <c r="W2939" s="38"/>
      <c r="X2939" s="38"/>
      <c r="Y2939" s="38"/>
      <c r="Z2939" s="38"/>
      <c r="AA2939" s="38"/>
      <c r="AB2939" s="38"/>
      <c r="AC2939" s="38"/>
      <c r="AD2939" s="38"/>
      <c r="AE2939" s="38"/>
      <c r="AF2939" s="38"/>
      <c r="AG2939" s="38"/>
      <c r="AH2939" s="38"/>
    </row>
    <row r="2940" spans="3:34" ht="20.100000000000001" customHeight="1">
      <c r="C2940" s="113"/>
      <c r="D2940" s="114"/>
      <c r="P2940" s="82"/>
      <c r="Q2940" s="82"/>
      <c r="R2940" s="38"/>
      <c r="S2940" s="38"/>
      <c r="T2940" s="38"/>
      <c r="U2940" s="38"/>
      <c r="V2940" s="38"/>
      <c r="W2940" s="38"/>
      <c r="X2940" s="38"/>
      <c r="Y2940" s="38"/>
      <c r="Z2940" s="38"/>
      <c r="AA2940" s="38"/>
      <c r="AB2940" s="38"/>
      <c r="AC2940" s="38"/>
      <c r="AD2940" s="38"/>
      <c r="AE2940" s="38"/>
      <c r="AF2940" s="38"/>
      <c r="AG2940" s="38"/>
      <c r="AH2940" s="38"/>
    </row>
    <row r="2941" spans="3:34" ht="20.100000000000001" customHeight="1">
      <c r="C2941" s="113"/>
      <c r="D2941" s="114"/>
      <c r="P2941" s="82"/>
      <c r="Q2941" s="82"/>
      <c r="R2941" s="38"/>
      <c r="S2941" s="38"/>
      <c r="T2941" s="38"/>
      <c r="U2941" s="38"/>
      <c r="V2941" s="38"/>
      <c r="W2941" s="38"/>
      <c r="X2941" s="38"/>
      <c r="Y2941" s="38"/>
      <c r="Z2941" s="38"/>
      <c r="AA2941" s="38"/>
      <c r="AB2941" s="38"/>
      <c r="AC2941" s="38"/>
      <c r="AD2941" s="38"/>
      <c r="AE2941" s="38"/>
      <c r="AF2941" s="38"/>
      <c r="AG2941" s="38"/>
      <c r="AH2941" s="38"/>
    </row>
    <row r="2942" spans="3:34" ht="20.100000000000001" customHeight="1">
      <c r="C2942" s="113"/>
      <c r="D2942" s="114"/>
      <c r="P2942" s="82"/>
      <c r="Q2942" s="82"/>
      <c r="R2942" s="38"/>
      <c r="S2942" s="38"/>
      <c r="T2942" s="38"/>
      <c r="U2942" s="38"/>
      <c r="V2942" s="38"/>
      <c r="W2942" s="38"/>
      <c r="X2942" s="38"/>
      <c r="Y2942" s="38"/>
      <c r="Z2942" s="38"/>
      <c r="AA2942" s="38"/>
      <c r="AB2942" s="38"/>
      <c r="AC2942" s="38"/>
      <c r="AD2942" s="38"/>
      <c r="AE2942" s="38"/>
      <c r="AF2942" s="38"/>
      <c r="AG2942" s="38"/>
      <c r="AH2942" s="38"/>
    </row>
    <row r="2943" spans="3:34" ht="20.100000000000001" customHeight="1">
      <c r="C2943" s="113"/>
      <c r="D2943" s="114"/>
      <c r="P2943" s="82"/>
      <c r="Q2943" s="82"/>
      <c r="R2943" s="38"/>
      <c r="S2943" s="38"/>
      <c r="T2943" s="38"/>
      <c r="U2943" s="38"/>
      <c r="V2943" s="38"/>
      <c r="W2943" s="38"/>
      <c r="X2943" s="38"/>
      <c r="Y2943" s="38"/>
      <c r="Z2943" s="38"/>
      <c r="AA2943" s="38"/>
      <c r="AB2943" s="38"/>
      <c r="AC2943" s="38"/>
      <c r="AD2943" s="38"/>
      <c r="AE2943" s="38"/>
      <c r="AF2943" s="38"/>
      <c r="AG2943" s="38"/>
      <c r="AH2943" s="38"/>
    </row>
    <row r="2944" spans="3:34" ht="20.100000000000001" customHeight="1">
      <c r="C2944" s="113"/>
      <c r="D2944" s="114"/>
      <c r="P2944" s="82"/>
      <c r="Q2944" s="82"/>
      <c r="R2944" s="38"/>
      <c r="S2944" s="38"/>
      <c r="T2944" s="38"/>
      <c r="U2944" s="38"/>
      <c r="V2944" s="38"/>
      <c r="W2944" s="38"/>
      <c r="X2944" s="38"/>
      <c r="Y2944" s="38"/>
      <c r="Z2944" s="38"/>
      <c r="AA2944" s="38"/>
      <c r="AB2944" s="38"/>
      <c r="AC2944" s="38"/>
      <c r="AD2944" s="38"/>
      <c r="AE2944" s="38"/>
      <c r="AF2944" s="38"/>
      <c r="AG2944" s="38"/>
      <c r="AH2944" s="38"/>
    </row>
    <row r="2945" spans="3:34" ht="20.100000000000001" customHeight="1">
      <c r="C2945" s="113"/>
      <c r="D2945" s="114"/>
      <c r="P2945" s="82"/>
      <c r="Q2945" s="82"/>
      <c r="R2945" s="38"/>
      <c r="S2945" s="38"/>
      <c r="T2945" s="38"/>
      <c r="U2945" s="38"/>
      <c r="V2945" s="38"/>
      <c r="W2945" s="38"/>
      <c r="X2945" s="38"/>
      <c r="Y2945" s="38"/>
      <c r="Z2945" s="38"/>
      <c r="AA2945" s="38"/>
      <c r="AB2945" s="38"/>
      <c r="AC2945" s="38"/>
      <c r="AD2945" s="38"/>
      <c r="AE2945" s="38"/>
      <c r="AF2945" s="38"/>
      <c r="AG2945" s="38"/>
      <c r="AH2945" s="38"/>
    </row>
    <row r="2946" spans="3:34" ht="20.100000000000001" customHeight="1">
      <c r="C2946" s="113"/>
      <c r="D2946" s="114"/>
      <c r="P2946" s="82"/>
      <c r="Q2946" s="82"/>
      <c r="R2946" s="38"/>
      <c r="S2946" s="38"/>
      <c r="T2946" s="38"/>
      <c r="U2946" s="38"/>
      <c r="V2946" s="38"/>
      <c r="W2946" s="38"/>
      <c r="X2946" s="38"/>
      <c r="Y2946" s="38"/>
      <c r="Z2946" s="38"/>
      <c r="AA2946" s="38"/>
      <c r="AB2946" s="38"/>
      <c r="AC2946" s="38"/>
      <c r="AD2946" s="38"/>
      <c r="AE2946" s="38"/>
      <c r="AF2946" s="38"/>
      <c r="AG2946" s="38"/>
      <c r="AH2946" s="38"/>
    </row>
    <row r="2947" spans="3:34" ht="20.100000000000001" customHeight="1">
      <c r="C2947" s="113"/>
      <c r="D2947" s="114"/>
      <c r="P2947" s="82"/>
      <c r="Q2947" s="82"/>
      <c r="R2947" s="38"/>
      <c r="S2947" s="38"/>
      <c r="T2947" s="38"/>
      <c r="U2947" s="38"/>
      <c r="V2947" s="38"/>
      <c r="W2947" s="38"/>
      <c r="X2947" s="38"/>
      <c r="Y2947" s="38"/>
      <c r="Z2947" s="38"/>
      <c r="AA2947" s="38"/>
      <c r="AB2947" s="38"/>
      <c r="AC2947" s="38"/>
      <c r="AD2947" s="38"/>
      <c r="AE2947" s="38"/>
      <c r="AF2947" s="38"/>
      <c r="AG2947" s="38"/>
      <c r="AH2947" s="38"/>
    </row>
    <row r="2948" spans="3:34" ht="20.100000000000001" customHeight="1">
      <c r="C2948" s="113"/>
      <c r="D2948" s="114"/>
      <c r="P2948" s="82"/>
      <c r="Q2948" s="82"/>
      <c r="R2948" s="38"/>
      <c r="S2948" s="38"/>
      <c r="T2948" s="38"/>
      <c r="U2948" s="38"/>
      <c r="V2948" s="38"/>
      <c r="W2948" s="38"/>
      <c r="X2948" s="38"/>
      <c r="Y2948" s="38"/>
      <c r="Z2948" s="38"/>
      <c r="AA2948" s="38"/>
      <c r="AB2948" s="38"/>
      <c r="AC2948" s="38"/>
      <c r="AD2948" s="38"/>
      <c r="AE2948" s="38"/>
      <c r="AF2948" s="38"/>
      <c r="AG2948" s="38"/>
      <c r="AH2948" s="38"/>
    </row>
    <row r="2949" spans="3:34" ht="20.100000000000001" customHeight="1">
      <c r="C2949" s="113"/>
      <c r="D2949" s="114"/>
      <c r="P2949" s="82"/>
      <c r="Q2949" s="82"/>
      <c r="R2949" s="38"/>
      <c r="S2949" s="38"/>
      <c r="T2949" s="38"/>
      <c r="U2949" s="38"/>
      <c r="V2949" s="38"/>
      <c r="W2949" s="38"/>
      <c r="X2949" s="38"/>
      <c r="Y2949" s="38"/>
      <c r="Z2949" s="38"/>
      <c r="AA2949" s="38"/>
      <c r="AB2949" s="38"/>
      <c r="AC2949" s="38"/>
      <c r="AD2949" s="38"/>
      <c r="AE2949" s="38"/>
      <c r="AF2949" s="38"/>
      <c r="AG2949" s="38"/>
      <c r="AH2949" s="38"/>
    </row>
    <row r="2950" spans="3:34" ht="20.100000000000001" customHeight="1">
      <c r="C2950" s="113"/>
      <c r="D2950" s="114"/>
      <c r="P2950" s="82"/>
      <c r="Q2950" s="82"/>
      <c r="R2950" s="38"/>
      <c r="S2950" s="38"/>
      <c r="T2950" s="38"/>
      <c r="U2950" s="38"/>
      <c r="V2950" s="38"/>
      <c r="W2950" s="38"/>
      <c r="X2950" s="38"/>
      <c r="Y2950" s="38"/>
      <c r="Z2950" s="38"/>
      <c r="AA2950" s="38"/>
      <c r="AB2950" s="38"/>
      <c r="AC2950" s="38"/>
      <c r="AD2950" s="38"/>
      <c r="AE2950" s="38"/>
      <c r="AF2950" s="38"/>
      <c r="AG2950" s="38"/>
      <c r="AH2950" s="38"/>
    </row>
    <row r="2951" spans="3:34" ht="20.100000000000001" customHeight="1">
      <c r="C2951" s="113"/>
      <c r="D2951" s="114"/>
      <c r="P2951" s="82"/>
      <c r="Q2951" s="82"/>
      <c r="R2951" s="38"/>
      <c r="S2951" s="38"/>
      <c r="T2951" s="38"/>
      <c r="U2951" s="38"/>
      <c r="V2951" s="38"/>
      <c r="W2951" s="38"/>
      <c r="X2951" s="38"/>
      <c r="Y2951" s="38"/>
      <c r="Z2951" s="38"/>
      <c r="AA2951" s="38"/>
      <c r="AB2951" s="38"/>
      <c r="AC2951" s="38"/>
      <c r="AD2951" s="38"/>
      <c r="AE2951" s="38"/>
      <c r="AF2951" s="38"/>
      <c r="AG2951" s="38"/>
      <c r="AH2951" s="38"/>
    </row>
    <row r="2952" spans="3:34" ht="20.100000000000001" customHeight="1">
      <c r="C2952" s="113"/>
      <c r="D2952" s="114"/>
      <c r="P2952" s="82"/>
      <c r="Q2952" s="82"/>
      <c r="R2952" s="38"/>
      <c r="S2952" s="38"/>
      <c r="T2952" s="38"/>
      <c r="U2952" s="38"/>
      <c r="V2952" s="38"/>
      <c r="W2952" s="38"/>
      <c r="X2952" s="38"/>
      <c r="Y2952" s="38"/>
      <c r="Z2952" s="38"/>
      <c r="AA2952" s="38"/>
      <c r="AB2952" s="38"/>
      <c r="AC2952" s="38"/>
      <c r="AD2952" s="38"/>
      <c r="AE2952" s="38"/>
      <c r="AF2952" s="38"/>
      <c r="AG2952" s="38"/>
      <c r="AH2952" s="38"/>
    </row>
    <row r="2953" spans="3:34" ht="20.100000000000001" customHeight="1">
      <c r="C2953" s="113"/>
      <c r="D2953" s="114"/>
      <c r="P2953" s="82"/>
      <c r="Q2953" s="82"/>
      <c r="R2953" s="38"/>
      <c r="S2953" s="38"/>
      <c r="T2953" s="38"/>
      <c r="U2953" s="38"/>
      <c r="V2953" s="38"/>
      <c r="W2953" s="38"/>
      <c r="X2953" s="38"/>
      <c r="Y2953" s="38"/>
      <c r="Z2953" s="38"/>
      <c r="AA2953" s="38"/>
      <c r="AB2953" s="38"/>
      <c r="AC2953" s="38"/>
      <c r="AD2953" s="38"/>
      <c r="AE2953" s="38"/>
      <c r="AF2953" s="38"/>
      <c r="AG2953" s="38"/>
      <c r="AH2953" s="38"/>
    </row>
    <row r="2954" spans="3:34" ht="20.100000000000001" customHeight="1">
      <c r="C2954" s="113"/>
      <c r="D2954" s="114"/>
      <c r="P2954" s="82"/>
      <c r="Q2954" s="82"/>
      <c r="R2954" s="38"/>
      <c r="S2954" s="38"/>
      <c r="T2954" s="38"/>
      <c r="U2954" s="38"/>
      <c r="V2954" s="38"/>
      <c r="W2954" s="38"/>
      <c r="X2954" s="38"/>
      <c r="Y2954" s="38"/>
      <c r="Z2954" s="38"/>
      <c r="AA2954" s="38"/>
      <c r="AB2954" s="38"/>
      <c r="AC2954" s="38"/>
      <c r="AD2954" s="38"/>
      <c r="AE2954" s="38"/>
      <c r="AF2954" s="38"/>
      <c r="AG2954" s="38"/>
      <c r="AH2954" s="38"/>
    </row>
    <row r="2955" spans="3:34" ht="20.100000000000001" customHeight="1">
      <c r="C2955" s="113"/>
      <c r="D2955" s="114"/>
      <c r="P2955" s="82"/>
      <c r="Q2955" s="82"/>
      <c r="R2955" s="38"/>
      <c r="S2955" s="38"/>
      <c r="T2955" s="38"/>
      <c r="U2955" s="38"/>
      <c r="V2955" s="38"/>
      <c r="W2955" s="38"/>
      <c r="X2955" s="38"/>
      <c r="Y2955" s="38"/>
      <c r="Z2955" s="38"/>
      <c r="AA2955" s="38"/>
      <c r="AB2955" s="38"/>
      <c r="AC2955" s="38"/>
      <c r="AD2955" s="38"/>
      <c r="AE2955" s="38"/>
      <c r="AF2955" s="38"/>
      <c r="AG2955" s="38"/>
      <c r="AH2955" s="38"/>
    </row>
    <row r="2956" spans="3:34" ht="20.100000000000001" customHeight="1">
      <c r="C2956" s="113"/>
      <c r="D2956" s="114"/>
      <c r="P2956" s="82"/>
      <c r="Q2956" s="82"/>
      <c r="R2956" s="38"/>
      <c r="S2956" s="38"/>
      <c r="T2956" s="38"/>
      <c r="U2956" s="38"/>
      <c r="V2956" s="38"/>
      <c r="W2956" s="38"/>
      <c r="X2956" s="38"/>
      <c r="Y2956" s="38"/>
      <c r="Z2956" s="38"/>
      <c r="AA2956" s="38"/>
      <c r="AB2956" s="38"/>
      <c r="AC2956" s="38"/>
      <c r="AD2956" s="38"/>
      <c r="AE2956" s="38"/>
      <c r="AF2956" s="38"/>
      <c r="AG2956" s="38"/>
      <c r="AH2956" s="38"/>
    </row>
    <row r="2957" spans="3:34" ht="20.100000000000001" customHeight="1">
      <c r="C2957" s="113"/>
      <c r="D2957" s="114"/>
      <c r="P2957" s="82"/>
      <c r="Q2957" s="82"/>
      <c r="R2957" s="38"/>
      <c r="S2957" s="38"/>
      <c r="T2957" s="38"/>
      <c r="U2957" s="38"/>
      <c r="V2957" s="38"/>
      <c r="W2957" s="38"/>
      <c r="X2957" s="38"/>
      <c r="Y2957" s="38"/>
      <c r="Z2957" s="38"/>
      <c r="AA2957" s="38"/>
      <c r="AB2957" s="38"/>
      <c r="AC2957" s="38"/>
      <c r="AD2957" s="38"/>
      <c r="AE2957" s="38"/>
      <c r="AF2957" s="38"/>
      <c r="AG2957" s="38"/>
      <c r="AH2957" s="38"/>
    </row>
    <row r="2958" spans="3:34" ht="20.100000000000001" customHeight="1">
      <c r="C2958" s="113"/>
      <c r="D2958" s="114"/>
      <c r="P2958" s="82"/>
      <c r="Q2958" s="82"/>
      <c r="R2958" s="38"/>
      <c r="S2958" s="38"/>
      <c r="T2958" s="38"/>
      <c r="U2958" s="38"/>
      <c r="V2958" s="38"/>
      <c r="W2958" s="38"/>
      <c r="X2958" s="38"/>
      <c r="Y2958" s="38"/>
      <c r="Z2958" s="38"/>
      <c r="AA2958" s="38"/>
      <c r="AB2958" s="38"/>
      <c r="AC2958" s="38"/>
      <c r="AD2958" s="38"/>
      <c r="AE2958" s="38"/>
      <c r="AF2958" s="38"/>
      <c r="AG2958" s="38"/>
      <c r="AH2958" s="38"/>
    </row>
    <row r="2959" spans="3:34" ht="20.100000000000001" customHeight="1">
      <c r="C2959" s="113"/>
      <c r="D2959" s="114"/>
      <c r="P2959" s="82"/>
      <c r="Q2959" s="82"/>
      <c r="R2959" s="38"/>
      <c r="S2959" s="38"/>
      <c r="T2959" s="38"/>
      <c r="U2959" s="38"/>
      <c r="V2959" s="38"/>
      <c r="W2959" s="38"/>
      <c r="X2959" s="38"/>
      <c r="Y2959" s="38"/>
      <c r="Z2959" s="38"/>
      <c r="AA2959" s="38"/>
      <c r="AB2959" s="38"/>
      <c r="AC2959" s="38"/>
      <c r="AD2959" s="38"/>
      <c r="AE2959" s="38"/>
      <c r="AF2959" s="38"/>
      <c r="AG2959" s="38"/>
      <c r="AH2959" s="38"/>
    </row>
    <row r="2960" spans="3:34" ht="20.100000000000001" customHeight="1">
      <c r="C2960" s="113"/>
      <c r="D2960" s="114"/>
      <c r="P2960" s="82"/>
      <c r="Q2960" s="82"/>
      <c r="R2960" s="38"/>
      <c r="S2960" s="38"/>
      <c r="T2960" s="38"/>
      <c r="U2960" s="38"/>
      <c r="V2960" s="38"/>
      <c r="W2960" s="38"/>
      <c r="X2960" s="38"/>
      <c r="Y2960" s="38"/>
      <c r="Z2960" s="38"/>
      <c r="AA2960" s="38"/>
      <c r="AB2960" s="38"/>
      <c r="AC2960" s="38"/>
      <c r="AD2960" s="38"/>
      <c r="AE2960" s="38"/>
      <c r="AF2960" s="38"/>
      <c r="AG2960" s="38"/>
      <c r="AH2960" s="38"/>
    </row>
    <row r="2961" spans="3:34" ht="20.100000000000001" customHeight="1">
      <c r="C2961" s="113"/>
      <c r="D2961" s="114"/>
      <c r="P2961" s="82"/>
      <c r="Q2961" s="82"/>
      <c r="R2961" s="38"/>
      <c r="S2961" s="38"/>
      <c r="T2961" s="38"/>
      <c r="U2961" s="38"/>
      <c r="V2961" s="38"/>
      <c r="W2961" s="38"/>
      <c r="X2961" s="38"/>
      <c r="Y2961" s="38"/>
      <c r="Z2961" s="38"/>
      <c r="AA2961" s="38"/>
      <c r="AB2961" s="38"/>
      <c r="AC2961" s="38"/>
      <c r="AD2961" s="38"/>
      <c r="AE2961" s="38"/>
      <c r="AF2961" s="38"/>
      <c r="AG2961" s="38"/>
      <c r="AH2961" s="38"/>
    </row>
    <row r="2962" spans="3:34" ht="20.100000000000001" customHeight="1">
      <c r="C2962" s="113"/>
      <c r="D2962" s="114"/>
      <c r="P2962" s="82"/>
      <c r="Q2962" s="82"/>
      <c r="R2962" s="38"/>
      <c r="S2962" s="38"/>
      <c r="T2962" s="38"/>
      <c r="U2962" s="38"/>
      <c r="V2962" s="38"/>
      <c r="W2962" s="38"/>
      <c r="X2962" s="38"/>
      <c r="Y2962" s="38"/>
      <c r="Z2962" s="38"/>
      <c r="AA2962" s="38"/>
      <c r="AB2962" s="38"/>
      <c r="AC2962" s="38"/>
      <c r="AD2962" s="38"/>
      <c r="AE2962" s="38"/>
      <c r="AF2962" s="38"/>
      <c r="AG2962" s="38"/>
      <c r="AH2962" s="38"/>
    </row>
    <row r="2963" spans="3:34" ht="20.100000000000001" customHeight="1">
      <c r="C2963" s="113"/>
      <c r="D2963" s="114"/>
      <c r="P2963" s="82"/>
      <c r="Q2963" s="82"/>
      <c r="R2963" s="38"/>
      <c r="S2963" s="38"/>
      <c r="T2963" s="38"/>
      <c r="U2963" s="38"/>
      <c r="V2963" s="38"/>
      <c r="W2963" s="38"/>
      <c r="X2963" s="38"/>
      <c r="Y2963" s="38"/>
      <c r="Z2963" s="38"/>
      <c r="AA2963" s="38"/>
      <c r="AB2963" s="38"/>
      <c r="AC2963" s="38"/>
      <c r="AD2963" s="38"/>
      <c r="AE2963" s="38"/>
      <c r="AF2963" s="38"/>
      <c r="AG2963" s="38"/>
      <c r="AH2963" s="38"/>
    </row>
    <row r="2964" spans="3:34" ht="20.100000000000001" customHeight="1">
      <c r="C2964" s="113"/>
      <c r="D2964" s="114"/>
      <c r="P2964" s="82"/>
      <c r="Q2964" s="82"/>
      <c r="R2964" s="38"/>
      <c r="S2964" s="38"/>
      <c r="T2964" s="38"/>
      <c r="U2964" s="38"/>
      <c r="V2964" s="38"/>
      <c r="W2964" s="38"/>
      <c r="X2964" s="38"/>
      <c r="Y2964" s="38"/>
      <c r="Z2964" s="38"/>
      <c r="AA2964" s="38"/>
      <c r="AB2964" s="38"/>
      <c r="AC2964" s="38"/>
      <c r="AD2964" s="38"/>
      <c r="AE2964" s="38"/>
      <c r="AF2964" s="38"/>
      <c r="AG2964" s="38"/>
      <c r="AH2964" s="38"/>
    </row>
    <row r="2965" spans="3:34" ht="20.100000000000001" customHeight="1">
      <c r="C2965" s="113"/>
      <c r="D2965" s="114"/>
      <c r="P2965" s="82"/>
      <c r="Q2965" s="82"/>
      <c r="R2965" s="38"/>
      <c r="S2965" s="38"/>
      <c r="T2965" s="38"/>
      <c r="U2965" s="38"/>
      <c r="V2965" s="38"/>
      <c r="W2965" s="38"/>
      <c r="X2965" s="38"/>
      <c r="Y2965" s="38"/>
      <c r="Z2965" s="38"/>
      <c r="AA2965" s="38"/>
      <c r="AB2965" s="38"/>
      <c r="AC2965" s="38"/>
      <c r="AD2965" s="38"/>
      <c r="AE2965" s="38"/>
      <c r="AF2965" s="38"/>
      <c r="AG2965" s="38"/>
      <c r="AH2965" s="38"/>
    </row>
    <row r="2966" spans="3:34" ht="20.100000000000001" customHeight="1">
      <c r="C2966" s="113"/>
      <c r="D2966" s="114"/>
      <c r="P2966" s="82"/>
      <c r="Q2966" s="82"/>
      <c r="R2966" s="38"/>
      <c r="S2966" s="38"/>
      <c r="T2966" s="38"/>
      <c r="U2966" s="38"/>
      <c r="V2966" s="38"/>
      <c r="W2966" s="38"/>
      <c r="X2966" s="38"/>
      <c r="Y2966" s="38"/>
      <c r="Z2966" s="38"/>
      <c r="AA2966" s="38"/>
      <c r="AB2966" s="38"/>
      <c r="AC2966" s="38"/>
      <c r="AD2966" s="38"/>
      <c r="AE2966" s="38"/>
      <c r="AF2966" s="38"/>
      <c r="AG2966" s="38"/>
      <c r="AH2966" s="38"/>
    </row>
    <row r="2967" spans="3:34" ht="20.100000000000001" customHeight="1">
      <c r="C2967" s="113"/>
      <c r="D2967" s="114"/>
      <c r="P2967" s="82"/>
      <c r="Q2967" s="82"/>
      <c r="R2967" s="38"/>
      <c r="S2967" s="38"/>
      <c r="T2967" s="38"/>
      <c r="U2967" s="38"/>
      <c r="V2967" s="38"/>
      <c r="W2967" s="38"/>
      <c r="X2967" s="38"/>
      <c r="Y2967" s="38"/>
      <c r="Z2967" s="38"/>
      <c r="AA2967" s="38"/>
      <c r="AB2967" s="38"/>
      <c r="AC2967" s="38"/>
      <c r="AD2967" s="38"/>
      <c r="AE2967" s="38"/>
      <c r="AF2967" s="38"/>
      <c r="AG2967" s="38"/>
      <c r="AH2967" s="38"/>
    </row>
    <row r="2968" spans="3:34" ht="20.100000000000001" customHeight="1">
      <c r="C2968" s="113"/>
      <c r="D2968" s="114"/>
      <c r="P2968" s="82"/>
      <c r="Q2968" s="82"/>
      <c r="R2968" s="38"/>
      <c r="S2968" s="38"/>
      <c r="T2968" s="38"/>
      <c r="U2968" s="38"/>
      <c r="V2968" s="38"/>
      <c r="W2968" s="38"/>
      <c r="X2968" s="38"/>
      <c r="Y2968" s="38"/>
      <c r="Z2968" s="38"/>
      <c r="AA2968" s="38"/>
      <c r="AB2968" s="38"/>
      <c r="AC2968" s="38"/>
      <c r="AD2968" s="38"/>
      <c r="AE2968" s="38"/>
      <c r="AF2968" s="38"/>
      <c r="AG2968" s="38"/>
      <c r="AH2968" s="38"/>
    </row>
    <row r="2969" spans="3:34" ht="20.100000000000001" customHeight="1">
      <c r="C2969" s="113"/>
      <c r="D2969" s="114"/>
      <c r="P2969" s="82"/>
      <c r="Q2969" s="82"/>
      <c r="R2969" s="38"/>
      <c r="S2969" s="38"/>
      <c r="T2969" s="38"/>
      <c r="U2969" s="38"/>
      <c r="V2969" s="38"/>
      <c r="W2969" s="38"/>
      <c r="X2969" s="38"/>
      <c r="Y2969" s="38"/>
      <c r="Z2969" s="38"/>
      <c r="AA2969" s="38"/>
      <c r="AB2969" s="38"/>
      <c r="AC2969" s="38"/>
      <c r="AD2969" s="38"/>
      <c r="AE2969" s="38"/>
      <c r="AF2969" s="38"/>
      <c r="AG2969" s="38"/>
      <c r="AH2969" s="38"/>
    </row>
    <row r="2970" spans="3:34" ht="20.100000000000001" customHeight="1">
      <c r="C2970" s="113"/>
      <c r="D2970" s="114"/>
      <c r="P2970" s="82"/>
      <c r="Q2970" s="82"/>
      <c r="R2970" s="38"/>
      <c r="S2970" s="38"/>
      <c r="T2970" s="38"/>
      <c r="U2970" s="38"/>
      <c r="V2970" s="38"/>
      <c r="W2970" s="38"/>
      <c r="X2970" s="38"/>
      <c r="Y2970" s="38"/>
      <c r="Z2970" s="38"/>
      <c r="AA2970" s="38"/>
      <c r="AB2970" s="38"/>
      <c r="AC2970" s="38"/>
      <c r="AD2970" s="38"/>
      <c r="AE2970" s="38"/>
      <c r="AF2970" s="38"/>
      <c r="AG2970" s="38"/>
      <c r="AH2970" s="38"/>
    </row>
    <row r="2971" spans="3:34" ht="20.100000000000001" customHeight="1">
      <c r="C2971" s="113"/>
      <c r="D2971" s="114"/>
      <c r="P2971" s="82"/>
      <c r="Q2971" s="82"/>
      <c r="R2971" s="38"/>
      <c r="S2971" s="38"/>
      <c r="T2971" s="38"/>
      <c r="U2971" s="38"/>
      <c r="V2971" s="38"/>
      <c r="W2971" s="38"/>
      <c r="X2971" s="38"/>
      <c r="Y2971" s="38"/>
      <c r="Z2971" s="38"/>
      <c r="AA2971" s="38"/>
      <c r="AB2971" s="38"/>
      <c r="AC2971" s="38"/>
      <c r="AD2971" s="38"/>
      <c r="AE2971" s="38"/>
      <c r="AF2971" s="38"/>
      <c r="AG2971" s="38"/>
      <c r="AH2971" s="38"/>
    </row>
    <row r="2972" spans="3:34" ht="20.100000000000001" customHeight="1">
      <c r="C2972" s="113"/>
      <c r="D2972" s="114"/>
      <c r="P2972" s="82"/>
      <c r="Q2972" s="82"/>
      <c r="R2972" s="38"/>
      <c r="S2972" s="38"/>
      <c r="T2972" s="38"/>
      <c r="U2972" s="38"/>
      <c r="V2972" s="38"/>
      <c r="W2972" s="38"/>
      <c r="X2972" s="38"/>
      <c r="Y2972" s="38"/>
      <c r="Z2972" s="38"/>
      <c r="AA2972" s="38"/>
      <c r="AB2972" s="38"/>
      <c r="AC2972" s="38"/>
      <c r="AD2972" s="38"/>
      <c r="AE2972" s="38"/>
      <c r="AF2972" s="38"/>
      <c r="AG2972" s="38"/>
      <c r="AH2972" s="38"/>
    </row>
    <row r="2973" spans="3:34" ht="20.100000000000001" customHeight="1">
      <c r="C2973" s="113"/>
      <c r="D2973" s="114"/>
      <c r="P2973" s="82"/>
      <c r="Q2973" s="82"/>
      <c r="R2973" s="38"/>
      <c r="S2973" s="38"/>
      <c r="T2973" s="38"/>
      <c r="U2973" s="38"/>
      <c r="V2973" s="38"/>
      <c r="W2973" s="38"/>
      <c r="X2973" s="38"/>
      <c r="Y2973" s="38"/>
      <c r="Z2973" s="38"/>
      <c r="AA2973" s="38"/>
      <c r="AB2973" s="38"/>
      <c r="AC2973" s="38"/>
      <c r="AD2973" s="38"/>
      <c r="AE2973" s="38"/>
      <c r="AF2973" s="38"/>
      <c r="AG2973" s="38"/>
      <c r="AH2973" s="38"/>
    </row>
    <row r="2974" spans="3:34" ht="20.100000000000001" customHeight="1">
      <c r="C2974" s="113"/>
      <c r="D2974" s="114"/>
      <c r="P2974" s="82"/>
      <c r="Q2974" s="82"/>
      <c r="R2974" s="38"/>
      <c r="S2974" s="38"/>
      <c r="T2974" s="38"/>
      <c r="U2974" s="38"/>
      <c r="V2974" s="38"/>
      <c r="W2974" s="38"/>
      <c r="X2974" s="38"/>
      <c r="Y2974" s="38"/>
      <c r="Z2974" s="38"/>
      <c r="AA2974" s="38"/>
      <c r="AB2974" s="38"/>
      <c r="AC2974" s="38"/>
      <c r="AD2974" s="38"/>
      <c r="AE2974" s="38"/>
      <c r="AF2974" s="38"/>
      <c r="AG2974" s="38"/>
      <c r="AH2974" s="38"/>
    </row>
    <row r="2975" spans="3:34" ht="20.100000000000001" customHeight="1">
      <c r="C2975" s="113"/>
      <c r="D2975" s="114"/>
      <c r="P2975" s="82"/>
      <c r="Q2975" s="82"/>
      <c r="R2975" s="38"/>
      <c r="S2975" s="38"/>
      <c r="T2975" s="38"/>
      <c r="U2975" s="38"/>
      <c r="V2975" s="38"/>
      <c r="W2975" s="38"/>
      <c r="X2975" s="38"/>
      <c r="Y2975" s="38"/>
      <c r="Z2975" s="38"/>
      <c r="AA2975" s="38"/>
      <c r="AB2975" s="38"/>
      <c r="AC2975" s="38"/>
      <c r="AD2975" s="38"/>
      <c r="AE2975" s="38"/>
      <c r="AF2975" s="38"/>
      <c r="AG2975" s="38"/>
      <c r="AH2975" s="38"/>
    </row>
    <row r="2976" spans="3:34" ht="20.100000000000001" customHeight="1">
      <c r="C2976" s="113"/>
      <c r="D2976" s="114"/>
      <c r="P2976" s="82"/>
      <c r="Q2976" s="82"/>
      <c r="R2976" s="38"/>
      <c r="S2976" s="38"/>
      <c r="T2976" s="38"/>
      <c r="U2976" s="38"/>
      <c r="V2976" s="38"/>
      <c r="W2976" s="38"/>
      <c r="X2976" s="38"/>
      <c r="Y2976" s="38"/>
      <c r="Z2976" s="38"/>
      <c r="AA2976" s="38"/>
      <c r="AB2976" s="38"/>
      <c r="AC2976" s="38"/>
      <c r="AD2976" s="38"/>
      <c r="AE2976" s="38"/>
      <c r="AF2976" s="38"/>
      <c r="AG2976" s="38"/>
      <c r="AH2976" s="38"/>
    </row>
    <row r="2977" spans="3:34" ht="20.100000000000001" customHeight="1">
      <c r="C2977" s="113"/>
      <c r="D2977" s="114"/>
      <c r="P2977" s="82"/>
      <c r="Q2977" s="82"/>
      <c r="R2977" s="38"/>
      <c r="S2977" s="38"/>
      <c r="T2977" s="38"/>
      <c r="U2977" s="38"/>
      <c r="V2977" s="38"/>
      <c r="W2977" s="38"/>
      <c r="X2977" s="38"/>
      <c r="Y2977" s="38"/>
      <c r="Z2977" s="38"/>
      <c r="AA2977" s="38"/>
      <c r="AB2977" s="38"/>
      <c r="AC2977" s="38"/>
      <c r="AD2977" s="38"/>
      <c r="AE2977" s="38"/>
      <c r="AF2977" s="38"/>
      <c r="AG2977" s="38"/>
      <c r="AH2977" s="38"/>
    </row>
    <row r="2978" spans="3:34" ht="20.100000000000001" customHeight="1">
      <c r="C2978" s="113"/>
      <c r="D2978" s="114"/>
      <c r="P2978" s="82"/>
      <c r="Q2978" s="82"/>
      <c r="R2978" s="38"/>
      <c r="S2978" s="38"/>
      <c r="T2978" s="38"/>
      <c r="U2978" s="38"/>
      <c r="V2978" s="38"/>
      <c r="W2978" s="38"/>
      <c r="X2978" s="38"/>
      <c r="Y2978" s="38"/>
      <c r="Z2978" s="38"/>
      <c r="AA2978" s="38"/>
      <c r="AB2978" s="38"/>
      <c r="AC2978" s="38"/>
      <c r="AD2978" s="38"/>
      <c r="AE2978" s="38"/>
      <c r="AF2978" s="38"/>
      <c r="AG2978" s="38"/>
      <c r="AH2978" s="38"/>
    </row>
    <row r="2979" spans="3:34" ht="20.100000000000001" customHeight="1">
      <c r="C2979" s="113"/>
      <c r="D2979" s="114"/>
      <c r="P2979" s="82"/>
      <c r="Q2979" s="82"/>
      <c r="R2979" s="38"/>
      <c r="S2979" s="38"/>
      <c r="T2979" s="38"/>
      <c r="U2979" s="38"/>
      <c r="V2979" s="38"/>
      <c r="W2979" s="38"/>
      <c r="X2979" s="38"/>
      <c r="Y2979" s="38"/>
      <c r="Z2979" s="38"/>
      <c r="AA2979" s="38"/>
      <c r="AB2979" s="38"/>
      <c r="AC2979" s="38"/>
      <c r="AD2979" s="38"/>
      <c r="AE2979" s="38"/>
      <c r="AF2979" s="38"/>
      <c r="AG2979" s="38"/>
      <c r="AH2979" s="38"/>
    </row>
    <row r="2980" spans="3:34" ht="20.100000000000001" customHeight="1">
      <c r="C2980" s="113"/>
      <c r="D2980" s="114"/>
      <c r="P2980" s="82"/>
      <c r="Q2980" s="82"/>
      <c r="R2980" s="38"/>
      <c r="S2980" s="38"/>
      <c r="T2980" s="38"/>
      <c r="U2980" s="38"/>
      <c r="V2980" s="38"/>
      <c r="W2980" s="38"/>
      <c r="X2980" s="38"/>
      <c r="Y2980" s="38"/>
      <c r="Z2980" s="38"/>
      <c r="AA2980" s="38"/>
      <c r="AB2980" s="38"/>
      <c r="AC2980" s="38"/>
      <c r="AD2980" s="38"/>
      <c r="AE2980" s="38"/>
      <c r="AF2980" s="38"/>
      <c r="AG2980" s="38"/>
      <c r="AH2980" s="38"/>
    </row>
    <row r="2981" spans="3:34" ht="20.100000000000001" customHeight="1">
      <c r="C2981" s="113"/>
      <c r="D2981" s="114"/>
      <c r="P2981" s="82"/>
      <c r="Q2981" s="82"/>
      <c r="R2981" s="38"/>
      <c r="S2981" s="38"/>
      <c r="T2981" s="38"/>
      <c r="U2981" s="38"/>
      <c r="V2981" s="38"/>
      <c r="W2981" s="38"/>
      <c r="X2981" s="38"/>
      <c r="Y2981" s="38"/>
      <c r="Z2981" s="38"/>
      <c r="AA2981" s="38"/>
      <c r="AB2981" s="38"/>
      <c r="AC2981" s="38"/>
      <c r="AD2981" s="38"/>
      <c r="AE2981" s="38"/>
      <c r="AF2981" s="38"/>
      <c r="AG2981" s="38"/>
      <c r="AH2981" s="38"/>
    </row>
    <row r="2982" spans="3:34" ht="20.100000000000001" customHeight="1">
      <c r="C2982" s="113"/>
      <c r="D2982" s="114"/>
      <c r="P2982" s="82"/>
      <c r="Q2982" s="82"/>
      <c r="R2982" s="38"/>
      <c r="S2982" s="38"/>
      <c r="T2982" s="38"/>
      <c r="U2982" s="38"/>
      <c r="V2982" s="38"/>
      <c r="W2982" s="38"/>
      <c r="X2982" s="38"/>
      <c r="Y2982" s="38"/>
      <c r="Z2982" s="38"/>
      <c r="AA2982" s="38"/>
      <c r="AB2982" s="38"/>
      <c r="AC2982" s="38"/>
      <c r="AD2982" s="38"/>
      <c r="AE2982" s="38"/>
      <c r="AF2982" s="38"/>
      <c r="AG2982" s="38"/>
      <c r="AH2982" s="38"/>
    </row>
    <row r="2983" spans="3:34" ht="20.100000000000001" customHeight="1">
      <c r="C2983" s="113"/>
      <c r="D2983" s="114"/>
      <c r="P2983" s="82"/>
      <c r="Q2983" s="82"/>
      <c r="R2983" s="38"/>
      <c r="S2983" s="38"/>
      <c r="T2983" s="38"/>
      <c r="U2983" s="38"/>
      <c r="V2983" s="38"/>
      <c r="W2983" s="38"/>
      <c r="X2983" s="38"/>
      <c r="Y2983" s="38"/>
      <c r="Z2983" s="38"/>
      <c r="AA2983" s="38"/>
      <c r="AB2983" s="38"/>
      <c r="AC2983" s="38"/>
      <c r="AD2983" s="38"/>
      <c r="AE2983" s="38"/>
      <c r="AF2983" s="38"/>
      <c r="AG2983" s="38"/>
      <c r="AH2983" s="38"/>
    </row>
    <row r="2984" spans="3:34" ht="20.100000000000001" customHeight="1">
      <c r="C2984" s="113"/>
      <c r="D2984" s="114"/>
      <c r="P2984" s="82"/>
      <c r="Q2984" s="82"/>
      <c r="R2984" s="38"/>
      <c r="S2984" s="38"/>
      <c r="T2984" s="38"/>
      <c r="U2984" s="38"/>
      <c r="V2984" s="38"/>
      <c r="W2984" s="38"/>
      <c r="X2984" s="38"/>
      <c r="Y2984" s="38"/>
      <c r="Z2984" s="38"/>
      <c r="AA2984" s="38"/>
      <c r="AB2984" s="38"/>
      <c r="AC2984" s="38"/>
      <c r="AD2984" s="38"/>
      <c r="AE2984" s="38"/>
      <c r="AF2984" s="38"/>
      <c r="AG2984" s="38"/>
      <c r="AH2984" s="38"/>
    </row>
    <row r="2985" spans="3:34" ht="20.100000000000001" customHeight="1">
      <c r="C2985" s="113"/>
      <c r="D2985" s="114"/>
      <c r="P2985" s="82"/>
      <c r="Q2985" s="82"/>
      <c r="R2985" s="38"/>
      <c r="S2985" s="38"/>
      <c r="T2985" s="38"/>
      <c r="U2985" s="38"/>
      <c r="V2985" s="38"/>
      <c r="W2985" s="38"/>
      <c r="X2985" s="38"/>
      <c r="Y2985" s="38"/>
      <c r="Z2985" s="38"/>
      <c r="AA2985" s="38"/>
      <c r="AB2985" s="38"/>
      <c r="AC2985" s="38"/>
      <c r="AD2985" s="38"/>
      <c r="AE2985" s="38"/>
      <c r="AF2985" s="38"/>
      <c r="AG2985" s="38"/>
      <c r="AH2985" s="38"/>
    </row>
    <row r="2986" spans="3:34" ht="20.100000000000001" customHeight="1">
      <c r="C2986" s="113"/>
      <c r="D2986" s="114"/>
      <c r="P2986" s="82"/>
      <c r="Q2986" s="82"/>
      <c r="R2986" s="38"/>
      <c r="S2986" s="38"/>
      <c r="T2986" s="38"/>
      <c r="U2986" s="38"/>
      <c r="V2986" s="38"/>
      <c r="W2986" s="38"/>
      <c r="X2986" s="38"/>
      <c r="Y2986" s="38"/>
      <c r="Z2986" s="38"/>
      <c r="AA2986" s="38"/>
      <c r="AB2986" s="38"/>
      <c r="AC2986" s="38"/>
      <c r="AD2986" s="38"/>
      <c r="AE2986" s="38"/>
      <c r="AF2986" s="38"/>
      <c r="AG2986" s="38"/>
      <c r="AH2986" s="38"/>
    </row>
    <row r="2987" spans="3:34" ht="20.100000000000001" customHeight="1">
      <c r="C2987" s="113"/>
      <c r="D2987" s="114"/>
      <c r="P2987" s="82"/>
      <c r="Q2987" s="82"/>
      <c r="R2987" s="38"/>
      <c r="S2987" s="38"/>
      <c r="T2987" s="38"/>
      <c r="U2987" s="38"/>
      <c r="V2987" s="38"/>
      <c r="W2987" s="38"/>
      <c r="X2987" s="38"/>
      <c r="Y2987" s="38"/>
      <c r="Z2987" s="38"/>
      <c r="AA2987" s="38"/>
      <c r="AB2987" s="38"/>
      <c r="AC2987" s="38"/>
      <c r="AD2987" s="38"/>
      <c r="AE2987" s="38"/>
      <c r="AF2987" s="38"/>
      <c r="AG2987" s="38"/>
      <c r="AH2987" s="38"/>
    </row>
    <row r="2988" spans="3:34" ht="20.100000000000001" customHeight="1">
      <c r="C2988" s="113"/>
      <c r="D2988" s="114"/>
      <c r="P2988" s="82"/>
      <c r="Q2988" s="82"/>
      <c r="R2988" s="38"/>
      <c r="S2988" s="38"/>
      <c r="T2988" s="38"/>
      <c r="U2988" s="38"/>
      <c r="V2988" s="38"/>
      <c r="W2988" s="38"/>
      <c r="X2988" s="38"/>
      <c r="Y2988" s="38"/>
      <c r="Z2988" s="38"/>
      <c r="AA2988" s="38"/>
      <c r="AB2988" s="38"/>
      <c r="AC2988" s="38"/>
      <c r="AD2988" s="38"/>
      <c r="AE2988" s="38"/>
      <c r="AF2988" s="38"/>
      <c r="AG2988" s="38"/>
      <c r="AH2988" s="38"/>
    </row>
    <row r="2989" spans="3:34" ht="20.100000000000001" customHeight="1">
      <c r="C2989" s="113"/>
      <c r="D2989" s="114"/>
      <c r="P2989" s="82"/>
      <c r="Q2989" s="82"/>
      <c r="R2989" s="38"/>
      <c r="S2989" s="38"/>
      <c r="T2989" s="38"/>
      <c r="U2989" s="38"/>
      <c r="V2989" s="38"/>
      <c r="W2989" s="38"/>
      <c r="X2989" s="38"/>
      <c r="Y2989" s="38"/>
      <c r="Z2989" s="38"/>
      <c r="AA2989" s="38"/>
      <c r="AB2989" s="38"/>
      <c r="AC2989" s="38"/>
      <c r="AD2989" s="38"/>
      <c r="AE2989" s="38"/>
      <c r="AF2989" s="38"/>
      <c r="AG2989" s="38"/>
      <c r="AH2989" s="38"/>
    </row>
    <row r="2990" spans="3:34" ht="20.100000000000001" customHeight="1">
      <c r="C2990" s="113"/>
      <c r="D2990" s="114"/>
      <c r="P2990" s="82"/>
      <c r="Q2990" s="82"/>
      <c r="R2990" s="38"/>
      <c r="S2990" s="38"/>
      <c r="T2990" s="38"/>
      <c r="U2990" s="38"/>
      <c r="V2990" s="38"/>
      <c r="W2990" s="38"/>
      <c r="X2990" s="38"/>
      <c r="Y2990" s="38"/>
      <c r="Z2990" s="38"/>
      <c r="AA2990" s="38"/>
      <c r="AB2990" s="38"/>
      <c r="AC2990" s="38"/>
      <c r="AD2990" s="38"/>
      <c r="AE2990" s="38"/>
      <c r="AF2990" s="38"/>
      <c r="AG2990" s="38"/>
      <c r="AH2990" s="38"/>
    </row>
    <row r="2991" spans="3:34" ht="20.100000000000001" customHeight="1">
      <c r="C2991" s="113"/>
      <c r="D2991" s="114"/>
      <c r="P2991" s="82"/>
      <c r="Q2991" s="82"/>
      <c r="R2991" s="38"/>
      <c r="S2991" s="38"/>
      <c r="T2991" s="38"/>
      <c r="U2991" s="38"/>
      <c r="V2991" s="38"/>
      <c r="W2991" s="38"/>
      <c r="X2991" s="38"/>
      <c r="Y2991" s="38"/>
      <c r="Z2991" s="38"/>
      <c r="AA2991" s="38"/>
      <c r="AB2991" s="38"/>
      <c r="AC2991" s="38"/>
      <c r="AD2991" s="38"/>
      <c r="AE2991" s="38"/>
      <c r="AF2991" s="38"/>
      <c r="AG2991" s="38"/>
      <c r="AH2991" s="38"/>
    </row>
    <row r="2992" spans="3:34" ht="20.100000000000001" customHeight="1">
      <c r="C2992" s="113"/>
      <c r="D2992" s="114"/>
      <c r="P2992" s="82"/>
      <c r="Q2992" s="82"/>
      <c r="R2992" s="38"/>
      <c r="S2992" s="38"/>
      <c r="T2992" s="38"/>
      <c r="U2992" s="38"/>
      <c r="V2992" s="38"/>
      <c r="W2992" s="38"/>
      <c r="X2992" s="38"/>
      <c r="Y2992" s="38"/>
      <c r="Z2992" s="38"/>
      <c r="AA2992" s="38"/>
      <c r="AB2992" s="38"/>
      <c r="AC2992" s="38"/>
      <c r="AD2992" s="38"/>
      <c r="AE2992" s="38"/>
      <c r="AF2992" s="38"/>
      <c r="AG2992" s="38"/>
      <c r="AH2992" s="38"/>
    </row>
    <row r="2993" spans="3:34" ht="20.100000000000001" customHeight="1">
      <c r="C2993" s="113"/>
      <c r="D2993" s="114"/>
      <c r="P2993" s="82"/>
      <c r="Q2993" s="82"/>
      <c r="R2993" s="38"/>
      <c r="S2993" s="38"/>
      <c r="T2993" s="38"/>
      <c r="U2993" s="38"/>
      <c r="V2993" s="38"/>
      <c r="W2993" s="38"/>
      <c r="X2993" s="38"/>
      <c r="Y2993" s="38"/>
      <c r="Z2993" s="38"/>
      <c r="AA2993" s="38"/>
      <c r="AB2993" s="38"/>
      <c r="AC2993" s="38"/>
      <c r="AD2993" s="38"/>
      <c r="AE2993" s="38"/>
      <c r="AF2993" s="38"/>
      <c r="AG2993" s="38"/>
      <c r="AH2993" s="38"/>
    </row>
    <row r="2994" spans="3:34" ht="20.100000000000001" customHeight="1">
      <c r="C2994" s="113"/>
      <c r="D2994" s="114"/>
      <c r="P2994" s="82"/>
      <c r="Q2994" s="82"/>
      <c r="R2994" s="38"/>
      <c r="S2994" s="38"/>
      <c r="T2994" s="38"/>
      <c r="U2994" s="38"/>
      <c r="V2994" s="38"/>
      <c r="W2994" s="38"/>
      <c r="X2994" s="38"/>
      <c r="Y2994" s="38"/>
      <c r="Z2994" s="38"/>
      <c r="AA2994" s="38"/>
      <c r="AB2994" s="38"/>
      <c r="AC2994" s="38"/>
      <c r="AD2994" s="38"/>
      <c r="AE2994" s="38"/>
      <c r="AF2994" s="38"/>
      <c r="AG2994" s="38"/>
      <c r="AH2994" s="38"/>
    </row>
    <row r="2995" spans="3:34" ht="20.100000000000001" customHeight="1">
      <c r="C2995" s="113"/>
      <c r="D2995" s="114"/>
      <c r="P2995" s="82"/>
      <c r="Q2995" s="82"/>
      <c r="R2995" s="38"/>
      <c r="S2995" s="38"/>
      <c r="T2995" s="38"/>
      <c r="U2995" s="38"/>
      <c r="V2995" s="38"/>
      <c r="W2995" s="38"/>
      <c r="X2995" s="38"/>
      <c r="Y2995" s="38"/>
      <c r="Z2995" s="38"/>
      <c r="AA2995" s="38"/>
      <c r="AB2995" s="38"/>
      <c r="AC2995" s="38"/>
      <c r="AD2995" s="38"/>
      <c r="AE2995" s="38"/>
      <c r="AF2995" s="38"/>
      <c r="AG2995" s="38"/>
      <c r="AH2995" s="38"/>
    </row>
    <row r="2996" spans="3:34" ht="20.100000000000001" customHeight="1">
      <c r="C2996" s="113"/>
      <c r="D2996" s="114"/>
      <c r="P2996" s="82"/>
      <c r="Q2996" s="82"/>
      <c r="R2996" s="38"/>
      <c r="S2996" s="38"/>
      <c r="T2996" s="38"/>
      <c r="U2996" s="38"/>
      <c r="V2996" s="38"/>
      <c r="W2996" s="38"/>
      <c r="X2996" s="38"/>
      <c r="Y2996" s="38"/>
      <c r="Z2996" s="38"/>
      <c r="AA2996" s="38"/>
      <c r="AB2996" s="38"/>
      <c r="AC2996" s="38"/>
      <c r="AD2996" s="38"/>
      <c r="AE2996" s="38"/>
      <c r="AF2996" s="38"/>
      <c r="AG2996" s="38"/>
      <c r="AH2996" s="38"/>
    </row>
    <row r="2997" spans="3:34" ht="20.100000000000001" customHeight="1">
      <c r="C2997" s="113"/>
      <c r="D2997" s="114"/>
      <c r="P2997" s="82"/>
      <c r="Q2997" s="82"/>
      <c r="R2997" s="38"/>
      <c r="S2997" s="38"/>
      <c r="T2997" s="38"/>
      <c r="U2997" s="38"/>
      <c r="V2997" s="38"/>
      <c r="W2997" s="38"/>
      <c r="X2997" s="38"/>
      <c r="Y2997" s="38"/>
      <c r="Z2997" s="38"/>
      <c r="AA2997" s="38"/>
      <c r="AB2997" s="38"/>
      <c r="AC2997" s="38"/>
      <c r="AD2997" s="38"/>
      <c r="AE2997" s="38"/>
      <c r="AF2997" s="38"/>
      <c r="AG2997" s="38"/>
      <c r="AH2997" s="38"/>
    </row>
    <row r="2998" spans="3:34" ht="20.100000000000001" customHeight="1">
      <c r="C2998" s="113"/>
      <c r="D2998" s="114"/>
      <c r="P2998" s="82"/>
      <c r="Q2998" s="82"/>
      <c r="R2998" s="38"/>
      <c r="S2998" s="38"/>
      <c r="T2998" s="38"/>
      <c r="U2998" s="38"/>
      <c r="V2998" s="38"/>
      <c r="W2998" s="38"/>
      <c r="X2998" s="38"/>
      <c r="Y2998" s="38"/>
      <c r="Z2998" s="38"/>
      <c r="AA2998" s="38"/>
      <c r="AB2998" s="38"/>
      <c r="AC2998" s="38"/>
      <c r="AD2998" s="38"/>
      <c r="AE2998" s="38"/>
      <c r="AF2998" s="38"/>
      <c r="AG2998" s="38"/>
      <c r="AH2998" s="38"/>
    </row>
    <row r="2999" spans="3:34" ht="20.100000000000001" customHeight="1">
      <c r="C2999" s="113"/>
      <c r="D2999" s="114"/>
      <c r="P2999" s="82"/>
      <c r="Q2999" s="82"/>
      <c r="R2999" s="38"/>
      <c r="S2999" s="38"/>
      <c r="T2999" s="38"/>
      <c r="U2999" s="38"/>
      <c r="V2999" s="38"/>
      <c r="W2999" s="38"/>
      <c r="X2999" s="38"/>
      <c r="Y2999" s="38"/>
      <c r="Z2999" s="38"/>
      <c r="AA2999" s="38"/>
      <c r="AB2999" s="38"/>
      <c r="AC2999" s="38"/>
      <c r="AD2999" s="38"/>
      <c r="AE2999" s="38"/>
      <c r="AF2999" s="38"/>
      <c r="AG2999" s="38"/>
      <c r="AH2999" s="38"/>
    </row>
    <row r="3000" spans="3:34" ht="20.100000000000001" customHeight="1">
      <c r="C3000" s="113"/>
      <c r="D3000" s="114"/>
      <c r="P3000" s="82"/>
      <c r="Q3000" s="82"/>
      <c r="R3000" s="38"/>
      <c r="S3000" s="38"/>
      <c r="T3000" s="38"/>
      <c r="U3000" s="38"/>
      <c r="V3000" s="38"/>
      <c r="W3000" s="38"/>
      <c r="X3000" s="38"/>
      <c r="Y3000" s="38"/>
      <c r="Z3000" s="38"/>
      <c r="AA3000" s="38"/>
      <c r="AB3000" s="38"/>
      <c r="AC3000" s="38"/>
      <c r="AD3000" s="38"/>
      <c r="AE3000" s="38"/>
      <c r="AF3000" s="38"/>
      <c r="AG3000" s="38"/>
      <c r="AH3000" s="38"/>
    </row>
    <row r="3001" spans="3:34" ht="20.100000000000001" customHeight="1">
      <c r="C3001" s="113"/>
      <c r="D3001" s="114"/>
      <c r="P3001" s="82"/>
      <c r="Q3001" s="82"/>
      <c r="R3001" s="38"/>
      <c r="S3001" s="38"/>
      <c r="T3001" s="38"/>
      <c r="U3001" s="38"/>
      <c r="V3001" s="38"/>
      <c r="W3001" s="38"/>
      <c r="X3001" s="38"/>
      <c r="Y3001" s="38"/>
      <c r="Z3001" s="38"/>
      <c r="AA3001" s="38"/>
      <c r="AB3001" s="38"/>
      <c r="AC3001" s="38"/>
      <c r="AD3001" s="38"/>
      <c r="AE3001" s="38"/>
      <c r="AF3001" s="38"/>
      <c r="AG3001" s="38"/>
      <c r="AH3001" s="38"/>
    </row>
    <row r="3002" spans="3:34" ht="20.100000000000001" customHeight="1">
      <c r="C3002" s="113"/>
      <c r="D3002" s="114"/>
      <c r="P3002" s="82"/>
      <c r="Q3002" s="82"/>
      <c r="R3002" s="38"/>
      <c r="S3002" s="38"/>
      <c r="T3002" s="38"/>
      <c r="U3002" s="38"/>
      <c r="V3002" s="38"/>
      <c r="W3002" s="38"/>
      <c r="X3002" s="38"/>
      <c r="Y3002" s="38"/>
      <c r="Z3002" s="38"/>
      <c r="AA3002" s="38"/>
      <c r="AB3002" s="38"/>
      <c r="AC3002" s="38"/>
      <c r="AD3002" s="38"/>
      <c r="AE3002" s="38"/>
      <c r="AF3002" s="38"/>
      <c r="AG3002" s="38"/>
      <c r="AH3002" s="38"/>
    </row>
    <row r="3003" spans="3:34" ht="20.100000000000001" customHeight="1">
      <c r="C3003" s="113"/>
      <c r="D3003" s="114"/>
      <c r="P3003" s="82"/>
      <c r="Q3003" s="82"/>
      <c r="R3003" s="38"/>
      <c r="S3003" s="38"/>
      <c r="T3003" s="38"/>
      <c r="U3003" s="38"/>
      <c r="V3003" s="38"/>
      <c r="W3003" s="38"/>
      <c r="X3003" s="38"/>
      <c r="Y3003" s="38"/>
      <c r="Z3003" s="38"/>
      <c r="AA3003" s="38"/>
      <c r="AB3003" s="38"/>
      <c r="AC3003" s="38"/>
      <c r="AD3003" s="38"/>
      <c r="AE3003" s="38"/>
      <c r="AF3003" s="38"/>
      <c r="AG3003" s="38"/>
      <c r="AH3003" s="38"/>
    </row>
    <row r="3004" spans="3:34" ht="20.100000000000001" customHeight="1">
      <c r="C3004" s="113"/>
      <c r="D3004" s="114"/>
      <c r="P3004" s="82"/>
      <c r="Q3004" s="82"/>
      <c r="R3004" s="38"/>
      <c r="S3004" s="38"/>
      <c r="T3004" s="38"/>
      <c r="U3004" s="38"/>
      <c r="V3004" s="38"/>
      <c r="W3004" s="38"/>
      <c r="X3004" s="38"/>
      <c r="Y3004" s="38"/>
      <c r="Z3004" s="38"/>
      <c r="AA3004" s="38"/>
      <c r="AB3004" s="38"/>
      <c r="AC3004" s="38"/>
      <c r="AD3004" s="38"/>
      <c r="AE3004" s="38"/>
      <c r="AF3004" s="38"/>
      <c r="AG3004" s="38"/>
      <c r="AH3004" s="38"/>
    </row>
    <row r="3005" spans="3:34" ht="20.100000000000001" customHeight="1">
      <c r="C3005" s="113"/>
      <c r="D3005" s="114"/>
      <c r="P3005" s="82"/>
      <c r="Q3005" s="82"/>
      <c r="R3005" s="38"/>
      <c r="S3005" s="38"/>
      <c r="T3005" s="38"/>
      <c r="U3005" s="38"/>
      <c r="V3005" s="38"/>
      <c r="W3005" s="38"/>
      <c r="X3005" s="38"/>
      <c r="Y3005" s="38"/>
      <c r="Z3005" s="38"/>
      <c r="AA3005" s="38"/>
      <c r="AB3005" s="38"/>
      <c r="AC3005" s="38"/>
      <c r="AD3005" s="38"/>
      <c r="AE3005" s="38"/>
      <c r="AF3005" s="38"/>
      <c r="AG3005" s="38"/>
      <c r="AH3005" s="38"/>
    </row>
    <row r="3006" spans="3:34" ht="20.100000000000001" customHeight="1">
      <c r="C3006" s="113"/>
      <c r="D3006" s="114"/>
      <c r="P3006" s="82"/>
      <c r="Q3006" s="82"/>
      <c r="R3006" s="38"/>
      <c r="S3006" s="38"/>
      <c r="T3006" s="38"/>
      <c r="U3006" s="38"/>
      <c r="V3006" s="38"/>
      <c r="W3006" s="38"/>
      <c r="X3006" s="38"/>
      <c r="Y3006" s="38"/>
      <c r="Z3006" s="38"/>
      <c r="AA3006" s="38"/>
      <c r="AB3006" s="38"/>
      <c r="AC3006" s="38"/>
      <c r="AD3006" s="38"/>
      <c r="AE3006" s="38"/>
      <c r="AF3006" s="38"/>
      <c r="AG3006" s="38"/>
      <c r="AH3006" s="38"/>
    </row>
    <row r="3007" spans="3:34" ht="20.100000000000001" customHeight="1">
      <c r="C3007" s="113"/>
      <c r="D3007" s="114"/>
      <c r="P3007" s="82"/>
      <c r="Q3007" s="82"/>
      <c r="R3007" s="38"/>
      <c r="S3007" s="38"/>
      <c r="T3007" s="38"/>
      <c r="U3007" s="38"/>
      <c r="V3007" s="38"/>
      <c r="W3007" s="38"/>
      <c r="X3007" s="38"/>
      <c r="Y3007" s="38"/>
      <c r="Z3007" s="38"/>
      <c r="AA3007" s="38"/>
      <c r="AB3007" s="38"/>
      <c r="AC3007" s="38"/>
      <c r="AD3007" s="38"/>
      <c r="AE3007" s="38"/>
      <c r="AF3007" s="38"/>
      <c r="AG3007" s="38"/>
      <c r="AH3007" s="38"/>
    </row>
    <row r="3008" spans="3:34" ht="20.100000000000001" customHeight="1">
      <c r="C3008" s="113"/>
      <c r="D3008" s="114"/>
      <c r="P3008" s="82"/>
      <c r="Q3008" s="82"/>
      <c r="R3008" s="38"/>
      <c r="S3008" s="38"/>
      <c r="T3008" s="38"/>
      <c r="U3008" s="38"/>
      <c r="V3008" s="38"/>
      <c r="W3008" s="38"/>
      <c r="X3008" s="38"/>
      <c r="Y3008" s="38"/>
      <c r="Z3008" s="38"/>
      <c r="AA3008" s="38"/>
      <c r="AB3008" s="38"/>
      <c r="AC3008" s="38"/>
      <c r="AD3008" s="38"/>
      <c r="AE3008" s="38"/>
      <c r="AF3008" s="38"/>
      <c r="AG3008" s="38"/>
      <c r="AH3008" s="38"/>
    </row>
    <row r="3009" spans="3:34" ht="20.100000000000001" customHeight="1">
      <c r="C3009" s="113"/>
      <c r="D3009" s="114"/>
      <c r="P3009" s="82"/>
      <c r="Q3009" s="82"/>
      <c r="R3009" s="38"/>
      <c r="S3009" s="38"/>
      <c r="T3009" s="38"/>
      <c r="U3009" s="38"/>
      <c r="V3009" s="38"/>
      <c r="W3009" s="38"/>
      <c r="X3009" s="38"/>
      <c r="Y3009" s="38"/>
      <c r="Z3009" s="38"/>
      <c r="AA3009" s="38"/>
      <c r="AB3009" s="38"/>
      <c r="AC3009" s="38"/>
      <c r="AD3009" s="38"/>
      <c r="AE3009" s="38"/>
      <c r="AF3009" s="38"/>
      <c r="AG3009" s="38"/>
      <c r="AH3009" s="38"/>
    </row>
    <row r="3010" spans="3:34" ht="20.100000000000001" customHeight="1">
      <c r="C3010" s="113"/>
      <c r="D3010" s="114"/>
      <c r="P3010" s="82"/>
      <c r="Q3010" s="82"/>
      <c r="R3010" s="38"/>
      <c r="S3010" s="38"/>
      <c r="T3010" s="38"/>
      <c r="U3010" s="38"/>
      <c r="V3010" s="38"/>
      <c r="W3010" s="38"/>
      <c r="X3010" s="38"/>
      <c r="Y3010" s="38"/>
      <c r="Z3010" s="38"/>
      <c r="AA3010" s="38"/>
      <c r="AB3010" s="38"/>
      <c r="AC3010" s="38"/>
      <c r="AD3010" s="38"/>
      <c r="AE3010" s="38"/>
      <c r="AF3010" s="38"/>
      <c r="AG3010" s="38"/>
      <c r="AH3010" s="38"/>
    </row>
    <row r="3011" spans="3:34" ht="20.100000000000001" customHeight="1">
      <c r="C3011" s="113"/>
      <c r="D3011" s="114"/>
      <c r="P3011" s="82"/>
      <c r="Q3011" s="82"/>
      <c r="R3011" s="38"/>
      <c r="S3011" s="38"/>
      <c r="T3011" s="38"/>
      <c r="U3011" s="38"/>
      <c r="V3011" s="38"/>
      <c r="W3011" s="38"/>
      <c r="X3011" s="38"/>
      <c r="Y3011" s="38"/>
      <c r="Z3011" s="38"/>
      <c r="AA3011" s="38"/>
      <c r="AB3011" s="38"/>
      <c r="AC3011" s="38"/>
      <c r="AD3011" s="38"/>
      <c r="AE3011" s="38"/>
      <c r="AF3011" s="38"/>
      <c r="AG3011" s="38"/>
      <c r="AH3011" s="38"/>
    </row>
    <row r="3012" spans="3:34" ht="20.100000000000001" customHeight="1">
      <c r="C3012" s="113"/>
      <c r="D3012" s="114"/>
      <c r="P3012" s="82"/>
      <c r="Q3012" s="82"/>
      <c r="R3012" s="38"/>
      <c r="S3012" s="38"/>
      <c r="T3012" s="38"/>
      <c r="U3012" s="38"/>
      <c r="V3012" s="38"/>
      <c r="W3012" s="38"/>
      <c r="X3012" s="38"/>
      <c r="Y3012" s="38"/>
      <c r="Z3012" s="38"/>
      <c r="AA3012" s="38"/>
      <c r="AB3012" s="38"/>
      <c r="AC3012" s="38"/>
      <c r="AD3012" s="38"/>
      <c r="AE3012" s="38"/>
      <c r="AF3012" s="38"/>
      <c r="AG3012" s="38"/>
      <c r="AH3012" s="38"/>
    </row>
    <row r="3013" spans="3:34" ht="20.100000000000001" customHeight="1">
      <c r="C3013" s="113"/>
      <c r="D3013" s="114"/>
      <c r="P3013" s="82"/>
      <c r="Q3013" s="82"/>
      <c r="R3013" s="38"/>
      <c r="S3013" s="38"/>
      <c r="T3013" s="38"/>
      <c r="U3013" s="38"/>
      <c r="V3013" s="38"/>
      <c r="W3013" s="38"/>
      <c r="X3013" s="38"/>
      <c r="Y3013" s="38"/>
      <c r="Z3013" s="38"/>
      <c r="AA3013" s="38"/>
      <c r="AB3013" s="38"/>
      <c r="AC3013" s="38"/>
      <c r="AD3013" s="38"/>
      <c r="AE3013" s="38"/>
      <c r="AF3013" s="38"/>
      <c r="AG3013" s="38"/>
      <c r="AH3013" s="38"/>
    </row>
    <row r="3014" spans="3:34" ht="20.100000000000001" customHeight="1">
      <c r="C3014" s="113"/>
      <c r="D3014" s="114"/>
      <c r="P3014" s="82"/>
      <c r="Q3014" s="82"/>
      <c r="R3014" s="38"/>
      <c r="S3014" s="38"/>
      <c r="T3014" s="38"/>
      <c r="U3014" s="38"/>
      <c r="V3014" s="38"/>
      <c r="W3014" s="38"/>
      <c r="X3014" s="38"/>
      <c r="Y3014" s="38"/>
      <c r="Z3014" s="38"/>
      <c r="AA3014" s="38"/>
      <c r="AB3014" s="38"/>
      <c r="AC3014" s="38"/>
      <c r="AD3014" s="38"/>
      <c r="AE3014" s="38"/>
      <c r="AF3014" s="38"/>
      <c r="AG3014" s="38"/>
      <c r="AH3014" s="38"/>
    </row>
    <row r="3015" spans="3:34" ht="20.100000000000001" customHeight="1">
      <c r="C3015" s="113"/>
      <c r="D3015" s="114"/>
      <c r="P3015" s="82"/>
      <c r="Q3015" s="82"/>
      <c r="R3015" s="38"/>
      <c r="S3015" s="38"/>
      <c r="T3015" s="38"/>
      <c r="U3015" s="38"/>
      <c r="V3015" s="38"/>
      <c r="W3015" s="38"/>
      <c r="X3015" s="38"/>
      <c r="Y3015" s="38"/>
      <c r="Z3015" s="38"/>
      <c r="AA3015" s="38"/>
      <c r="AB3015" s="38"/>
      <c r="AC3015" s="38"/>
      <c r="AD3015" s="38"/>
      <c r="AE3015" s="38"/>
      <c r="AF3015" s="38"/>
      <c r="AG3015" s="38"/>
      <c r="AH3015" s="38"/>
    </row>
    <row r="3016" spans="3:34" ht="20.100000000000001" customHeight="1">
      <c r="C3016" s="113"/>
      <c r="D3016" s="114"/>
      <c r="P3016" s="82"/>
      <c r="Q3016" s="82"/>
      <c r="R3016" s="38"/>
      <c r="S3016" s="38"/>
      <c r="T3016" s="38"/>
      <c r="U3016" s="38"/>
      <c r="V3016" s="38"/>
      <c r="W3016" s="38"/>
      <c r="X3016" s="38"/>
      <c r="Y3016" s="38"/>
      <c r="Z3016" s="38"/>
      <c r="AA3016" s="38"/>
      <c r="AB3016" s="38"/>
      <c r="AC3016" s="38"/>
      <c r="AD3016" s="38"/>
      <c r="AE3016" s="38"/>
      <c r="AF3016" s="38"/>
      <c r="AG3016" s="38"/>
      <c r="AH3016" s="38"/>
    </row>
    <row r="3017" spans="3:34" ht="20.100000000000001" customHeight="1">
      <c r="C3017" s="113"/>
      <c r="D3017" s="114"/>
      <c r="P3017" s="82"/>
      <c r="Q3017" s="82"/>
      <c r="R3017" s="38"/>
      <c r="S3017" s="38"/>
      <c r="T3017" s="38"/>
      <c r="U3017" s="38"/>
      <c r="V3017" s="38"/>
      <c r="W3017" s="38"/>
      <c r="X3017" s="38"/>
      <c r="Y3017" s="38"/>
      <c r="Z3017" s="38"/>
      <c r="AA3017" s="38"/>
      <c r="AB3017" s="38"/>
      <c r="AC3017" s="38"/>
      <c r="AD3017" s="38"/>
      <c r="AE3017" s="38"/>
      <c r="AF3017" s="38"/>
      <c r="AG3017" s="38"/>
      <c r="AH3017" s="38"/>
    </row>
    <row r="3018" spans="3:34" ht="20.100000000000001" customHeight="1">
      <c r="C3018" s="113"/>
      <c r="D3018" s="114"/>
      <c r="P3018" s="82"/>
      <c r="Q3018" s="82"/>
      <c r="R3018" s="38"/>
      <c r="S3018" s="38"/>
      <c r="T3018" s="38"/>
      <c r="U3018" s="38"/>
      <c r="V3018" s="38"/>
      <c r="W3018" s="38"/>
      <c r="X3018" s="38"/>
      <c r="Y3018" s="38"/>
      <c r="Z3018" s="38"/>
      <c r="AA3018" s="38"/>
      <c r="AB3018" s="38"/>
      <c r="AC3018" s="38"/>
      <c r="AD3018" s="38"/>
      <c r="AE3018" s="38"/>
      <c r="AF3018" s="38"/>
      <c r="AG3018" s="38"/>
      <c r="AH3018" s="38"/>
    </row>
    <row r="3019" spans="3:34" ht="20.100000000000001" customHeight="1">
      <c r="C3019" s="113"/>
      <c r="D3019" s="114"/>
      <c r="P3019" s="82"/>
      <c r="Q3019" s="82"/>
      <c r="R3019" s="38"/>
      <c r="S3019" s="38"/>
      <c r="T3019" s="38"/>
      <c r="U3019" s="38"/>
      <c r="V3019" s="38"/>
      <c r="W3019" s="38"/>
      <c r="X3019" s="38"/>
      <c r="Y3019" s="38"/>
      <c r="Z3019" s="38"/>
      <c r="AA3019" s="38"/>
      <c r="AB3019" s="38"/>
      <c r="AC3019" s="38"/>
      <c r="AD3019" s="38"/>
      <c r="AE3019" s="38"/>
      <c r="AF3019" s="38"/>
      <c r="AG3019" s="38"/>
      <c r="AH3019" s="38"/>
    </row>
    <row r="3020" spans="3:34" ht="20.100000000000001" customHeight="1">
      <c r="C3020" s="113"/>
      <c r="D3020" s="114"/>
      <c r="P3020" s="82"/>
      <c r="Q3020" s="82"/>
      <c r="R3020" s="38"/>
      <c r="S3020" s="38"/>
      <c r="T3020" s="38"/>
      <c r="U3020" s="38"/>
      <c r="V3020" s="38"/>
      <c r="W3020" s="38"/>
      <c r="X3020" s="38"/>
      <c r="Y3020" s="38"/>
      <c r="Z3020" s="38"/>
      <c r="AA3020" s="38"/>
      <c r="AB3020" s="38"/>
      <c r="AC3020" s="38"/>
      <c r="AD3020" s="38"/>
      <c r="AE3020" s="38"/>
      <c r="AF3020" s="38"/>
      <c r="AG3020" s="38"/>
      <c r="AH3020" s="38"/>
    </row>
    <row r="3021" spans="3:34" ht="20.100000000000001" customHeight="1">
      <c r="C3021" s="113"/>
      <c r="D3021" s="114"/>
      <c r="P3021" s="82"/>
      <c r="Q3021" s="82"/>
      <c r="R3021" s="38"/>
      <c r="S3021" s="38"/>
      <c r="T3021" s="38"/>
      <c r="U3021" s="38"/>
      <c r="V3021" s="38"/>
      <c r="W3021" s="38"/>
      <c r="X3021" s="38"/>
      <c r="Y3021" s="38"/>
      <c r="Z3021" s="38"/>
      <c r="AA3021" s="38"/>
      <c r="AB3021" s="38"/>
      <c r="AC3021" s="38"/>
      <c r="AD3021" s="38"/>
      <c r="AE3021" s="38"/>
      <c r="AF3021" s="38"/>
      <c r="AG3021" s="38"/>
      <c r="AH3021" s="38"/>
    </row>
    <row r="3022" spans="3:34" ht="20.100000000000001" customHeight="1">
      <c r="C3022" s="113"/>
      <c r="D3022" s="114"/>
      <c r="P3022" s="82"/>
      <c r="Q3022" s="82"/>
      <c r="R3022" s="38"/>
      <c r="S3022" s="38"/>
      <c r="T3022" s="38"/>
      <c r="U3022" s="38"/>
      <c r="V3022" s="38"/>
      <c r="W3022" s="38"/>
      <c r="X3022" s="38"/>
      <c r="Y3022" s="38"/>
      <c r="Z3022" s="38"/>
      <c r="AA3022" s="38"/>
      <c r="AB3022" s="38"/>
      <c r="AC3022" s="38"/>
      <c r="AD3022" s="38"/>
      <c r="AE3022" s="38"/>
      <c r="AF3022" s="38"/>
      <c r="AG3022" s="38"/>
      <c r="AH3022" s="38"/>
    </row>
    <row r="3023" spans="3:34" ht="20.100000000000001" customHeight="1">
      <c r="C3023" s="113"/>
      <c r="D3023" s="114"/>
      <c r="P3023" s="82"/>
      <c r="Q3023" s="82"/>
      <c r="R3023" s="38"/>
      <c r="S3023" s="38"/>
      <c r="T3023" s="38"/>
      <c r="U3023" s="38"/>
      <c r="V3023" s="38"/>
      <c r="W3023" s="38"/>
      <c r="X3023" s="38"/>
      <c r="Y3023" s="38"/>
      <c r="Z3023" s="38"/>
      <c r="AA3023" s="38"/>
      <c r="AB3023" s="38"/>
      <c r="AC3023" s="38"/>
      <c r="AD3023" s="38"/>
      <c r="AE3023" s="38"/>
      <c r="AF3023" s="38"/>
      <c r="AG3023" s="38"/>
      <c r="AH3023" s="38"/>
    </row>
    <row r="3024" spans="3:34" ht="20.100000000000001" customHeight="1">
      <c r="C3024" s="113"/>
      <c r="D3024" s="114"/>
      <c r="P3024" s="82"/>
      <c r="Q3024" s="82"/>
      <c r="R3024" s="38"/>
      <c r="S3024" s="38"/>
      <c r="T3024" s="38"/>
      <c r="U3024" s="38"/>
      <c r="V3024" s="38"/>
      <c r="W3024" s="38"/>
      <c r="X3024" s="38"/>
      <c r="Y3024" s="38"/>
      <c r="Z3024" s="38"/>
      <c r="AA3024" s="38"/>
      <c r="AB3024" s="38"/>
      <c r="AC3024" s="38"/>
      <c r="AD3024" s="38"/>
      <c r="AE3024" s="38"/>
      <c r="AF3024" s="38"/>
      <c r="AG3024" s="38"/>
      <c r="AH3024" s="38"/>
    </row>
    <row r="3025" spans="3:34" ht="20.100000000000001" customHeight="1">
      <c r="C3025" s="113"/>
      <c r="D3025" s="114"/>
      <c r="P3025" s="82"/>
      <c r="Q3025" s="82"/>
      <c r="R3025" s="38"/>
      <c r="S3025" s="38"/>
      <c r="T3025" s="38"/>
      <c r="U3025" s="38"/>
      <c r="V3025" s="38"/>
      <c r="W3025" s="38"/>
      <c r="X3025" s="38"/>
      <c r="Y3025" s="38"/>
      <c r="Z3025" s="38"/>
      <c r="AA3025" s="38"/>
      <c r="AB3025" s="38"/>
      <c r="AC3025" s="38"/>
      <c r="AD3025" s="38"/>
      <c r="AE3025" s="38"/>
      <c r="AF3025" s="38"/>
      <c r="AG3025" s="38"/>
      <c r="AH3025" s="38"/>
    </row>
    <row r="3026" spans="3:34" ht="20.100000000000001" customHeight="1">
      <c r="C3026" s="113"/>
      <c r="D3026" s="114"/>
      <c r="P3026" s="82"/>
      <c r="Q3026" s="82"/>
      <c r="R3026" s="38"/>
      <c r="S3026" s="38"/>
      <c r="T3026" s="38"/>
      <c r="U3026" s="38"/>
      <c r="V3026" s="38"/>
      <c r="W3026" s="38"/>
      <c r="X3026" s="38"/>
      <c r="Y3026" s="38"/>
      <c r="Z3026" s="38"/>
      <c r="AA3026" s="38"/>
      <c r="AB3026" s="38"/>
      <c r="AC3026" s="38"/>
      <c r="AD3026" s="38"/>
      <c r="AE3026" s="38"/>
      <c r="AF3026" s="38"/>
      <c r="AG3026" s="38"/>
      <c r="AH3026" s="38"/>
    </row>
    <row r="3027" spans="3:34" ht="20.100000000000001" customHeight="1">
      <c r="C3027" s="113"/>
      <c r="D3027" s="114"/>
      <c r="P3027" s="82"/>
      <c r="Q3027" s="82"/>
      <c r="R3027" s="38"/>
      <c r="S3027" s="38"/>
      <c r="T3027" s="38"/>
      <c r="U3027" s="38"/>
      <c r="V3027" s="38"/>
      <c r="W3027" s="38"/>
      <c r="X3027" s="38"/>
      <c r="Y3027" s="38"/>
      <c r="Z3027" s="38"/>
      <c r="AA3027" s="38"/>
      <c r="AB3027" s="38"/>
      <c r="AC3027" s="38"/>
      <c r="AD3027" s="38"/>
      <c r="AE3027" s="38"/>
      <c r="AF3027" s="38"/>
      <c r="AG3027" s="38"/>
      <c r="AH3027" s="38"/>
    </row>
    <row r="3028" spans="3:34" ht="20.100000000000001" customHeight="1">
      <c r="C3028" s="113"/>
      <c r="D3028" s="114"/>
      <c r="P3028" s="82"/>
      <c r="Q3028" s="82"/>
      <c r="R3028" s="38"/>
      <c r="S3028" s="38"/>
      <c r="T3028" s="38"/>
      <c r="U3028" s="38"/>
      <c r="V3028" s="38"/>
      <c r="W3028" s="38"/>
      <c r="X3028" s="38"/>
      <c r="Y3028" s="38"/>
      <c r="Z3028" s="38"/>
      <c r="AA3028" s="38"/>
      <c r="AB3028" s="38"/>
      <c r="AC3028" s="38"/>
      <c r="AD3028" s="38"/>
      <c r="AE3028" s="38"/>
      <c r="AF3028" s="38"/>
      <c r="AG3028" s="38"/>
      <c r="AH3028" s="38"/>
    </row>
    <row r="3029" spans="3:34" ht="20.100000000000001" customHeight="1">
      <c r="C3029" s="113"/>
      <c r="D3029" s="114"/>
      <c r="P3029" s="82"/>
      <c r="Q3029" s="82"/>
      <c r="R3029" s="38"/>
      <c r="S3029" s="38"/>
      <c r="T3029" s="38"/>
      <c r="U3029" s="38"/>
      <c r="V3029" s="38"/>
      <c r="W3029" s="38"/>
      <c r="X3029" s="38"/>
      <c r="Y3029" s="38"/>
      <c r="Z3029" s="38"/>
      <c r="AA3029" s="38"/>
      <c r="AB3029" s="38"/>
      <c r="AC3029" s="38"/>
      <c r="AD3029" s="38"/>
      <c r="AE3029" s="38"/>
      <c r="AF3029" s="38"/>
      <c r="AG3029" s="38"/>
      <c r="AH3029" s="38"/>
    </row>
    <row r="3030" spans="3:34" ht="20.100000000000001" customHeight="1">
      <c r="C3030" s="113"/>
      <c r="D3030" s="114"/>
      <c r="P3030" s="82"/>
      <c r="Q3030" s="82"/>
      <c r="R3030" s="38"/>
      <c r="S3030" s="38"/>
      <c r="T3030" s="38"/>
      <c r="U3030" s="38"/>
      <c r="V3030" s="38"/>
      <c r="W3030" s="38"/>
      <c r="X3030" s="38"/>
      <c r="Y3030" s="38"/>
      <c r="Z3030" s="38"/>
      <c r="AA3030" s="38"/>
      <c r="AB3030" s="38"/>
      <c r="AC3030" s="38"/>
      <c r="AD3030" s="38"/>
      <c r="AE3030" s="38"/>
      <c r="AF3030" s="38"/>
      <c r="AG3030" s="38"/>
      <c r="AH3030" s="38"/>
    </row>
    <row r="3031" spans="3:34" ht="20.100000000000001" customHeight="1">
      <c r="C3031" s="113"/>
      <c r="D3031" s="114"/>
      <c r="P3031" s="82"/>
      <c r="Q3031" s="82"/>
      <c r="R3031" s="38"/>
      <c r="S3031" s="38"/>
      <c r="T3031" s="38"/>
      <c r="U3031" s="38"/>
      <c r="V3031" s="38"/>
      <c r="W3031" s="38"/>
      <c r="X3031" s="38"/>
      <c r="Y3031" s="38"/>
      <c r="Z3031" s="38"/>
      <c r="AA3031" s="38"/>
      <c r="AB3031" s="38"/>
      <c r="AC3031" s="38"/>
      <c r="AD3031" s="38"/>
      <c r="AE3031" s="38"/>
      <c r="AF3031" s="38"/>
      <c r="AG3031" s="38"/>
      <c r="AH3031" s="38"/>
    </row>
    <row r="3032" spans="3:34" ht="20.100000000000001" customHeight="1">
      <c r="C3032" s="113"/>
      <c r="D3032" s="114"/>
      <c r="P3032" s="82"/>
      <c r="Q3032" s="82"/>
      <c r="R3032" s="38"/>
      <c r="S3032" s="38"/>
      <c r="T3032" s="38"/>
      <c r="U3032" s="38"/>
      <c r="V3032" s="38"/>
      <c r="W3032" s="38"/>
      <c r="X3032" s="38"/>
      <c r="Y3032" s="38"/>
      <c r="Z3032" s="38"/>
      <c r="AA3032" s="38"/>
      <c r="AB3032" s="38"/>
      <c r="AC3032" s="38"/>
      <c r="AD3032" s="38"/>
      <c r="AE3032" s="38"/>
      <c r="AF3032" s="38"/>
      <c r="AG3032" s="38"/>
      <c r="AH3032" s="38"/>
    </row>
    <row r="3033" spans="3:34" ht="20.100000000000001" customHeight="1">
      <c r="C3033" s="113"/>
      <c r="D3033" s="114"/>
      <c r="P3033" s="82"/>
      <c r="Q3033" s="82"/>
      <c r="R3033" s="38"/>
      <c r="S3033" s="38"/>
      <c r="T3033" s="38"/>
      <c r="U3033" s="38"/>
      <c r="V3033" s="38"/>
      <c r="W3033" s="38"/>
      <c r="X3033" s="38"/>
      <c r="Y3033" s="38"/>
      <c r="Z3033" s="38"/>
      <c r="AA3033" s="38"/>
      <c r="AB3033" s="38"/>
      <c r="AC3033" s="38"/>
      <c r="AD3033" s="38"/>
      <c r="AE3033" s="38"/>
      <c r="AF3033" s="38"/>
      <c r="AG3033" s="38"/>
      <c r="AH3033" s="38"/>
    </row>
    <row r="3034" spans="3:34" ht="20.100000000000001" customHeight="1">
      <c r="C3034" s="113"/>
      <c r="D3034" s="114"/>
      <c r="P3034" s="82"/>
      <c r="Q3034" s="82"/>
      <c r="R3034" s="38"/>
      <c r="S3034" s="38"/>
      <c r="T3034" s="38"/>
      <c r="U3034" s="38"/>
      <c r="V3034" s="38"/>
      <c r="W3034" s="38"/>
      <c r="X3034" s="38"/>
      <c r="Y3034" s="38"/>
      <c r="Z3034" s="38"/>
      <c r="AA3034" s="38"/>
      <c r="AB3034" s="38"/>
      <c r="AC3034" s="38"/>
      <c r="AD3034" s="38"/>
      <c r="AE3034" s="38"/>
      <c r="AF3034" s="38"/>
      <c r="AG3034" s="38"/>
      <c r="AH3034" s="38"/>
    </row>
    <row r="3035" spans="3:34" ht="20.100000000000001" customHeight="1">
      <c r="C3035" s="113"/>
      <c r="D3035" s="114"/>
      <c r="P3035" s="82"/>
      <c r="Q3035" s="82"/>
      <c r="R3035" s="38"/>
      <c r="S3035" s="38"/>
      <c r="T3035" s="38"/>
      <c r="U3035" s="38"/>
      <c r="V3035" s="38"/>
      <c r="W3035" s="38"/>
      <c r="X3035" s="38"/>
      <c r="Y3035" s="38"/>
      <c r="Z3035" s="38"/>
      <c r="AA3035" s="38"/>
      <c r="AB3035" s="38"/>
      <c r="AC3035" s="38"/>
      <c r="AD3035" s="38"/>
      <c r="AE3035" s="38"/>
      <c r="AF3035" s="38"/>
      <c r="AG3035" s="38"/>
      <c r="AH3035" s="38"/>
    </row>
    <row r="3036" spans="3:34" ht="20.100000000000001" customHeight="1">
      <c r="C3036" s="113"/>
      <c r="D3036" s="114"/>
      <c r="P3036" s="82"/>
      <c r="Q3036" s="82"/>
      <c r="R3036" s="38"/>
      <c r="S3036" s="38"/>
      <c r="T3036" s="38"/>
      <c r="U3036" s="38"/>
      <c r="V3036" s="38"/>
      <c r="W3036" s="38"/>
      <c r="X3036" s="38"/>
      <c r="Y3036" s="38"/>
      <c r="Z3036" s="38"/>
      <c r="AA3036" s="38"/>
      <c r="AB3036" s="38"/>
      <c r="AC3036" s="38"/>
      <c r="AD3036" s="38"/>
      <c r="AE3036" s="38"/>
      <c r="AF3036" s="38"/>
      <c r="AG3036" s="38"/>
      <c r="AH3036" s="38"/>
    </row>
    <row r="3037" spans="3:34" ht="20.100000000000001" customHeight="1">
      <c r="C3037" s="113"/>
      <c r="D3037" s="114"/>
      <c r="P3037" s="82"/>
      <c r="Q3037" s="82"/>
      <c r="R3037" s="38"/>
      <c r="S3037" s="38"/>
      <c r="T3037" s="38"/>
      <c r="U3037" s="38"/>
      <c r="V3037" s="38"/>
      <c r="W3037" s="38"/>
      <c r="X3037" s="38"/>
      <c r="Y3037" s="38"/>
      <c r="Z3037" s="38"/>
      <c r="AA3037" s="38"/>
      <c r="AB3037" s="38"/>
      <c r="AC3037" s="38"/>
      <c r="AD3037" s="38"/>
      <c r="AE3037" s="38"/>
      <c r="AF3037" s="38"/>
      <c r="AG3037" s="38"/>
      <c r="AH3037" s="38"/>
    </row>
    <row r="3038" spans="3:34" ht="20.100000000000001" customHeight="1">
      <c r="C3038" s="113"/>
      <c r="D3038" s="114"/>
      <c r="P3038" s="82"/>
      <c r="Q3038" s="82"/>
      <c r="R3038" s="38"/>
      <c r="S3038" s="38"/>
      <c r="T3038" s="38"/>
      <c r="U3038" s="38"/>
      <c r="V3038" s="38"/>
      <c r="W3038" s="38"/>
      <c r="X3038" s="38"/>
      <c r="Y3038" s="38"/>
      <c r="Z3038" s="38"/>
      <c r="AA3038" s="38"/>
      <c r="AB3038" s="38"/>
      <c r="AC3038" s="38"/>
      <c r="AD3038" s="38"/>
      <c r="AE3038" s="38"/>
      <c r="AF3038" s="38"/>
      <c r="AG3038" s="38"/>
      <c r="AH3038" s="38"/>
    </row>
    <row r="3039" spans="3:34" ht="20.100000000000001" customHeight="1">
      <c r="C3039" s="113"/>
      <c r="D3039" s="114"/>
      <c r="P3039" s="82"/>
      <c r="Q3039" s="82"/>
      <c r="R3039" s="38"/>
      <c r="S3039" s="38"/>
      <c r="T3039" s="38"/>
      <c r="U3039" s="38"/>
      <c r="V3039" s="38"/>
      <c r="W3039" s="38"/>
      <c r="X3039" s="38"/>
      <c r="Y3039" s="38"/>
      <c r="Z3039" s="38"/>
      <c r="AA3039" s="38"/>
      <c r="AB3039" s="38"/>
      <c r="AC3039" s="38"/>
      <c r="AD3039" s="38"/>
      <c r="AE3039" s="38"/>
      <c r="AF3039" s="38"/>
      <c r="AG3039" s="38"/>
      <c r="AH3039" s="38"/>
    </row>
    <row r="3040" spans="3:34" ht="20.100000000000001" customHeight="1">
      <c r="C3040" s="113"/>
      <c r="D3040" s="114"/>
      <c r="P3040" s="82"/>
      <c r="Q3040" s="82"/>
      <c r="R3040" s="38"/>
      <c r="S3040" s="38"/>
      <c r="T3040" s="38"/>
      <c r="U3040" s="38"/>
      <c r="V3040" s="38"/>
      <c r="W3040" s="38"/>
      <c r="X3040" s="38"/>
      <c r="Y3040" s="38"/>
      <c r="Z3040" s="38"/>
      <c r="AA3040" s="38"/>
      <c r="AB3040" s="38"/>
      <c r="AC3040" s="38"/>
      <c r="AD3040" s="38"/>
      <c r="AE3040" s="38"/>
      <c r="AF3040" s="38"/>
      <c r="AG3040" s="38"/>
      <c r="AH3040" s="38"/>
    </row>
    <row r="3041" spans="3:34" ht="20.100000000000001" customHeight="1">
      <c r="C3041" s="113"/>
      <c r="D3041" s="114"/>
      <c r="P3041" s="82"/>
      <c r="Q3041" s="82"/>
      <c r="R3041" s="38"/>
      <c r="S3041" s="38"/>
      <c r="T3041" s="38"/>
      <c r="U3041" s="38"/>
      <c r="V3041" s="38"/>
      <c r="W3041" s="38"/>
      <c r="X3041" s="38"/>
      <c r="Y3041" s="38"/>
      <c r="Z3041" s="38"/>
      <c r="AA3041" s="38"/>
      <c r="AB3041" s="38"/>
      <c r="AC3041" s="38"/>
      <c r="AD3041" s="38"/>
      <c r="AE3041" s="38"/>
      <c r="AF3041" s="38"/>
      <c r="AG3041" s="38"/>
      <c r="AH3041" s="38"/>
    </row>
    <row r="3042" spans="3:34" ht="20.100000000000001" customHeight="1">
      <c r="C3042" s="113"/>
      <c r="D3042" s="114"/>
      <c r="P3042" s="82"/>
      <c r="Q3042" s="82"/>
      <c r="R3042" s="38"/>
      <c r="S3042" s="38"/>
      <c r="T3042" s="38"/>
      <c r="U3042" s="38"/>
      <c r="V3042" s="38"/>
      <c r="W3042" s="38"/>
      <c r="X3042" s="38"/>
      <c r="Y3042" s="38"/>
      <c r="Z3042" s="38"/>
      <c r="AA3042" s="38"/>
      <c r="AB3042" s="38"/>
      <c r="AC3042" s="38"/>
      <c r="AD3042" s="38"/>
      <c r="AE3042" s="38"/>
      <c r="AF3042" s="38"/>
      <c r="AG3042" s="38"/>
      <c r="AH3042" s="38"/>
    </row>
    <row r="3043" spans="3:34" ht="20.100000000000001" customHeight="1">
      <c r="C3043" s="113"/>
      <c r="D3043" s="114"/>
      <c r="P3043" s="82"/>
      <c r="Q3043" s="82"/>
      <c r="R3043" s="38"/>
      <c r="S3043" s="38"/>
      <c r="T3043" s="38"/>
      <c r="U3043" s="38"/>
      <c r="V3043" s="38"/>
      <c r="W3043" s="38"/>
      <c r="X3043" s="38"/>
      <c r="Y3043" s="38"/>
      <c r="Z3043" s="38"/>
      <c r="AA3043" s="38"/>
      <c r="AB3043" s="38"/>
      <c r="AC3043" s="38"/>
      <c r="AD3043" s="38"/>
      <c r="AE3043" s="38"/>
      <c r="AF3043" s="38"/>
      <c r="AG3043" s="38"/>
      <c r="AH3043" s="38"/>
    </row>
    <row r="3044" spans="3:34" ht="20.100000000000001" customHeight="1">
      <c r="C3044" s="113"/>
      <c r="D3044" s="114"/>
      <c r="P3044" s="82"/>
      <c r="Q3044" s="82"/>
      <c r="R3044" s="38"/>
      <c r="S3044" s="38"/>
      <c r="T3044" s="38"/>
      <c r="U3044" s="38"/>
      <c r="V3044" s="38"/>
      <c r="W3044" s="38"/>
      <c r="X3044" s="38"/>
      <c r="Y3044" s="38"/>
      <c r="Z3044" s="38"/>
      <c r="AA3044" s="38"/>
      <c r="AB3044" s="38"/>
      <c r="AC3044" s="38"/>
      <c r="AD3044" s="38"/>
      <c r="AE3044" s="38"/>
      <c r="AF3044" s="38"/>
      <c r="AG3044" s="38"/>
      <c r="AH3044" s="38"/>
    </row>
    <row r="3045" spans="3:34" ht="20.100000000000001" customHeight="1">
      <c r="C3045" s="113"/>
      <c r="D3045" s="114"/>
      <c r="P3045" s="82"/>
      <c r="Q3045" s="82"/>
      <c r="R3045" s="38"/>
      <c r="S3045" s="38"/>
      <c r="T3045" s="38"/>
      <c r="U3045" s="38"/>
      <c r="V3045" s="38"/>
      <c r="W3045" s="38"/>
      <c r="X3045" s="38"/>
      <c r="Y3045" s="38"/>
      <c r="Z3045" s="38"/>
      <c r="AA3045" s="38"/>
      <c r="AB3045" s="38"/>
      <c r="AC3045" s="38"/>
      <c r="AD3045" s="38"/>
      <c r="AE3045" s="38"/>
      <c r="AF3045" s="38"/>
      <c r="AG3045" s="38"/>
      <c r="AH3045" s="38"/>
    </row>
    <row r="3046" spans="3:34" ht="20.100000000000001" customHeight="1">
      <c r="C3046" s="113"/>
      <c r="D3046" s="114"/>
      <c r="P3046" s="82"/>
      <c r="Q3046" s="82"/>
      <c r="R3046" s="38"/>
      <c r="S3046" s="38"/>
      <c r="T3046" s="38"/>
      <c r="U3046" s="38"/>
      <c r="V3046" s="38"/>
      <c r="W3046" s="38"/>
      <c r="X3046" s="38"/>
      <c r="Y3046" s="38"/>
      <c r="Z3046" s="38"/>
      <c r="AA3046" s="38"/>
      <c r="AB3046" s="38"/>
      <c r="AC3046" s="38"/>
      <c r="AD3046" s="38"/>
      <c r="AE3046" s="38"/>
      <c r="AF3046" s="38"/>
      <c r="AG3046" s="38"/>
      <c r="AH3046" s="38"/>
    </row>
    <row r="3047" spans="3:34" ht="20.100000000000001" customHeight="1">
      <c r="C3047" s="113"/>
      <c r="D3047" s="114"/>
      <c r="P3047" s="82"/>
      <c r="Q3047" s="82"/>
      <c r="R3047" s="38"/>
      <c r="S3047" s="38"/>
      <c r="T3047" s="38"/>
      <c r="U3047" s="38"/>
      <c r="V3047" s="38"/>
      <c r="W3047" s="38"/>
      <c r="X3047" s="38"/>
      <c r="Y3047" s="38"/>
      <c r="Z3047" s="38"/>
      <c r="AA3047" s="38"/>
      <c r="AB3047" s="38"/>
      <c r="AC3047" s="38"/>
      <c r="AD3047" s="38"/>
      <c r="AE3047" s="38"/>
      <c r="AF3047" s="38"/>
      <c r="AG3047" s="38"/>
      <c r="AH3047" s="38"/>
    </row>
    <row r="3048" spans="3:34" ht="20.100000000000001" customHeight="1">
      <c r="C3048" s="113"/>
      <c r="D3048" s="114"/>
      <c r="P3048" s="82"/>
      <c r="Q3048" s="82"/>
      <c r="R3048" s="38"/>
      <c r="S3048" s="38"/>
      <c r="T3048" s="38"/>
      <c r="U3048" s="38"/>
      <c r="V3048" s="38"/>
      <c r="W3048" s="38"/>
      <c r="X3048" s="38"/>
      <c r="Y3048" s="38"/>
      <c r="Z3048" s="38"/>
      <c r="AA3048" s="38"/>
      <c r="AB3048" s="38"/>
      <c r="AC3048" s="38"/>
      <c r="AD3048" s="38"/>
      <c r="AE3048" s="38"/>
      <c r="AF3048" s="38"/>
      <c r="AG3048" s="38"/>
      <c r="AH3048" s="38"/>
    </row>
    <row r="3049" spans="3:34" ht="20.100000000000001" customHeight="1">
      <c r="C3049" s="113"/>
      <c r="D3049" s="114"/>
      <c r="P3049" s="82"/>
      <c r="Q3049" s="82"/>
      <c r="R3049" s="38"/>
      <c r="S3049" s="38"/>
      <c r="T3049" s="38"/>
      <c r="U3049" s="38"/>
      <c r="V3049" s="38"/>
      <c r="W3049" s="38"/>
      <c r="X3049" s="38"/>
      <c r="Y3049" s="38"/>
      <c r="Z3049" s="38"/>
      <c r="AA3049" s="38"/>
      <c r="AB3049" s="38"/>
      <c r="AC3049" s="38"/>
      <c r="AD3049" s="38"/>
      <c r="AE3049" s="38"/>
      <c r="AF3049" s="38"/>
      <c r="AG3049" s="38"/>
      <c r="AH3049" s="38"/>
    </row>
    <row r="3050" spans="3:34" ht="20.100000000000001" customHeight="1">
      <c r="C3050" s="113"/>
      <c r="D3050" s="114"/>
      <c r="P3050" s="82"/>
      <c r="Q3050" s="82"/>
      <c r="R3050" s="38"/>
      <c r="S3050" s="38"/>
      <c r="T3050" s="38"/>
      <c r="U3050" s="38"/>
      <c r="V3050" s="38"/>
      <c r="W3050" s="38"/>
      <c r="X3050" s="38"/>
      <c r="Y3050" s="38"/>
      <c r="Z3050" s="38"/>
      <c r="AA3050" s="38"/>
      <c r="AB3050" s="38"/>
      <c r="AC3050" s="38"/>
      <c r="AD3050" s="38"/>
      <c r="AE3050" s="38"/>
      <c r="AF3050" s="38"/>
      <c r="AG3050" s="38"/>
      <c r="AH3050" s="38"/>
    </row>
    <row r="3051" spans="3:34" ht="20.100000000000001" customHeight="1">
      <c r="C3051" s="113"/>
      <c r="D3051" s="114"/>
      <c r="P3051" s="82"/>
      <c r="Q3051" s="82"/>
      <c r="R3051" s="38"/>
      <c r="S3051" s="38"/>
      <c r="T3051" s="38"/>
      <c r="U3051" s="38"/>
      <c r="V3051" s="38"/>
      <c r="W3051" s="38"/>
      <c r="X3051" s="38"/>
      <c r="Y3051" s="38"/>
      <c r="Z3051" s="38"/>
      <c r="AA3051" s="38"/>
      <c r="AB3051" s="38"/>
      <c r="AC3051" s="38"/>
      <c r="AD3051" s="38"/>
      <c r="AE3051" s="38"/>
      <c r="AF3051" s="38"/>
      <c r="AG3051" s="38"/>
      <c r="AH3051" s="38"/>
    </row>
    <row r="3052" spans="3:34" ht="20.100000000000001" customHeight="1">
      <c r="C3052" s="113"/>
      <c r="D3052" s="114"/>
      <c r="P3052" s="82"/>
      <c r="Q3052" s="82"/>
      <c r="R3052" s="38"/>
      <c r="S3052" s="38"/>
      <c r="T3052" s="38"/>
      <c r="U3052" s="38"/>
      <c r="V3052" s="38"/>
      <c r="W3052" s="38"/>
      <c r="X3052" s="38"/>
      <c r="Y3052" s="38"/>
      <c r="Z3052" s="38"/>
      <c r="AA3052" s="38"/>
      <c r="AB3052" s="38"/>
      <c r="AC3052" s="38"/>
      <c r="AD3052" s="38"/>
      <c r="AE3052" s="38"/>
      <c r="AF3052" s="38"/>
      <c r="AG3052" s="38"/>
      <c r="AH3052" s="38"/>
    </row>
    <row r="3053" spans="3:34" ht="20.100000000000001" customHeight="1">
      <c r="C3053" s="113"/>
      <c r="D3053" s="114"/>
      <c r="P3053" s="82"/>
      <c r="Q3053" s="82"/>
      <c r="R3053" s="38"/>
      <c r="S3053" s="38"/>
      <c r="T3053" s="38"/>
      <c r="U3053" s="38"/>
      <c r="V3053" s="38"/>
      <c r="W3053" s="38"/>
      <c r="X3053" s="38"/>
      <c r="Y3053" s="38"/>
      <c r="Z3053" s="38"/>
      <c r="AA3053" s="38"/>
      <c r="AB3053" s="38"/>
      <c r="AC3053" s="38"/>
      <c r="AD3053" s="38"/>
      <c r="AE3053" s="38"/>
      <c r="AF3053" s="38"/>
      <c r="AG3053" s="38"/>
      <c r="AH3053" s="38"/>
    </row>
    <row r="3054" spans="3:34" ht="20.100000000000001" customHeight="1">
      <c r="C3054" s="113"/>
      <c r="D3054" s="114"/>
      <c r="P3054" s="82"/>
      <c r="Q3054" s="82"/>
      <c r="R3054" s="38"/>
      <c r="S3054" s="38"/>
      <c r="T3054" s="38"/>
      <c r="U3054" s="38"/>
      <c r="V3054" s="38"/>
      <c r="W3054" s="38"/>
      <c r="X3054" s="38"/>
      <c r="Y3054" s="38"/>
      <c r="Z3054" s="38"/>
      <c r="AA3054" s="38"/>
      <c r="AB3054" s="38"/>
      <c r="AC3054" s="38"/>
      <c r="AD3054" s="38"/>
      <c r="AE3054" s="38"/>
      <c r="AF3054" s="38"/>
      <c r="AG3054" s="38"/>
      <c r="AH3054" s="38"/>
    </row>
    <row r="3055" spans="3:34" ht="20.100000000000001" customHeight="1">
      <c r="C3055" s="113"/>
      <c r="D3055" s="114"/>
      <c r="P3055" s="82"/>
      <c r="Q3055" s="82"/>
      <c r="R3055" s="38"/>
      <c r="S3055" s="38"/>
      <c r="T3055" s="38"/>
      <c r="U3055" s="38"/>
      <c r="V3055" s="38"/>
      <c r="W3055" s="38"/>
      <c r="X3055" s="38"/>
      <c r="Y3055" s="38"/>
      <c r="Z3055" s="38"/>
      <c r="AA3055" s="38"/>
      <c r="AB3055" s="38"/>
      <c r="AC3055" s="38"/>
      <c r="AD3055" s="38"/>
      <c r="AE3055" s="38"/>
      <c r="AF3055" s="38"/>
      <c r="AG3055" s="38"/>
      <c r="AH3055" s="38"/>
    </row>
    <row r="3056" spans="3:34" ht="20.100000000000001" customHeight="1">
      <c r="C3056" s="113"/>
      <c r="D3056" s="114"/>
      <c r="P3056" s="82"/>
      <c r="Q3056" s="82"/>
      <c r="R3056" s="38"/>
      <c r="S3056" s="38"/>
      <c r="T3056" s="38"/>
      <c r="U3056" s="38"/>
      <c r="V3056" s="38"/>
      <c r="W3056" s="38"/>
      <c r="X3056" s="38"/>
      <c r="Y3056" s="38"/>
      <c r="Z3056" s="38"/>
      <c r="AA3056" s="38"/>
      <c r="AB3056" s="38"/>
      <c r="AC3056" s="38"/>
      <c r="AD3056" s="38"/>
      <c r="AE3056" s="38"/>
      <c r="AF3056" s="38"/>
      <c r="AG3056" s="38"/>
      <c r="AH3056" s="38"/>
    </row>
    <row r="3057" spans="3:34" ht="20.100000000000001" customHeight="1">
      <c r="C3057" s="113"/>
      <c r="D3057" s="114"/>
      <c r="P3057" s="82"/>
      <c r="Q3057" s="82"/>
      <c r="R3057" s="38"/>
      <c r="S3057" s="38"/>
      <c r="T3057" s="38"/>
      <c r="U3057" s="38"/>
      <c r="V3057" s="38"/>
      <c r="W3057" s="38"/>
      <c r="X3057" s="38"/>
      <c r="Y3057" s="38"/>
      <c r="Z3057" s="38"/>
      <c r="AA3057" s="38"/>
      <c r="AB3057" s="38"/>
      <c r="AC3057" s="38"/>
      <c r="AD3057" s="38"/>
      <c r="AE3057" s="38"/>
      <c r="AF3057" s="38"/>
      <c r="AG3057" s="38"/>
      <c r="AH3057" s="38"/>
    </row>
    <row r="3058" spans="3:34" ht="20.100000000000001" customHeight="1">
      <c r="C3058" s="113"/>
      <c r="D3058" s="114"/>
      <c r="P3058" s="82"/>
      <c r="Q3058" s="82"/>
      <c r="R3058" s="38"/>
      <c r="S3058" s="38"/>
      <c r="T3058" s="38"/>
      <c r="U3058" s="38"/>
      <c r="V3058" s="38"/>
      <c r="W3058" s="38"/>
      <c r="X3058" s="38"/>
      <c r="Y3058" s="38"/>
      <c r="Z3058" s="38"/>
      <c r="AA3058" s="38"/>
      <c r="AB3058" s="38"/>
      <c r="AC3058" s="38"/>
      <c r="AD3058" s="38"/>
      <c r="AE3058" s="38"/>
      <c r="AF3058" s="38"/>
      <c r="AG3058" s="38"/>
      <c r="AH3058" s="38"/>
    </row>
    <row r="3059" spans="3:34" ht="20.100000000000001" customHeight="1">
      <c r="C3059" s="113"/>
      <c r="D3059" s="114"/>
      <c r="P3059" s="82"/>
      <c r="Q3059" s="82"/>
      <c r="R3059" s="38"/>
      <c r="S3059" s="38"/>
      <c r="T3059" s="38"/>
      <c r="U3059" s="38"/>
      <c r="V3059" s="38"/>
      <c r="W3059" s="38"/>
      <c r="X3059" s="38"/>
      <c r="Y3059" s="38"/>
      <c r="Z3059" s="38"/>
      <c r="AA3059" s="38"/>
      <c r="AB3059" s="38"/>
      <c r="AC3059" s="38"/>
      <c r="AD3059" s="38"/>
      <c r="AE3059" s="38"/>
      <c r="AF3059" s="38"/>
      <c r="AG3059" s="38"/>
      <c r="AH3059" s="38"/>
    </row>
    <row r="3060" spans="3:34" ht="20.100000000000001" customHeight="1">
      <c r="C3060" s="113"/>
      <c r="D3060" s="114"/>
      <c r="P3060" s="82"/>
      <c r="Q3060" s="82"/>
      <c r="R3060" s="38"/>
      <c r="S3060" s="38"/>
      <c r="T3060" s="38"/>
      <c r="U3060" s="38"/>
      <c r="V3060" s="38"/>
      <c r="W3060" s="38"/>
      <c r="X3060" s="38"/>
      <c r="Y3060" s="38"/>
      <c r="Z3060" s="38"/>
      <c r="AA3060" s="38"/>
      <c r="AB3060" s="38"/>
      <c r="AC3060" s="38"/>
      <c r="AD3060" s="38"/>
      <c r="AE3060" s="38"/>
      <c r="AF3060" s="38"/>
      <c r="AG3060" s="38"/>
      <c r="AH3060" s="38"/>
    </row>
    <row r="3061" spans="3:34" ht="20.100000000000001" customHeight="1">
      <c r="C3061" s="113"/>
      <c r="D3061" s="114"/>
      <c r="P3061" s="82"/>
      <c r="Q3061" s="82"/>
      <c r="R3061" s="38"/>
      <c r="S3061" s="38"/>
      <c r="T3061" s="38"/>
      <c r="U3061" s="38"/>
      <c r="V3061" s="38"/>
      <c r="W3061" s="38"/>
      <c r="X3061" s="38"/>
      <c r="Y3061" s="38"/>
      <c r="Z3061" s="38"/>
      <c r="AA3061" s="38"/>
      <c r="AB3061" s="38"/>
      <c r="AC3061" s="38"/>
      <c r="AD3061" s="38"/>
      <c r="AE3061" s="38"/>
      <c r="AF3061" s="38"/>
      <c r="AG3061" s="38"/>
      <c r="AH3061" s="38"/>
    </row>
    <row r="3062" spans="3:34" ht="20.100000000000001" customHeight="1">
      <c r="C3062" s="113"/>
      <c r="D3062" s="114"/>
      <c r="P3062" s="82"/>
      <c r="Q3062" s="82"/>
      <c r="R3062" s="38"/>
      <c r="S3062" s="38"/>
      <c r="T3062" s="38"/>
      <c r="U3062" s="38"/>
      <c r="V3062" s="38"/>
      <c r="W3062" s="38"/>
      <c r="X3062" s="38"/>
      <c r="Y3062" s="38"/>
      <c r="Z3062" s="38"/>
      <c r="AA3062" s="38"/>
      <c r="AB3062" s="38"/>
      <c r="AC3062" s="38"/>
      <c r="AD3062" s="38"/>
      <c r="AE3062" s="38"/>
      <c r="AF3062" s="38"/>
      <c r="AG3062" s="38"/>
      <c r="AH3062" s="38"/>
    </row>
    <row r="3063" spans="3:34" ht="20.100000000000001" customHeight="1">
      <c r="C3063" s="113"/>
      <c r="D3063" s="114"/>
      <c r="P3063" s="82"/>
      <c r="Q3063" s="82"/>
      <c r="R3063" s="38"/>
      <c r="S3063" s="38"/>
      <c r="T3063" s="38"/>
      <c r="U3063" s="38"/>
      <c r="V3063" s="38"/>
      <c r="W3063" s="38"/>
      <c r="X3063" s="38"/>
      <c r="Y3063" s="38"/>
      <c r="Z3063" s="38"/>
      <c r="AA3063" s="38"/>
      <c r="AB3063" s="38"/>
      <c r="AC3063" s="38"/>
      <c r="AD3063" s="38"/>
      <c r="AE3063" s="38"/>
      <c r="AF3063" s="38"/>
      <c r="AG3063" s="38"/>
      <c r="AH3063" s="38"/>
    </row>
    <row r="3064" spans="3:34" ht="20.100000000000001" customHeight="1">
      <c r="C3064" s="113"/>
      <c r="D3064" s="114"/>
      <c r="P3064" s="82"/>
      <c r="Q3064" s="82"/>
      <c r="R3064" s="38"/>
      <c r="S3064" s="38"/>
      <c r="T3064" s="38"/>
      <c r="U3064" s="38"/>
      <c r="V3064" s="38"/>
      <c r="W3064" s="38"/>
      <c r="X3064" s="38"/>
      <c r="Y3064" s="38"/>
      <c r="Z3064" s="38"/>
      <c r="AA3064" s="38"/>
      <c r="AB3064" s="38"/>
      <c r="AC3064" s="38"/>
      <c r="AD3064" s="38"/>
      <c r="AE3064" s="38"/>
      <c r="AF3064" s="38"/>
      <c r="AG3064" s="38"/>
      <c r="AH3064" s="38"/>
    </row>
    <row r="3065" spans="3:34" ht="20.100000000000001" customHeight="1">
      <c r="C3065" s="113"/>
      <c r="D3065" s="114"/>
      <c r="P3065" s="82"/>
      <c r="Q3065" s="82"/>
      <c r="R3065" s="38"/>
      <c r="S3065" s="38"/>
      <c r="T3065" s="38"/>
      <c r="U3065" s="38"/>
      <c r="V3065" s="38"/>
      <c r="W3065" s="38"/>
      <c r="X3065" s="38"/>
      <c r="Y3065" s="38"/>
      <c r="Z3065" s="38"/>
      <c r="AA3065" s="38"/>
      <c r="AB3065" s="38"/>
      <c r="AC3065" s="38"/>
      <c r="AD3065" s="38"/>
      <c r="AE3065" s="38"/>
      <c r="AF3065" s="38"/>
      <c r="AG3065" s="38"/>
      <c r="AH3065" s="38"/>
    </row>
    <row r="3066" spans="3:34" ht="20.100000000000001" customHeight="1">
      <c r="C3066" s="113"/>
      <c r="D3066" s="114"/>
      <c r="P3066" s="82"/>
      <c r="Q3066" s="82"/>
      <c r="R3066" s="38"/>
      <c r="S3066" s="38"/>
      <c r="T3066" s="38"/>
      <c r="U3066" s="38"/>
      <c r="V3066" s="38"/>
      <c r="W3066" s="38"/>
      <c r="X3066" s="38"/>
      <c r="Y3066" s="38"/>
      <c r="Z3066" s="38"/>
      <c r="AA3066" s="38"/>
      <c r="AB3066" s="38"/>
      <c r="AC3066" s="38"/>
      <c r="AD3066" s="38"/>
      <c r="AE3066" s="38"/>
      <c r="AF3066" s="38"/>
      <c r="AG3066" s="38"/>
      <c r="AH3066" s="38"/>
    </row>
    <row r="3067" spans="3:34" ht="20.100000000000001" customHeight="1">
      <c r="C3067" s="113"/>
      <c r="D3067" s="114"/>
      <c r="P3067" s="82"/>
      <c r="Q3067" s="82"/>
      <c r="R3067" s="38"/>
      <c r="S3067" s="38"/>
      <c r="T3067" s="38"/>
      <c r="U3067" s="38"/>
      <c r="V3067" s="38"/>
      <c r="W3067" s="38"/>
      <c r="X3067" s="38"/>
      <c r="Y3067" s="38"/>
      <c r="Z3067" s="38"/>
      <c r="AA3067" s="38"/>
      <c r="AB3067" s="38"/>
      <c r="AC3067" s="38"/>
      <c r="AD3067" s="38"/>
      <c r="AE3067" s="38"/>
      <c r="AF3067" s="38"/>
      <c r="AG3067" s="38"/>
      <c r="AH3067" s="38"/>
    </row>
    <row r="3068" spans="3:34" ht="20.100000000000001" customHeight="1">
      <c r="C3068" s="113"/>
      <c r="D3068" s="114"/>
      <c r="P3068" s="82"/>
      <c r="Q3068" s="82"/>
      <c r="R3068" s="38"/>
      <c r="S3068" s="38"/>
      <c r="T3068" s="38"/>
      <c r="U3068" s="38"/>
      <c r="V3068" s="38"/>
      <c r="W3068" s="38"/>
      <c r="X3068" s="38"/>
      <c r="Y3068" s="38"/>
      <c r="Z3068" s="38"/>
      <c r="AA3068" s="38"/>
      <c r="AB3068" s="38"/>
      <c r="AC3068" s="38"/>
      <c r="AD3068" s="38"/>
      <c r="AE3068" s="38"/>
      <c r="AF3068" s="38"/>
      <c r="AG3068" s="38"/>
      <c r="AH3068" s="38"/>
    </row>
    <row r="3069" spans="3:34" ht="20.100000000000001" customHeight="1">
      <c r="C3069" s="113"/>
      <c r="D3069" s="114"/>
      <c r="P3069" s="82"/>
      <c r="Q3069" s="82"/>
      <c r="R3069" s="38"/>
      <c r="S3069" s="38"/>
      <c r="T3069" s="38"/>
      <c r="U3069" s="38"/>
      <c r="V3069" s="38"/>
      <c r="W3069" s="38"/>
      <c r="X3069" s="38"/>
      <c r="Y3069" s="38"/>
      <c r="Z3069" s="38"/>
      <c r="AA3069" s="38"/>
      <c r="AB3069" s="38"/>
      <c r="AC3069" s="38"/>
      <c r="AD3069" s="38"/>
      <c r="AE3069" s="38"/>
      <c r="AF3069" s="38"/>
      <c r="AG3069" s="38"/>
      <c r="AH3069" s="38"/>
    </row>
    <row r="3070" spans="3:34" ht="20.100000000000001" customHeight="1">
      <c r="C3070" s="113"/>
      <c r="D3070" s="114"/>
      <c r="P3070" s="82"/>
      <c r="Q3070" s="82"/>
      <c r="R3070" s="38"/>
      <c r="S3070" s="38"/>
      <c r="T3070" s="38"/>
      <c r="U3070" s="38"/>
      <c r="V3070" s="38"/>
      <c r="W3070" s="38"/>
      <c r="X3070" s="38"/>
      <c r="Y3070" s="38"/>
      <c r="Z3070" s="38"/>
      <c r="AA3070" s="38"/>
      <c r="AB3070" s="38"/>
      <c r="AC3070" s="38"/>
      <c r="AD3070" s="38"/>
      <c r="AE3070" s="38"/>
      <c r="AF3070" s="38"/>
      <c r="AG3070" s="38"/>
      <c r="AH3070" s="38"/>
    </row>
    <row r="3071" spans="3:34" ht="20.100000000000001" customHeight="1">
      <c r="C3071" s="113"/>
      <c r="D3071" s="114"/>
      <c r="P3071" s="82"/>
      <c r="Q3071" s="82"/>
      <c r="R3071" s="38"/>
      <c r="S3071" s="38"/>
      <c r="T3071" s="38"/>
      <c r="U3071" s="38"/>
      <c r="V3071" s="38"/>
      <c r="W3071" s="38"/>
      <c r="X3071" s="38"/>
      <c r="Y3071" s="38"/>
      <c r="Z3071" s="38"/>
      <c r="AA3071" s="38"/>
      <c r="AB3071" s="38"/>
      <c r="AC3071" s="38"/>
      <c r="AD3071" s="38"/>
      <c r="AE3071" s="38"/>
      <c r="AF3071" s="38"/>
      <c r="AG3071" s="38"/>
      <c r="AH3071" s="38"/>
    </row>
    <row r="3072" spans="3:34" ht="20.100000000000001" customHeight="1">
      <c r="C3072" s="113"/>
      <c r="D3072" s="114"/>
      <c r="P3072" s="82"/>
      <c r="Q3072" s="82"/>
      <c r="R3072" s="38"/>
      <c r="S3072" s="38"/>
      <c r="T3072" s="38"/>
      <c r="U3072" s="38"/>
      <c r="V3072" s="38"/>
      <c r="W3072" s="38"/>
      <c r="X3072" s="38"/>
      <c r="Y3072" s="38"/>
      <c r="Z3072" s="38"/>
      <c r="AA3072" s="38"/>
      <c r="AB3072" s="38"/>
      <c r="AC3072" s="38"/>
      <c r="AD3072" s="38"/>
      <c r="AE3072" s="38"/>
      <c r="AF3072" s="38"/>
      <c r="AG3072" s="38"/>
      <c r="AH3072" s="38"/>
    </row>
    <row r="3073" spans="3:34" ht="20.100000000000001" customHeight="1">
      <c r="C3073" s="113"/>
      <c r="D3073" s="114"/>
      <c r="P3073" s="82"/>
      <c r="Q3073" s="82"/>
      <c r="R3073" s="38"/>
      <c r="S3073" s="38"/>
      <c r="T3073" s="38"/>
      <c r="U3073" s="38"/>
      <c r="V3073" s="38"/>
      <c r="W3073" s="38"/>
      <c r="X3073" s="38"/>
      <c r="Y3073" s="38"/>
      <c r="Z3073" s="38"/>
      <c r="AA3073" s="38"/>
      <c r="AB3073" s="38"/>
      <c r="AC3073" s="38"/>
      <c r="AD3073" s="38"/>
      <c r="AE3073" s="38"/>
      <c r="AF3073" s="38"/>
      <c r="AG3073" s="38"/>
      <c r="AH3073" s="38"/>
    </row>
    <row r="3074" spans="3:34" ht="20.100000000000001" customHeight="1">
      <c r="C3074" s="113"/>
      <c r="D3074" s="114"/>
      <c r="P3074" s="82"/>
      <c r="Q3074" s="82"/>
      <c r="R3074" s="38"/>
      <c r="S3074" s="38"/>
      <c r="T3074" s="38"/>
      <c r="U3074" s="38"/>
      <c r="V3074" s="38"/>
      <c r="W3074" s="38"/>
      <c r="X3074" s="38"/>
      <c r="Y3074" s="38"/>
      <c r="Z3074" s="38"/>
      <c r="AA3074" s="38"/>
      <c r="AB3074" s="38"/>
      <c r="AC3074" s="38"/>
      <c r="AD3074" s="38"/>
      <c r="AE3074" s="38"/>
      <c r="AF3074" s="38"/>
      <c r="AG3074" s="38"/>
      <c r="AH3074" s="38"/>
    </row>
    <row r="3075" spans="3:34" ht="20.100000000000001" customHeight="1">
      <c r="C3075" s="113"/>
      <c r="D3075" s="114"/>
      <c r="P3075" s="82"/>
      <c r="Q3075" s="82"/>
      <c r="R3075" s="38"/>
      <c r="S3075" s="38"/>
      <c r="T3075" s="38"/>
      <c r="U3075" s="38"/>
      <c r="V3075" s="38"/>
      <c r="W3075" s="38"/>
      <c r="X3075" s="38"/>
      <c r="Y3075" s="38"/>
      <c r="Z3075" s="38"/>
      <c r="AA3075" s="38"/>
      <c r="AB3075" s="38"/>
      <c r="AC3075" s="38"/>
      <c r="AD3075" s="38"/>
      <c r="AE3075" s="38"/>
      <c r="AF3075" s="38"/>
      <c r="AG3075" s="38"/>
      <c r="AH3075" s="38"/>
    </row>
    <row r="3076" spans="3:34" ht="20.100000000000001" customHeight="1">
      <c r="C3076" s="113"/>
      <c r="D3076" s="114"/>
      <c r="P3076" s="82"/>
      <c r="Q3076" s="82"/>
      <c r="R3076" s="38"/>
      <c r="S3076" s="38"/>
      <c r="T3076" s="38"/>
      <c r="U3076" s="38"/>
      <c r="V3076" s="38"/>
      <c r="W3076" s="38"/>
      <c r="X3076" s="38"/>
      <c r="Y3076" s="38"/>
      <c r="Z3076" s="38"/>
      <c r="AA3076" s="38"/>
      <c r="AB3076" s="38"/>
      <c r="AC3076" s="38"/>
      <c r="AD3076" s="38"/>
      <c r="AE3076" s="38"/>
      <c r="AF3076" s="38"/>
      <c r="AG3076" s="38"/>
      <c r="AH3076" s="38"/>
    </row>
    <row r="3077" spans="3:34" ht="20.100000000000001" customHeight="1">
      <c r="C3077" s="113"/>
      <c r="D3077" s="114"/>
      <c r="P3077" s="82"/>
      <c r="Q3077" s="82"/>
      <c r="R3077" s="38"/>
      <c r="S3077" s="38"/>
      <c r="T3077" s="38"/>
      <c r="U3077" s="38"/>
      <c r="V3077" s="38"/>
      <c r="W3077" s="38"/>
      <c r="X3077" s="38"/>
      <c r="Y3077" s="38"/>
      <c r="Z3077" s="38"/>
      <c r="AA3077" s="38"/>
      <c r="AB3077" s="38"/>
      <c r="AC3077" s="38"/>
      <c r="AD3077" s="38"/>
      <c r="AE3077" s="38"/>
      <c r="AF3077" s="38"/>
      <c r="AG3077" s="38"/>
      <c r="AH3077" s="38"/>
    </row>
    <row r="3078" spans="3:34" ht="20.100000000000001" customHeight="1">
      <c r="C3078" s="113"/>
      <c r="D3078" s="114"/>
      <c r="P3078" s="82"/>
      <c r="Q3078" s="82"/>
      <c r="R3078" s="38"/>
      <c r="S3078" s="38"/>
      <c r="T3078" s="38"/>
      <c r="U3078" s="38"/>
      <c r="V3078" s="38"/>
      <c r="W3078" s="38"/>
      <c r="X3078" s="38"/>
      <c r="Y3078" s="38"/>
      <c r="Z3078" s="38"/>
      <c r="AA3078" s="38"/>
      <c r="AB3078" s="38"/>
      <c r="AC3078" s="38"/>
      <c r="AD3078" s="38"/>
      <c r="AE3078" s="38"/>
      <c r="AF3078" s="38"/>
      <c r="AG3078" s="38"/>
      <c r="AH3078" s="38"/>
    </row>
    <row r="3079" spans="3:34" ht="20.100000000000001" customHeight="1">
      <c r="C3079" s="113"/>
      <c r="D3079" s="114"/>
      <c r="P3079" s="82"/>
      <c r="Q3079" s="82"/>
      <c r="R3079" s="38"/>
      <c r="S3079" s="38"/>
      <c r="T3079" s="38"/>
      <c r="U3079" s="38"/>
      <c r="V3079" s="38"/>
      <c r="W3079" s="38"/>
      <c r="X3079" s="38"/>
      <c r="Y3079" s="38"/>
      <c r="Z3079" s="38"/>
      <c r="AA3079" s="38"/>
      <c r="AB3079" s="38"/>
      <c r="AC3079" s="38"/>
      <c r="AD3079" s="38"/>
      <c r="AE3079" s="38"/>
      <c r="AF3079" s="38"/>
      <c r="AG3079" s="38"/>
      <c r="AH3079" s="38"/>
    </row>
    <row r="3080" spans="3:34" ht="20.100000000000001" customHeight="1">
      <c r="C3080" s="113"/>
      <c r="D3080" s="114"/>
      <c r="P3080" s="82"/>
      <c r="Q3080" s="82"/>
      <c r="R3080" s="38"/>
      <c r="S3080" s="38"/>
      <c r="T3080" s="38"/>
      <c r="U3080" s="38"/>
      <c r="V3080" s="38"/>
      <c r="W3080" s="38"/>
      <c r="X3080" s="38"/>
      <c r="Y3080" s="38"/>
      <c r="Z3080" s="38"/>
      <c r="AA3080" s="38"/>
      <c r="AB3080" s="38"/>
      <c r="AC3080" s="38"/>
      <c r="AD3080" s="38"/>
      <c r="AE3080" s="38"/>
      <c r="AF3080" s="38"/>
      <c r="AG3080" s="38"/>
      <c r="AH3080" s="38"/>
    </row>
    <row r="3081" spans="3:34" ht="20.100000000000001" customHeight="1">
      <c r="C3081" s="113"/>
      <c r="D3081" s="114"/>
      <c r="P3081" s="82"/>
      <c r="Q3081" s="82"/>
      <c r="R3081" s="38"/>
      <c r="S3081" s="38"/>
      <c r="T3081" s="38"/>
      <c r="U3081" s="38"/>
      <c r="V3081" s="38"/>
      <c r="W3081" s="38"/>
      <c r="X3081" s="38"/>
      <c r="Y3081" s="38"/>
      <c r="Z3081" s="38"/>
      <c r="AA3081" s="38"/>
      <c r="AB3081" s="38"/>
      <c r="AC3081" s="38"/>
      <c r="AD3081" s="38"/>
      <c r="AE3081" s="38"/>
      <c r="AF3081" s="38"/>
      <c r="AG3081" s="38"/>
      <c r="AH3081" s="38"/>
    </row>
    <row r="3082" spans="3:34" ht="20.100000000000001" customHeight="1">
      <c r="C3082" s="113"/>
      <c r="D3082" s="114"/>
      <c r="P3082" s="82"/>
      <c r="Q3082" s="82"/>
      <c r="R3082" s="38"/>
      <c r="S3082" s="38"/>
      <c r="T3082" s="38"/>
      <c r="U3082" s="38"/>
      <c r="V3082" s="38"/>
      <c r="W3082" s="38"/>
      <c r="X3082" s="38"/>
      <c r="Y3082" s="38"/>
      <c r="Z3082" s="38"/>
      <c r="AA3082" s="38"/>
      <c r="AB3082" s="38"/>
      <c r="AC3082" s="38"/>
      <c r="AD3082" s="38"/>
      <c r="AE3082" s="38"/>
      <c r="AF3082" s="38"/>
      <c r="AG3082" s="38"/>
      <c r="AH3082" s="38"/>
    </row>
    <row r="3083" spans="3:34" ht="20.100000000000001" customHeight="1">
      <c r="C3083" s="113"/>
      <c r="D3083" s="114"/>
      <c r="P3083" s="82"/>
      <c r="Q3083" s="82"/>
      <c r="R3083" s="38"/>
      <c r="S3083" s="38"/>
      <c r="T3083" s="38"/>
      <c r="U3083" s="38"/>
      <c r="V3083" s="38"/>
      <c r="W3083" s="38"/>
      <c r="X3083" s="38"/>
      <c r="Y3083" s="38"/>
      <c r="Z3083" s="38"/>
      <c r="AA3083" s="38"/>
      <c r="AB3083" s="38"/>
      <c r="AC3083" s="38"/>
      <c r="AD3083" s="38"/>
      <c r="AE3083" s="38"/>
      <c r="AF3083" s="38"/>
      <c r="AG3083" s="38"/>
      <c r="AH3083" s="38"/>
    </row>
    <row r="3084" spans="3:34" ht="20.100000000000001" customHeight="1">
      <c r="C3084" s="113"/>
      <c r="D3084" s="114"/>
      <c r="P3084" s="82"/>
      <c r="Q3084" s="82"/>
      <c r="R3084" s="38"/>
      <c r="S3084" s="38"/>
      <c r="T3084" s="38"/>
      <c r="U3084" s="38"/>
      <c r="V3084" s="38"/>
      <c r="W3084" s="38"/>
      <c r="X3084" s="38"/>
      <c r="Y3084" s="38"/>
      <c r="Z3084" s="38"/>
      <c r="AA3084" s="38"/>
      <c r="AB3084" s="38"/>
      <c r="AC3084" s="38"/>
      <c r="AD3084" s="38"/>
      <c r="AE3084" s="38"/>
      <c r="AF3084" s="38"/>
      <c r="AG3084" s="38"/>
      <c r="AH3084" s="38"/>
    </row>
    <row r="3085" spans="3:34" ht="20.100000000000001" customHeight="1">
      <c r="C3085" s="113"/>
      <c r="D3085" s="114"/>
      <c r="P3085" s="82"/>
      <c r="Q3085" s="82"/>
      <c r="R3085" s="38"/>
      <c r="S3085" s="38"/>
      <c r="T3085" s="38"/>
      <c r="U3085" s="38"/>
      <c r="V3085" s="38"/>
      <c r="W3085" s="38"/>
      <c r="X3085" s="38"/>
      <c r="Y3085" s="38"/>
      <c r="Z3085" s="38"/>
      <c r="AA3085" s="38"/>
      <c r="AB3085" s="38"/>
      <c r="AC3085" s="38"/>
      <c r="AD3085" s="38"/>
      <c r="AE3085" s="38"/>
      <c r="AF3085" s="38"/>
      <c r="AG3085" s="38"/>
      <c r="AH3085" s="38"/>
    </row>
    <row r="3086" spans="3:34" ht="20.100000000000001" customHeight="1">
      <c r="C3086" s="113"/>
      <c r="D3086" s="114"/>
      <c r="P3086" s="82"/>
      <c r="Q3086" s="82"/>
      <c r="R3086" s="38"/>
      <c r="S3086" s="38"/>
      <c r="T3086" s="38"/>
      <c r="U3086" s="38"/>
      <c r="V3086" s="38"/>
      <c r="W3086" s="38"/>
      <c r="X3086" s="38"/>
      <c r="Y3086" s="38"/>
      <c r="Z3086" s="38"/>
      <c r="AA3086" s="38"/>
      <c r="AB3086" s="38"/>
      <c r="AC3086" s="38"/>
      <c r="AD3086" s="38"/>
      <c r="AE3086" s="38"/>
      <c r="AF3086" s="38"/>
      <c r="AG3086" s="38"/>
      <c r="AH3086" s="38"/>
    </row>
    <row r="3087" spans="3:34" ht="20.100000000000001" customHeight="1">
      <c r="C3087" s="113"/>
      <c r="D3087" s="114"/>
      <c r="P3087" s="82"/>
      <c r="Q3087" s="82"/>
      <c r="R3087" s="38"/>
      <c r="S3087" s="38"/>
      <c r="T3087" s="38"/>
      <c r="U3087" s="38"/>
      <c r="V3087" s="38"/>
      <c r="W3087" s="38"/>
      <c r="X3087" s="38"/>
      <c r="Y3087" s="38"/>
      <c r="Z3087" s="38"/>
      <c r="AA3087" s="38"/>
      <c r="AB3087" s="38"/>
      <c r="AC3087" s="38"/>
      <c r="AD3087" s="38"/>
      <c r="AE3087" s="38"/>
      <c r="AF3087" s="38"/>
      <c r="AG3087" s="38"/>
      <c r="AH3087" s="38"/>
    </row>
    <row r="3088" spans="3:34" ht="20.100000000000001" customHeight="1">
      <c r="C3088" s="113"/>
      <c r="D3088" s="114"/>
      <c r="P3088" s="82"/>
      <c r="Q3088" s="82"/>
      <c r="R3088" s="38"/>
      <c r="S3088" s="38"/>
      <c r="T3088" s="38"/>
      <c r="U3088" s="38"/>
      <c r="V3088" s="38"/>
      <c r="W3088" s="38"/>
      <c r="X3088" s="38"/>
      <c r="Y3088" s="38"/>
      <c r="Z3088" s="38"/>
      <c r="AA3088" s="38"/>
      <c r="AB3088" s="38"/>
      <c r="AC3088" s="38"/>
      <c r="AD3088" s="38"/>
      <c r="AE3088" s="38"/>
      <c r="AF3088" s="38"/>
      <c r="AG3088" s="38"/>
      <c r="AH3088" s="38"/>
    </row>
    <row r="3089" spans="3:34" ht="20.100000000000001" customHeight="1">
      <c r="C3089" s="113"/>
      <c r="D3089" s="114"/>
      <c r="P3089" s="82"/>
      <c r="Q3089" s="82"/>
      <c r="R3089" s="38"/>
      <c r="S3089" s="38"/>
      <c r="T3089" s="38"/>
      <c r="U3089" s="38"/>
      <c r="V3089" s="38"/>
      <c r="W3089" s="38"/>
      <c r="X3089" s="38"/>
      <c r="Y3089" s="38"/>
      <c r="Z3089" s="38"/>
      <c r="AA3089" s="38"/>
      <c r="AB3089" s="38"/>
      <c r="AC3089" s="38"/>
      <c r="AD3089" s="38"/>
      <c r="AE3089" s="38"/>
      <c r="AF3089" s="38"/>
      <c r="AG3089" s="38"/>
      <c r="AH3089" s="38"/>
    </row>
    <row r="3090" spans="3:34" ht="20.100000000000001" customHeight="1">
      <c r="C3090" s="113"/>
      <c r="D3090" s="114"/>
      <c r="P3090" s="82"/>
      <c r="Q3090" s="82"/>
      <c r="R3090" s="38"/>
      <c r="S3090" s="38"/>
      <c r="T3090" s="38"/>
      <c r="U3090" s="38"/>
      <c r="V3090" s="38"/>
      <c r="W3090" s="38"/>
      <c r="X3090" s="38"/>
      <c r="Y3090" s="38"/>
      <c r="Z3090" s="38"/>
      <c r="AA3090" s="38"/>
      <c r="AB3090" s="38"/>
      <c r="AC3090" s="38"/>
      <c r="AD3090" s="38"/>
      <c r="AE3090" s="38"/>
      <c r="AF3090" s="38"/>
      <c r="AG3090" s="38"/>
      <c r="AH3090" s="38"/>
    </row>
    <row r="3091" spans="3:34" ht="20.100000000000001" customHeight="1">
      <c r="C3091" s="113"/>
      <c r="D3091" s="114"/>
      <c r="P3091" s="82"/>
      <c r="Q3091" s="82"/>
      <c r="R3091" s="38"/>
      <c r="S3091" s="38"/>
      <c r="T3091" s="38"/>
      <c r="U3091" s="38"/>
      <c r="V3091" s="38"/>
      <c r="W3091" s="38"/>
      <c r="X3091" s="38"/>
      <c r="Y3091" s="38"/>
      <c r="Z3091" s="38"/>
      <c r="AA3091" s="38"/>
      <c r="AB3091" s="38"/>
      <c r="AC3091" s="38"/>
      <c r="AD3091" s="38"/>
      <c r="AE3091" s="38"/>
      <c r="AF3091" s="38"/>
      <c r="AG3091" s="38"/>
      <c r="AH3091" s="38"/>
    </row>
    <row r="3092" spans="3:34" ht="20.100000000000001" customHeight="1">
      <c r="C3092" s="113"/>
      <c r="D3092" s="114"/>
      <c r="P3092" s="82"/>
      <c r="Q3092" s="82"/>
      <c r="R3092" s="38"/>
      <c r="S3092" s="38"/>
      <c r="T3092" s="38"/>
      <c r="U3092" s="38"/>
      <c r="V3092" s="38"/>
      <c r="W3092" s="38"/>
      <c r="X3092" s="38"/>
      <c r="Y3092" s="38"/>
      <c r="Z3092" s="38"/>
      <c r="AA3092" s="38"/>
      <c r="AB3092" s="38"/>
      <c r="AC3092" s="38"/>
      <c r="AD3092" s="38"/>
      <c r="AE3092" s="38"/>
      <c r="AF3092" s="38"/>
      <c r="AG3092" s="38"/>
      <c r="AH3092" s="38"/>
    </row>
    <row r="3093" spans="3:34" ht="20.100000000000001" customHeight="1">
      <c r="C3093" s="113"/>
      <c r="D3093" s="114"/>
      <c r="P3093" s="82"/>
      <c r="Q3093" s="82"/>
      <c r="R3093" s="38"/>
      <c r="S3093" s="38"/>
      <c r="T3093" s="38"/>
      <c r="U3093" s="38"/>
      <c r="V3093" s="38"/>
      <c r="W3093" s="38"/>
      <c r="X3093" s="38"/>
      <c r="Y3093" s="38"/>
      <c r="Z3093" s="38"/>
      <c r="AA3093" s="38"/>
      <c r="AB3093" s="38"/>
      <c r="AC3093" s="38"/>
      <c r="AD3093" s="38"/>
      <c r="AE3093" s="38"/>
      <c r="AF3093" s="38"/>
      <c r="AG3093" s="38"/>
      <c r="AH3093" s="38"/>
    </row>
    <row r="3094" spans="3:34" ht="20.100000000000001" customHeight="1">
      <c r="C3094" s="113"/>
      <c r="D3094" s="114"/>
      <c r="P3094" s="82"/>
      <c r="Q3094" s="82"/>
      <c r="R3094" s="38"/>
      <c r="S3094" s="38"/>
      <c r="T3094" s="38"/>
      <c r="U3094" s="38"/>
      <c r="V3094" s="38"/>
      <c r="W3094" s="38"/>
      <c r="X3094" s="38"/>
      <c r="Y3094" s="38"/>
      <c r="Z3094" s="38"/>
      <c r="AA3094" s="38"/>
      <c r="AB3094" s="38"/>
      <c r="AC3094" s="38"/>
      <c r="AD3094" s="38"/>
      <c r="AE3094" s="38"/>
      <c r="AF3094" s="38"/>
      <c r="AG3094" s="38"/>
      <c r="AH3094" s="38"/>
    </row>
    <row r="3095" spans="3:34" ht="20.100000000000001" customHeight="1">
      <c r="C3095" s="113"/>
      <c r="D3095" s="114"/>
      <c r="P3095" s="82"/>
      <c r="Q3095" s="82"/>
      <c r="R3095" s="38"/>
      <c r="S3095" s="38"/>
      <c r="T3095" s="38"/>
      <c r="U3095" s="38"/>
      <c r="V3095" s="38"/>
      <c r="W3095" s="38"/>
      <c r="X3095" s="38"/>
      <c r="Y3095" s="38"/>
      <c r="Z3095" s="38"/>
      <c r="AA3095" s="38"/>
      <c r="AB3095" s="38"/>
      <c r="AC3095" s="38"/>
      <c r="AD3095" s="38"/>
      <c r="AE3095" s="38"/>
      <c r="AF3095" s="38"/>
      <c r="AG3095" s="38"/>
      <c r="AH3095" s="38"/>
    </row>
    <row r="3096" spans="3:34" ht="20.100000000000001" customHeight="1">
      <c r="C3096" s="113"/>
      <c r="D3096" s="114"/>
      <c r="P3096" s="82"/>
      <c r="Q3096" s="82"/>
      <c r="R3096" s="38"/>
      <c r="S3096" s="38"/>
      <c r="T3096" s="38"/>
      <c r="U3096" s="38"/>
      <c r="V3096" s="38"/>
      <c r="W3096" s="38"/>
      <c r="X3096" s="38"/>
      <c r="Y3096" s="38"/>
      <c r="Z3096" s="38"/>
      <c r="AA3096" s="38"/>
      <c r="AB3096" s="38"/>
      <c r="AC3096" s="38"/>
      <c r="AD3096" s="38"/>
      <c r="AE3096" s="38"/>
      <c r="AF3096" s="38"/>
      <c r="AG3096" s="38"/>
      <c r="AH3096" s="38"/>
    </row>
    <row r="3097" spans="3:34" ht="20.100000000000001" customHeight="1">
      <c r="C3097" s="113"/>
      <c r="D3097" s="114"/>
      <c r="P3097" s="82"/>
      <c r="Q3097" s="82"/>
      <c r="R3097" s="38"/>
      <c r="S3097" s="38"/>
      <c r="T3097" s="38"/>
      <c r="U3097" s="38"/>
      <c r="V3097" s="38"/>
      <c r="W3097" s="38"/>
      <c r="X3097" s="38"/>
      <c r="Y3097" s="38"/>
      <c r="Z3097" s="38"/>
      <c r="AA3097" s="38"/>
      <c r="AB3097" s="38"/>
      <c r="AC3097" s="38"/>
      <c r="AD3097" s="38"/>
      <c r="AE3097" s="38"/>
      <c r="AF3097" s="38"/>
      <c r="AG3097" s="38"/>
      <c r="AH3097" s="38"/>
    </row>
    <row r="3098" spans="3:34" ht="20.100000000000001" customHeight="1">
      <c r="C3098" s="113"/>
      <c r="D3098" s="114"/>
      <c r="P3098" s="82"/>
      <c r="Q3098" s="82"/>
      <c r="R3098" s="38"/>
      <c r="S3098" s="38"/>
      <c r="T3098" s="38"/>
      <c r="U3098" s="38"/>
      <c r="V3098" s="38"/>
      <c r="W3098" s="38"/>
      <c r="X3098" s="38"/>
      <c r="Y3098" s="38"/>
      <c r="Z3098" s="38"/>
      <c r="AA3098" s="38"/>
      <c r="AB3098" s="38"/>
      <c r="AC3098" s="38"/>
      <c r="AD3098" s="38"/>
      <c r="AE3098" s="38"/>
      <c r="AF3098" s="38"/>
      <c r="AG3098" s="38"/>
      <c r="AH3098" s="38"/>
    </row>
    <row r="3099" spans="3:34" ht="20.100000000000001" customHeight="1">
      <c r="C3099" s="113"/>
      <c r="D3099" s="114"/>
      <c r="P3099" s="82"/>
      <c r="Q3099" s="82"/>
      <c r="R3099" s="38"/>
      <c r="S3099" s="38"/>
      <c r="T3099" s="38"/>
      <c r="U3099" s="38"/>
      <c r="V3099" s="38"/>
      <c r="W3099" s="38"/>
      <c r="X3099" s="38"/>
      <c r="Y3099" s="38"/>
      <c r="Z3099" s="38"/>
      <c r="AA3099" s="38"/>
      <c r="AB3099" s="38"/>
      <c r="AC3099" s="38"/>
      <c r="AD3099" s="38"/>
      <c r="AE3099" s="38"/>
      <c r="AF3099" s="38"/>
      <c r="AG3099" s="38"/>
      <c r="AH3099" s="38"/>
    </row>
    <row r="3100" spans="3:34" ht="20.100000000000001" customHeight="1">
      <c r="C3100" s="113"/>
      <c r="D3100" s="114"/>
      <c r="P3100" s="82"/>
      <c r="Q3100" s="82"/>
      <c r="R3100" s="38"/>
      <c r="S3100" s="38"/>
      <c r="T3100" s="38"/>
      <c r="U3100" s="38"/>
      <c r="V3100" s="38"/>
      <c r="W3100" s="38"/>
      <c r="X3100" s="38"/>
      <c r="Y3100" s="38"/>
      <c r="Z3100" s="38"/>
      <c r="AA3100" s="38"/>
      <c r="AB3100" s="38"/>
      <c r="AC3100" s="38"/>
      <c r="AD3100" s="38"/>
      <c r="AE3100" s="38"/>
      <c r="AF3100" s="38"/>
      <c r="AG3100" s="38"/>
      <c r="AH3100" s="38"/>
    </row>
    <row r="3101" spans="3:34" ht="20.100000000000001" customHeight="1">
      <c r="C3101" s="113"/>
      <c r="D3101" s="114"/>
      <c r="P3101" s="82"/>
      <c r="Q3101" s="82"/>
      <c r="R3101" s="38"/>
      <c r="S3101" s="38"/>
      <c r="T3101" s="38"/>
      <c r="U3101" s="38"/>
      <c r="V3101" s="38"/>
      <c r="W3101" s="38"/>
      <c r="X3101" s="38"/>
      <c r="Y3101" s="38"/>
      <c r="Z3101" s="38"/>
      <c r="AA3101" s="38"/>
      <c r="AB3101" s="38"/>
      <c r="AC3101" s="38"/>
      <c r="AD3101" s="38"/>
      <c r="AE3101" s="38"/>
      <c r="AF3101" s="38"/>
      <c r="AG3101" s="38"/>
      <c r="AH3101" s="38"/>
    </row>
    <row r="3102" spans="3:34" ht="20.100000000000001" customHeight="1">
      <c r="C3102" s="113"/>
      <c r="D3102" s="114"/>
      <c r="P3102" s="82"/>
      <c r="Q3102" s="82"/>
      <c r="R3102" s="38"/>
      <c r="S3102" s="38"/>
      <c r="T3102" s="38"/>
      <c r="U3102" s="38"/>
      <c r="V3102" s="38"/>
      <c r="W3102" s="38"/>
      <c r="X3102" s="38"/>
      <c r="Y3102" s="38"/>
      <c r="Z3102" s="38"/>
      <c r="AA3102" s="38"/>
      <c r="AB3102" s="38"/>
      <c r="AC3102" s="38"/>
      <c r="AD3102" s="38"/>
      <c r="AE3102" s="38"/>
      <c r="AF3102" s="38"/>
      <c r="AG3102" s="38"/>
      <c r="AH3102" s="38"/>
    </row>
    <row r="3103" spans="3:34" ht="20.100000000000001" customHeight="1">
      <c r="C3103" s="113"/>
      <c r="D3103" s="114"/>
      <c r="P3103" s="82"/>
      <c r="Q3103" s="82"/>
      <c r="R3103" s="38"/>
      <c r="S3103" s="38"/>
      <c r="T3103" s="38"/>
      <c r="U3103" s="38"/>
      <c r="V3103" s="38"/>
      <c r="W3103" s="38"/>
      <c r="X3103" s="38"/>
      <c r="Y3103" s="38"/>
      <c r="Z3103" s="38"/>
      <c r="AA3103" s="38"/>
      <c r="AB3103" s="38"/>
      <c r="AC3103" s="38"/>
      <c r="AD3103" s="38"/>
      <c r="AE3103" s="38"/>
      <c r="AF3103" s="38"/>
      <c r="AG3103" s="38"/>
      <c r="AH3103" s="38"/>
    </row>
    <row r="3104" spans="3:34" ht="20.100000000000001" customHeight="1">
      <c r="C3104" s="113"/>
      <c r="D3104" s="114"/>
      <c r="P3104" s="82"/>
      <c r="Q3104" s="82"/>
      <c r="R3104" s="38"/>
      <c r="S3104" s="38"/>
      <c r="T3104" s="38"/>
      <c r="U3104" s="38"/>
      <c r="V3104" s="38"/>
      <c r="W3104" s="38"/>
      <c r="X3104" s="38"/>
      <c r="Y3104" s="38"/>
      <c r="Z3104" s="38"/>
      <c r="AA3104" s="38"/>
      <c r="AB3104" s="38"/>
      <c r="AC3104" s="38"/>
      <c r="AD3104" s="38"/>
      <c r="AE3104" s="38"/>
      <c r="AF3104" s="38"/>
      <c r="AG3104" s="38"/>
      <c r="AH3104" s="38"/>
    </row>
    <row r="3105" spans="3:34" ht="20.100000000000001" customHeight="1">
      <c r="C3105" s="113"/>
      <c r="D3105" s="114"/>
      <c r="P3105" s="82"/>
      <c r="Q3105" s="82"/>
      <c r="R3105" s="38"/>
      <c r="S3105" s="38"/>
      <c r="T3105" s="38"/>
      <c r="U3105" s="38"/>
      <c r="V3105" s="38"/>
      <c r="W3105" s="38"/>
      <c r="X3105" s="38"/>
      <c r="Y3105" s="38"/>
      <c r="Z3105" s="38"/>
      <c r="AA3105" s="38"/>
      <c r="AB3105" s="38"/>
      <c r="AC3105" s="38"/>
      <c r="AD3105" s="38"/>
      <c r="AE3105" s="38"/>
      <c r="AF3105" s="38"/>
      <c r="AG3105" s="38"/>
      <c r="AH3105" s="38"/>
    </row>
    <row r="3106" spans="3:34" ht="20.100000000000001" customHeight="1">
      <c r="C3106" s="113"/>
      <c r="D3106" s="114"/>
      <c r="P3106" s="82"/>
      <c r="Q3106" s="82"/>
      <c r="R3106" s="38"/>
      <c r="S3106" s="38"/>
      <c r="T3106" s="38"/>
      <c r="U3106" s="38"/>
      <c r="V3106" s="38"/>
      <c r="W3106" s="38"/>
      <c r="X3106" s="38"/>
      <c r="Y3106" s="38"/>
      <c r="Z3106" s="38"/>
      <c r="AA3106" s="38"/>
      <c r="AB3106" s="38"/>
      <c r="AC3106" s="38"/>
      <c r="AD3106" s="38"/>
      <c r="AE3106" s="38"/>
      <c r="AF3106" s="38"/>
      <c r="AG3106" s="38"/>
      <c r="AH3106" s="38"/>
    </row>
    <row r="3107" spans="3:34" ht="20.100000000000001" customHeight="1">
      <c r="C3107" s="113"/>
      <c r="D3107" s="114"/>
      <c r="P3107" s="82"/>
      <c r="Q3107" s="82"/>
      <c r="R3107" s="38"/>
      <c r="S3107" s="38"/>
      <c r="T3107" s="38"/>
      <c r="U3107" s="38"/>
      <c r="V3107" s="38"/>
      <c r="W3107" s="38"/>
      <c r="X3107" s="38"/>
      <c r="Y3107" s="38"/>
      <c r="Z3107" s="38"/>
      <c r="AA3107" s="38"/>
      <c r="AB3107" s="38"/>
      <c r="AC3107" s="38"/>
      <c r="AD3107" s="38"/>
      <c r="AE3107" s="38"/>
      <c r="AF3107" s="38"/>
      <c r="AG3107" s="38"/>
      <c r="AH3107" s="38"/>
    </row>
    <row r="3108" spans="3:34" ht="20.100000000000001" customHeight="1">
      <c r="C3108" s="113"/>
      <c r="D3108" s="114"/>
      <c r="P3108" s="82"/>
      <c r="Q3108" s="82"/>
      <c r="R3108" s="38"/>
      <c r="S3108" s="38"/>
      <c r="T3108" s="38"/>
      <c r="U3108" s="38"/>
      <c r="V3108" s="38"/>
      <c r="W3108" s="38"/>
      <c r="X3108" s="38"/>
      <c r="Y3108" s="38"/>
      <c r="Z3108" s="38"/>
      <c r="AA3108" s="38"/>
      <c r="AB3108" s="38"/>
      <c r="AC3108" s="38"/>
      <c r="AD3108" s="38"/>
      <c r="AE3108" s="38"/>
      <c r="AF3108" s="38"/>
      <c r="AG3108" s="38"/>
      <c r="AH3108" s="38"/>
    </row>
    <row r="3109" spans="3:34" ht="20.100000000000001" customHeight="1">
      <c r="C3109" s="113"/>
      <c r="D3109" s="114"/>
      <c r="P3109" s="82"/>
      <c r="Q3109" s="82"/>
      <c r="R3109" s="38"/>
      <c r="S3109" s="38"/>
      <c r="T3109" s="38"/>
      <c r="U3109" s="38"/>
      <c r="V3109" s="38"/>
      <c r="W3109" s="38"/>
      <c r="X3109" s="38"/>
      <c r="Y3109" s="38"/>
      <c r="Z3109" s="38"/>
      <c r="AA3109" s="38"/>
      <c r="AB3109" s="38"/>
      <c r="AC3109" s="38"/>
      <c r="AD3109" s="38"/>
      <c r="AE3109" s="38"/>
      <c r="AF3109" s="38"/>
      <c r="AG3109" s="38"/>
      <c r="AH3109" s="38"/>
    </row>
    <row r="3110" spans="3:34" ht="20.100000000000001" customHeight="1">
      <c r="C3110" s="113"/>
      <c r="D3110" s="114"/>
      <c r="P3110" s="82"/>
      <c r="Q3110" s="82"/>
      <c r="R3110" s="38"/>
      <c r="S3110" s="38"/>
      <c r="T3110" s="38"/>
      <c r="U3110" s="38"/>
      <c r="V3110" s="38"/>
      <c r="W3110" s="38"/>
      <c r="X3110" s="38"/>
      <c r="Y3110" s="38"/>
      <c r="Z3110" s="38"/>
      <c r="AA3110" s="38"/>
      <c r="AB3110" s="38"/>
      <c r="AC3110" s="38"/>
      <c r="AD3110" s="38"/>
      <c r="AE3110" s="38"/>
      <c r="AF3110" s="38"/>
      <c r="AG3110" s="38"/>
      <c r="AH3110" s="38"/>
    </row>
    <row r="3111" spans="3:34" ht="20.100000000000001" customHeight="1">
      <c r="C3111" s="113"/>
      <c r="D3111" s="114"/>
      <c r="P3111" s="82"/>
      <c r="Q3111" s="82"/>
      <c r="R3111" s="38"/>
      <c r="S3111" s="38"/>
      <c r="T3111" s="38"/>
      <c r="U3111" s="38"/>
      <c r="V3111" s="38"/>
      <c r="W3111" s="38"/>
      <c r="X3111" s="38"/>
      <c r="Y3111" s="38"/>
      <c r="Z3111" s="38"/>
      <c r="AA3111" s="38"/>
      <c r="AB3111" s="38"/>
      <c r="AC3111" s="38"/>
      <c r="AD3111" s="38"/>
      <c r="AE3111" s="38"/>
      <c r="AF3111" s="38"/>
      <c r="AG3111" s="38"/>
      <c r="AH3111" s="38"/>
    </row>
    <row r="3112" spans="3:34" ht="20.100000000000001" customHeight="1">
      <c r="C3112" s="113"/>
      <c r="D3112" s="114"/>
      <c r="P3112" s="82"/>
      <c r="Q3112" s="82"/>
      <c r="R3112" s="38"/>
      <c r="S3112" s="38"/>
      <c r="T3112" s="38"/>
      <c r="U3112" s="38"/>
      <c r="V3112" s="38"/>
      <c r="W3112" s="38"/>
      <c r="X3112" s="38"/>
      <c r="Y3112" s="38"/>
      <c r="Z3112" s="38"/>
      <c r="AA3112" s="38"/>
      <c r="AB3112" s="38"/>
      <c r="AC3112" s="38"/>
      <c r="AD3112" s="38"/>
      <c r="AE3112" s="38"/>
      <c r="AF3112" s="38"/>
      <c r="AG3112" s="38"/>
      <c r="AH3112" s="38"/>
    </row>
    <row r="3113" spans="3:34" ht="20.100000000000001" customHeight="1">
      <c r="C3113" s="113"/>
      <c r="D3113" s="114"/>
      <c r="P3113" s="82"/>
      <c r="Q3113" s="82"/>
      <c r="R3113" s="38"/>
      <c r="S3113" s="38"/>
      <c r="T3113" s="38"/>
      <c r="U3113" s="38"/>
      <c r="V3113" s="38"/>
      <c r="W3113" s="38"/>
      <c r="X3113" s="38"/>
      <c r="Y3113" s="38"/>
      <c r="Z3113" s="38"/>
      <c r="AA3113" s="38"/>
      <c r="AB3113" s="38"/>
      <c r="AC3113" s="38"/>
      <c r="AD3113" s="38"/>
      <c r="AE3113" s="38"/>
      <c r="AF3113" s="38"/>
      <c r="AG3113" s="38"/>
      <c r="AH3113" s="38"/>
    </row>
    <row r="3114" spans="3:34" ht="20.100000000000001" customHeight="1">
      <c r="C3114" s="113"/>
      <c r="D3114" s="114"/>
      <c r="P3114" s="82"/>
      <c r="Q3114" s="82"/>
      <c r="R3114" s="38"/>
      <c r="S3114" s="38"/>
      <c r="T3114" s="38"/>
      <c r="U3114" s="38"/>
      <c r="V3114" s="38"/>
      <c r="W3114" s="38"/>
      <c r="X3114" s="38"/>
      <c r="Y3114" s="38"/>
      <c r="Z3114" s="38"/>
      <c r="AA3114" s="38"/>
      <c r="AB3114" s="38"/>
      <c r="AC3114" s="38"/>
      <c r="AD3114" s="38"/>
      <c r="AE3114" s="38"/>
      <c r="AF3114" s="38"/>
      <c r="AG3114" s="38"/>
      <c r="AH3114" s="38"/>
    </row>
    <row r="3115" spans="3:34" ht="20.100000000000001" customHeight="1">
      <c r="C3115" s="113"/>
      <c r="D3115" s="114"/>
      <c r="P3115" s="82"/>
      <c r="Q3115" s="82"/>
      <c r="R3115" s="38"/>
      <c r="S3115" s="38"/>
      <c r="T3115" s="38"/>
      <c r="U3115" s="38"/>
      <c r="V3115" s="38"/>
      <c r="W3115" s="38"/>
      <c r="X3115" s="38"/>
      <c r="Y3115" s="38"/>
      <c r="Z3115" s="38"/>
      <c r="AA3115" s="38"/>
      <c r="AB3115" s="38"/>
      <c r="AC3115" s="38"/>
      <c r="AD3115" s="38"/>
      <c r="AE3115" s="38"/>
      <c r="AF3115" s="38"/>
      <c r="AG3115" s="38"/>
      <c r="AH3115" s="38"/>
    </row>
    <row r="3116" spans="3:34" ht="20.100000000000001" customHeight="1">
      <c r="C3116" s="113"/>
      <c r="D3116" s="114"/>
      <c r="P3116" s="82"/>
      <c r="Q3116" s="82"/>
      <c r="R3116" s="38"/>
      <c r="S3116" s="38"/>
      <c r="T3116" s="38"/>
      <c r="U3116" s="38"/>
      <c r="V3116" s="38"/>
      <c r="W3116" s="38"/>
      <c r="X3116" s="38"/>
      <c r="Y3116" s="38"/>
      <c r="Z3116" s="38"/>
      <c r="AA3116" s="38"/>
      <c r="AB3116" s="38"/>
      <c r="AC3116" s="38"/>
      <c r="AD3116" s="38"/>
      <c r="AE3116" s="38"/>
      <c r="AF3116" s="38"/>
      <c r="AG3116" s="38"/>
      <c r="AH3116" s="38"/>
    </row>
    <row r="3117" spans="3:34" ht="20.100000000000001" customHeight="1">
      <c r="C3117" s="113"/>
      <c r="D3117" s="114"/>
      <c r="P3117" s="82"/>
      <c r="Q3117" s="82"/>
      <c r="R3117" s="38"/>
      <c r="S3117" s="38"/>
      <c r="T3117" s="38"/>
      <c r="U3117" s="38"/>
      <c r="V3117" s="38"/>
      <c r="W3117" s="38"/>
      <c r="X3117" s="38"/>
      <c r="Y3117" s="38"/>
      <c r="Z3117" s="38"/>
      <c r="AA3117" s="38"/>
      <c r="AB3117" s="38"/>
      <c r="AC3117" s="38"/>
      <c r="AD3117" s="38"/>
      <c r="AE3117" s="38"/>
      <c r="AF3117" s="38"/>
      <c r="AG3117" s="38"/>
      <c r="AH3117" s="38"/>
    </row>
    <row r="3118" spans="3:34" ht="20.100000000000001" customHeight="1">
      <c r="C3118" s="113"/>
      <c r="D3118" s="114"/>
      <c r="P3118" s="82"/>
      <c r="Q3118" s="82"/>
      <c r="R3118" s="38"/>
      <c r="S3118" s="38"/>
      <c r="T3118" s="38"/>
      <c r="U3118" s="38"/>
      <c r="V3118" s="38"/>
      <c r="W3118" s="38"/>
      <c r="X3118" s="38"/>
      <c r="Y3118" s="38"/>
      <c r="Z3118" s="38"/>
      <c r="AA3118" s="38"/>
      <c r="AB3118" s="38"/>
      <c r="AC3118" s="38"/>
      <c r="AD3118" s="38"/>
      <c r="AE3118" s="38"/>
      <c r="AF3118" s="38"/>
      <c r="AG3118" s="38"/>
      <c r="AH3118" s="38"/>
    </row>
    <row r="3119" spans="3:34" ht="20.100000000000001" customHeight="1">
      <c r="C3119" s="113"/>
      <c r="D3119" s="114"/>
      <c r="P3119" s="82"/>
      <c r="Q3119" s="82"/>
      <c r="R3119" s="38"/>
      <c r="S3119" s="38"/>
      <c r="T3119" s="38"/>
      <c r="U3119" s="38"/>
      <c r="V3119" s="38"/>
      <c r="W3119" s="38"/>
      <c r="X3119" s="38"/>
      <c r="Y3119" s="38"/>
      <c r="Z3119" s="38"/>
      <c r="AA3119" s="38"/>
      <c r="AB3119" s="38"/>
      <c r="AC3119" s="38"/>
      <c r="AD3119" s="38"/>
      <c r="AE3119" s="38"/>
      <c r="AF3119" s="38"/>
      <c r="AG3119" s="38"/>
      <c r="AH3119" s="38"/>
    </row>
    <row r="3120" spans="3:34" ht="20.100000000000001" customHeight="1">
      <c r="C3120" s="113"/>
      <c r="D3120" s="114"/>
      <c r="P3120" s="82"/>
      <c r="Q3120" s="82"/>
      <c r="R3120" s="38"/>
      <c r="S3120" s="38"/>
      <c r="T3120" s="38"/>
      <c r="U3120" s="38"/>
      <c r="V3120" s="38"/>
      <c r="W3120" s="38"/>
      <c r="X3120" s="38"/>
      <c r="Y3120" s="38"/>
      <c r="Z3120" s="38"/>
      <c r="AA3120" s="38"/>
      <c r="AB3120" s="38"/>
      <c r="AC3120" s="38"/>
      <c r="AD3120" s="38"/>
      <c r="AE3120" s="38"/>
      <c r="AF3120" s="38"/>
      <c r="AG3120" s="38"/>
      <c r="AH3120" s="38"/>
    </row>
    <row r="3121" spans="3:34" ht="20.100000000000001" customHeight="1">
      <c r="C3121" s="113"/>
      <c r="D3121" s="114"/>
      <c r="P3121" s="82"/>
      <c r="Q3121" s="82"/>
      <c r="R3121" s="38"/>
      <c r="S3121" s="38"/>
      <c r="T3121" s="38"/>
      <c r="U3121" s="38"/>
      <c r="V3121" s="38"/>
      <c r="W3121" s="38"/>
      <c r="X3121" s="38"/>
      <c r="Y3121" s="38"/>
      <c r="Z3121" s="38"/>
      <c r="AA3121" s="38"/>
      <c r="AB3121" s="38"/>
      <c r="AC3121" s="38"/>
      <c r="AD3121" s="38"/>
      <c r="AE3121" s="38"/>
      <c r="AF3121" s="38"/>
      <c r="AG3121" s="38"/>
      <c r="AH3121" s="38"/>
    </row>
    <row r="3122" spans="3:34" ht="20.100000000000001" customHeight="1">
      <c r="C3122" s="113"/>
      <c r="D3122" s="114"/>
      <c r="P3122" s="82"/>
      <c r="Q3122" s="82"/>
      <c r="R3122" s="38"/>
      <c r="S3122" s="38"/>
      <c r="T3122" s="38"/>
      <c r="U3122" s="38"/>
      <c r="V3122" s="38"/>
      <c r="W3122" s="38"/>
      <c r="X3122" s="38"/>
      <c r="Y3122" s="38"/>
      <c r="Z3122" s="38"/>
      <c r="AA3122" s="38"/>
      <c r="AB3122" s="38"/>
      <c r="AC3122" s="38"/>
      <c r="AD3122" s="38"/>
      <c r="AE3122" s="38"/>
      <c r="AF3122" s="38"/>
      <c r="AG3122" s="38"/>
      <c r="AH3122" s="38"/>
    </row>
    <row r="3123" spans="3:34" ht="20.100000000000001" customHeight="1">
      <c r="C3123" s="113"/>
      <c r="D3123" s="114"/>
      <c r="P3123" s="82"/>
      <c r="Q3123" s="82"/>
      <c r="R3123" s="38"/>
      <c r="S3123" s="38"/>
      <c r="T3123" s="38"/>
      <c r="U3123" s="38"/>
      <c r="V3123" s="38"/>
      <c r="W3123" s="38"/>
      <c r="X3123" s="38"/>
      <c r="Y3123" s="38"/>
      <c r="Z3123" s="38"/>
      <c r="AA3123" s="38"/>
      <c r="AB3123" s="38"/>
      <c r="AC3123" s="38"/>
      <c r="AD3123" s="38"/>
      <c r="AE3123" s="38"/>
      <c r="AF3123" s="38"/>
      <c r="AG3123" s="38"/>
      <c r="AH3123" s="38"/>
    </row>
    <row r="3124" spans="3:34" ht="20.100000000000001" customHeight="1">
      <c r="C3124" s="113"/>
      <c r="D3124" s="114"/>
      <c r="P3124" s="82"/>
      <c r="Q3124" s="82"/>
      <c r="R3124" s="38"/>
      <c r="S3124" s="38"/>
      <c r="T3124" s="38"/>
      <c r="U3124" s="38"/>
      <c r="V3124" s="38"/>
      <c r="W3124" s="38"/>
      <c r="X3124" s="38"/>
      <c r="Y3124" s="38"/>
      <c r="Z3124" s="38"/>
      <c r="AA3124" s="38"/>
      <c r="AB3124" s="38"/>
      <c r="AC3124" s="38"/>
      <c r="AD3124" s="38"/>
      <c r="AE3124" s="38"/>
      <c r="AF3124" s="38"/>
      <c r="AG3124" s="38"/>
      <c r="AH3124" s="38"/>
    </row>
    <row r="3125" spans="3:34" ht="20.100000000000001" customHeight="1">
      <c r="C3125" s="113"/>
      <c r="D3125" s="114"/>
      <c r="P3125" s="82"/>
      <c r="Q3125" s="82"/>
      <c r="R3125" s="38"/>
      <c r="S3125" s="38"/>
      <c r="T3125" s="38"/>
      <c r="U3125" s="38"/>
      <c r="V3125" s="38"/>
      <c r="W3125" s="38"/>
      <c r="X3125" s="38"/>
      <c r="Y3125" s="38"/>
      <c r="Z3125" s="38"/>
      <c r="AA3125" s="38"/>
      <c r="AB3125" s="38"/>
      <c r="AC3125" s="38"/>
      <c r="AD3125" s="38"/>
      <c r="AE3125" s="38"/>
      <c r="AF3125" s="38"/>
      <c r="AG3125" s="38"/>
      <c r="AH3125" s="38"/>
    </row>
    <row r="3126" spans="3:34" ht="20.100000000000001" customHeight="1">
      <c r="C3126" s="113"/>
      <c r="D3126" s="114"/>
      <c r="P3126" s="82"/>
      <c r="Q3126" s="82"/>
      <c r="R3126" s="38"/>
      <c r="S3126" s="38"/>
      <c r="T3126" s="38"/>
      <c r="U3126" s="38"/>
      <c r="V3126" s="38"/>
      <c r="W3126" s="38"/>
      <c r="X3126" s="38"/>
      <c r="Y3126" s="38"/>
      <c r="Z3126" s="38"/>
      <c r="AA3126" s="38"/>
      <c r="AB3126" s="38"/>
      <c r="AC3126" s="38"/>
      <c r="AD3126" s="38"/>
      <c r="AE3126" s="38"/>
      <c r="AF3126" s="38"/>
      <c r="AG3126" s="38"/>
      <c r="AH3126" s="38"/>
    </row>
    <row r="3127" spans="3:34" ht="20.100000000000001" customHeight="1">
      <c r="C3127" s="113"/>
      <c r="D3127" s="114"/>
      <c r="P3127" s="82"/>
      <c r="Q3127" s="82"/>
      <c r="R3127" s="38"/>
      <c r="S3127" s="38"/>
      <c r="T3127" s="38"/>
      <c r="U3127" s="38"/>
      <c r="V3127" s="38"/>
      <c r="W3127" s="38"/>
      <c r="X3127" s="38"/>
      <c r="Y3127" s="38"/>
      <c r="Z3127" s="38"/>
      <c r="AA3127" s="38"/>
      <c r="AB3127" s="38"/>
      <c r="AC3127" s="38"/>
      <c r="AD3127" s="38"/>
      <c r="AE3127" s="38"/>
      <c r="AF3127" s="38"/>
      <c r="AG3127" s="38"/>
      <c r="AH3127" s="38"/>
    </row>
    <row r="3128" spans="3:34" ht="20.100000000000001" customHeight="1">
      <c r="C3128" s="113"/>
      <c r="D3128" s="114"/>
      <c r="P3128" s="82"/>
      <c r="Q3128" s="82"/>
      <c r="R3128" s="38"/>
      <c r="S3128" s="38"/>
      <c r="T3128" s="38"/>
      <c r="U3128" s="38"/>
      <c r="V3128" s="38"/>
      <c r="W3128" s="38"/>
      <c r="X3128" s="38"/>
      <c r="Y3128" s="38"/>
      <c r="Z3128" s="38"/>
      <c r="AA3128" s="38"/>
      <c r="AB3128" s="38"/>
      <c r="AC3128" s="38"/>
      <c r="AD3128" s="38"/>
      <c r="AE3128" s="38"/>
      <c r="AF3128" s="38"/>
      <c r="AG3128" s="38"/>
      <c r="AH3128" s="38"/>
    </row>
    <row r="3129" spans="3:34" ht="20.100000000000001" customHeight="1">
      <c r="C3129" s="113"/>
      <c r="D3129" s="114"/>
      <c r="P3129" s="82"/>
      <c r="Q3129" s="82"/>
      <c r="R3129" s="38"/>
      <c r="S3129" s="38"/>
      <c r="T3129" s="38"/>
      <c r="U3129" s="38"/>
      <c r="V3129" s="38"/>
      <c r="W3129" s="38"/>
      <c r="X3129" s="38"/>
      <c r="Y3129" s="38"/>
      <c r="Z3129" s="38"/>
      <c r="AA3129" s="38"/>
      <c r="AB3129" s="38"/>
      <c r="AC3129" s="38"/>
      <c r="AD3129" s="38"/>
      <c r="AE3129" s="38"/>
      <c r="AF3129" s="38"/>
      <c r="AG3129" s="38"/>
      <c r="AH3129" s="38"/>
    </row>
    <row r="3130" spans="3:34" ht="20.100000000000001" customHeight="1">
      <c r="C3130" s="113"/>
      <c r="D3130" s="114"/>
      <c r="P3130" s="82"/>
      <c r="Q3130" s="82"/>
      <c r="R3130" s="38"/>
      <c r="S3130" s="38"/>
      <c r="T3130" s="38"/>
      <c r="U3130" s="38"/>
      <c r="V3130" s="38"/>
      <c r="W3130" s="38"/>
      <c r="X3130" s="38"/>
      <c r="Y3130" s="38"/>
      <c r="Z3130" s="38"/>
      <c r="AA3130" s="38"/>
      <c r="AB3130" s="38"/>
      <c r="AC3130" s="38"/>
      <c r="AD3130" s="38"/>
      <c r="AE3130" s="38"/>
      <c r="AF3130" s="38"/>
      <c r="AG3130" s="38"/>
      <c r="AH3130" s="38"/>
    </row>
    <row r="3131" spans="3:34" ht="20.100000000000001" customHeight="1">
      <c r="C3131" s="113"/>
      <c r="D3131" s="114"/>
      <c r="P3131" s="82"/>
      <c r="Q3131" s="82"/>
      <c r="R3131" s="38"/>
      <c r="S3131" s="38"/>
      <c r="T3131" s="38"/>
      <c r="U3131" s="38"/>
      <c r="V3131" s="38"/>
      <c r="W3131" s="38"/>
      <c r="X3131" s="38"/>
      <c r="Y3131" s="38"/>
      <c r="Z3131" s="38"/>
      <c r="AA3131" s="38"/>
      <c r="AB3131" s="38"/>
      <c r="AC3131" s="38"/>
      <c r="AD3131" s="38"/>
      <c r="AE3131" s="38"/>
      <c r="AF3131" s="38"/>
      <c r="AG3131" s="38"/>
      <c r="AH3131" s="38"/>
    </row>
    <row r="3132" spans="3:34" ht="20.100000000000001" customHeight="1">
      <c r="C3132" s="113"/>
      <c r="D3132" s="114"/>
      <c r="P3132" s="82"/>
      <c r="Q3132" s="82"/>
      <c r="R3132" s="38"/>
      <c r="S3132" s="38"/>
      <c r="T3132" s="38"/>
      <c r="U3132" s="38"/>
      <c r="V3132" s="38"/>
      <c r="W3132" s="38"/>
      <c r="X3132" s="38"/>
      <c r="Y3132" s="38"/>
      <c r="Z3132" s="38"/>
      <c r="AA3132" s="38"/>
      <c r="AB3132" s="38"/>
      <c r="AC3132" s="38"/>
      <c r="AD3132" s="38"/>
      <c r="AE3132" s="38"/>
      <c r="AF3132" s="38"/>
      <c r="AG3132" s="38"/>
      <c r="AH3132" s="38"/>
    </row>
    <row r="3133" spans="3:34" ht="20.100000000000001" customHeight="1">
      <c r="C3133" s="113"/>
      <c r="D3133" s="114"/>
      <c r="P3133" s="82"/>
      <c r="Q3133" s="82"/>
      <c r="R3133" s="38"/>
      <c r="S3133" s="38"/>
      <c r="T3133" s="38"/>
      <c r="U3133" s="38"/>
      <c r="V3133" s="38"/>
      <c r="W3133" s="38"/>
      <c r="X3133" s="38"/>
      <c r="Y3133" s="38"/>
      <c r="Z3133" s="38"/>
      <c r="AA3133" s="38"/>
      <c r="AB3133" s="38"/>
      <c r="AC3133" s="38"/>
      <c r="AD3133" s="38"/>
      <c r="AE3133" s="38"/>
      <c r="AF3133" s="38"/>
      <c r="AG3133" s="38"/>
      <c r="AH3133" s="38"/>
    </row>
    <row r="3134" spans="3:34" ht="20.100000000000001" customHeight="1">
      <c r="C3134" s="113"/>
      <c r="D3134" s="114"/>
      <c r="P3134" s="82"/>
      <c r="Q3134" s="82"/>
      <c r="R3134" s="38"/>
      <c r="S3134" s="38"/>
      <c r="T3134" s="38"/>
      <c r="U3134" s="38"/>
      <c r="V3134" s="38"/>
      <c r="W3134" s="38"/>
      <c r="X3134" s="38"/>
      <c r="Y3134" s="38"/>
      <c r="Z3134" s="38"/>
      <c r="AA3134" s="38"/>
      <c r="AB3134" s="38"/>
      <c r="AC3134" s="38"/>
      <c r="AD3134" s="38"/>
      <c r="AE3134" s="38"/>
      <c r="AF3134" s="38"/>
      <c r="AG3134" s="38"/>
      <c r="AH3134" s="38"/>
    </row>
    <row r="3135" spans="3:34" ht="20.100000000000001" customHeight="1">
      <c r="C3135" s="113"/>
      <c r="D3135" s="114"/>
      <c r="P3135" s="82"/>
      <c r="Q3135" s="82"/>
      <c r="R3135" s="38"/>
      <c r="S3135" s="38"/>
      <c r="T3135" s="38"/>
      <c r="U3135" s="38"/>
      <c r="V3135" s="38"/>
      <c r="W3135" s="38"/>
      <c r="X3135" s="38"/>
      <c r="Y3135" s="38"/>
      <c r="Z3135" s="38"/>
      <c r="AA3135" s="38"/>
      <c r="AB3135" s="38"/>
      <c r="AC3135" s="38"/>
      <c r="AD3135" s="38"/>
      <c r="AE3135" s="38"/>
      <c r="AF3135" s="38"/>
      <c r="AG3135" s="38"/>
      <c r="AH3135" s="38"/>
    </row>
    <row r="3136" spans="3:34" ht="20.100000000000001" customHeight="1">
      <c r="C3136" s="113"/>
      <c r="D3136" s="114"/>
      <c r="P3136" s="82"/>
      <c r="Q3136" s="82"/>
      <c r="R3136" s="38"/>
      <c r="S3136" s="38"/>
      <c r="T3136" s="38"/>
      <c r="U3136" s="38"/>
      <c r="V3136" s="38"/>
      <c r="W3136" s="38"/>
      <c r="X3136" s="38"/>
      <c r="Y3136" s="38"/>
      <c r="Z3136" s="38"/>
      <c r="AA3136" s="38"/>
      <c r="AB3136" s="38"/>
      <c r="AC3136" s="38"/>
      <c r="AD3136" s="38"/>
      <c r="AE3136" s="38"/>
      <c r="AF3136" s="38"/>
      <c r="AG3136" s="38"/>
      <c r="AH3136" s="38"/>
    </row>
    <row r="3137" spans="3:34" ht="20.100000000000001" customHeight="1">
      <c r="C3137" s="113"/>
      <c r="D3137" s="114"/>
      <c r="P3137" s="82"/>
      <c r="Q3137" s="82"/>
      <c r="R3137" s="38"/>
      <c r="S3137" s="38"/>
      <c r="T3137" s="38"/>
      <c r="U3137" s="38"/>
      <c r="V3137" s="38"/>
      <c r="W3137" s="38"/>
      <c r="X3137" s="38"/>
      <c r="Y3137" s="38"/>
      <c r="Z3137" s="38"/>
      <c r="AA3137" s="38"/>
      <c r="AB3137" s="38"/>
      <c r="AC3137" s="38"/>
      <c r="AD3137" s="38"/>
      <c r="AE3137" s="38"/>
      <c r="AF3137" s="38"/>
      <c r="AG3137" s="38"/>
      <c r="AH3137" s="38"/>
    </row>
    <row r="3138" spans="3:34" ht="20.100000000000001" customHeight="1">
      <c r="C3138" s="113"/>
      <c r="D3138" s="114"/>
      <c r="P3138" s="82"/>
      <c r="Q3138" s="82"/>
      <c r="R3138" s="38"/>
      <c r="S3138" s="38"/>
      <c r="T3138" s="38"/>
      <c r="U3138" s="38"/>
      <c r="V3138" s="38"/>
      <c r="W3138" s="38"/>
      <c r="X3138" s="38"/>
      <c r="Y3138" s="38"/>
      <c r="Z3138" s="38"/>
      <c r="AA3138" s="38"/>
      <c r="AB3138" s="38"/>
      <c r="AC3138" s="38"/>
      <c r="AD3138" s="38"/>
      <c r="AE3138" s="38"/>
      <c r="AF3138" s="38"/>
      <c r="AG3138" s="38"/>
      <c r="AH3138" s="38"/>
    </row>
    <row r="3139" spans="3:34" ht="20.100000000000001" customHeight="1">
      <c r="C3139" s="113"/>
      <c r="D3139" s="114"/>
      <c r="P3139" s="82"/>
      <c r="Q3139" s="82"/>
      <c r="R3139" s="38"/>
      <c r="S3139" s="38"/>
      <c r="T3139" s="38"/>
      <c r="U3139" s="38"/>
      <c r="V3139" s="38"/>
      <c r="W3139" s="38"/>
      <c r="X3139" s="38"/>
      <c r="Y3139" s="38"/>
      <c r="Z3139" s="38"/>
      <c r="AA3139" s="38"/>
      <c r="AB3139" s="38"/>
      <c r="AC3139" s="38"/>
      <c r="AD3139" s="38"/>
      <c r="AE3139" s="38"/>
      <c r="AF3139" s="38"/>
      <c r="AG3139" s="38"/>
      <c r="AH3139" s="38"/>
    </row>
    <row r="3140" spans="3:34" ht="20.100000000000001" customHeight="1">
      <c r="C3140" s="113"/>
      <c r="D3140" s="114"/>
      <c r="P3140" s="82"/>
      <c r="Q3140" s="82"/>
      <c r="R3140" s="38"/>
      <c r="S3140" s="38"/>
      <c r="T3140" s="38"/>
      <c r="U3140" s="38"/>
      <c r="V3140" s="38"/>
      <c r="W3140" s="38"/>
      <c r="X3140" s="38"/>
      <c r="Y3140" s="38"/>
      <c r="Z3140" s="38"/>
      <c r="AA3140" s="38"/>
      <c r="AB3140" s="38"/>
      <c r="AC3140" s="38"/>
      <c r="AD3140" s="38"/>
      <c r="AE3140" s="38"/>
      <c r="AF3140" s="38"/>
      <c r="AG3140" s="38"/>
      <c r="AH3140" s="38"/>
    </row>
    <row r="3141" spans="3:34" ht="20.100000000000001" customHeight="1">
      <c r="C3141" s="113"/>
      <c r="D3141" s="114"/>
      <c r="P3141" s="82"/>
      <c r="Q3141" s="82"/>
      <c r="R3141" s="38"/>
      <c r="S3141" s="38"/>
      <c r="T3141" s="38"/>
      <c r="U3141" s="38"/>
      <c r="V3141" s="38"/>
      <c r="W3141" s="38"/>
      <c r="X3141" s="38"/>
      <c r="Y3141" s="38"/>
      <c r="Z3141" s="38"/>
      <c r="AA3141" s="38"/>
      <c r="AB3141" s="38"/>
      <c r="AC3141" s="38"/>
      <c r="AD3141" s="38"/>
      <c r="AE3141" s="38"/>
      <c r="AF3141" s="38"/>
      <c r="AG3141" s="38"/>
      <c r="AH3141" s="38"/>
    </row>
    <row r="3142" spans="3:34" ht="20.100000000000001" customHeight="1">
      <c r="C3142" s="113"/>
      <c r="D3142" s="114"/>
      <c r="P3142" s="82"/>
      <c r="Q3142" s="82"/>
      <c r="R3142" s="38"/>
      <c r="S3142" s="38"/>
      <c r="T3142" s="38"/>
      <c r="U3142" s="38"/>
      <c r="V3142" s="38"/>
      <c r="W3142" s="38"/>
      <c r="X3142" s="38"/>
      <c r="Y3142" s="38"/>
      <c r="Z3142" s="38"/>
      <c r="AA3142" s="38"/>
      <c r="AB3142" s="38"/>
      <c r="AC3142" s="38"/>
      <c r="AD3142" s="38"/>
      <c r="AE3142" s="38"/>
      <c r="AF3142" s="38"/>
      <c r="AG3142" s="38"/>
      <c r="AH3142" s="38"/>
    </row>
    <row r="3143" spans="3:34" ht="20.100000000000001" customHeight="1">
      <c r="C3143" s="113"/>
      <c r="D3143" s="114"/>
      <c r="P3143" s="82"/>
      <c r="Q3143" s="82"/>
      <c r="R3143" s="38"/>
      <c r="S3143" s="38"/>
      <c r="T3143" s="38"/>
      <c r="U3143" s="38"/>
      <c r="V3143" s="38"/>
      <c r="W3143" s="38"/>
      <c r="X3143" s="38"/>
      <c r="Y3143" s="38"/>
      <c r="Z3143" s="38"/>
      <c r="AA3143" s="38"/>
      <c r="AB3143" s="38"/>
      <c r="AC3143" s="38"/>
      <c r="AD3143" s="38"/>
      <c r="AE3143" s="38"/>
      <c r="AF3143" s="38"/>
      <c r="AG3143" s="38"/>
      <c r="AH3143" s="38"/>
    </row>
    <row r="3144" spans="3:34" ht="20.100000000000001" customHeight="1">
      <c r="C3144" s="113"/>
      <c r="D3144" s="114"/>
      <c r="P3144" s="82"/>
      <c r="Q3144" s="82"/>
      <c r="R3144" s="38"/>
      <c r="S3144" s="38"/>
      <c r="T3144" s="38"/>
      <c r="U3144" s="38"/>
      <c r="V3144" s="38"/>
      <c r="W3144" s="38"/>
      <c r="X3144" s="38"/>
      <c r="Y3144" s="38"/>
      <c r="Z3144" s="38"/>
      <c r="AA3144" s="38"/>
      <c r="AB3144" s="38"/>
      <c r="AC3144" s="38"/>
      <c r="AD3144" s="38"/>
      <c r="AE3144" s="38"/>
      <c r="AF3144" s="38"/>
      <c r="AG3144" s="38"/>
      <c r="AH3144" s="38"/>
    </row>
    <row r="3145" spans="3:34" ht="20.100000000000001" customHeight="1">
      <c r="C3145" s="113"/>
      <c r="D3145" s="114"/>
      <c r="P3145" s="82"/>
      <c r="Q3145" s="82"/>
      <c r="R3145" s="38"/>
      <c r="S3145" s="38"/>
      <c r="T3145" s="38"/>
      <c r="U3145" s="38"/>
      <c r="V3145" s="38"/>
      <c r="W3145" s="38"/>
      <c r="X3145" s="38"/>
      <c r="Y3145" s="38"/>
      <c r="Z3145" s="38"/>
      <c r="AA3145" s="38"/>
      <c r="AB3145" s="38"/>
      <c r="AC3145" s="38"/>
      <c r="AD3145" s="38"/>
      <c r="AE3145" s="38"/>
      <c r="AF3145" s="38"/>
      <c r="AG3145" s="38"/>
      <c r="AH3145" s="38"/>
    </row>
    <row r="3146" spans="3:34" ht="20.100000000000001" customHeight="1">
      <c r="C3146" s="113"/>
      <c r="D3146" s="114"/>
      <c r="P3146" s="82"/>
      <c r="Q3146" s="82"/>
      <c r="R3146" s="38"/>
      <c r="S3146" s="38"/>
      <c r="T3146" s="38"/>
      <c r="U3146" s="38"/>
      <c r="V3146" s="38"/>
      <c r="W3146" s="38"/>
      <c r="X3146" s="38"/>
      <c r="Y3146" s="38"/>
      <c r="Z3146" s="38"/>
      <c r="AA3146" s="38"/>
      <c r="AB3146" s="38"/>
      <c r="AC3146" s="38"/>
      <c r="AD3146" s="38"/>
      <c r="AE3146" s="38"/>
      <c r="AF3146" s="38"/>
      <c r="AG3146" s="38"/>
      <c r="AH3146" s="38"/>
    </row>
    <row r="3147" spans="3:34" ht="20.100000000000001" customHeight="1">
      <c r="C3147" s="113"/>
      <c r="D3147" s="114"/>
      <c r="P3147" s="82"/>
      <c r="Q3147" s="82"/>
      <c r="R3147" s="38"/>
      <c r="S3147" s="38"/>
      <c r="T3147" s="38"/>
      <c r="U3147" s="38"/>
      <c r="V3147" s="38"/>
      <c r="W3147" s="38"/>
      <c r="X3147" s="38"/>
      <c r="Y3147" s="38"/>
      <c r="Z3147" s="38"/>
      <c r="AA3147" s="38"/>
      <c r="AB3147" s="38"/>
      <c r="AC3147" s="38"/>
      <c r="AD3147" s="38"/>
      <c r="AE3147" s="38"/>
      <c r="AF3147" s="38"/>
      <c r="AG3147" s="38"/>
      <c r="AH3147" s="38"/>
    </row>
    <row r="3148" spans="3:34" ht="20.100000000000001" customHeight="1">
      <c r="C3148" s="113"/>
      <c r="D3148" s="114"/>
      <c r="P3148" s="82"/>
      <c r="Q3148" s="82"/>
      <c r="R3148" s="38"/>
      <c r="S3148" s="38"/>
      <c r="T3148" s="38"/>
      <c r="U3148" s="38"/>
      <c r="V3148" s="38"/>
      <c r="W3148" s="38"/>
      <c r="X3148" s="38"/>
      <c r="Y3148" s="38"/>
      <c r="Z3148" s="38"/>
      <c r="AA3148" s="38"/>
      <c r="AB3148" s="38"/>
      <c r="AC3148" s="38"/>
      <c r="AD3148" s="38"/>
      <c r="AE3148" s="38"/>
      <c r="AF3148" s="38"/>
      <c r="AG3148" s="38"/>
      <c r="AH3148" s="38"/>
    </row>
    <row r="3149" spans="3:34" ht="20.100000000000001" customHeight="1">
      <c r="C3149" s="113"/>
      <c r="D3149" s="114"/>
      <c r="P3149" s="82"/>
      <c r="Q3149" s="82"/>
      <c r="R3149" s="38"/>
      <c r="S3149" s="38"/>
      <c r="T3149" s="38"/>
      <c r="U3149" s="38"/>
      <c r="V3149" s="38"/>
      <c r="W3149" s="38"/>
      <c r="X3149" s="38"/>
      <c r="Y3149" s="38"/>
      <c r="Z3149" s="38"/>
      <c r="AA3149" s="38"/>
      <c r="AB3149" s="38"/>
      <c r="AC3149" s="38"/>
      <c r="AD3149" s="38"/>
      <c r="AE3149" s="38"/>
      <c r="AF3149" s="38"/>
      <c r="AG3149" s="38"/>
      <c r="AH3149" s="38"/>
    </row>
    <row r="3150" spans="3:34" ht="20.100000000000001" customHeight="1">
      <c r="C3150" s="113"/>
      <c r="D3150" s="114"/>
      <c r="P3150" s="82"/>
      <c r="Q3150" s="82"/>
      <c r="R3150" s="38"/>
      <c r="S3150" s="38"/>
      <c r="T3150" s="38"/>
      <c r="U3150" s="38"/>
      <c r="V3150" s="38"/>
      <c r="W3150" s="38"/>
      <c r="X3150" s="38"/>
      <c r="Y3150" s="38"/>
      <c r="Z3150" s="38"/>
      <c r="AA3150" s="38"/>
      <c r="AB3150" s="38"/>
      <c r="AC3150" s="38"/>
      <c r="AD3150" s="38"/>
      <c r="AE3150" s="38"/>
      <c r="AF3150" s="38"/>
      <c r="AG3150" s="38"/>
      <c r="AH3150" s="38"/>
    </row>
    <row r="3151" spans="3:34" ht="20.100000000000001" customHeight="1">
      <c r="C3151" s="113"/>
      <c r="D3151" s="114"/>
      <c r="P3151" s="82"/>
      <c r="Q3151" s="82"/>
      <c r="R3151" s="38"/>
      <c r="S3151" s="38"/>
      <c r="T3151" s="38"/>
      <c r="U3151" s="38"/>
      <c r="V3151" s="38"/>
      <c r="W3151" s="38"/>
      <c r="X3151" s="38"/>
      <c r="Y3151" s="38"/>
      <c r="Z3151" s="38"/>
      <c r="AA3151" s="38"/>
      <c r="AB3151" s="38"/>
      <c r="AC3151" s="38"/>
      <c r="AD3151" s="38"/>
      <c r="AE3151" s="38"/>
      <c r="AF3151" s="38"/>
      <c r="AG3151" s="38"/>
      <c r="AH3151" s="38"/>
    </row>
    <row r="3152" spans="3:34" ht="20.100000000000001" customHeight="1">
      <c r="C3152" s="113"/>
      <c r="D3152" s="114"/>
      <c r="P3152" s="82"/>
      <c r="Q3152" s="82"/>
      <c r="R3152" s="38"/>
      <c r="S3152" s="38"/>
      <c r="T3152" s="38"/>
      <c r="U3152" s="38"/>
      <c r="V3152" s="38"/>
      <c r="W3152" s="38"/>
      <c r="X3152" s="38"/>
      <c r="Y3152" s="38"/>
      <c r="Z3152" s="38"/>
      <c r="AA3152" s="38"/>
      <c r="AB3152" s="38"/>
      <c r="AC3152" s="38"/>
      <c r="AD3152" s="38"/>
      <c r="AE3152" s="38"/>
      <c r="AF3152" s="38"/>
      <c r="AG3152" s="38"/>
      <c r="AH3152" s="38"/>
    </row>
    <row r="3153" spans="3:34" ht="20.100000000000001" customHeight="1">
      <c r="C3153" s="113"/>
      <c r="D3153" s="114"/>
      <c r="P3153" s="82"/>
      <c r="Q3153" s="82"/>
      <c r="R3153" s="38"/>
      <c r="S3153" s="38"/>
      <c r="T3153" s="38"/>
      <c r="U3153" s="38"/>
      <c r="V3153" s="38"/>
      <c r="W3153" s="38"/>
      <c r="X3153" s="38"/>
      <c r="Y3153" s="38"/>
      <c r="Z3153" s="38"/>
      <c r="AA3153" s="38"/>
      <c r="AB3153" s="38"/>
      <c r="AC3153" s="38"/>
      <c r="AD3153" s="38"/>
      <c r="AE3153" s="38"/>
      <c r="AF3153" s="38"/>
      <c r="AG3153" s="38"/>
      <c r="AH3153" s="38"/>
    </row>
    <row r="3154" spans="3:34" ht="20.100000000000001" customHeight="1">
      <c r="C3154" s="113"/>
      <c r="D3154" s="114"/>
      <c r="P3154" s="82"/>
      <c r="Q3154" s="82"/>
      <c r="R3154" s="38"/>
      <c r="S3154" s="38"/>
      <c r="T3154" s="38"/>
      <c r="U3154" s="38"/>
      <c r="V3154" s="38"/>
      <c r="W3154" s="38"/>
      <c r="X3154" s="38"/>
      <c r="Y3154" s="38"/>
      <c r="Z3154" s="38"/>
      <c r="AA3154" s="38"/>
      <c r="AB3154" s="38"/>
      <c r="AC3154" s="38"/>
      <c r="AD3154" s="38"/>
      <c r="AE3154" s="38"/>
      <c r="AF3154" s="38"/>
      <c r="AG3154" s="38"/>
      <c r="AH3154" s="38"/>
    </row>
    <row r="3155" spans="3:34" ht="20.100000000000001" customHeight="1">
      <c r="C3155" s="113"/>
      <c r="D3155" s="114"/>
      <c r="P3155" s="82"/>
      <c r="Q3155" s="82"/>
      <c r="R3155" s="38"/>
      <c r="S3155" s="38"/>
      <c r="T3155" s="38"/>
      <c r="U3155" s="38"/>
      <c r="V3155" s="38"/>
      <c r="W3155" s="38"/>
      <c r="X3155" s="38"/>
      <c r="Y3155" s="38"/>
      <c r="Z3155" s="38"/>
      <c r="AA3155" s="38"/>
      <c r="AB3155" s="38"/>
      <c r="AC3155" s="38"/>
      <c r="AD3155" s="38"/>
      <c r="AE3155" s="38"/>
      <c r="AF3155" s="38"/>
      <c r="AG3155" s="38"/>
      <c r="AH3155" s="38"/>
    </row>
    <row r="3156" spans="3:34" ht="20.100000000000001" customHeight="1">
      <c r="C3156" s="113"/>
      <c r="D3156" s="114"/>
      <c r="P3156" s="82"/>
      <c r="Q3156" s="82"/>
      <c r="R3156" s="38"/>
      <c r="S3156" s="38"/>
      <c r="T3156" s="38"/>
      <c r="U3156" s="38"/>
      <c r="V3156" s="38"/>
      <c r="W3156" s="38"/>
      <c r="X3156" s="38"/>
      <c r="Y3156" s="38"/>
      <c r="Z3156" s="38"/>
      <c r="AA3156" s="38"/>
      <c r="AB3156" s="38"/>
      <c r="AC3156" s="38"/>
      <c r="AD3156" s="38"/>
      <c r="AE3156" s="38"/>
      <c r="AF3156" s="38"/>
      <c r="AG3156" s="38"/>
      <c r="AH3156" s="38"/>
    </row>
    <row r="3157" spans="3:34" ht="20.100000000000001" customHeight="1">
      <c r="C3157" s="113"/>
      <c r="D3157" s="114"/>
      <c r="P3157" s="82"/>
      <c r="Q3157" s="82"/>
      <c r="R3157" s="38"/>
      <c r="S3157" s="38"/>
      <c r="T3157" s="38"/>
      <c r="U3157" s="38"/>
      <c r="V3157" s="38"/>
      <c r="W3157" s="38"/>
      <c r="X3157" s="38"/>
      <c r="Y3157" s="38"/>
      <c r="Z3157" s="38"/>
      <c r="AA3157" s="38"/>
      <c r="AB3157" s="38"/>
      <c r="AC3157" s="38"/>
      <c r="AD3157" s="38"/>
      <c r="AE3157" s="38"/>
      <c r="AF3157" s="38"/>
      <c r="AG3157" s="38"/>
      <c r="AH3157" s="38"/>
    </row>
    <row r="3158" spans="3:34" ht="20.100000000000001" customHeight="1">
      <c r="C3158" s="113"/>
      <c r="D3158" s="114"/>
      <c r="P3158" s="82"/>
      <c r="Q3158" s="82"/>
      <c r="R3158" s="38"/>
      <c r="S3158" s="38"/>
      <c r="T3158" s="38"/>
      <c r="U3158" s="38"/>
      <c r="V3158" s="38"/>
      <c r="W3158" s="38"/>
      <c r="X3158" s="38"/>
      <c r="Y3158" s="38"/>
      <c r="Z3158" s="38"/>
      <c r="AA3158" s="38"/>
      <c r="AB3158" s="38"/>
      <c r="AC3158" s="38"/>
      <c r="AD3158" s="38"/>
      <c r="AE3158" s="38"/>
      <c r="AF3158" s="38"/>
      <c r="AG3158" s="38"/>
      <c r="AH3158" s="38"/>
    </row>
    <row r="3159" spans="3:34" ht="20.100000000000001" customHeight="1">
      <c r="C3159" s="113"/>
      <c r="D3159" s="114"/>
      <c r="P3159" s="82"/>
      <c r="Q3159" s="82"/>
      <c r="R3159" s="38"/>
      <c r="S3159" s="38"/>
      <c r="T3159" s="38"/>
      <c r="U3159" s="38"/>
      <c r="V3159" s="38"/>
      <c r="W3159" s="38"/>
      <c r="X3159" s="38"/>
      <c r="Y3159" s="38"/>
      <c r="Z3159" s="38"/>
      <c r="AA3159" s="38"/>
      <c r="AB3159" s="38"/>
      <c r="AC3159" s="38"/>
      <c r="AD3159" s="38"/>
      <c r="AE3159" s="38"/>
      <c r="AF3159" s="38"/>
      <c r="AG3159" s="38"/>
      <c r="AH3159" s="38"/>
    </row>
    <row r="3160" spans="3:34" ht="20.100000000000001" customHeight="1">
      <c r="C3160" s="113"/>
      <c r="D3160" s="114"/>
      <c r="P3160" s="82"/>
      <c r="Q3160" s="82"/>
      <c r="R3160" s="38"/>
      <c r="S3160" s="38"/>
      <c r="T3160" s="38"/>
      <c r="U3160" s="38"/>
      <c r="V3160" s="38"/>
      <c r="W3160" s="38"/>
      <c r="X3160" s="38"/>
      <c r="Y3160" s="38"/>
      <c r="Z3160" s="38"/>
      <c r="AA3160" s="38"/>
      <c r="AB3160" s="38"/>
      <c r="AC3160" s="38"/>
      <c r="AD3160" s="38"/>
      <c r="AE3160" s="38"/>
      <c r="AF3160" s="38"/>
      <c r="AG3160" s="38"/>
      <c r="AH3160" s="38"/>
    </row>
    <row r="3161" spans="3:34" ht="20.100000000000001" customHeight="1">
      <c r="C3161" s="113"/>
      <c r="D3161" s="114"/>
      <c r="P3161" s="82"/>
      <c r="Q3161" s="82"/>
      <c r="R3161" s="38"/>
      <c r="S3161" s="38"/>
      <c r="T3161" s="38"/>
      <c r="U3161" s="38"/>
      <c r="V3161" s="38"/>
      <c r="W3161" s="38"/>
      <c r="X3161" s="38"/>
      <c r="Y3161" s="38"/>
      <c r="Z3161" s="38"/>
      <c r="AA3161" s="38"/>
      <c r="AB3161" s="38"/>
      <c r="AC3161" s="38"/>
      <c r="AD3161" s="38"/>
      <c r="AE3161" s="38"/>
      <c r="AF3161" s="38"/>
      <c r="AG3161" s="38"/>
      <c r="AH3161" s="38"/>
    </row>
    <row r="3162" spans="3:34" ht="20.100000000000001" customHeight="1">
      <c r="C3162" s="113"/>
      <c r="D3162" s="114"/>
      <c r="P3162" s="82"/>
      <c r="Q3162" s="82"/>
      <c r="R3162" s="38"/>
      <c r="S3162" s="38"/>
      <c r="T3162" s="38"/>
      <c r="U3162" s="38"/>
      <c r="V3162" s="38"/>
      <c r="W3162" s="38"/>
      <c r="X3162" s="38"/>
      <c r="Y3162" s="38"/>
      <c r="Z3162" s="38"/>
      <c r="AA3162" s="38"/>
      <c r="AB3162" s="38"/>
      <c r="AC3162" s="38"/>
      <c r="AD3162" s="38"/>
      <c r="AE3162" s="38"/>
      <c r="AF3162" s="38"/>
      <c r="AG3162" s="38"/>
      <c r="AH3162" s="38"/>
    </row>
    <row r="3163" spans="3:34" ht="20.100000000000001" customHeight="1">
      <c r="C3163" s="113"/>
      <c r="D3163" s="114"/>
      <c r="P3163" s="82"/>
      <c r="Q3163" s="82"/>
      <c r="R3163" s="38"/>
      <c r="S3163" s="38"/>
      <c r="T3163" s="38"/>
      <c r="U3163" s="38"/>
      <c r="V3163" s="38"/>
      <c r="W3163" s="38"/>
      <c r="X3163" s="38"/>
      <c r="Y3163" s="38"/>
      <c r="Z3163" s="38"/>
      <c r="AA3163" s="38"/>
      <c r="AB3163" s="38"/>
      <c r="AC3163" s="38"/>
      <c r="AD3163" s="38"/>
      <c r="AE3163" s="38"/>
      <c r="AF3163" s="38"/>
      <c r="AG3163" s="38"/>
      <c r="AH3163" s="38"/>
    </row>
    <row r="3164" spans="3:34" ht="20.100000000000001" customHeight="1">
      <c r="C3164" s="113"/>
      <c r="D3164" s="114"/>
      <c r="P3164" s="82"/>
      <c r="Q3164" s="82"/>
      <c r="R3164" s="38"/>
      <c r="S3164" s="38"/>
      <c r="T3164" s="38"/>
      <c r="U3164" s="38"/>
      <c r="V3164" s="38"/>
      <c r="W3164" s="38"/>
      <c r="X3164" s="38"/>
      <c r="Y3164" s="38"/>
      <c r="Z3164" s="38"/>
      <c r="AA3164" s="38"/>
      <c r="AB3164" s="38"/>
      <c r="AC3164" s="38"/>
      <c r="AD3164" s="38"/>
      <c r="AE3164" s="38"/>
      <c r="AF3164" s="38"/>
      <c r="AG3164" s="38"/>
      <c r="AH3164" s="38"/>
    </row>
    <row r="3165" spans="3:34" ht="20.100000000000001" customHeight="1">
      <c r="C3165" s="113"/>
      <c r="D3165" s="114"/>
      <c r="P3165" s="82"/>
      <c r="Q3165" s="82"/>
      <c r="R3165" s="38"/>
      <c r="S3165" s="38"/>
      <c r="T3165" s="38"/>
      <c r="U3165" s="38"/>
      <c r="V3165" s="38"/>
      <c r="W3165" s="38"/>
      <c r="X3165" s="38"/>
      <c r="Y3165" s="38"/>
      <c r="Z3165" s="38"/>
      <c r="AA3165" s="38"/>
      <c r="AB3165" s="38"/>
      <c r="AC3165" s="38"/>
      <c r="AD3165" s="38"/>
      <c r="AE3165" s="38"/>
      <c r="AF3165" s="38"/>
      <c r="AG3165" s="38"/>
      <c r="AH3165" s="38"/>
    </row>
    <row r="3166" spans="3:34" ht="20.100000000000001" customHeight="1">
      <c r="C3166" s="113"/>
      <c r="D3166" s="114"/>
      <c r="P3166" s="82"/>
      <c r="Q3166" s="82"/>
      <c r="R3166" s="38"/>
      <c r="S3166" s="38"/>
      <c r="T3166" s="38"/>
      <c r="U3166" s="38"/>
      <c r="V3166" s="38"/>
      <c r="W3166" s="38"/>
      <c r="X3166" s="38"/>
      <c r="Y3166" s="38"/>
      <c r="Z3166" s="38"/>
      <c r="AA3166" s="38"/>
      <c r="AB3166" s="38"/>
      <c r="AC3166" s="38"/>
      <c r="AD3166" s="38"/>
      <c r="AE3166" s="38"/>
      <c r="AF3166" s="38"/>
      <c r="AG3166" s="38"/>
      <c r="AH3166" s="38"/>
    </row>
    <row r="3167" spans="3:34" ht="20.100000000000001" customHeight="1">
      <c r="C3167" s="113"/>
      <c r="D3167" s="114"/>
      <c r="P3167" s="82"/>
      <c r="Q3167" s="82"/>
      <c r="R3167" s="38"/>
      <c r="S3167" s="38"/>
      <c r="T3167" s="38"/>
      <c r="U3167" s="38"/>
      <c r="V3167" s="38"/>
      <c r="W3167" s="38"/>
      <c r="X3167" s="38"/>
      <c r="Y3167" s="38"/>
      <c r="Z3167" s="38"/>
      <c r="AA3167" s="38"/>
      <c r="AB3167" s="38"/>
      <c r="AC3167" s="38"/>
      <c r="AD3167" s="38"/>
      <c r="AE3167" s="38"/>
      <c r="AF3167" s="38"/>
      <c r="AG3167" s="38"/>
      <c r="AH3167" s="38"/>
    </row>
    <row r="3168" spans="3:34" ht="20.100000000000001" customHeight="1">
      <c r="C3168" s="113"/>
      <c r="D3168" s="114"/>
      <c r="P3168" s="82"/>
      <c r="Q3168" s="82"/>
      <c r="R3168" s="38"/>
      <c r="S3168" s="38"/>
      <c r="T3168" s="38"/>
      <c r="U3168" s="38"/>
      <c r="V3168" s="38"/>
      <c r="W3168" s="38"/>
      <c r="X3168" s="38"/>
      <c r="Y3168" s="38"/>
      <c r="Z3168" s="38"/>
      <c r="AA3168" s="38"/>
      <c r="AB3168" s="38"/>
      <c r="AC3168" s="38"/>
      <c r="AD3168" s="38"/>
      <c r="AE3168" s="38"/>
      <c r="AF3168" s="38"/>
      <c r="AG3168" s="38"/>
      <c r="AH3168" s="38"/>
    </row>
    <row r="3169" spans="3:34" ht="20.100000000000001" customHeight="1">
      <c r="C3169" s="113"/>
      <c r="D3169" s="114"/>
      <c r="P3169" s="82"/>
      <c r="Q3169" s="82"/>
      <c r="R3169" s="38"/>
      <c r="S3169" s="38"/>
      <c r="T3169" s="38"/>
      <c r="U3169" s="38"/>
      <c r="V3169" s="38"/>
      <c r="W3169" s="38"/>
      <c r="X3169" s="38"/>
      <c r="Y3169" s="38"/>
      <c r="Z3169" s="38"/>
      <c r="AA3169" s="38"/>
      <c r="AB3169" s="38"/>
      <c r="AC3169" s="38"/>
      <c r="AD3169" s="38"/>
      <c r="AE3169" s="38"/>
      <c r="AF3169" s="38"/>
      <c r="AG3169" s="38"/>
      <c r="AH3169" s="38"/>
    </row>
    <row r="3170" spans="3:34" ht="20.100000000000001" customHeight="1">
      <c r="C3170" s="113"/>
      <c r="D3170" s="114"/>
      <c r="P3170" s="82"/>
      <c r="Q3170" s="82"/>
      <c r="R3170" s="38"/>
      <c r="S3170" s="38"/>
      <c r="T3170" s="38"/>
      <c r="U3170" s="38"/>
      <c r="V3170" s="38"/>
      <c r="W3170" s="38"/>
      <c r="X3170" s="38"/>
      <c r="Y3170" s="38"/>
      <c r="Z3170" s="38"/>
      <c r="AA3170" s="38"/>
      <c r="AB3170" s="38"/>
      <c r="AC3170" s="38"/>
      <c r="AD3170" s="38"/>
      <c r="AE3170" s="38"/>
      <c r="AF3170" s="38"/>
      <c r="AG3170" s="38"/>
      <c r="AH3170" s="38"/>
    </row>
    <row r="3171" spans="3:34" ht="20.100000000000001" customHeight="1">
      <c r="C3171" s="113"/>
      <c r="D3171" s="114"/>
      <c r="P3171" s="82"/>
      <c r="Q3171" s="82"/>
      <c r="R3171" s="38"/>
      <c r="S3171" s="38"/>
      <c r="T3171" s="38"/>
      <c r="U3171" s="38"/>
      <c r="V3171" s="38"/>
      <c r="W3171" s="38"/>
      <c r="X3171" s="38"/>
      <c r="Y3171" s="38"/>
      <c r="Z3171" s="38"/>
      <c r="AA3171" s="38"/>
      <c r="AB3171" s="38"/>
      <c r="AC3171" s="38"/>
      <c r="AD3171" s="38"/>
      <c r="AE3171" s="38"/>
      <c r="AF3171" s="38"/>
      <c r="AG3171" s="38"/>
      <c r="AH3171" s="38"/>
    </row>
    <row r="3172" spans="3:34" ht="20.100000000000001" customHeight="1">
      <c r="C3172" s="113"/>
      <c r="D3172" s="114"/>
      <c r="P3172" s="82"/>
      <c r="Q3172" s="82"/>
      <c r="R3172" s="38"/>
      <c r="S3172" s="38"/>
      <c r="T3172" s="38"/>
      <c r="U3172" s="38"/>
      <c r="V3172" s="38"/>
      <c r="W3172" s="38"/>
      <c r="X3172" s="38"/>
      <c r="Y3172" s="38"/>
      <c r="Z3172" s="38"/>
      <c r="AA3172" s="38"/>
      <c r="AB3172" s="38"/>
      <c r="AC3172" s="38"/>
      <c r="AD3172" s="38"/>
      <c r="AE3172" s="38"/>
      <c r="AF3172" s="38"/>
      <c r="AG3172" s="38"/>
      <c r="AH3172" s="38"/>
    </row>
    <row r="3173" spans="3:34" ht="20.100000000000001" customHeight="1">
      <c r="C3173" s="113"/>
      <c r="D3173" s="114"/>
      <c r="P3173" s="82"/>
      <c r="Q3173" s="82"/>
      <c r="R3173" s="38"/>
      <c r="S3173" s="38"/>
      <c r="T3173" s="38"/>
      <c r="U3173" s="38"/>
      <c r="V3173" s="38"/>
      <c r="W3173" s="38"/>
      <c r="X3173" s="38"/>
      <c r="Y3173" s="38"/>
      <c r="Z3173" s="38"/>
      <c r="AA3173" s="38"/>
      <c r="AB3173" s="38"/>
      <c r="AC3173" s="38"/>
      <c r="AD3173" s="38"/>
      <c r="AE3173" s="38"/>
      <c r="AF3173" s="38"/>
      <c r="AG3173" s="38"/>
      <c r="AH3173" s="38"/>
    </row>
    <row r="3174" spans="3:34" ht="20.100000000000001" customHeight="1">
      <c r="C3174" s="113"/>
      <c r="D3174" s="114"/>
      <c r="P3174" s="82"/>
      <c r="Q3174" s="82"/>
      <c r="R3174" s="38"/>
      <c r="S3174" s="38"/>
      <c r="T3174" s="38"/>
      <c r="U3174" s="38"/>
      <c r="V3174" s="38"/>
      <c r="W3174" s="38"/>
      <c r="X3174" s="38"/>
      <c r="Y3174" s="38"/>
      <c r="Z3174" s="38"/>
      <c r="AA3174" s="38"/>
      <c r="AB3174" s="38"/>
      <c r="AC3174" s="38"/>
      <c r="AD3174" s="38"/>
      <c r="AE3174" s="38"/>
      <c r="AF3174" s="38"/>
      <c r="AG3174" s="38"/>
      <c r="AH3174" s="38"/>
    </row>
    <row r="3175" spans="3:34" ht="20.100000000000001" customHeight="1">
      <c r="C3175" s="113"/>
      <c r="D3175" s="114"/>
      <c r="P3175" s="82"/>
      <c r="Q3175" s="82"/>
      <c r="R3175" s="38"/>
      <c r="S3175" s="38"/>
      <c r="T3175" s="38"/>
      <c r="U3175" s="38"/>
      <c r="V3175" s="38"/>
      <c r="W3175" s="38"/>
      <c r="X3175" s="38"/>
      <c r="Y3175" s="38"/>
      <c r="Z3175" s="38"/>
      <c r="AA3175" s="38"/>
      <c r="AB3175" s="38"/>
      <c r="AC3175" s="38"/>
      <c r="AD3175" s="38"/>
      <c r="AE3175" s="38"/>
      <c r="AF3175" s="38"/>
      <c r="AG3175" s="38"/>
      <c r="AH3175" s="38"/>
    </row>
    <row r="3176" spans="3:34" ht="20.100000000000001" customHeight="1">
      <c r="C3176" s="113"/>
      <c r="D3176" s="114"/>
      <c r="P3176" s="82"/>
      <c r="Q3176" s="82"/>
      <c r="R3176" s="38"/>
      <c r="S3176" s="38"/>
      <c r="T3176" s="38"/>
      <c r="U3176" s="38"/>
      <c r="V3176" s="38"/>
      <c r="W3176" s="38"/>
      <c r="X3176" s="38"/>
      <c r="Y3176" s="38"/>
      <c r="Z3176" s="38"/>
      <c r="AA3176" s="38"/>
      <c r="AB3176" s="38"/>
      <c r="AC3176" s="38"/>
      <c r="AD3176" s="38"/>
      <c r="AE3176" s="38"/>
      <c r="AF3176" s="38"/>
      <c r="AG3176" s="38"/>
      <c r="AH3176" s="38"/>
    </row>
    <row r="3177" spans="3:34" ht="20.100000000000001" customHeight="1">
      <c r="C3177" s="113"/>
      <c r="D3177" s="114"/>
      <c r="P3177" s="82"/>
      <c r="Q3177" s="82"/>
      <c r="R3177" s="38"/>
      <c r="S3177" s="38"/>
      <c r="T3177" s="38"/>
      <c r="U3177" s="38"/>
      <c r="V3177" s="38"/>
      <c r="W3177" s="38"/>
      <c r="X3177" s="38"/>
      <c r="Y3177" s="38"/>
      <c r="Z3177" s="38"/>
      <c r="AA3177" s="38"/>
      <c r="AB3177" s="38"/>
      <c r="AC3177" s="38"/>
      <c r="AD3177" s="38"/>
      <c r="AE3177" s="38"/>
      <c r="AF3177" s="38"/>
      <c r="AG3177" s="38"/>
      <c r="AH3177" s="38"/>
    </row>
    <row r="3178" spans="3:34" ht="20.100000000000001" customHeight="1">
      <c r="C3178" s="113"/>
      <c r="D3178" s="114"/>
      <c r="P3178" s="82"/>
      <c r="Q3178" s="82"/>
      <c r="R3178" s="38"/>
      <c r="S3178" s="38"/>
      <c r="T3178" s="38"/>
      <c r="U3178" s="38"/>
      <c r="V3178" s="38"/>
      <c r="W3178" s="38"/>
      <c r="X3178" s="38"/>
      <c r="Y3178" s="38"/>
      <c r="Z3178" s="38"/>
      <c r="AA3178" s="38"/>
      <c r="AB3178" s="38"/>
      <c r="AC3178" s="38"/>
      <c r="AD3178" s="38"/>
      <c r="AE3178" s="38"/>
      <c r="AF3178" s="38"/>
      <c r="AG3178" s="38"/>
      <c r="AH3178" s="38"/>
    </row>
    <row r="3179" spans="3:34" ht="20.100000000000001" customHeight="1">
      <c r="C3179" s="113"/>
      <c r="D3179" s="114"/>
      <c r="P3179" s="82"/>
      <c r="Q3179" s="82"/>
      <c r="R3179" s="38"/>
      <c r="S3179" s="38"/>
      <c r="T3179" s="38"/>
      <c r="U3179" s="38"/>
      <c r="V3179" s="38"/>
      <c r="W3179" s="38"/>
      <c r="X3179" s="38"/>
      <c r="Y3179" s="38"/>
      <c r="Z3179" s="38"/>
      <c r="AA3179" s="38"/>
      <c r="AB3179" s="38"/>
      <c r="AC3179" s="38"/>
      <c r="AD3179" s="38"/>
      <c r="AE3179" s="38"/>
      <c r="AF3179" s="38"/>
      <c r="AG3179" s="38"/>
      <c r="AH3179" s="38"/>
    </row>
    <row r="3180" spans="3:34" ht="20.100000000000001" customHeight="1">
      <c r="C3180" s="113"/>
      <c r="D3180" s="114"/>
      <c r="P3180" s="82"/>
      <c r="Q3180" s="82"/>
      <c r="R3180" s="38"/>
      <c r="S3180" s="38"/>
      <c r="T3180" s="38"/>
      <c r="U3180" s="38"/>
      <c r="V3180" s="38"/>
      <c r="W3180" s="38"/>
      <c r="X3180" s="38"/>
      <c r="Y3180" s="38"/>
      <c r="Z3180" s="38"/>
      <c r="AA3180" s="38"/>
      <c r="AB3180" s="38"/>
      <c r="AC3180" s="38"/>
      <c r="AD3180" s="38"/>
      <c r="AE3180" s="38"/>
      <c r="AF3180" s="38"/>
      <c r="AG3180" s="38"/>
      <c r="AH3180" s="38"/>
    </row>
    <row r="3181" spans="3:34" ht="20.100000000000001" customHeight="1">
      <c r="C3181" s="113"/>
      <c r="D3181" s="114"/>
      <c r="P3181" s="82"/>
      <c r="Q3181" s="82"/>
      <c r="R3181" s="38"/>
      <c r="S3181" s="38"/>
      <c r="T3181" s="38"/>
      <c r="U3181" s="38"/>
      <c r="V3181" s="38"/>
      <c r="W3181" s="38"/>
      <c r="X3181" s="38"/>
      <c r="Y3181" s="38"/>
      <c r="Z3181" s="38"/>
      <c r="AA3181" s="38"/>
      <c r="AB3181" s="38"/>
      <c r="AC3181" s="38"/>
      <c r="AD3181" s="38"/>
      <c r="AE3181" s="38"/>
      <c r="AF3181" s="38"/>
      <c r="AG3181" s="38"/>
      <c r="AH3181" s="38"/>
    </row>
    <row r="3182" spans="3:34" ht="20.100000000000001" customHeight="1">
      <c r="C3182" s="113"/>
      <c r="D3182" s="114"/>
      <c r="P3182" s="82"/>
      <c r="Q3182" s="82"/>
      <c r="R3182" s="38"/>
      <c r="S3182" s="38"/>
      <c r="T3182" s="38"/>
      <c r="U3182" s="38"/>
      <c r="V3182" s="38"/>
      <c r="W3182" s="38"/>
      <c r="X3182" s="38"/>
      <c r="Y3182" s="38"/>
      <c r="Z3182" s="38"/>
      <c r="AA3182" s="38"/>
      <c r="AB3182" s="38"/>
      <c r="AC3182" s="38"/>
      <c r="AD3182" s="38"/>
      <c r="AE3182" s="38"/>
      <c r="AF3182" s="38"/>
      <c r="AG3182" s="38"/>
      <c r="AH3182" s="38"/>
    </row>
    <row r="3183" spans="3:34" ht="20.100000000000001" customHeight="1">
      <c r="C3183" s="113"/>
      <c r="D3183" s="114"/>
      <c r="P3183" s="82"/>
      <c r="Q3183" s="82"/>
      <c r="R3183" s="38"/>
      <c r="S3183" s="38"/>
      <c r="T3183" s="38"/>
      <c r="U3183" s="38"/>
      <c r="V3183" s="38"/>
      <c r="W3183" s="38"/>
      <c r="X3183" s="38"/>
      <c r="Y3183" s="38"/>
      <c r="Z3183" s="38"/>
      <c r="AA3183" s="38"/>
      <c r="AB3183" s="38"/>
      <c r="AC3183" s="38"/>
      <c r="AD3183" s="38"/>
      <c r="AE3183" s="38"/>
      <c r="AF3183" s="38"/>
      <c r="AG3183" s="38"/>
      <c r="AH3183" s="38"/>
    </row>
    <row r="3184" spans="3:34" ht="20.100000000000001" customHeight="1">
      <c r="C3184" s="113"/>
      <c r="D3184" s="114"/>
      <c r="P3184" s="82"/>
      <c r="Q3184" s="82"/>
      <c r="R3184" s="38"/>
      <c r="S3184" s="38"/>
      <c r="T3184" s="38"/>
      <c r="U3184" s="38"/>
      <c r="V3184" s="38"/>
      <c r="W3184" s="38"/>
      <c r="X3184" s="38"/>
      <c r="Y3184" s="38"/>
      <c r="Z3184" s="38"/>
      <c r="AA3184" s="38"/>
      <c r="AB3184" s="38"/>
      <c r="AC3184" s="38"/>
      <c r="AD3184" s="38"/>
      <c r="AE3184" s="38"/>
      <c r="AF3184" s="38"/>
      <c r="AG3184" s="38"/>
      <c r="AH3184" s="38"/>
    </row>
    <row r="3185" spans="3:34" ht="20.100000000000001" customHeight="1">
      <c r="C3185" s="113"/>
      <c r="D3185" s="114"/>
      <c r="P3185" s="82"/>
      <c r="Q3185" s="82"/>
      <c r="R3185" s="38"/>
      <c r="S3185" s="38"/>
      <c r="T3185" s="38"/>
      <c r="U3185" s="38"/>
      <c r="V3185" s="38"/>
      <c r="W3185" s="38"/>
      <c r="X3185" s="38"/>
      <c r="Y3185" s="38"/>
      <c r="Z3185" s="38"/>
      <c r="AA3185" s="38"/>
      <c r="AB3185" s="38"/>
      <c r="AC3185" s="38"/>
      <c r="AD3185" s="38"/>
      <c r="AE3185" s="38"/>
      <c r="AF3185" s="38"/>
      <c r="AG3185" s="38"/>
      <c r="AH3185" s="38"/>
    </row>
    <row r="3186" spans="3:34" ht="20.100000000000001" customHeight="1">
      <c r="C3186" s="113"/>
      <c r="D3186" s="114"/>
      <c r="P3186" s="82"/>
      <c r="Q3186" s="82"/>
      <c r="R3186" s="38"/>
      <c r="S3186" s="38"/>
      <c r="T3186" s="38"/>
      <c r="U3186" s="38"/>
      <c r="V3186" s="38"/>
      <c r="W3186" s="38"/>
      <c r="X3186" s="38"/>
      <c r="Y3186" s="38"/>
      <c r="Z3186" s="38"/>
      <c r="AA3186" s="38"/>
      <c r="AB3186" s="38"/>
      <c r="AC3186" s="38"/>
      <c r="AD3186" s="38"/>
      <c r="AE3186" s="38"/>
      <c r="AF3186" s="38"/>
      <c r="AG3186" s="38"/>
      <c r="AH3186" s="38"/>
    </row>
    <row r="3187" spans="3:34" ht="20.100000000000001" customHeight="1">
      <c r="C3187" s="113"/>
      <c r="D3187" s="114"/>
      <c r="P3187" s="82"/>
      <c r="Q3187" s="82"/>
      <c r="R3187" s="38"/>
      <c r="S3187" s="38"/>
      <c r="T3187" s="38"/>
      <c r="U3187" s="38"/>
      <c r="V3187" s="38"/>
      <c r="W3187" s="38"/>
      <c r="X3187" s="38"/>
      <c r="Y3187" s="38"/>
      <c r="Z3187" s="38"/>
      <c r="AA3187" s="38"/>
      <c r="AB3187" s="38"/>
      <c r="AC3187" s="38"/>
      <c r="AD3187" s="38"/>
      <c r="AE3187" s="38"/>
      <c r="AF3187" s="38"/>
      <c r="AG3187" s="38"/>
      <c r="AH3187" s="38"/>
    </row>
    <row r="3188" spans="3:34" ht="20.100000000000001" customHeight="1">
      <c r="C3188" s="113"/>
      <c r="D3188" s="114"/>
      <c r="P3188" s="82"/>
      <c r="Q3188" s="82"/>
      <c r="R3188" s="38"/>
      <c r="S3188" s="38"/>
      <c r="T3188" s="38"/>
      <c r="U3188" s="38"/>
      <c r="V3188" s="38"/>
      <c r="W3188" s="38"/>
      <c r="X3188" s="38"/>
      <c r="Y3188" s="38"/>
      <c r="Z3188" s="38"/>
      <c r="AA3188" s="38"/>
      <c r="AB3188" s="38"/>
      <c r="AC3188" s="38"/>
      <c r="AD3188" s="38"/>
      <c r="AE3188" s="38"/>
      <c r="AF3188" s="38"/>
      <c r="AG3188" s="38"/>
      <c r="AH3188" s="38"/>
    </row>
    <row r="3189" spans="3:34" ht="20.100000000000001" customHeight="1">
      <c r="C3189" s="113"/>
      <c r="D3189" s="114"/>
      <c r="P3189" s="82"/>
      <c r="Q3189" s="82"/>
      <c r="R3189" s="38"/>
      <c r="S3189" s="38"/>
      <c r="T3189" s="38"/>
      <c r="U3189" s="38"/>
      <c r="V3189" s="38"/>
      <c r="W3189" s="38"/>
      <c r="X3189" s="38"/>
      <c r="Y3189" s="38"/>
      <c r="Z3189" s="38"/>
      <c r="AA3189" s="38"/>
      <c r="AB3189" s="38"/>
      <c r="AC3189" s="38"/>
      <c r="AD3189" s="38"/>
      <c r="AE3189" s="38"/>
      <c r="AF3189" s="38"/>
      <c r="AG3189" s="38"/>
      <c r="AH3189" s="38"/>
    </row>
    <row r="3190" spans="3:34" ht="20.100000000000001" customHeight="1">
      <c r="C3190" s="113"/>
      <c r="D3190" s="114"/>
      <c r="P3190" s="82"/>
      <c r="Q3190" s="82"/>
      <c r="R3190" s="38"/>
      <c r="S3190" s="38"/>
      <c r="T3190" s="38"/>
      <c r="U3190" s="38"/>
      <c r="V3190" s="38"/>
      <c r="W3190" s="38"/>
      <c r="X3190" s="38"/>
      <c r="Y3190" s="38"/>
      <c r="Z3190" s="38"/>
      <c r="AA3190" s="38"/>
      <c r="AB3190" s="38"/>
      <c r="AC3190" s="38"/>
      <c r="AD3190" s="38"/>
      <c r="AE3190" s="38"/>
      <c r="AF3190" s="38"/>
      <c r="AG3190" s="38"/>
      <c r="AH3190" s="38"/>
    </row>
    <row r="3191" spans="3:34" ht="20.100000000000001" customHeight="1">
      <c r="C3191" s="113"/>
      <c r="D3191" s="114"/>
      <c r="P3191" s="82"/>
      <c r="Q3191" s="82"/>
      <c r="R3191" s="38"/>
      <c r="S3191" s="38"/>
      <c r="T3191" s="38"/>
      <c r="U3191" s="38"/>
      <c r="V3191" s="38"/>
      <c r="W3191" s="38"/>
      <c r="X3191" s="38"/>
      <c r="Y3191" s="38"/>
      <c r="Z3191" s="38"/>
      <c r="AA3191" s="38"/>
      <c r="AB3191" s="38"/>
      <c r="AC3191" s="38"/>
      <c r="AD3191" s="38"/>
      <c r="AE3191" s="38"/>
      <c r="AF3191" s="38"/>
      <c r="AG3191" s="38"/>
      <c r="AH3191" s="38"/>
    </row>
    <row r="3192" spans="3:34" ht="20.100000000000001" customHeight="1">
      <c r="C3192" s="113"/>
      <c r="D3192" s="114"/>
      <c r="P3192" s="82"/>
      <c r="Q3192" s="82"/>
      <c r="R3192" s="38"/>
      <c r="S3192" s="38"/>
      <c r="T3192" s="38"/>
      <c r="U3192" s="38"/>
      <c r="V3192" s="38"/>
      <c r="W3192" s="38"/>
      <c r="X3192" s="38"/>
      <c r="Y3192" s="38"/>
      <c r="Z3192" s="38"/>
      <c r="AA3192" s="38"/>
      <c r="AB3192" s="38"/>
      <c r="AC3192" s="38"/>
      <c r="AD3192" s="38"/>
      <c r="AE3192" s="38"/>
      <c r="AF3192" s="38"/>
      <c r="AG3192" s="38"/>
      <c r="AH3192" s="38"/>
    </row>
    <row r="3193" spans="3:34" ht="20.100000000000001" customHeight="1">
      <c r="C3193" s="113"/>
      <c r="D3193" s="114"/>
      <c r="P3193" s="82"/>
      <c r="Q3193" s="82"/>
      <c r="R3193" s="38"/>
      <c r="S3193" s="38"/>
      <c r="T3193" s="38"/>
      <c r="U3193" s="38"/>
      <c r="V3193" s="38"/>
      <c r="W3193" s="38"/>
      <c r="X3193" s="38"/>
      <c r="Y3193" s="38"/>
      <c r="Z3193" s="38"/>
      <c r="AA3193" s="38"/>
      <c r="AB3193" s="38"/>
      <c r="AC3193" s="38"/>
      <c r="AD3193" s="38"/>
      <c r="AE3193" s="38"/>
      <c r="AF3193" s="38"/>
      <c r="AG3193" s="38"/>
      <c r="AH3193" s="38"/>
    </row>
    <row r="3194" spans="3:34" ht="20.100000000000001" customHeight="1">
      <c r="C3194" s="113"/>
      <c r="D3194" s="114"/>
      <c r="P3194" s="82"/>
      <c r="Q3194" s="82"/>
      <c r="R3194" s="38"/>
      <c r="S3194" s="38"/>
      <c r="T3194" s="38"/>
      <c r="U3194" s="38"/>
      <c r="V3194" s="38"/>
      <c r="W3194" s="38"/>
      <c r="X3194" s="38"/>
      <c r="Y3194" s="38"/>
      <c r="Z3194" s="38"/>
      <c r="AA3194" s="38"/>
      <c r="AB3194" s="38"/>
      <c r="AC3194" s="38"/>
      <c r="AD3194" s="38"/>
      <c r="AE3194" s="38"/>
      <c r="AF3194" s="38"/>
      <c r="AG3194" s="38"/>
      <c r="AH3194" s="38"/>
    </row>
    <row r="3195" spans="3:34" ht="20.100000000000001" customHeight="1">
      <c r="C3195" s="113"/>
      <c r="D3195" s="114"/>
      <c r="P3195" s="82"/>
      <c r="Q3195" s="82"/>
      <c r="R3195" s="38"/>
      <c r="S3195" s="38"/>
      <c r="T3195" s="38"/>
      <c r="U3195" s="38"/>
      <c r="V3195" s="38"/>
      <c r="W3195" s="38"/>
      <c r="X3195" s="38"/>
      <c r="Y3195" s="38"/>
      <c r="Z3195" s="38"/>
      <c r="AA3195" s="38"/>
      <c r="AB3195" s="38"/>
      <c r="AC3195" s="38"/>
      <c r="AD3195" s="38"/>
      <c r="AE3195" s="38"/>
      <c r="AF3195" s="38"/>
      <c r="AG3195" s="38"/>
      <c r="AH3195" s="38"/>
    </row>
    <row r="3196" spans="3:34" ht="20.100000000000001" customHeight="1">
      <c r="C3196" s="113"/>
      <c r="D3196" s="114"/>
      <c r="P3196" s="82"/>
      <c r="Q3196" s="82"/>
      <c r="R3196" s="38"/>
      <c r="S3196" s="38"/>
      <c r="T3196" s="38"/>
      <c r="U3196" s="38"/>
      <c r="V3196" s="38"/>
      <c r="W3196" s="38"/>
      <c r="X3196" s="38"/>
      <c r="Y3196" s="38"/>
      <c r="Z3196" s="38"/>
      <c r="AA3196" s="38"/>
      <c r="AB3196" s="38"/>
      <c r="AC3196" s="38"/>
      <c r="AD3196" s="38"/>
      <c r="AE3196" s="38"/>
      <c r="AF3196" s="38"/>
      <c r="AG3196" s="38"/>
      <c r="AH3196" s="38"/>
    </row>
    <row r="3197" spans="3:34" ht="20.100000000000001" customHeight="1">
      <c r="C3197" s="113"/>
      <c r="D3197" s="114"/>
      <c r="P3197" s="82"/>
      <c r="Q3197" s="82"/>
      <c r="R3197" s="38"/>
      <c r="S3197" s="38"/>
      <c r="T3197" s="38"/>
      <c r="U3197" s="38"/>
      <c r="V3197" s="38"/>
      <c r="W3197" s="38"/>
      <c r="X3197" s="38"/>
      <c r="Y3197" s="38"/>
      <c r="Z3197" s="38"/>
      <c r="AA3197" s="38"/>
      <c r="AB3197" s="38"/>
      <c r="AC3197" s="38"/>
      <c r="AD3197" s="38"/>
      <c r="AE3197" s="38"/>
      <c r="AF3197" s="38"/>
      <c r="AG3197" s="38"/>
      <c r="AH3197" s="38"/>
    </row>
    <row r="3198" spans="3:34" ht="20.100000000000001" customHeight="1">
      <c r="C3198" s="113"/>
      <c r="D3198" s="114"/>
      <c r="P3198" s="82"/>
      <c r="Q3198" s="82"/>
      <c r="R3198" s="38"/>
      <c r="S3198" s="38"/>
      <c r="T3198" s="38"/>
      <c r="U3198" s="38"/>
      <c r="V3198" s="38"/>
      <c r="W3198" s="38"/>
      <c r="X3198" s="38"/>
      <c r="Y3198" s="38"/>
      <c r="Z3198" s="38"/>
      <c r="AA3198" s="38"/>
      <c r="AB3198" s="38"/>
      <c r="AC3198" s="38"/>
      <c r="AD3198" s="38"/>
      <c r="AE3198" s="38"/>
      <c r="AF3198" s="38"/>
      <c r="AG3198" s="38"/>
      <c r="AH3198" s="38"/>
    </row>
    <row r="3199" spans="3:34" ht="20.100000000000001" customHeight="1">
      <c r="C3199" s="113"/>
      <c r="D3199" s="114"/>
      <c r="P3199" s="82"/>
      <c r="Q3199" s="82"/>
      <c r="R3199" s="38"/>
      <c r="S3199" s="38"/>
      <c r="T3199" s="38"/>
      <c r="U3199" s="38"/>
      <c r="V3199" s="38"/>
      <c r="W3199" s="38"/>
      <c r="X3199" s="38"/>
      <c r="Y3199" s="38"/>
      <c r="Z3199" s="38"/>
      <c r="AA3199" s="38"/>
      <c r="AB3199" s="38"/>
      <c r="AC3199" s="38"/>
      <c r="AD3199" s="38"/>
      <c r="AE3199" s="38"/>
      <c r="AF3199" s="38"/>
      <c r="AG3199" s="38"/>
      <c r="AH3199" s="38"/>
    </row>
    <row r="3200" spans="3:34" ht="20.100000000000001" customHeight="1">
      <c r="C3200" s="113"/>
      <c r="D3200" s="114"/>
      <c r="P3200" s="82"/>
      <c r="Q3200" s="82"/>
      <c r="R3200" s="38"/>
      <c r="S3200" s="38"/>
      <c r="T3200" s="38"/>
      <c r="U3200" s="38"/>
      <c r="V3200" s="38"/>
      <c r="W3200" s="38"/>
      <c r="X3200" s="38"/>
      <c r="Y3200" s="38"/>
      <c r="Z3200" s="38"/>
      <c r="AA3200" s="38"/>
      <c r="AB3200" s="38"/>
      <c r="AC3200" s="38"/>
      <c r="AD3200" s="38"/>
      <c r="AE3200" s="38"/>
      <c r="AF3200" s="38"/>
      <c r="AG3200" s="38"/>
      <c r="AH3200" s="38"/>
    </row>
    <row r="3201" spans="3:34" ht="20.100000000000001" customHeight="1">
      <c r="C3201" s="113"/>
      <c r="D3201" s="114"/>
      <c r="P3201" s="82"/>
      <c r="Q3201" s="82"/>
      <c r="R3201" s="38"/>
      <c r="S3201" s="38"/>
      <c r="T3201" s="38"/>
      <c r="U3201" s="38"/>
      <c r="V3201" s="38"/>
      <c r="W3201" s="38"/>
      <c r="X3201" s="38"/>
      <c r="Y3201" s="38"/>
      <c r="Z3201" s="38"/>
      <c r="AA3201" s="38"/>
      <c r="AB3201" s="38"/>
      <c r="AC3201" s="38"/>
      <c r="AD3201" s="38"/>
      <c r="AE3201" s="38"/>
      <c r="AF3201" s="38"/>
      <c r="AG3201" s="38"/>
      <c r="AH3201" s="38"/>
    </row>
    <row r="3202" spans="3:34" ht="20.100000000000001" customHeight="1">
      <c r="C3202" s="113"/>
      <c r="D3202" s="114"/>
      <c r="P3202" s="82"/>
      <c r="Q3202" s="82"/>
      <c r="R3202" s="38"/>
      <c r="S3202" s="38"/>
      <c r="T3202" s="38"/>
      <c r="U3202" s="38"/>
      <c r="V3202" s="38"/>
      <c r="W3202" s="38"/>
      <c r="X3202" s="38"/>
      <c r="Y3202" s="38"/>
      <c r="Z3202" s="38"/>
      <c r="AA3202" s="38"/>
      <c r="AB3202" s="38"/>
      <c r="AC3202" s="38"/>
      <c r="AD3202" s="38"/>
      <c r="AE3202" s="38"/>
      <c r="AF3202" s="38"/>
      <c r="AG3202" s="38"/>
      <c r="AH3202" s="38"/>
    </row>
    <row r="3203" spans="3:34" ht="20.100000000000001" customHeight="1">
      <c r="C3203" s="113"/>
      <c r="D3203" s="114"/>
      <c r="P3203" s="82"/>
      <c r="Q3203" s="82"/>
      <c r="R3203" s="38"/>
      <c r="S3203" s="38"/>
      <c r="T3203" s="38"/>
      <c r="U3203" s="38"/>
      <c r="V3203" s="38"/>
      <c r="W3203" s="38"/>
      <c r="X3203" s="38"/>
      <c r="Y3203" s="38"/>
      <c r="Z3203" s="38"/>
      <c r="AA3203" s="38"/>
      <c r="AB3203" s="38"/>
      <c r="AC3203" s="38"/>
      <c r="AD3203" s="38"/>
      <c r="AE3203" s="38"/>
      <c r="AF3203" s="38"/>
      <c r="AG3203" s="38"/>
      <c r="AH3203" s="38"/>
    </row>
    <row r="3204" spans="3:34" ht="20.100000000000001" customHeight="1">
      <c r="C3204" s="113"/>
      <c r="D3204" s="114"/>
      <c r="P3204" s="82"/>
      <c r="Q3204" s="82"/>
      <c r="R3204" s="38"/>
      <c r="S3204" s="38"/>
      <c r="T3204" s="38"/>
      <c r="U3204" s="38"/>
      <c r="V3204" s="38"/>
      <c r="W3204" s="38"/>
      <c r="X3204" s="38"/>
      <c r="Y3204" s="38"/>
      <c r="Z3204" s="38"/>
      <c r="AA3204" s="38"/>
      <c r="AB3204" s="38"/>
      <c r="AC3204" s="38"/>
      <c r="AD3204" s="38"/>
      <c r="AE3204" s="38"/>
      <c r="AF3204" s="38"/>
      <c r="AG3204" s="38"/>
      <c r="AH3204" s="38"/>
    </row>
    <row r="3205" spans="3:34" ht="20.100000000000001" customHeight="1">
      <c r="C3205" s="113"/>
      <c r="D3205" s="114"/>
      <c r="P3205" s="82"/>
      <c r="Q3205" s="82"/>
      <c r="R3205" s="38"/>
      <c r="S3205" s="38"/>
      <c r="T3205" s="38"/>
      <c r="U3205" s="38"/>
      <c r="V3205" s="38"/>
      <c r="W3205" s="38"/>
      <c r="X3205" s="38"/>
      <c r="Y3205" s="38"/>
      <c r="Z3205" s="38"/>
      <c r="AA3205" s="38"/>
      <c r="AB3205" s="38"/>
      <c r="AC3205" s="38"/>
      <c r="AD3205" s="38"/>
      <c r="AE3205" s="38"/>
      <c r="AF3205" s="38"/>
      <c r="AG3205" s="38"/>
      <c r="AH3205" s="38"/>
    </row>
    <row r="3206" spans="3:34" ht="20.100000000000001" customHeight="1">
      <c r="C3206" s="113"/>
      <c r="D3206" s="114"/>
      <c r="P3206" s="82"/>
      <c r="Q3206" s="82"/>
      <c r="R3206" s="38"/>
      <c r="S3206" s="38"/>
      <c r="T3206" s="38"/>
      <c r="U3206" s="38"/>
      <c r="V3206" s="38"/>
      <c r="W3206" s="38"/>
      <c r="X3206" s="38"/>
      <c r="Y3206" s="38"/>
      <c r="Z3206" s="38"/>
      <c r="AA3206" s="38"/>
      <c r="AB3206" s="38"/>
      <c r="AC3206" s="38"/>
      <c r="AD3206" s="38"/>
      <c r="AE3206" s="38"/>
      <c r="AF3206" s="38"/>
      <c r="AG3206" s="38"/>
      <c r="AH3206" s="38"/>
    </row>
    <row r="3207" spans="3:34" ht="20.100000000000001" customHeight="1">
      <c r="C3207" s="113"/>
      <c r="D3207" s="114"/>
      <c r="P3207" s="82"/>
      <c r="Q3207" s="82"/>
      <c r="R3207" s="38"/>
      <c r="S3207" s="38"/>
      <c r="T3207" s="38"/>
      <c r="U3207" s="38"/>
      <c r="V3207" s="38"/>
      <c r="W3207" s="38"/>
      <c r="X3207" s="38"/>
      <c r="Y3207" s="38"/>
      <c r="Z3207" s="38"/>
      <c r="AA3207" s="38"/>
      <c r="AB3207" s="38"/>
      <c r="AC3207" s="38"/>
      <c r="AD3207" s="38"/>
      <c r="AE3207" s="38"/>
      <c r="AF3207" s="38"/>
      <c r="AG3207" s="38"/>
      <c r="AH3207" s="38"/>
    </row>
    <row r="3208" spans="3:34" ht="20.100000000000001" customHeight="1">
      <c r="C3208" s="113"/>
      <c r="D3208" s="114"/>
      <c r="P3208" s="82"/>
      <c r="Q3208" s="82"/>
      <c r="R3208" s="38"/>
      <c r="S3208" s="38"/>
      <c r="T3208" s="38"/>
      <c r="U3208" s="38"/>
      <c r="V3208" s="38"/>
      <c r="W3208" s="38"/>
      <c r="X3208" s="38"/>
      <c r="Y3208" s="38"/>
      <c r="Z3208" s="38"/>
      <c r="AA3208" s="38"/>
      <c r="AB3208" s="38"/>
      <c r="AC3208" s="38"/>
      <c r="AD3208" s="38"/>
      <c r="AE3208" s="38"/>
      <c r="AF3208" s="38"/>
      <c r="AG3208" s="38"/>
      <c r="AH3208" s="38"/>
    </row>
    <row r="3209" spans="3:34" ht="20.100000000000001" customHeight="1">
      <c r="C3209" s="113"/>
      <c r="D3209" s="114"/>
      <c r="P3209" s="82"/>
      <c r="Q3209" s="82"/>
      <c r="R3209" s="38"/>
      <c r="S3209" s="38"/>
      <c r="T3209" s="38"/>
      <c r="U3209" s="38"/>
      <c r="V3209" s="38"/>
      <c r="W3209" s="38"/>
      <c r="X3209" s="38"/>
      <c r="Y3209" s="38"/>
      <c r="Z3209" s="38"/>
      <c r="AA3209" s="38"/>
      <c r="AB3209" s="38"/>
      <c r="AC3209" s="38"/>
      <c r="AD3209" s="38"/>
      <c r="AE3209" s="38"/>
      <c r="AF3209" s="38"/>
      <c r="AG3209" s="38"/>
      <c r="AH3209" s="38"/>
    </row>
    <row r="3210" spans="3:34" ht="20.100000000000001" customHeight="1">
      <c r="C3210" s="113"/>
      <c r="D3210" s="114"/>
      <c r="P3210" s="82"/>
      <c r="Q3210" s="82"/>
      <c r="R3210" s="38"/>
      <c r="S3210" s="38"/>
      <c r="T3210" s="38"/>
      <c r="U3210" s="38"/>
      <c r="V3210" s="38"/>
      <c r="W3210" s="38"/>
      <c r="X3210" s="38"/>
      <c r="Y3210" s="38"/>
      <c r="Z3210" s="38"/>
      <c r="AA3210" s="38"/>
      <c r="AB3210" s="38"/>
      <c r="AC3210" s="38"/>
      <c r="AD3210" s="38"/>
      <c r="AE3210" s="38"/>
      <c r="AF3210" s="38"/>
      <c r="AG3210" s="38"/>
      <c r="AH3210" s="38"/>
    </row>
    <row r="3211" spans="3:34" ht="20.100000000000001" customHeight="1">
      <c r="C3211" s="113"/>
      <c r="D3211" s="114"/>
      <c r="P3211" s="82"/>
      <c r="Q3211" s="82"/>
      <c r="R3211" s="38"/>
      <c r="S3211" s="38"/>
      <c r="T3211" s="38"/>
      <c r="U3211" s="38"/>
      <c r="V3211" s="38"/>
      <c r="W3211" s="38"/>
      <c r="X3211" s="38"/>
      <c r="Y3211" s="38"/>
      <c r="Z3211" s="38"/>
      <c r="AA3211" s="38"/>
      <c r="AB3211" s="38"/>
      <c r="AC3211" s="38"/>
      <c r="AD3211" s="38"/>
      <c r="AE3211" s="38"/>
      <c r="AF3211" s="38"/>
      <c r="AG3211" s="38"/>
      <c r="AH3211" s="38"/>
    </row>
    <row r="3212" spans="3:34" ht="20.100000000000001" customHeight="1">
      <c r="C3212" s="113"/>
      <c r="D3212" s="114"/>
      <c r="P3212" s="82"/>
      <c r="Q3212" s="82"/>
      <c r="R3212" s="38"/>
      <c r="S3212" s="38"/>
      <c r="T3212" s="38"/>
      <c r="U3212" s="38"/>
      <c r="V3212" s="38"/>
      <c r="W3212" s="38"/>
      <c r="X3212" s="38"/>
      <c r="Y3212" s="38"/>
      <c r="Z3212" s="38"/>
      <c r="AA3212" s="38"/>
      <c r="AB3212" s="38"/>
      <c r="AC3212" s="38"/>
      <c r="AD3212" s="38"/>
      <c r="AE3212" s="38"/>
      <c r="AF3212" s="38"/>
      <c r="AG3212" s="38"/>
      <c r="AH3212" s="38"/>
    </row>
    <row r="3213" spans="3:34" ht="20.100000000000001" customHeight="1">
      <c r="C3213" s="113"/>
      <c r="D3213" s="114"/>
      <c r="P3213" s="82"/>
      <c r="Q3213" s="82"/>
      <c r="R3213" s="38"/>
      <c r="S3213" s="38"/>
      <c r="T3213" s="38"/>
      <c r="U3213" s="38"/>
      <c r="V3213" s="38"/>
      <c r="W3213" s="38"/>
      <c r="X3213" s="38"/>
      <c r="Y3213" s="38"/>
      <c r="Z3213" s="38"/>
      <c r="AA3213" s="38"/>
      <c r="AB3213" s="38"/>
      <c r="AC3213" s="38"/>
      <c r="AD3213" s="38"/>
      <c r="AE3213" s="38"/>
      <c r="AF3213" s="38"/>
      <c r="AG3213" s="38"/>
      <c r="AH3213" s="38"/>
    </row>
    <row r="3214" spans="3:34" ht="20.100000000000001" customHeight="1">
      <c r="C3214" s="113"/>
      <c r="D3214" s="114"/>
      <c r="P3214" s="82"/>
      <c r="Q3214" s="82"/>
      <c r="R3214" s="38"/>
      <c r="S3214" s="38"/>
      <c r="T3214" s="38"/>
      <c r="U3214" s="38"/>
      <c r="V3214" s="38"/>
      <c r="W3214" s="38"/>
      <c r="X3214" s="38"/>
      <c r="Y3214" s="38"/>
      <c r="Z3214" s="38"/>
      <c r="AA3214" s="38"/>
      <c r="AB3214" s="38"/>
      <c r="AC3214" s="38"/>
      <c r="AD3214" s="38"/>
      <c r="AE3214" s="38"/>
      <c r="AF3214" s="38"/>
      <c r="AG3214" s="38"/>
      <c r="AH3214" s="38"/>
    </row>
    <row r="3215" spans="3:34" ht="20.100000000000001" customHeight="1">
      <c r="C3215" s="113"/>
      <c r="D3215" s="114"/>
      <c r="P3215" s="82"/>
      <c r="Q3215" s="82"/>
      <c r="R3215" s="38"/>
      <c r="S3215" s="38"/>
      <c r="T3215" s="38"/>
      <c r="U3215" s="38"/>
      <c r="V3215" s="38"/>
      <c r="W3215" s="38"/>
      <c r="X3215" s="38"/>
      <c r="Y3215" s="38"/>
      <c r="Z3215" s="38"/>
      <c r="AA3215" s="38"/>
      <c r="AB3215" s="38"/>
      <c r="AC3215" s="38"/>
      <c r="AD3215" s="38"/>
      <c r="AE3215" s="38"/>
      <c r="AF3215" s="38"/>
      <c r="AG3215" s="38"/>
      <c r="AH3215" s="38"/>
    </row>
    <row r="3216" spans="3:34" ht="20.100000000000001" customHeight="1">
      <c r="C3216" s="113"/>
      <c r="D3216" s="114"/>
      <c r="P3216" s="82"/>
      <c r="Q3216" s="82"/>
      <c r="R3216" s="38"/>
      <c r="S3216" s="38"/>
      <c r="T3216" s="38"/>
      <c r="U3216" s="38"/>
      <c r="V3216" s="38"/>
      <c r="W3216" s="38"/>
      <c r="X3216" s="38"/>
      <c r="Y3216" s="38"/>
      <c r="Z3216" s="38"/>
      <c r="AA3216" s="38"/>
      <c r="AB3216" s="38"/>
      <c r="AC3216" s="38"/>
      <c r="AD3216" s="38"/>
      <c r="AE3216" s="38"/>
      <c r="AF3216" s="38"/>
      <c r="AG3216" s="38"/>
      <c r="AH3216" s="38"/>
    </row>
    <row r="3217" spans="3:34" ht="20.100000000000001" customHeight="1">
      <c r="C3217" s="113"/>
      <c r="D3217" s="114"/>
      <c r="P3217" s="82"/>
      <c r="Q3217" s="82"/>
      <c r="R3217" s="38"/>
      <c r="S3217" s="38"/>
      <c r="T3217" s="38"/>
      <c r="U3217" s="38"/>
      <c r="V3217" s="38"/>
      <c r="W3217" s="38"/>
      <c r="X3217" s="38"/>
      <c r="Y3217" s="38"/>
      <c r="Z3217" s="38"/>
      <c r="AA3217" s="38"/>
      <c r="AB3217" s="38"/>
      <c r="AC3217" s="38"/>
      <c r="AD3217" s="38"/>
      <c r="AE3217" s="38"/>
      <c r="AF3217" s="38"/>
      <c r="AG3217" s="38"/>
      <c r="AH3217" s="38"/>
    </row>
    <row r="3218" spans="3:34" ht="20.100000000000001" customHeight="1">
      <c r="C3218" s="113"/>
      <c r="D3218" s="114"/>
      <c r="P3218" s="82"/>
      <c r="Q3218" s="82"/>
      <c r="R3218" s="38"/>
      <c r="S3218" s="38"/>
      <c r="T3218" s="38"/>
      <c r="U3218" s="38"/>
      <c r="V3218" s="38"/>
      <c r="W3218" s="38"/>
      <c r="X3218" s="38"/>
      <c r="Y3218" s="38"/>
      <c r="Z3218" s="38"/>
      <c r="AA3218" s="38"/>
      <c r="AB3218" s="38"/>
      <c r="AC3218" s="38"/>
      <c r="AD3218" s="38"/>
      <c r="AE3218" s="38"/>
      <c r="AF3218" s="38"/>
      <c r="AG3218" s="38"/>
      <c r="AH3218" s="38"/>
    </row>
    <row r="3219" spans="3:34" ht="20.100000000000001" customHeight="1">
      <c r="C3219" s="113"/>
      <c r="D3219" s="114"/>
      <c r="P3219" s="82"/>
      <c r="Q3219" s="82"/>
      <c r="R3219" s="38"/>
      <c r="S3219" s="38"/>
      <c r="T3219" s="38"/>
      <c r="U3219" s="38"/>
      <c r="V3219" s="38"/>
      <c r="W3219" s="38"/>
      <c r="X3219" s="38"/>
      <c r="Y3219" s="38"/>
      <c r="Z3219" s="38"/>
      <c r="AA3219" s="38"/>
      <c r="AB3219" s="38"/>
      <c r="AC3219" s="38"/>
      <c r="AD3219" s="38"/>
      <c r="AE3219" s="38"/>
      <c r="AF3219" s="38"/>
      <c r="AG3219" s="38"/>
      <c r="AH3219" s="38"/>
    </row>
    <row r="3220" spans="3:34" ht="20.100000000000001" customHeight="1">
      <c r="C3220" s="113"/>
      <c r="D3220" s="114"/>
      <c r="P3220" s="82"/>
      <c r="Q3220" s="82"/>
      <c r="R3220" s="38"/>
      <c r="S3220" s="38"/>
      <c r="T3220" s="38"/>
      <c r="U3220" s="38"/>
      <c r="V3220" s="38"/>
      <c r="W3220" s="38"/>
      <c r="X3220" s="38"/>
      <c r="Y3220" s="38"/>
      <c r="Z3220" s="38"/>
      <c r="AA3220" s="38"/>
      <c r="AB3220" s="38"/>
      <c r="AC3220" s="38"/>
      <c r="AD3220" s="38"/>
      <c r="AE3220" s="38"/>
      <c r="AF3220" s="38"/>
      <c r="AG3220" s="38"/>
      <c r="AH3220" s="38"/>
    </row>
    <row r="3221" spans="3:34" ht="20.100000000000001" customHeight="1">
      <c r="C3221" s="113"/>
      <c r="D3221" s="114"/>
      <c r="P3221" s="82"/>
      <c r="Q3221" s="82"/>
      <c r="R3221" s="38"/>
      <c r="S3221" s="38"/>
      <c r="T3221" s="38"/>
      <c r="U3221" s="38"/>
      <c r="V3221" s="38"/>
      <c r="W3221" s="38"/>
      <c r="X3221" s="38"/>
      <c r="Y3221" s="38"/>
      <c r="Z3221" s="38"/>
      <c r="AA3221" s="38"/>
      <c r="AB3221" s="38"/>
      <c r="AC3221" s="38"/>
      <c r="AD3221" s="38"/>
      <c r="AE3221" s="38"/>
      <c r="AF3221" s="38"/>
      <c r="AG3221" s="38"/>
      <c r="AH3221" s="38"/>
    </row>
    <row r="3222" spans="3:34" ht="20.100000000000001" customHeight="1">
      <c r="C3222" s="113"/>
      <c r="D3222" s="114"/>
      <c r="P3222" s="82"/>
      <c r="Q3222" s="82"/>
      <c r="R3222" s="38"/>
      <c r="S3222" s="38"/>
      <c r="T3222" s="38"/>
      <c r="U3222" s="38"/>
      <c r="V3222" s="38"/>
      <c r="W3222" s="38"/>
      <c r="X3222" s="38"/>
      <c r="Y3222" s="38"/>
      <c r="Z3222" s="38"/>
      <c r="AA3222" s="38"/>
      <c r="AB3222" s="38"/>
      <c r="AC3222" s="38"/>
      <c r="AD3222" s="38"/>
      <c r="AE3222" s="38"/>
      <c r="AF3222" s="38"/>
      <c r="AG3222" s="38"/>
      <c r="AH3222" s="38"/>
    </row>
    <row r="3223" spans="3:34" ht="20.100000000000001" customHeight="1">
      <c r="C3223" s="113"/>
      <c r="D3223" s="114"/>
      <c r="P3223" s="82"/>
      <c r="Q3223" s="82"/>
      <c r="R3223" s="38"/>
      <c r="S3223" s="38"/>
      <c r="T3223" s="38"/>
      <c r="U3223" s="38"/>
      <c r="V3223" s="38"/>
      <c r="W3223" s="38"/>
      <c r="X3223" s="38"/>
      <c r="Y3223" s="38"/>
      <c r="Z3223" s="38"/>
      <c r="AA3223" s="38"/>
      <c r="AB3223" s="38"/>
      <c r="AC3223" s="38"/>
      <c r="AD3223" s="38"/>
      <c r="AE3223" s="38"/>
      <c r="AF3223" s="38"/>
      <c r="AG3223" s="38"/>
      <c r="AH3223" s="38"/>
    </row>
    <row r="3224" spans="3:34" ht="20.100000000000001" customHeight="1">
      <c r="C3224" s="113"/>
      <c r="D3224" s="114"/>
      <c r="P3224" s="82"/>
      <c r="Q3224" s="82"/>
      <c r="R3224" s="38"/>
      <c r="S3224" s="38"/>
      <c r="T3224" s="38"/>
      <c r="U3224" s="38"/>
      <c r="V3224" s="38"/>
      <c r="W3224" s="38"/>
      <c r="X3224" s="38"/>
      <c r="Y3224" s="38"/>
      <c r="Z3224" s="38"/>
      <c r="AA3224" s="38"/>
      <c r="AB3224" s="38"/>
      <c r="AC3224" s="38"/>
      <c r="AD3224" s="38"/>
      <c r="AE3224" s="38"/>
      <c r="AF3224" s="38"/>
      <c r="AG3224" s="38"/>
      <c r="AH3224" s="38"/>
    </row>
    <row r="3225" spans="3:34" ht="20.100000000000001" customHeight="1">
      <c r="C3225" s="113"/>
      <c r="D3225" s="114"/>
      <c r="P3225" s="82"/>
      <c r="Q3225" s="82"/>
      <c r="R3225" s="38"/>
      <c r="S3225" s="38"/>
      <c r="T3225" s="38"/>
      <c r="U3225" s="38"/>
      <c r="V3225" s="38"/>
      <c r="W3225" s="38"/>
      <c r="X3225" s="38"/>
      <c r="Y3225" s="38"/>
      <c r="Z3225" s="38"/>
      <c r="AA3225" s="38"/>
      <c r="AB3225" s="38"/>
      <c r="AC3225" s="38"/>
      <c r="AD3225" s="38"/>
      <c r="AE3225" s="38"/>
      <c r="AF3225" s="38"/>
      <c r="AG3225" s="38"/>
      <c r="AH3225" s="38"/>
    </row>
    <row r="3226" spans="3:34" ht="20.100000000000001" customHeight="1">
      <c r="C3226" s="113"/>
      <c r="D3226" s="114"/>
      <c r="P3226" s="82"/>
      <c r="Q3226" s="82"/>
      <c r="R3226" s="38"/>
      <c r="S3226" s="38"/>
      <c r="T3226" s="38"/>
      <c r="U3226" s="38"/>
      <c r="V3226" s="38"/>
      <c r="W3226" s="38"/>
      <c r="X3226" s="38"/>
      <c r="Y3226" s="38"/>
      <c r="Z3226" s="38"/>
      <c r="AA3226" s="38"/>
      <c r="AB3226" s="38"/>
      <c r="AC3226" s="38"/>
      <c r="AD3226" s="38"/>
      <c r="AE3226" s="38"/>
      <c r="AF3226" s="38"/>
      <c r="AG3226" s="38"/>
      <c r="AH3226" s="38"/>
    </row>
    <row r="3227" spans="3:34" ht="20.100000000000001" customHeight="1">
      <c r="C3227" s="113"/>
      <c r="D3227" s="114"/>
      <c r="P3227" s="82"/>
      <c r="Q3227" s="82"/>
      <c r="R3227" s="38"/>
      <c r="S3227" s="38"/>
      <c r="T3227" s="38"/>
      <c r="U3227" s="38"/>
      <c r="V3227" s="38"/>
      <c r="W3227" s="38"/>
      <c r="X3227" s="38"/>
      <c r="Y3227" s="38"/>
      <c r="Z3227" s="38"/>
      <c r="AA3227" s="38"/>
      <c r="AB3227" s="38"/>
      <c r="AC3227" s="38"/>
      <c r="AD3227" s="38"/>
      <c r="AE3227" s="38"/>
      <c r="AF3227" s="38"/>
      <c r="AG3227" s="38"/>
      <c r="AH3227" s="38"/>
    </row>
    <row r="3228" spans="3:34" ht="20.100000000000001" customHeight="1">
      <c r="C3228" s="113"/>
      <c r="D3228" s="114"/>
      <c r="P3228" s="82"/>
      <c r="Q3228" s="82"/>
      <c r="R3228" s="38"/>
      <c r="S3228" s="38"/>
      <c r="T3228" s="38"/>
      <c r="U3228" s="38"/>
      <c r="V3228" s="38"/>
      <c r="W3228" s="38"/>
      <c r="X3228" s="38"/>
      <c r="Y3228" s="38"/>
      <c r="Z3228" s="38"/>
      <c r="AA3228" s="38"/>
      <c r="AB3228" s="38"/>
      <c r="AC3228" s="38"/>
      <c r="AD3228" s="38"/>
      <c r="AE3228" s="38"/>
      <c r="AF3228" s="38"/>
      <c r="AG3228" s="38"/>
      <c r="AH3228" s="38"/>
    </row>
    <row r="3229" spans="3:34" ht="20.100000000000001" customHeight="1">
      <c r="C3229" s="113"/>
      <c r="D3229" s="114"/>
      <c r="P3229" s="82"/>
      <c r="Q3229" s="82"/>
      <c r="R3229" s="38"/>
      <c r="S3229" s="38"/>
      <c r="T3229" s="38"/>
      <c r="U3229" s="38"/>
      <c r="V3229" s="38"/>
      <c r="W3229" s="38"/>
      <c r="X3229" s="38"/>
      <c r="Y3229" s="38"/>
      <c r="Z3229" s="38"/>
      <c r="AA3229" s="38"/>
      <c r="AB3229" s="38"/>
      <c r="AC3229" s="38"/>
      <c r="AD3229" s="38"/>
      <c r="AE3229" s="38"/>
      <c r="AF3229" s="38"/>
      <c r="AG3229" s="38"/>
      <c r="AH3229" s="38"/>
    </row>
    <row r="3230" spans="3:34" ht="20.100000000000001" customHeight="1">
      <c r="C3230" s="113"/>
      <c r="D3230" s="114"/>
      <c r="P3230" s="82"/>
      <c r="Q3230" s="82"/>
      <c r="R3230" s="38"/>
      <c r="S3230" s="38"/>
      <c r="T3230" s="38"/>
      <c r="U3230" s="38"/>
      <c r="V3230" s="38"/>
      <c r="W3230" s="38"/>
      <c r="X3230" s="38"/>
      <c r="Y3230" s="38"/>
      <c r="Z3230" s="38"/>
      <c r="AA3230" s="38"/>
      <c r="AB3230" s="38"/>
      <c r="AC3230" s="38"/>
      <c r="AD3230" s="38"/>
      <c r="AE3230" s="38"/>
      <c r="AF3230" s="38"/>
      <c r="AG3230" s="38"/>
      <c r="AH3230" s="38"/>
    </row>
    <row r="3231" spans="3:34" ht="20.100000000000001" customHeight="1">
      <c r="C3231" s="113"/>
      <c r="D3231" s="114"/>
      <c r="P3231" s="82"/>
      <c r="Q3231" s="82"/>
      <c r="R3231" s="38"/>
      <c r="S3231" s="38"/>
      <c r="T3231" s="38"/>
      <c r="U3231" s="38"/>
      <c r="V3231" s="38"/>
      <c r="W3231" s="38"/>
      <c r="X3231" s="38"/>
      <c r="Y3231" s="38"/>
      <c r="Z3231" s="38"/>
      <c r="AA3231" s="38"/>
      <c r="AB3231" s="38"/>
      <c r="AC3231" s="38"/>
      <c r="AD3231" s="38"/>
      <c r="AE3231" s="38"/>
      <c r="AF3231" s="38"/>
      <c r="AG3231" s="38"/>
      <c r="AH3231" s="38"/>
    </row>
    <row r="3232" spans="3:34" ht="20.100000000000001" customHeight="1">
      <c r="C3232" s="113"/>
      <c r="D3232" s="114"/>
      <c r="P3232" s="82"/>
      <c r="Q3232" s="82"/>
      <c r="R3232" s="38"/>
      <c r="S3232" s="38"/>
      <c r="T3232" s="38"/>
      <c r="U3232" s="38"/>
      <c r="V3232" s="38"/>
      <c r="W3232" s="38"/>
      <c r="X3232" s="38"/>
      <c r="Y3232" s="38"/>
      <c r="Z3232" s="38"/>
      <c r="AA3232" s="38"/>
      <c r="AB3232" s="38"/>
      <c r="AC3232" s="38"/>
      <c r="AD3232" s="38"/>
      <c r="AE3232" s="38"/>
      <c r="AF3232" s="38"/>
      <c r="AG3232" s="38"/>
      <c r="AH3232" s="38"/>
    </row>
    <row r="3233" spans="3:34" ht="20.100000000000001" customHeight="1">
      <c r="C3233" s="113"/>
      <c r="D3233" s="114"/>
      <c r="P3233" s="82"/>
      <c r="Q3233" s="82"/>
      <c r="R3233" s="38"/>
      <c r="S3233" s="38"/>
      <c r="T3233" s="38"/>
      <c r="U3233" s="38"/>
      <c r="V3233" s="38"/>
      <c r="W3233" s="38"/>
      <c r="X3233" s="38"/>
      <c r="Y3233" s="38"/>
      <c r="Z3233" s="38"/>
      <c r="AA3233" s="38"/>
      <c r="AB3233" s="38"/>
      <c r="AC3233" s="38"/>
      <c r="AD3233" s="38"/>
      <c r="AE3233" s="38"/>
      <c r="AF3233" s="38"/>
      <c r="AG3233" s="38"/>
      <c r="AH3233" s="38"/>
    </row>
    <row r="3234" spans="3:34" ht="20.100000000000001" customHeight="1">
      <c r="C3234" s="113"/>
      <c r="D3234" s="114"/>
      <c r="P3234" s="82"/>
      <c r="Q3234" s="82"/>
      <c r="R3234" s="38"/>
      <c r="S3234" s="38"/>
      <c r="T3234" s="38"/>
      <c r="U3234" s="38"/>
      <c r="V3234" s="38"/>
      <c r="W3234" s="38"/>
      <c r="X3234" s="38"/>
      <c r="Y3234" s="38"/>
      <c r="Z3234" s="38"/>
      <c r="AA3234" s="38"/>
      <c r="AB3234" s="38"/>
      <c r="AC3234" s="38"/>
      <c r="AD3234" s="38"/>
      <c r="AE3234" s="38"/>
      <c r="AF3234" s="38"/>
      <c r="AG3234" s="38"/>
      <c r="AH3234" s="38"/>
    </row>
    <row r="3235" spans="3:34" ht="20.100000000000001" customHeight="1">
      <c r="C3235" s="113"/>
      <c r="D3235" s="114"/>
      <c r="P3235" s="82"/>
      <c r="Q3235" s="82"/>
      <c r="R3235" s="38"/>
      <c r="S3235" s="38"/>
      <c r="T3235" s="38"/>
      <c r="U3235" s="38"/>
      <c r="V3235" s="38"/>
      <c r="W3235" s="38"/>
      <c r="X3235" s="38"/>
      <c r="Y3235" s="38"/>
      <c r="Z3235" s="38"/>
      <c r="AA3235" s="38"/>
      <c r="AB3235" s="38"/>
      <c r="AC3235" s="38"/>
      <c r="AD3235" s="38"/>
      <c r="AE3235" s="38"/>
      <c r="AF3235" s="38"/>
      <c r="AG3235" s="38"/>
      <c r="AH3235" s="38"/>
    </row>
    <row r="3236" spans="3:34" ht="20.100000000000001" customHeight="1">
      <c r="C3236" s="113"/>
      <c r="D3236" s="114"/>
      <c r="P3236" s="82"/>
      <c r="Q3236" s="82"/>
      <c r="R3236" s="38"/>
      <c r="S3236" s="38"/>
      <c r="T3236" s="38"/>
      <c r="U3236" s="38"/>
      <c r="V3236" s="38"/>
      <c r="W3236" s="38"/>
      <c r="X3236" s="38"/>
      <c r="Y3236" s="38"/>
      <c r="Z3236" s="38"/>
      <c r="AA3236" s="38"/>
      <c r="AB3236" s="38"/>
      <c r="AC3236" s="38"/>
      <c r="AD3236" s="38"/>
      <c r="AE3236" s="38"/>
      <c r="AF3236" s="38"/>
      <c r="AG3236" s="38"/>
      <c r="AH3236" s="38"/>
    </row>
    <row r="3237" spans="3:34" ht="20.100000000000001" customHeight="1">
      <c r="C3237" s="113"/>
      <c r="D3237" s="114"/>
      <c r="P3237" s="82"/>
      <c r="Q3237" s="82"/>
      <c r="R3237" s="38"/>
      <c r="S3237" s="38"/>
      <c r="T3237" s="38"/>
      <c r="U3237" s="38"/>
      <c r="V3237" s="38"/>
      <c r="W3237" s="38"/>
      <c r="X3237" s="38"/>
      <c r="Y3237" s="38"/>
      <c r="Z3237" s="38"/>
      <c r="AA3237" s="38"/>
      <c r="AB3237" s="38"/>
      <c r="AC3237" s="38"/>
      <c r="AD3237" s="38"/>
      <c r="AE3237" s="38"/>
      <c r="AF3237" s="38"/>
      <c r="AG3237" s="38"/>
      <c r="AH3237" s="38"/>
    </row>
    <row r="3238" spans="3:34" ht="20.100000000000001" customHeight="1">
      <c r="C3238" s="113"/>
      <c r="D3238" s="114"/>
      <c r="P3238" s="82"/>
      <c r="Q3238" s="82"/>
      <c r="R3238" s="38"/>
      <c r="S3238" s="38"/>
      <c r="T3238" s="38"/>
      <c r="U3238" s="38"/>
      <c r="V3238" s="38"/>
      <c r="W3238" s="38"/>
      <c r="X3238" s="38"/>
      <c r="Y3238" s="38"/>
      <c r="Z3238" s="38"/>
      <c r="AA3238" s="38"/>
      <c r="AB3238" s="38"/>
      <c r="AC3238" s="38"/>
      <c r="AD3238" s="38"/>
      <c r="AE3238" s="38"/>
      <c r="AF3238" s="38"/>
      <c r="AG3238" s="38"/>
      <c r="AH3238" s="38"/>
    </row>
    <row r="3239" spans="3:34" ht="20.100000000000001" customHeight="1">
      <c r="C3239" s="113"/>
      <c r="D3239" s="114"/>
      <c r="P3239" s="82"/>
      <c r="Q3239" s="82"/>
      <c r="R3239" s="38"/>
      <c r="S3239" s="38"/>
      <c r="T3239" s="38"/>
      <c r="U3239" s="38"/>
      <c r="V3239" s="38"/>
      <c r="W3239" s="38"/>
      <c r="X3239" s="38"/>
      <c r="Y3239" s="38"/>
      <c r="Z3239" s="38"/>
      <c r="AA3239" s="38"/>
      <c r="AB3239" s="38"/>
      <c r="AC3239" s="38"/>
      <c r="AD3239" s="38"/>
      <c r="AE3239" s="38"/>
      <c r="AF3239" s="38"/>
      <c r="AG3239" s="38"/>
      <c r="AH3239" s="38"/>
    </row>
    <row r="3240" spans="3:34" ht="20.100000000000001" customHeight="1">
      <c r="C3240" s="113"/>
      <c r="D3240" s="114"/>
      <c r="P3240" s="82"/>
      <c r="Q3240" s="82"/>
      <c r="R3240" s="38"/>
      <c r="S3240" s="38"/>
      <c r="T3240" s="38"/>
      <c r="U3240" s="38"/>
      <c r="V3240" s="38"/>
      <c r="W3240" s="38"/>
      <c r="X3240" s="38"/>
      <c r="Y3240" s="38"/>
      <c r="Z3240" s="38"/>
      <c r="AA3240" s="38"/>
      <c r="AB3240" s="38"/>
      <c r="AC3240" s="38"/>
      <c r="AD3240" s="38"/>
      <c r="AE3240" s="38"/>
      <c r="AF3240" s="38"/>
      <c r="AG3240" s="38"/>
      <c r="AH3240" s="38"/>
    </row>
    <row r="3241" spans="3:34" ht="20.100000000000001" customHeight="1">
      <c r="C3241" s="113"/>
      <c r="D3241" s="114"/>
      <c r="P3241" s="82"/>
      <c r="Q3241" s="82"/>
      <c r="R3241" s="38"/>
      <c r="S3241" s="38"/>
      <c r="T3241" s="38"/>
      <c r="U3241" s="38"/>
      <c r="V3241" s="38"/>
      <c r="W3241" s="38"/>
      <c r="X3241" s="38"/>
      <c r="Y3241" s="38"/>
      <c r="Z3241" s="38"/>
      <c r="AA3241" s="38"/>
      <c r="AB3241" s="38"/>
      <c r="AC3241" s="38"/>
      <c r="AD3241" s="38"/>
      <c r="AE3241" s="38"/>
      <c r="AF3241" s="38"/>
      <c r="AG3241" s="38"/>
      <c r="AH3241" s="38"/>
    </row>
    <row r="3242" spans="3:34" ht="20.100000000000001" customHeight="1">
      <c r="C3242" s="113"/>
      <c r="D3242" s="114"/>
      <c r="P3242" s="82"/>
      <c r="Q3242" s="82"/>
      <c r="R3242" s="38"/>
      <c r="S3242" s="38"/>
      <c r="T3242" s="38"/>
      <c r="U3242" s="38"/>
      <c r="V3242" s="38"/>
      <c r="W3242" s="38"/>
      <c r="X3242" s="38"/>
      <c r="Y3242" s="38"/>
      <c r="Z3242" s="38"/>
      <c r="AA3242" s="38"/>
      <c r="AB3242" s="38"/>
      <c r="AC3242" s="38"/>
      <c r="AD3242" s="38"/>
      <c r="AE3242" s="38"/>
      <c r="AF3242" s="38"/>
      <c r="AG3242" s="38"/>
      <c r="AH3242" s="38"/>
    </row>
    <row r="3243" spans="3:34" ht="20.100000000000001" customHeight="1">
      <c r="C3243" s="113"/>
      <c r="D3243" s="114"/>
      <c r="P3243" s="82"/>
      <c r="Q3243" s="82"/>
      <c r="R3243" s="38"/>
      <c r="S3243" s="38"/>
      <c r="T3243" s="38"/>
      <c r="U3243" s="38"/>
      <c r="V3243" s="38"/>
      <c r="W3243" s="38"/>
      <c r="X3243" s="38"/>
      <c r="Y3243" s="38"/>
      <c r="Z3243" s="38"/>
      <c r="AA3243" s="38"/>
      <c r="AB3243" s="38"/>
      <c r="AC3243" s="38"/>
      <c r="AD3243" s="38"/>
      <c r="AE3243" s="38"/>
      <c r="AF3243" s="38"/>
      <c r="AG3243" s="38"/>
      <c r="AH3243" s="38"/>
    </row>
    <row r="3244" spans="3:34" ht="20.100000000000001" customHeight="1">
      <c r="C3244" s="113"/>
      <c r="D3244" s="114"/>
      <c r="P3244" s="82"/>
      <c r="Q3244" s="82"/>
      <c r="R3244" s="38"/>
      <c r="S3244" s="38"/>
      <c r="T3244" s="38"/>
      <c r="U3244" s="38"/>
      <c r="V3244" s="38"/>
      <c r="W3244" s="38"/>
      <c r="X3244" s="38"/>
      <c r="Y3244" s="38"/>
      <c r="Z3244" s="38"/>
      <c r="AA3244" s="38"/>
      <c r="AB3244" s="38"/>
      <c r="AC3244" s="38"/>
      <c r="AD3244" s="38"/>
      <c r="AE3244" s="38"/>
      <c r="AF3244" s="38"/>
      <c r="AG3244" s="38"/>
      <c r="AH3244" s="38"/>
    </row>
    <row r="3245" spans="3:34" ht="20.100000000000001" customHeight="1">
      <c r="C3245" s="113"/>
      <c r="D3245" s="114"/>
      <c r="P3245" s="82"/>
      <c r="Q3245" s="82"/>
      <c r="R3245" s="38"/>
      <c r="S3245" s="38"/>
      <c r="T3245" s="38"/>
      <c r="U3245" s="38"/>
      <c r="V3245" s="38"/>
      <c r="W3245" s="38"/>
      <c r="X3245" s="38"/>
      <c r="Y3245" s="38"/>
      <c r="Z3245" s="38"/>
      <c r="AA3245" s="38"/>
      <c r="AB3245" s="38"/>
      <c r="AC3245" s="38"/>
      <c r="AD3245" s="38"/>
      <c r="AE3245" s="38"/>
      <c r="AF3245" s="38"/>
      <c r="AG3245" s="38"/>
      <c r="AH3245" s="38"/>
    </row>
    <row r="3246" spans="3:34" ht="20.100000000000001" customHeight="1">
      <c r="C3246" s="113"/>
      <c r="D3246" s="114"/>
      <c r="P3246" s="82"/>
      <c r="Q3246" s="82"/>
      <c r="R3246" s="38"/>
      <c r="S3246" s="38"/>
      <c r="T3246" s="38"/>
      <c r="U3246" s="38"/>
      <c r="V3246" s="38"/>
      <c r="W3246" s="38"/>
      <c r="X3246" s="38"/>
      <c r="Y3246" s="38"/>
      <c r="Z3246" s="38"/>
      <c r="AA3246" s="38"/>
      <c r="AB3246" s="38"/>
      <c r="AC3246" s="38"/>
      <c r="AD3246" s="38"/>
      <c r="AE3246" s="38"/>
      <c r="AF3246" s="38"/>
      <c r="AG3246" s="38"/>
      <c r="AH3246" s="38"/>
    </row>
    <row r="3247" spans="3:34" ht="20.100000000000001" customHeight="1">
      <c r="C3247" s="113"/>
      <c r="D3247" s="114"/>
      <c r="P3247" s="82"/>
      <c r="Q3247" s="82"/>
      <c r="R3247" s="38"/>
      <c r="S3247" s="38"/>
      <c r="T3247" s="38"/>
      <c r="U3247" s="38"/>
      <c r="V3247" s="38"/>
      <c r="W3247" s="38"/>
      <c r="X3247" s="38"/>
      <c r="Y3247" s="38"/>
      <c r="Z3247" s="38"/>
      <c r="AA3247" s="38"/>
      <c r="AB3247" s="38"/>
      <c r="AC3247" s="38"/>
      <c r="AD3247" s="38"/>
      <c r="AE3247" s="38"/>
      <c r="AF3247" s="38"/>
      <c r="AG3247" s="38"/>
      <c r="AH3247" s="38"/>
    </row>
    <row r="3248" spans="3:34" ht="20.100000000000001" customHeight="1">
      <c r="C3248" s="113"/>
      <c r="D3248" s="114"/>
      <c r="P3248" s="82"/>
      <c r="Q3248" s="82"/>
      <c r="R3248" s="38"/>
      <c r="S3248" s="38"/>
      <c r="T3248" s="38"/>
      <c r="U3248" s="38"/>
      <c r="V3248" s="38"/>
      <c r="W3248" s="38"/>
      <c r="X3248" s="38"/>
      <c r="Y3248" s="38"/>
      <c r="Z3248" s="38"/>
      <c r="AA3248" s="38"/>
      <c r="AB3248" s="38"/>
      <c r="AC3248" s="38"/>
      <c r="AD3248" s="38"/>
      <c r="AE3248" s="38"/>
      <c r="AF3248" s="38"/>
      <c r="AG3248" s="38"/>
      <c r="AH3248" s="38"/>
    </row>
    <row r="3249" spans="3:34" ht="20.100000000000001" customHeight="1">
      <c r="C3249" s="113"/>
      <c r="D3249" s="114"/>
      <c r="P3249" s="82"/>
      <c r="Q3249" s="82"/>
      <c r="R3249" s="38"/>
      <c r="S3249" s="38"/>
      <c r="T3249" s="38"/>
      <c r="U3249" s="38"/>
      <c r="V3249" s="38"/>
      <c r="W3249" s="38"/>
      <c r="X3249" s="38"/>
      <c r="Y3249" s="38"/>
      <c r="Z3249" s="38"/>
      <c r="AA3249" s="38"/>
      <c r="AB3249" s="38"/>
      <c r="AC3249" s="38"/>
      <c r="AD3249" s="38"/>
      <c r="AE3249" s="38"/>
      <c r="AF3249" s="38"/>
      <c r="AG3249" s="38"/>
      <c r="AH3249" s="38"/>
    </row>
    <row r="3250" spans="3:34" ht="20.100000000000001" customHeight="1">
      <c r="C3250" s="113"/>
      <c r="D3250" s="114"/>
      <c r="P3250" s="82"/>
      <c r="Q3250" s="82"/>
      <c r="R3250" s="38"/>
      <c r="S3250" s="38"/>
      <c r="T3250" s="38"/>
      <c r="U3250" s="38"/>
      <c r="V3250" s="38"/>
      <c r="W3250" s="38"/>
      <c r="X3250" s="38"/>
      <c r="Y3250" s="38"/>
      <c r="Z3250" s="38"/>
      <c r="AA3250" s="38"/>
      <c r="AB3250" s="38"/>
      <c r="AC3250" s="38"/>
      <c r="AD3250" s="38"/>
      <c r="AE3250" s="38"/>
      <c r="AF3250" s="38"/>
      <c r="AG3250" s="38"/>
      <c r="AH3250" s="38"/>
    </row>
    <row r="3251" spans="3:34" ht="20.100000000000001" customHeight="1">
      <c r="C3251" s="113"/>
      <c r="D3251" s="114"/>
      <c r="P3251" s="82"/>
      <c r="Q3251" s="82"/>
      <c r="R3251" s="38"/>
      <c r="S3251" s="38"/>
      <c r="T3251" s="38"/>
      <c r="U3251" s="38"/>
      <c r="V3251" s="38"/>
      <c r="W3251" s="38"/>
      <c r="X3251" s="38"/>
      <c r="Y3251" s="38"/>
      <c r="Z3251" s="38"/>
      <c r="AA3251" s="38"/>
      <c r="AB3251" s="38"/>
      <c r="AC3251" s="38"/>
      <c r="AD3251" s="38"/>
      <c r="AE3251" s="38"/>
      <c r="AF3251" s="38"/>
      <c r="AG3251" s="38"/>
      <c r="AH3251" s="38"/>
    </row>
    <row r="3252" spans="3:34" ht="20.100000000000001" customHeight="1">
      <c r="C3252" s="113"/>
      <c r="D3252" s="114"/>
      <c r="P3252" s="82"/>
      <c r="Q3252" s="82"/>
      <c r="R3252" s="38"/>
      <c r="S3252" s="38"/>
      <c r="T3252" s="38"/>
      <c r="U3252" s="38"/>
      <c r="V3252" s="38"/>
      <c r="W3252" s="38"/>
      <c r="X3252" s="38"/>
      <c r="Y3252" s="38"/>
      <c r="Z3252" s="38"/>
      <c r="AA3252" s="38"/>
      <c r="AB3252" s="38"/>
      <c r="AC3252" s="38"/>
      <c r="AD3252" s="38"/>
      <c r="AE3252" s="38"/>
      <c r="AF3252" s="38"/>
      <c r="AG3252" s="38"/>
      <c r="AH3252" s="38"/>
    </row>
    <row r="3253" spans="3:34" ht="20.100000000000001" customHeight="1">
      <c r="C3253" s="113"/>
      <c r="D3253" s="114"/>
      <c r="P3253" s="82"/>
      <c r="Q3253" s="82"/>
      <c r="R3253" s="38"/>
      <c r="S3253" s="38"/>
      <c r="T3253" s="38"/>
      <c r="U3253" s="38"/>
      <c r="V3253" s="38"/>
      <c r="W3253" s="38"/>
      <c r="X3253" s="38"/>
      <c r="Y3253" s="38"/>
      <c r="Z3253" s="38"/>
      <c r="AA3253" s="38"/>
      <c r="AB3253" s="38"/>
      <c r="AC3253" s="38"/>
      <c r="AD3253" s="38"/>
      <c r="AE3253" s="38"/>
      <c r="AF3253" s="38"/>
      <c r="AG3253" s="38"/>
      <c r="AH3253" s="38"/>
    </row>
    <row r="3254" spans="3:34" ht="20.100000000000001" customHeight="1">
      <c r="C3254" s="113"/>
      <c r="D3254" s="114"/>
      <c r="P3254" s="82"/>
      <c r="Q3254" s="82"/>
      <c r="R3254" s="38"/>
      <c r="S3254" s="38"/>
      <c r="T3254" s="38"/>
      <c r="U3254" s="38"/>
      <c r="V3254" s="38"/>
      <c r="W3254" s="38"/>
      <c r="X3254" s="38"/>
      <c r="Y3254" s="38"/>
      <c r="Z3254" s="38"/>
      <c r="AA3254" s="38"/>
      <c r="AB3254" s="38"/>
      <c r="AC3254" s="38"/>
      <c r="AD3254" s="38"/>
      <c r="AE3254" s="38"/>
      <c r="AF3254" s="38"/>
      <c r="AG3254" s="38"/>
      <c r="AH3254" s="38"/>
    </row>
    <row r="3255" spans="3:34" ht="20.100000000000001" customHeight="1">
      <c r="C3255" s="113"/>
      <c r="D3255" s="114"/>
      <c r="P3255" s="82"/>
      <c r="Q3255" s="82"/>
      <c r="R3255" s="38"/>
      <c r="S3255" s="38"/>
      <c r="T3255" s="38"/>
      <c r="U3255" s="38"/>
      <c r="V3255" s="38"/>
      <c r="W3255" s="38"/>
      <c r="X3255" s="38"/>
      <c r="Y3255" s="38"/>
      <c r="Z3255" s="38"/>
      <c r="AA3255" s="38"/>
      <c r="AB3255" s="38"/>
      <c r="AC3255" s="38"/>
      <c r="AD3255" s="38"/>
      <c r="AE3255" s="38"/>
      <c r="AF3255" s="38"/>
      <c r="AG3255" s="38"/>
      <c r="AH3255" s="38"/>
    </row>
    <row r="3256" spans="3:34" ht="20.100000000000001" customHeight="1">
      <c r="C3256" s="113"/>
      <c r="D3256" s="114"/>
      <c r="P3256" s="82"/>
      <c r="Q3256" s="82"/>
      <c r="R3256" s="38"/>
      <c r="S3256" s="38"/>
      <c r="T3256" s="38"/>
      <c r="U3256" s="38"/>
      <c r="V3256" s="38"/>
      <c r="W3256" s="38"/>
      <c r="X3256" s="38"/>
      <c r="Y3256" s="38"/>
      <c r="Z3256" s="38"/>
      <c r="AA3256" s="38"/>
      <c r="AB3256" s="38"/>
      <c r="AC3256" s="38"/>
      <c r="AD3256" s="38"/>
      <c r="AE3256" s="38"/>
      <c r="AF3256" s="38"/>
      <c r="AG3256" s="38"/>
      <c r="AH3256" s="38"/>
    </row>
    <row r="3257" spans="3:34" ht="20.100000000000001" customHeight="1">
      <c r="C3257" s="113"/>
      <c r="D3257" s="114"/>
      <c r="P3257" s="82"/>
      <c r="Q3257" s="82"/>
      <c r="R3257" s="38"/>
      <c r="S3257" s="38"/>
      <c r="T3257" s="38"/>
      <c r="U3257" s="38"/>
      <c r="V3257" s="38"/>
      <c r="W3257" s="38"/>
      <c r="X3257" s="38"/>
      <c r="Y3257" s="38"/>
      <c r="Z3257" s="38"/>
      <c r="AA3257" s="38"/>
      <c r="AB3257" s="38"/>
      <c r="AC3257" s="38"/>
      <c r="AD3257" s="38"/>
      <c r="AE3257" s="38"/>
      <c r="AF3257" s="38"/>
      <c r="AG3257" s="38"/>
      <c r="AH3257" s="38"/>
    </row>
    <row r="3258" spans="3:34" ht="20.100000000000001" customHeight="1">
      <c r="C3258" s="113"/>
      <c r="D3258" s="114"/>
      <c r="P3258" s="82"/>
      <c r="Q3258" s="82"/>
      <c r="R3258" s="38"/>
      <c r="S3258" s="38"/>
      <c r="T3258" s="38"/>
      <c r="U3258" s="38"/>
      <c r="V3258" s="38"/>
      <c r="W3258" s="38"/>
      <c r="X3258" s="38"/>
      <c r="Y3258" s="38"/>
      <c r="Z3258" s="38"/>
      <c r="AA3258" s="38"/>
      <c r="AB3258" s="38"/>
      <c r="AC3258" s="38"/>
      <c r="AD3258" s="38"/>
      <c r="AE3258" s="38"/>
      <c r="AF3258" s="38"/>
      <c r="AG3258" s="38"/>
      <c r="AH3258" s="38"/>
    </row>
    <row r="3259" spans="3:34" ht="20.100000000000001" customHeight="1">
      <c r="C3259" s="113"/>
      <c r="D3259" s="114"/>
      <c r="P3259" s="82"/>
      <c r="Q3259" s="82"/>
      <c r="R3259" s="38"/>
      <c r="S3259" s="38"/>
      <c r="T3259" s="38"/>
      <c r="U3259" s="38"/>
      <c r="V3259" s="38"/>
      <c r="W3259" s="38"/>
      <c r="X3259" s="38"/>
      <c r="Y3259" s="38"/>
      <c r="Z3259" s="38"/>
      <c r="AA3259" s="38"/>
      <c r="AB3259" s="38"/>
      <c r="AC3259" s="38"/>
      <c r="AD3259" s="38"/>
      <c r="AE3259" s="38"/>
      <c r="AF3259" s="38"/>
      <c r="AG3259" s="38"/>
      <c r="AH3259" s="38"/>
    </row>
    <row r="3260" spans="3:34" ht="20.100000000000001" customHeight="1">
      <c r="C3260" s="113"/>
      <c r="D3260" s="114"/>
      <c r="P3260" s="82"/>
      <c r="Q3260" s="82"/>
      <c r="R3260" s="38"/>
      <c r="S3260" s="38"/>
      <c r="T3260" s="38"/>
      <c r="U3260" s="38"/>
      <c r="V3260" s="38"/>
      <c r="W3260" s="38"/>
      <c r="X3260" s="38"/>
      <c r="Y3260" s="38"/>
      <c r="Z3260" s="38"/>
      <c r="AA3260" s="38"/>
      <c r="AB3260" s="38"/>
      <c r="AC3260" s="38"/>
      <c r="AD3260" s="38"/>
      <c r="AE3260" s="38"/>
      <c r="AF3260" s="38"/>
      <c r="AG3260" s="38"/>
      <c r="AH3260" s="38"/>
    </row>
    <row r="3261" spans="3:34" ht="20.100000000000001" customHeight="1">
      <c r="C3261" s="113"/>
      <c r="D3261" s="114"/>
      <c r="P3261" s="82"/>
      <c r="Q3261" s="82"/>
      <c r="R3261" s="38"/>
      <c r="S3261" s="38"/>
      <c r="T3261" s="38"/>
      <c r="U3261" s="38"/>
      <c r="V3261" s="38"/>
      <c r="W3261" s="38"/>
      <c r="X3261" s="38"/>
      <c r="Y3261" s="38"/>
      <c r="Z3261" s="38"/>
      <c r="AA3261" s="38"/>
      <c r="AB3261" s="38"/>
      <c r="AC3261" s="38"/>
      <c r="AD3261" s="38"/>
      <c r="AE3261" s="38"/>
      <c r="AF3261" s="38"/>
      <c r="AG3261" s="38"/>
      <c r="AH3261" s="38"/>
    </row>
    <row r="3262" spans="3:34" ht="20.100000000000001" customHeight="1">
      <c r="C3262" s="113"/>
      <c r="D3262" s="114"/>
      <c r="P3262" s="82"/>
      <c r="Q3262" s="82"/>
      <c r="R3262" s="38"/>
      <c r="S3262" s="38"/>
      <c r="T3262" s="38"/>
      <c r="U3262" s="38"/>
      <c r="V3262" s="38"/>
      <c r="W3262" s="38"/>
      <c r="X3262" s="38"/>
      <c r="Y3262" s="38"/>
      <c r="Z3262" s="38"/>
      <c r="AA3262" s="38"/>
      <c r="AB3262" s="38"/>
      <c r="AC3262" s="38"/>
      <c r="AD3262" s="38"/>
      <c r="AE3262" s="38"/>
      <c r="AF3262" s="38"/>
      <c r="AG3262" s="38"/>
      <c r="AH3262" s="38"/>
    </row>
    <row r="3263" spans="3:34" ht="20.100000000000001" customHeight="1">
      <c r="C3263" s="113"/>
      <c r="D3263" s="114"/>
      <c r="P3263" s="82"/>
      <c r="Q3263" s="82"/>
      <c r="R3263" s="38"/>
      <c r="S3263" s="38"/>
      <c r="T3263" s="38"/>
      <c r="U3263" s="38"/>
      <c r="V3263" s="38"/>
      <c r="W3263" s="38"/>
      <c r="X3263" s="38"/>
      <c r="Y3263" s="38"/>
      <c r="Z3263" s="38"/>
      <c r="AA3263" s="38"/>
      <c r="AB3263" s="38"/>
      <c r="AC3263" s="38"/>
      <c r="AD3263" s="38"/>
      <c r="AE3263" s="38"/>
      <c r="AF3263" s="38"/>
      <c r="AG3263" s="38"/>
      <c r="AH3263" s="38"/>
    </row>
    <row r="3264" spans="3:34" ht="20.100000000000001" customHeight="1">
      <c r="C3264" s="113"/>
      <c r="D3264" s="114"/>
      <c r="P3264" s="82"/>
      <c r="Q3264" s="82"/>
      <c r="R3264" s="38"/>
      <c r="S3264" s="38"/>
      <c r="T3264" s="38"/>
      <c r="U3264" s="38"/>
      <c r="V3264" s="38"/>
      <c r="W3264" s="38"/>
      <c r="X3264" s="38"/>
      <c r="Y3264" s="38"/>
      <c r="Z3264" s="38"/>
      <c r="AA3264" s="38"/>
      <c r="AB3264" s="38"/>
      <c r="AC3264" s="38"/>
      <c r="AD3264" s="38"/>
      <c r="AE3264" s="38"/>
      <c r="AF3264" s="38"/>
      <c r="AG3264" s="38"/>
      <c r="AH3264" s="38"/>
    </row>
    <row r="3265" spans="3:34" ht="20.100000000000001" customHeight="1">
      <c r="C3265" s="113"/>
      <c r="D3265" s="114"/>
      <c r="P3265" s="82"/>
      <c r="Q3265" s="82"/>
      <c r="R3265" s="38"/>
      <c r="S3265" s="38"/>
      <c r="T3265" s="38"/>
      <c r="U3265" s="38"/>
      <c r="V3265" s="38"/>
      <c r="W3265" s="38"/>
      <c r="X3265" s="38"/>
      <c r="Y3265" s="38"/>
      <c r="Z3265" s="38"/>
      <c r="AA3265" s="38"/>
      <c r="AB3265" s="38"/>
      <c r="AC3265" s="38"/>
      <c r="AD3265" s="38"/>
      <c r="AE3265" s="38"/>
      <c r="AF3265" s="38"/>
      <c r="AG3265" s="38"/>
      <c r="AH3265" s="38"/>
    </row>
    <row r="3266" spans="3:34" ht="20.100000000000001" customHeight="1">
      <c r="C3266" s="113"/>
      <c r="D3266" s="114"/>
      <c r="P3266" s="82"/>
      <c r="Q3266" s="82"/>
      <c r="R3266" s="38"/>
      <c r="S3266" s="38"/>
      <c r="T3266" s="38"/>
      <c r="U3266" s="38"/>
      <c r="V3266" s="38"/>
      <c r="W3266" s="38"/>
      <c r="X3266" s="38"/>
      <c r="Y3266" s="38"/>
      <c r="Z3266" s="38"/>
      <c r="AA3266" s="38"/>
      <c r="AB3266" s="38"/>
      <c r="AC3266" s="38"/>
      <c r="AD3266" s="38"/>
      <c r="AE3266" s="38"/>
      <c r="AF3266" s="38"/>
      <c r="AG3266" s="38"/>
      <c r="AH3266" s="38"/>
    </row>
    <row r="3267" spans="3:34" ht="20.100000000000001" customHeight="1">
      <c r="C3267" s="113"/>
      <c r="D3267" s="114"/>
      <c r="P3267" s="82"/>
      <c r="Q3267" s="82"/>
      <c r="R3267" s="38"/>
      <c r="S3267" s="38"/>
      <c r="T3267" s="38"/>
      <c r="U3267" s="38"/>
      <c r="V3267" s="38"/>
      <c r="W3267" s="38"/>
      <c r="X3267" s="38"/>
      <c r="Y3267" s="38"/>
      <c r="Z3267" s="38"/>
      <c r="AA3267" s="38"/>
      <c r="AB3267" s="38"/>
      <c r="AC3267" s="38"/>
      <c r="AD3267" s="38"/>
      <c r="AE3267" s="38"/>
      <c r="AF3267" s="38"/>
      <c r="AG3267" s="38"/>
      <c r="AH3267" s="38"/>
    </row>
    <row r="3268" spans="3:34" ht="20.100000000000001" customHeight="1">
      <c r="C3268" s="113"/>
      <c r="D3268" s="114"/>
      <c r="P3268" s="82"/>
      <c r="Q3268" s="82"/>
      <c r="R3268" s="38"/>
      <c r="S3268" s="38"/>
      <c r="T3268" s="38"/>
      <c r="U3268" s="38"/>
      <c r="V3268" s="38"/>
      <c r="W3268" s="38"/>
      <c r="X3268" s="38"/>
      <c r="Y3268" s="38"/>
      <c r="Z3268" s="38"/>
      <c r="AA3268" s="38"/>
      <c r="AB3268" s="38"/>
      <c r="AC3268" s="38"/>
      <c r="AD3268" s="38"/>
      <c r="AE3268" s="38"/>
      <c r="AF3268" s="38"/>
      <c r="AG3268" s="38"/>
      <c r="AH3268" s="38"/>
    </row>
    <row r="3269" spans="3:34" ht="20.100000000000001" customHeight="1">
      <c r="C3269" s="113"/>
      <c r="D3269" s="114"/>
      <c r="P3269" s="82"/>
      <c r="Q3269" s="82"/>
      <c r="R3269" s="38"/>
      <c r="S3269" s="38"/>
      <c r="T3269" s="38"/>
      <c r="U3269" s="38"/>
      <c r="V3269" s="38"/>
      <c r="W3269" s="38"/>
      <c r="X3269" s="38"/>
      <c r="Y3269" s="38"/>
      <c r="Z3269" s="38"/>
      <c r="AA3269" s="38"/>
      <c r="AB3269" s="38"/>
      <c r="AC3269" s="38"/>
      <c r="AD3269" s="38"/>
      <c r="AE3269" s="38"/>
      <c r="AF3269" s="38"/>
      <c r="AG3269" s="38"/>
      <c r="AH3269" s="38"/>
    </row>
    <row r="3270" spans="3:34" ht="20.100000000000001" customHeight="1">
      <c r="C3270" s="113"/>
      <c r="D3270" s="114"/>
      <c r="P3270" s="82"/>
      <c r="Q3270" s="82"/>
      <c r="R3270" s="38"/>
      <c r="S3270" s="38"/>
      <c r="T3270" s="38"/>
      <c r="U3270" s="38"/>
      <c r="V3270" s="38"/>
      <c r="W3270" s="38"/>
      <c r="X3270" s="38"/>
      <c r="Y3270" s="38"/>
      <c r="Z3270" s="38"/>
      <c r="AA3270" s="38"/>
      <c r="AB3270" s="38"/>
      <c r="AC3270" s="38"/>
      <c r="AD3270" s="38"/>
      <c r="AE3270" s="38"/>
      <c r="AF3270" s="38"/>
      <c r="AG3270" s="38"/>
      <c r="AH3270" s="38"/>
    </row>
    <row r="3271" spans="3:34" ht="20.100000000000001" customHeight="1">
      <c r="C3271" s="113"/>
      <c r="D3271" s="114"/>
      <c r="P3271" s="82"/>
      <c r="Q3271" s="82"/>
      <c r="R3271" s="38"/>
      <c r="S3271" s="38"/>
      <c r="T3271" s="38"/>
      <c r="U3271" s="38"/>
      <c r="V3271" s="38"/>
      <c r="W3271" s="38"/>
      <c r="X3271" s="38"/>
      <c r="Y3271" s="38"/>
      <c r="Z3271" s="38"/>
      <c r="AA3271" s="38"/>
      <c r="AB3271" s="38"/>
      <c r="AC3271" s="38"/>
      <c r="AD3271" s="38"/>
      <c r="AE3271" s="38"/>
      <c r="AF3271" s="38"/>
      <c r="AG3271" s="38"/>
      <c r="AH3271" s="38"/>
    </row>
    <row r="3272" spans="3:34" ht="20.100000000000001" customHeight="1">
      <c r="C3272" s="113"/>
      <c r="D3272" s="114"/>
      <c r="P3272" s="82"/>
      <c r="Q3272" s="82"/>
      <c r="R3272" s="38"/>
      <c r="S3272" s="38"/>
      <c r="T3272" s="38"/>
      <c r="U3272" s="38"/>
      <c r="V3272" s="38"/>
      <c r="W3272" s="38"/>
      <c r="X3272" s="38"/>
      <c r="Y3272" s="38"/>
      <c r="Z3272" s="38"/>
      <c r="AA3272" s="38"/>
      <c r="AB3272" s="38"/>
      <c r="AC3272" s="38"/>
      <c r="AD3272" s="38"/>
      <c r="AE3272" s="38"/>
      <c r="AF3272" s="38"/>
      <c r="AG3272" s="38"/>
      <c r="AH3272" s="38"/>
    </row>
    <row r="3273" spans="3:34" ht="20.100000000000001" customHeight="1">
      <c r="C3273" s="113"/>
      <c r="D3273" s="114"/>
      <c r="P3273" s="82"/>
      <c r="Q3273" s="82"/>
      <c r="R3273" s="38"/>
      <c r="S3273" s="38"/>
      <c r="T3273" s="38"/>
      <c r="U3273" s="38"/>
      <c r="V3273" s="38"/>
      <c r="W3273" s="38"/>
      <c r="X3273" s="38"/>
      <c r="Y3273" s="38"/>
      <c r="Z3273" s="38"/>
      <c r="AA3273" s="38"/>
      <c r="AB3273" s="38"/>
      <c r="AC3273" s="38"/>
      <c r="AD3273" s="38"/>
      <c r="AE3273" s="38"/>
      <c r="AF3273" s="38"/>
      <c r="AG3273" s="38"/>
      <c r="AH3273" s="38"/>
    </row>
    <row r="3274" spans="3:34" ht="20.100000000000001" customHeight="1">
      <c r="C3274" s="113"/>
      <c r="D3274" s="114"/>
      <c r="P3274" s="82"/>
      <c r="Q3274" s="82"/>
      <c r="R3274" s="38"/>
      <c r="S3274" s="38"/>
      <c r="T3274" s="38"/>
      <c r="U3274" s="38"/>
      <c r="V3274" s="38"/>
      <c r="W3274" s="38"/>
      <c r="X3274" s="38"/>
      <c r="Y3274" s="38"/>
      <c r="Z3274" s="38"/>
      <c r="AA3274" s="38"/>
      <c r="AB3274" s="38"/>
      <c r="AC3274" s="38"/>
      <c r="AD3274" s="38"/>
      <c r="AE3274" s="38"/>
      <c r="AF3274" s="38"/>
      <c r="AG3274" s="38"/>
      <c r="AH3274" s="38"/>
    </row>
    <row r="3275" spans="3:34" ht="20.100000000000001" customHeight="1">
      <c r="C3275" s="113"/>
      <c r="D3275" s="114"/>
      <c r="P3275" s="82"/>
      <c r="Q3275" s="82"/>
      <c r="R3275" s="38"/>
      <c r="S3275" s="38"/>
      <c r="T3275" s="38"/>
      <c r="U3275" s="38"/>
      <c r="V3275" s="38"/>
      <c r="W3275" s="38"/>
      <c r="X3275" s="38"/>
      <c r="Y3275" s="38"/>
      <c r="Z3275" s="38"/>
      <c r="AA3275" s="38"/>
      <c r="AB3275" s="38"/>
      <c r="AC3275" s="38"/>
      <c r="AD3275" s="38"/>
      <c r="AE3275" s="38"/>
      <c r="AF3275" s="38"/>
      <c r="AG3275" s="38"/>
      <c r="AH3275" s="38"/>
    </row>
    <row r="3276" spans="3:34" ht="20.100000000000001" customHeight="1">
      <c r="C3276" s="113"/>
      <c r="D3276" s="114"/>
      <c r="P3276" s="82"/>
      <c r="Q3276" s="82"/>
      <c r="R3276" s="38"/>
      <c r="S3276" s="38"/>
      <c r="T3276" s="38"/>
      <c r="U3276" s="38"/>
      <c r="V3276" s="38"/>
      <c r="W3276" s="38"/>
      <c r="X3276" s="38"/>
      <c r="Y3276" s="38"/>
      <c r="Z3276" s="38"/>
      <c r="AA3276" s="38"/>
      <c r="AB3276" s="38"/>
      <c r="AC3276" s="38"/>
      <c r="AD3276" s="38"/>
      <c r="AE3276" s="38"/>
      <c r="AF3276" s="38"/>
      <c r="AG3276" s="38"/>
      <c r="AH3276" s="38"/>
    </row>
    <row r="3277" spans="3:34" ht="20.100000000000001" customHeight="1">
      <c r="C3277" s="113"/>
      <c r="D3277" s="114"/>
      <c r="P3277" s="82"/>
      <c r="Q3277" s="82"/>
      <c r="R3277" s="38"/>
      <c r="S3277" s="38"/>
      <c r="T3277" s="38"/>
      <c r="U3277" s="38"/>
      <c r="V3277" s="38"/>
      <c r="W3277" s="38"/>
      <c r="X3277" s="38"/>
      <c r="Y3277" s="38"/>
      <c r="Z3277" s="38"/>
      <c r="AA3277" s="38"/>
      <c r="AB3277" s="38"/>
      <c r="AC3277" s="38"/>
      <c r="AD3277" s="38"/>
      <c r="AE3277" s="38"/>
      <c r="AF3277" s="38"/>
      <c r="AG3277" s="38"/>
      <c r="AH3277" s="38"/>
    </row>
    <row r="3278" spans="3:34" ht="20.100000000000001" customHeight="1">
      <c r="C3278" s="113"/>
      <c r="D3278" s="114"/>
      <c r="P3278" s="82"/>
      <c r="Q3278" s="82"/>
      <c r="R3278" s="38"/>
      <c r="S3278" s="38"/>
      <c r="T3278" s="38"/>
      <c r="U3278" s="38"/>
      <c r="V3278" s="38"/>
      <c r="W3278" s="38"/>
      <c r="X3278" s="38"/>
      <c r="Y3278" s="38"/>
      <c r="Z3278" s="38"/>
      <c r="AA3278" s="38"/>
      <c r="AB3278" s="38"/>
      <c r="AC3278" s="38"/>
      <c r="AD3278" s="38"/>
      <c r="AE3278" s="38"/>
      <c r="AF3278" s="38"/>
      <c r="AG3278" s="38"/>
      <c r="AH3278" s="38"/>
    </row>
    <row r="3279" spans="3:34" ht="20.100000000000001" customHeight="1">
      <c r="C3279" s="113"/>
      <c r="D3279" s="114"/>
      <c r="P3279" s="82"/>
      <c r="Q3279" s="82"/>
      <c r="R3279" s="38"/>
      <c r="S3279" s="38"/>
      <c r="T3279" s="38"/>
      <c r="U3279" s="38"/>
      <c r="V3279" s="38"/>
      <c r="W3279" s="38"/>
      <c r="X3279" s="38"/>
      <c r="Y3279" s="38"/>
      <c r="Z3279" s="38"/>
      <c r="AA3279" s="38"/>
      <c r="AB3279" s="38"/>
      <c r="AC3279" s="38"/>
      <c r="AD3279" s="38"/>
      <c r="AE3279" s="38"/>
      <c r="AF3279" s="38"/>
      <c r="AG3279" s="38"/>
      <c r="AH3279" s="38"/>
    </row>
    <row r="3280" spans="3:34" ht="20.100000000000001" customHeight="1">
      <c r="C3280" s="113"/>
      <c r="D3280" s="114"/>
      <c r="P3280" s="82"/>
      <c r="Q3280" s="82"/>
      <c r="R3280" s="38"/>
      <c r="S3280" s="38"/>
      <c r="T3280" s="38"/>
      <c r="U3280" s="38"/>
      <c r="V3280" s="38"/>
      <c r="W3280" s="38"/>
      <c r="X3280" s="38"/>
      <c r="Y3280" s="38"/>
      <c r="Z3280" s="38"/>
      <c r="AA3280" s="38"/>
      <c r="AB3280" s="38"/>
      <c r="AC3280" s="38"/>
      <c r="AD3280" s="38"/>
      <c r="AE3280" s="38"/>
      <c r="AF3280" s="38"/>
      <c r="AG3280" s="38"/>
      <c r="AH3280" s="38"/>
    </row>
    <row r="3281" spans="3:34" ht="20.100000000000001" customHeight="1">
      <c r="C3281" s="113"/>
      <c r="D3281" s="114"/>
      <c r="P3281" s="82"/>
      <c r="Q3281" s="82"/>
      <c r="R3281" s="38"/>
      <c r="S3281" s="38"/>
      <c r="T3281" s="38"/>
      <c r="U3281" s="38"/>
      <c r="V3281" s="38"/>
      <c r="W3281" s="38"/>
      <c r="X3281" s="38"/>
      <c r="Y3281" s="38"/>
      <c r="Z3281" s="38"/>
      <c r="AA3281" s="38"/>
      <c r="AB3281" s="38"/>
      <c r="AC3281" s="38"/>
      <c r="AD3281" s="38"/>
      <c r="AE3281" s="38"/>
      <c r="AF3281" s="38"/>
      <c r="AG3281" s="38"/>
      <c r="AH3281" s="38"/>
    </row>
    <row r="3282" spans="3:34" ht="20.100000000000001" customHeight="1">
      <c r="C3282" s="113"/>
      <c r="D3282" s="114"/>
      <c r="P3282" s="82"/>
      <c r="Q3282" s="82"/>
      <c r="R3282" s="38"/>
      <c r="S3282" s="38"/>
      <c r="T3282" s="38"/>
      <c r="U3282" s="38"/>
      <c r="V3282" s="38"/>
      <c r="W3282" s="38"/>
      <c r="X3282" s="38"/>
      <c r="Y3282" s="38"/>
      <c r="Z3282" s="38"/>
      <c r="AA3282" s="38"/>
      <c r="AB3282" s="38"/>
      <c r="AC3282" s="38"/>
      <c r="AD3282" s="38"/>
      <c r="AE3282" s="38"/>
      <c r="AF3282" s="38"/>
      <c r="AG3282" s="38"/>
      <c r="AH3282" s="38"/>
    </row>
    <row r="3283" spans="3:34" ht="20.100000000000001" customHeight="1">
      <c r="C3283" s="113"/>
      <c r="D3283" s="114"/>
      <c r="P3283" s="82"/>
      <c r="Q3283" s="82"/>
      <c r="R3283" s="38"/>
      <c r="S3283" s="38"/>
      <c r="T3283" s="38"/>
      <c r="U3283" s="38"/>
      <c r="V3283" s="38"/>
      <c r="W3283" s="38"/>
      <c r="X3283" s="38"/>
      <c r="Y3283" s="38"/>
      <c r="Z3283" s="38"/>
      <c r="AA3283" s="38"/>
      <c r="AB3283" s="38"/>
      <c r="AC3283" s="38"/>
      <c r="AD3283" s="38"/>
      <c r="AE3283" s="38"/>
      <c r="AF3283" s="38"/>
      <c r="AG3283" s="38"/>
      <c r="AH3283" s="38"/>
    </row>
    <row r="3284" spans="3:34" ht="20.100000000000001" customHeight="1">
      <c r="C3284" s="113"/>
      <c r="D3284" s="114"/>
      <c r="P3284" s="82"/>
      <c r="Q3284" s="82"/>
      <c r="R3284" s="38"/>
      <c r="S3284" s="38"/>
      <c r="T3284" s="38"/>
      <c r="U3284" s="38"/>
      <c r="V3284" s="38"/>
      <c r="W3284" s="38"/>
      <c r="X3284" s="38"/>
      <c r="Y3284" s="38"/>
      <c r="Z3284" s="38"/>
      <c r="AA3284" s="38"/>
      <c r="AB3284" s="38"/>
      <c r="AC3284" s="38"/>
      <c r="AD3284" s="38"/>
      <c r="AE3284" s="38"/>
      <c r="AF3284" s="38"/>
      <c r="AG3284" s="38"/>
      <c r="AH3284" s="38"/>
    </row>
    <row r="3285" spans="3:34" ht="20.100000000000001" customHeight="1">
      <c r="C3285" s="113"/>
      <c r="D3285" s="114"/>
      <c r="P3285" s="82"/>
      <c r="Q3285" s="82"/>
      <c r="R3285" s="38"/>
      <c r="S3285" s="38"/>
      <c r="T3285" s="38"/>
      <c r="U3285" s="38"/>
      <c r="V3285" s="38"/>
      <c r="W3285" s="38"/>
      <c r="X3285" s="38"/>
      <c r="Y3285" s="38"/>
      <c r="Z3285" s="38"/>
      <c r="AA3285" s="38"/>
      <c r="AB3285" s="38"/>
      <c r="AC3285" s="38"/>
      <c r="AD3285" s="38"/>
      <c r="AE3285" s="38"/>
      <c r="AF3285" s="38"/>
      <c r="AG3285" s="38"/>
      <c r="AH3285" s="38"/>
    </row>
    <row r="3286" spans="3:34" ht="20.100000000000001" customHeight="1">
      <c r="C3286" s="113"/>
      <c r="D3286" s="114"/>
      <c r="P3286" s="82"/>
      <c r="Q3286" s="82"/>
      <c r="R3286" s="38"/>
      <c r="S3286" s="38"/>
      <c r="T3286" s="38"/>
      <c r="U3286" s="38"/>
      <c r="V3286" s="38"/>
      <c r="W3286" s="38"/>
      <c r="X3286" s="38"/>
      <c r="Y3286" s="38"/>
      <c r="Z3286" s="38"/>
      <c r="AA3286" s="38"/>
      <c r="AB3286" s="38"/>
      <c r="AC3286" s="38"/>
      <c r="AD3286" s="38"/>
      <c r="AE3286" s="38"/>
      <c r="AF3286" s="38"/>
      <c r="AG3286" s="38"/>
      <c r="AH3286" s="38"/>
    </row>
    <row r="3287" spans="3:34" ht="20.100000000000001" customHeight="1">
      <c r="C3287" s="113"/>
      <c r="D3287" s="114"/>
      <c r="P3287" s="82"/>
      <c r="Q3287" s="82"/>
      <c r="R3287" s="38"/>
      <c r="S3287" s="38"/>
      <c r="T3287" s="38"/>
      <c r="U3287" s="38"/>
      <c r="V3287" s="38"/>
      <c r="W3287" s="38"/>
      <c r="X3287" s="38"/>
      <c r="Y3287" s="38"/>
      <c r="Z3287" s="38"/>
      <c r="AA3287" s="38"/>
      <c r="AB3287" s="38"/>
      <c r="AC3287" s="38"/>
      <c r="AD3287" s="38"/>
      <c r="AE3287" s="38"/>
      <c r="AF3287" s="38"/>
      <c r="AG3287" s="38"/>
      <c r="AH3287" s="38"/>
    </row>
    <row r="3288" spans="3:34" ht="20.100000000000001" customHeight="1">
      <c r="C3288" s="113"/>
      <c r="D3288" s="114"/>
      <c r="P3288" s="82"/>
      <c r="Q3288" s="82"/>
      <c r="R3288" s="38"/>
      <c r="S3288" s="38"/>
      <c r="T3288" s="38"/>
      <c r="U3288" s="38"/>
      <c r="V3288" s="38"/>
      <c r="W3288" s="38"/>
      <c r="X3288" s="38"/>
      <c r="Y3288" s="38"/>
      <c r="Z3288" s="38"/>
      <c r="AA3288" s="38"/>
      <c r="AB3288" s="38"/>
      <c r="AC3288" s="38"/>
      <c r="AD3288" s="38"/>
      <c r="AE3288" s="38"/>
      <c r="AF3288" s="38"/>
      <c r="AG3288" s="38"/>
      <c r="AH3288" s="38"/>
    </row>
    <row r="3289" spans="3:34" ht="20.100000000000001" customHeight="1">
      <c r="C3289" s="113"/>
      <c r="D3289" s="114"/>
      <c r="P3289" s="82"/>
      <c r="Q3289" s="82"/>
      <c r="R3289" s="38"/>
      <c r="S3289" s="38"/>
      <c r="T3289" s="38"/>
      <c r="U3289" s="38"/>
      <c r="V3289" s="38"/>
      <c r="W3289" s="38"/>
      <c r="X3289" s="38"/>
      <c r="Y3289" s="38"/>
      <c r="Z3289" s="38"/>
      <c r="AA3289" s="38"/>
      <c r="AB3289" s="38"/>
      <c r="AC3289" s="38"/>
      <c r="AD3289" s="38"/>
      <c r="AE3289" s="38"/>
      <c r="AF3289" s="38"/>
      <c r="AG3289" s="38"/>
      <c r="AH3289" s="38"/>
    </row>
    <row r="3290" spans="3:34" ht="20.100000000000001" customHeight="1">
      <c r="C3290" s="113"/>
      <c r="D3290" s="114"/>
      <c r="P3290" s="82"/>
      <c r="Q3290" s="82"/>
      <c r="R3290" s="38"/>
      <c r="S3290" s="38"/>
      <c r="T3290" s="38"/>
      <c r="U3290" s="38"/>
      <c r="V3290" s="38"/>
      <c r="W3290" s="38"/>
      <c r="X3290" s="38"/>
      <c r="Y3290" s="38"/>
      <c r="Z3290" s="38"/>
      <c r="AA3290" s="38"/>
      <c r="AB3290" s="38"/>
      <c r="AC3290" s="38"/>
      <c r="AD3290" s="38"/>
      <c r="AE3290" s="38"/>
      <c r="AF3290" s="38"/>
      <c r="AG3290" s="38"/>
      <c r="AH3290" s="38"/>
    </row>
    <row r="3291" spans="3:34" ht="20.100000000000001" customHeight="1">
      <c r="C3291" s="113"/>
      <c r="D3291" s="114"/>
      <c r="P3291" s="82"/>
      <c r="Q3291" s="82"/>
      <c r="R3291" s="38"/>
      <c r="S3291" s="38"/>
      <c r="T3291" s="38"/>
      <c r="U3291" s="38"/>
      <c r="V3291" s="38"/>
      <c r="W3291" s="38"/>
      <c r="X3291" s="38"/>
      <c r="Y3291" s="38"/>
      <c r="Z3291" s="38"/>
      <c r="AA3291" s="38"/>
      <c r="AB3291" s="38"/>
      <c r="AC3291" s="38"/>
      <c r="AD3291" s="38"/>
      <c r="AE3291" s="38"/>
      <c r="AF3291" s="38"/>
      <c r="AG3291" s="38"/>
      <c r="AH3291" s="38"/>
    </row>
    <row r="3292" spans="3:34" ht="20.100000000000001" customHeight="1">
      <c r="C3292" s="113"/>
      <c r="D3292" s="114"/>
      <c r="P3292" s="82"/>
      <c r="Q3292" s="82"/>
      <c r="R3292" s="38"/>
      <c r="S3292" s="38"/>
      <c r="T3292" s="38"/>
      <c r="U3292" s="38"/>
      <c r="V3292" s="38"/>
      <c r="W3292" s="38"/>
      <c r="X3292" s="38"/>
      <c r="Y3292" s="38"/>
      <c r="Z3292" s="38"/>
      <c r="AA3292" s="38"/>
      <c r="AB3292" s="38"/>
      <c r="AC3292" s="38"/>
      <c r="AD3292" s="38"/>
      <c r="AE3292" s="38"/>
      <c r="AF3292" s="38"/>
      <c r="AG3292" s="38"/>
      <c r="AH3292" s="38"/>
    </row>
    <row r="3293" spans="3:34" ht="20.100000000000001" customHeight="1">
      <c r="C3293" s="113"/>
      <c r="D3293" s="114"/>
      <c r="P3293" s="82"/>
      <c r="Q3293" s="82"/>
      <c r="R3293" s="38"/>
      <c r="S3293" s="38"/>
      <c r="T3293" s="38"/>
      <c r="U3293" s="38"/>
      <c r="V3293" s="38"/>
      <c r="W3293" s="38"/>
      <c r="X3293" s="38"/>
      <c r="Y3293" s="38"/>
      <c r="Z3293" s="38"/>
      <c r="AA3293" s="38"/>
      <c r="AB3293" s="38"/>
      <c r="AC3293" s="38"/>
      <c r="AD3293" s="38"/>
      <c r="AE3293" s="38"/>
      <c r="AF3293" s="38"/>
      <c r="AG3293" s="38"/>
      <c r="AH3293" s="38"/>
    </row>
    <row r="3294" spans="3:34" ht="20.100000000000001" customHeight="1">
      <c r="C3294" s="113"/>
      <c r="D3294" s="114"/>
      <c r="P3294" s="82"/>
      <c r="Q3294" s="82"/>
      <c r="R3294" s="38"/>
      <c r="S3294" s="38"/>
      <c r="T3294" s="38"/>
      <c r="U3294" s="38"/>
      <c r="V3294" s="38"/>
      <c r="W3294" s="38"/>
      <c r="X3294" s="38"/>
      <c r="Y3294" s="38"/>
      <c r="Z3294" s="38"/>
      <c r="AA3294" s="38"/>
      <c r="AB3294" s="38"/>
      <c r="AC3294" s="38"/>
      <c r="AD3294" s="38"/>
      <c r="AE3294" s="38"/>
      <c r="AF3294" s="38"/>
      <c r="AG3294" s="38"/>
      <c r="AH3294" s="38"/>
    </row>
    <row r="3295" spans="3:34" ht="20.100000000000001" customHeight="1">
      <c r="C3295" s="113"/>
      <c r="D3295" s="114"/>
      <c r="P3295" s="82"/>
      <c r="Q3295" s="82"/>
      <c r="R3295" s="38"/>
      <c r="S3295" s="38"/>
      <c r="T3295" s="38"/>
      <c r="U3295" s="38"/>
      <c r="V3295" s="38"/>
      <c r="W3295" s="38"/>
      <c r="X3295" s="38"/>
      <c r="Y3295" s="38"/>
      <c r="Z3295" s="38"/>
      <c r="AA3295" s="38"/>
      <c r="AB3295" s="38"/>
      <c r="AC3295" s="38"/>
      <c r="AD3295" s="38"/>
      <c r="AE3295" s="38"/>
      <c r="AF3295" s="38"/>
      <c r="AG3295" s="38"/>
      <c r="AH3295" s="38"/>
    </row>
    <row r="3296" spans="3:34" ht="20.100000000000001" customHeight="1">
      <c r="C3296" s="113"/>
      <c r="D3296" s="114"/>
      <c r="P3296" s="82"/>
      <c r="Q3296" s="82"/>
      <c r="R3296" s="38"/>
      <c r="S3296" s="38"/>
      <c r="T3296" s="38"/>
      <c r="U3296" s="38"/>
      <c r="V3296" s="38"/>
      <c r="W3296" s="38"/>
      <c r="X3296" s="38"/>
      <c r="Y3296" s="38"/>
      <c r="Z3296" s="38"/>
      <c r="AA3296" s="38"/>
      <c r="AB3296" s="38"/>
      <c r="AC3296" s="38"/>
      <c r="AD3296" s="38"/>
      <c r="AE3296" s="38"/>
      <c r="AF3296" s="38"/>
      <c r="AG3296" s="38"/>
      <c r="AH3296" s="38"/>
    </row>
    <row r="3297" spans="3:34" ht="20.100000000000001" customHeight="1">
      <c r="C3297" s="113"/>
      <c r="D3297" s="114"/>
      <c r="P3297" s="82"/>
      <c r="Q3297" s="82"/>
      <c r="R3297" s="38"/>
      <c r="S3297" s="38"/>
      <c r="T3297" s="38"/>
      <c r="U3297" s="38"/>
      <c r="V3297" s="38"/>
      <c r="W3297" s="38"/>
      <c r="X3297" s="38"/>
      <c r="Y3297" s="38"/>
      <c r="Z3297" s="38"/>
      <c r="AA3297" s="38"/>
      <c r="AB3297" s="38"/>
      <c r="AC3297" s="38"/>
      <c r="AD3297" s="38"/>
      <c r="AE3297" s="38"/>
      <c r="AF3297" s="38"/>
      <c r="AG3297" s="38"/>
      <c r="AH3297" s="38"/>
    </row>
    <row r="3298" spans="3:34" ht="20.100000000000001" customHeight="1">
      <c r="C3298" s="113"/>
      <c r="D3298" s="114"/>
      <c r="P3298" s="82"/>
      <c r="Q3298" s="82"/>
      <c r="R3298" s="38"/>
      <c r="S3298" s="38"/>
      <c r="T3298" s="38"/>
      <c r="U3298" s="38"/>
      <c r="V3298" s="38"/>
      <c r="W3298" s="38"/>
      <c r="X3298" s="38"/>
      <c r="Y3298" s="38"/>
      <c r="Z3298" s="38"/>
      <c r="AA3298" s="38"/>
      <c r="AB3298" s="38"/>
      <c r="AC3298" s="38"/>
      <c r="AD3298" s="38"/>
      <c r="AE3298" s="38"/>
      <c r="AF3298" s="38"/>
      <c r="AG3298" s="38"/>
      <c r="AH3298" s="38"/>
    </row>
    <row r="3299" spans="3:34" ht="20.100000000000001" customHeight="1">
      <c r="C3299" s="113"/>
      <c r="D3299" s="114"/>
      <c r="P3299" s="82"/>
      <c r="Q3299" s="82"/>
      <c r="R3299" s="38"/>
      <c r="S3299" s="38"/>
      <c r="T3299" s="38"/>
      <c r="U3299" s="38"/>
      <c r="V3299" s="38"/>
      <c r="W3299" s="38"/>
      <c r="X3299" s="38"/>
      <c r="Y3299" s="38"/>
      <c r="Z3299" s="38"/>
      <c r="AA3299" s="38"/>
      <c r="AB3299" s="38"/>
      <c r="AC3299" s="38"/>
      <c r="AD3299" s="38"/>
      <c r="AE3299" s="38"/>
      <c r="AF3299" s="38"/>
      <c r="AG3299" s="38"/>
      <c r="AH3299" s="38"/>
    </row>
    <row r="3300" spans="3:34" ht="20.100000000000001" customHeight="1">
      <c r="C3300" s="113"/>
      <c r="D3300" s="114"/>
      <c r="P3300" s="82"/>
      <c r="Q3300" s="82"/>
      <c r="R3300" s="38"/>
      <c r="S3300" s="38"/>
      <c r="T3300" s="38"/>
      <c r="U3300" s="38"/>
      <c r="V3300" s="38"/>
      <c r="W3300" s="38"/>
      <c r="X3300" s="38"/>
      <c r="Y3300" s="38"/>
      <c r="Z3300" s="38"/>
      <c r="AA3300" s="38"/>
      <c r="AB3300" s="38"/>
      <c r="AC3300" s="38"/>
      <c r="AD3300" s="38"/>
      <c r="AE3300" s="38"/>
      <c r="AF3300" s="38"/>
      <c r="AG3300" s="38"/>
      <c r="AH3300" s="38"/>
    </row>
    <row r="3301" spans="3:34" ht="20.100000000000001" customHeight="1">
      <c r="C3301" s="113"/>
      <c r="D3301" s="114"/>
      <c r="P3301" s="82"/>
      <c r="Q3301" s="82"/>
      <c r="R3301" s="38"/>
      <c r="S3301" s="38"/>
      <c r="T3301" s="38"/>
      <c r="U3301" s="38"/>
      <c r="V3301" s="38"/>
      <c r="W3301" s="38"/>
      <c r="X3301" s="38"/>
      <c r="Y3301" s="38"/>
      <c r="Z3301" s="38"/>
      <c r="AA3301" s="38"/>
      <c r="AB3301" s="38"/>
      <c r="AC3301" s="38"/>
      <c r="AD3301" s="38"/>
      <c r="AE3301" s="38"/>
      <c r="AF3301" s="38"/>
      <c r="AG3301" s="38"/>
      <c r="AH3301" s="38"/>
    </row>
    <row r="3302" spans="3:34" ht="20.100000000000001" customHeight="1">
      <c r="C3302" s="113"/>
      <c r="D3302" s="114"/>
      <c r="P3302" s="82"/>
      <c r="Q3302" s="82"/>
      <c r="R3302" s="38"/>
      <c r="S3302" s="38"/>
      <c r="T3302" s="38"/>
      <c r="U3302" s="38"/>
      <c r="V3302" s="38"/>
      <c r="W3302" s="38"/>
      <c r="X3302" s="38"/>
      <c r="Y3302" s="38"/>
      <c r="Z3302" s="38"/>
      <c r="AA3302" s="38"/>
      <c r="AB3302" s="38"/>
      <c r="AC3302" s="38"/>
      <c r="AD3302" s="38"/>
      <c r="AE3302" s="38"/>
      <c r="AF3302" s="38"/>
      <c r="AG3302" s="38"/>
      <c r="AH3302" s="38"/>
    </row>
    <row r="3303" spans="3:34" ht="20.100000000000001" customHeight="1">
      <c r="C3303" s="113"/>
      <c r="D3303" s="114"/>
      <c r="P3303" s="82"/>
      <c r="Q3303" s="82"/>
      <c r="R3303" s="38"/>
      <c r="S3303" s="38"/>
      <c r="T3303" s="38"/>
      <c r="U3303" s="38"/>
      <c r="V3303" s="38"/>
      <c r="W3303" s="38"/>
      <c r="X3303" s="38"/>
      <c r="Y3303" s="38"/>
      <c r="Z3303" s="38"/>
      <c r="AA3303" s="38"/>
      <c r="AB3303" s="38"/>
      <c r="AC3303" s="38"/>
      <c r="AD3303" s="38"/>
      <c r="AE3303" s="38"/>
      <c r="AF3303" s="38"/>
      <c r="AG3303" s="38"/>
      <c r="AH3303" s="38"/>
    </row>
    <row r="3304" spans="3:34" ht="20.100000000000001" customHeight="1">
      <c r="C3304" s="113"/>
      <c r="D3304" s="114"/>
      <c r="P3304" s="82"/>
      <c r="Q3304" s="82"/>
      <c r="R3304" s="38"/>
      <c r="S3304" s="38"/>
      <c r="T3304" s="38"/>
      <c r="U3304" s="38"/>
      <c r="V3304" s="38"/>
      <c r="W3304" s="38"/>
      <c r="X3304" s="38"/>
      <c r="Y3304" s="38"/>
      <c r="Z3304" s="38"/>
      <c r="AA3304" s="38"/>
      <c r="AB3304" s="38"/>
      <c r="AC3304" s="38"/>
      <c r="AD3304" s="38"/>
      <c r="AE3304" s="38"/>
      <c r="AF3304" s="38"/>
      <c r="AG3304" s="38"/>
      <c r="AH3304" s="38"/>
    </row>
    <row r="3305" spans="3:34" ht="20.100000000000001" customHeight="1">
      <c r="C3305" s="113"/>
      <c r="D3305" s="114"/>
      <c r="P3305" s="82"/>
      <c r="Q3305" s="82"/>
      <c r="R3305" s="38"/>
      <c r="S3305" s="38"/>
      <c r="T3305" s="38"/>
      <c r="U3305" s="38"/>
      <c r="V3305" s="38"/>
      <c r="W3305" s="38"/>
      <c r="X3305" s="38"/>
      <c r="Y3305" s="38"/>
      <c r="Z3305" s="38"/>
      <c r="AA3305" s="38"/>
      <c r="AB3305" s="38"/>
      <c r="AC3305" s="38"/>
      <c r="AD3305" s="38"/>
      <c r="AE3305" s="38"/>
      <c r="AF3305" s="38"/>
      <c r="AG3305" s="38"/>
      <c r="AH3305" s="38"/>
    </row>
    <row r="3306" spans="3:34" ht="20.100000000000001" customHeight="1">
      <c r="C3306" s="113"/>
      <c r="D3306" s="114"/>
      <c r="P3306" s="82"/>
      <c r="Q3306" s="82"/>
      <c r="R3306" s="38"/>
      <c r="S3306" s="38"/>
      <c r="T3306" s="38"/>
      <c r="U3306" s="38"/>
      <c r="V3306" s="38"/>
      <c r="W3306" s="38"/>
      <c r="X3306" s="38"/>
      <c r="Y3306" s="38"/>
      <c r="Z3306" s="38"/>
      <c r="AA3306" s="38"/>
      <c r="AB3306" s="38"/>
      <c r="AC3306" s="38"/>
      <c r="AD3306" s="38"/>
      <c r="AE3306" s="38"/>
      <c r="AF3306" s="38"/>
      <c r="AG3306" s="38"/>
      <c r="AH3306" s="38"/>
    </row>
    <row r="3307" spans="3:34" ht="20.100000000000001" customHeight="1">
      <c r="C3307" s="113"/>
      <c r="D3307" s="114"/>
      <c r="P3307" s="82"/>
      <c r="Q3307" s="82"/>
      <c r="R3307" s="38"/>
      <c r="S3307" s="38"/>
      <c r="T3307" s="38"/>
      <c r="U3307" s="38"/>
      <c r="V3307" s="38"/>
      <c r="W3307" s="38"/>
      <c r="X3307" s="38"/>
      <c r="Y3307" s="38"/>
      <c r="Z3307" s="38"/>
      <c r="AA3307" s="38"/>
      <c r="AB3307" s="38"/>
      <c r="AC3307" s="38"/>
      <c r="AD3307" s="38"/>
      <c r="AE3307" s="38"/>
      <c r="AF3307" s="38"/>
      <c r="AG3307" s="38"/>
      <c r="AH3307" s="38"/>
    </row>
    <row r="3308" spans="3:34" ht="20.100000000000001" customHeight="1">
      <c r="C3308" s="113"/>
      <c r="D3308" s="114"/>
      <c r="P3308" s="82"/>
      <c r="Q3308" s="82"/>
      <c r="R3308" s="38"/>
      <c r="S3308" s="38"/>
      <c r="T3308" s="38"/>
      <c r="U3308" s="38"/>
      <c r="V3308" s="38"/>
      <c r="W3308" s="38"/>
      <c r="X3308" s="38"/>
      <c r="Y3308" s="38"/>
      <c r="Z3308" s="38"/>
      <c r="AA3308" s="38"/>
      <c r="AB3308" s="38"/>
      <c r="AC3308" s="38"/>
      <c r="AD3308" s="38"/>
      <c r="AE3308" s="38"/>
      <c r="AF3308" s="38"/>
      <c r="AG3308" s="38"/>
      <c r="AH3308" s="38"/>
    </row>
    <row r="3309" spans="3:34" ht="20.100000000000001" customHeight="1">
      <c r="C3309" s="113"/>
      <c r="D3309" s="114"/>
      <c r="P3309" s="82"/>
      <c r="Q3309" s="82"/>
      <c r="R3309" s="38"/>
      <c r="S3309" s="38"/>
      <c r="T3309" s="38"/>
      <c r="U3309" s="38"/>
      <c r="V3309" s="38"/>
      <c r="W3309" s="38"/>
      <c r="X3309" s="38"/>
      <c r="Y3309" s="38"/>
      <c r="Z3309" s="38"/>
      <c r="AA3309" s="38"/>
      <c r="AB3309" s="38"/>
      <c r="AC3309" s="38"/>
      <c r="AD3309" s="38"/>
      <c r="AE3309" s="38"/>
      <c r="AF3309" s="38"/>
      <c r="AG3309" s="38"/>
      <c r="AH3309" s="38"/>
    </row>
    <row r="3310" spans="3:34" ht="20.100000000000001" customHeight="1">
      <c r="C3310" s="113"/>
      <c r="D3310" s="114"/>
      <c r="P3310" s="82"/>
      <c r="Q3310" s="82"/>
      <c r="R3310" s="38"/>
      <c r="S3310" s="38"/>
      <c r="T3310" s="38"/>
      <c r="U3310" s="38"/>
      <c r="V3310" s="38"/>
      <c r="W3310" s="38"/>
      <c r="X3310" s="38"/>
      <c r="Y3310" s="38"/>
      <c r="Z3310" s="38"/>
      <c r="AA3310" s="38"/>
      <c r="AB3310" s="38"/>
      <c r="AC3310" s="38"/>
      <c r="AD3310" s="38"/>
      <c r="AE3310" s="38"/>
      <c r="AF3310" s="38"/>
      <c r="AG3310" s="38"/>
      <c r="AH3310" s="38"/>
    </row>
    <row r="3311" spans="3:34" ht="20.100000000000001" customHeight="1">
      <c r="C3311" s="113"/>
      <c r="D3311" s="114"/>
      <c r="P3311" s="82"/>
      <c r="Q3311" s="82"/>
      <c r="R3311" s="38"/>
      <c r="S3311" s="38"/>
      <c r="T3311" s="38"/>
      <c r="U3311" s="38"/>
      <c r="V3311" s="38"/>
      <c r="W3311" s="38"/>
      <c r="X3311" s="38"/>
      <c r="Y3311" s="38"/>
      <c r="Z3311" s="38"/>
      <c r="AA3311" s="38"/>
      <c r="AB3311" s="38"/>
      <c r="AC3311" s="38"/>
      <c r="AD3311" s="38"/>
      <c r="AE3311" s="38"/>
      <c r="AF3311" s="38"/>
      <c r="AG3311" s="38"/>
      <c r="AH3311" s="38"/>
    </row>
    <row r="3312" spans="3:34" ht="20.100000000000001" customHeight="1">
      <c r="C3312" s="113"/>
      <c r="D3312" s="114"/>
      <c r="P3312" s="82"/>
      <c r="Q3312" s="82"/>
      <c r="R3312" s="38"/>
      <c r="S3312" s="38"/>
      <c r="T3312" s="38"/>
      <c r="U3312" s="38"/>
      <c r="V3312" s="38"/>
      <c r="W3312" s="38"/>
      <c r="X3312" s="38"/>
      <c r="Y3312" s="38"/>
      <c r="Z3312" s="38"/>
      <c r="AA3312" s="38"/>
      <c r="AB3312" s="38"/>
      <c r="AC3312" s="38"/>
      <c r="AD3312" s="38"/>
      <c r="AE3312" s="38"/>
      <c r="AF3312" s="38"/>
      <c r="AG3312" s="38"/>
      <c r="AH3312" s="38"/>
    </row>
    <row r="3313" spans="3:34" ht="20.100000000000001" customHeight="1">
      <c r="C3313" s="113"/>
      <c r="D3313" s="114"/>
      <c r="P3313" s="82"/>
      <c r="Q3313" s="82"/>
      <c r="R3313" s="38"/>
      <c r="S3313" s="38"/>
      <c r="T3313" s="38"/>
      <c r="U3313" s="38"/>
      <c r="V3313" s="38"/>
      <c r="W3313" s="38"/>
      <c r="X3313" s="38"/>
      <c r="Y3313" s="38"/>
      <c r="Z3313" s="38"/>
      <c r="AA3313" s="38"/>
      <c r="AB3313" s="38"/>
      <c r="AC3313" s="38"/>
      <c r="AD3313" s="38"/>
      <c r="AE3313" s="38"/>
      <c r="AF3313" s="38"/>
      <c r="AG3313" s="38"/>
      <c r="AH3313" s="38"/>
    </row>
    <row r="3314" spans="3:34" ht="20.100000000000001" customHeight="1">
      <c r="C3314" s="113"/>
      <c r="D3314" s="114"/>
      <c r="P3314" s="82"/>
      <c r="Q3314" s="82"/>
      <c r="R3314" s="38"/>
      <c r="S3314" s="38"/>
      <c r="T3314" s="38"/>
      <c r="U3314" s="38"/>
      <c r="V3314" s="38"/>
      <c r="W3314" s="38"/>
      <c r="X3314" s="38"/>
      <c r="Y3314" s="38"/>
      <c r="Z3314" s="38"/>
      <c r="AA3314" s="38"/>
      <c r="AB3314" s="38"/>
      <c r="AC3314" s="38"/>
      <c r="AD3314" s="38"/>
      <c r="AE3314" s="38"/>
      <c r="AF3314" s="38"/>
      <c r="AG3314" s="38"/>
      <c r="AH3314" s="38"/>
    </row>
    <row r="3315" spans="3:34" ht="20.100000000000001" customHeight="1">
      <c r="C3315" s="113"/>
      <c r="D3315" s="114"/>
      <c r="P3315" s="82"/>
      <c r="Q3315" s="82"/>
      <c r="R3315" s="38"/>
      <c r="S3315" s="38"/>
      <c r="T3315" s="38"/>
      <c r="U3315" s="38"/>
      <c r="V3315" s="38"/>
      <c r="W3315" s="38"/>
      <c r="X3315" s="38"/>
      <c r="Y3315" s="38"/>
      <c r="Z3315" s="38"/>
      <c r="AA3315" s="38"/>
      <c r="AB3315" s="38"/>
      <c r="AC3315" s="38"/>
      <c r="AD3315" s="38"/>
      <c r="AE3315" s="38"/>
      <c r="AF3315" s="38"/>
      <c r="AG3315" s="38"/>
      <c r="AH3315" s="38"/>
    </row>
    <row r="3316" spans="3:34" ht="20.100000000000001" customHeight="1">
      <c r="C3316" s="113"/>
      <c r="D3316" s="114"/>
      <c r="P3316" s="82"/>
      <c r="Q3316" s="82"/>
      <c r="R3316" s="38"/>
      <c r="S3316" s="38"/>
      <c r="T3316" s="38"/>
      <c r="U3316" s="38"/>
      <c r="V3316" s="38"/>
      <c r="W3316" s="38"/>
      <c r="X3316" s="38"/>
      <c r="Y3316" s="38"/>
      <c r="Z3316" s="38"/>
      <c r="AA3316" s="38"/>
      <c r="AB3316" s="38"/>
      <c r="AC3316" s="38"/>
      <c r="AD3316" s="38"/>
      <c r="AE3316" s="38"/>
      <c r="AF3316" s="38"/>
      <c r="AG3316" s="38"/>
      <c r="AH3316" s="38"/>
    </row>
    <row r="3317" spans="3:34" ht="20.100000000000001" customHeight="1">
      <c r="C3317" s="113"/>
      <c r="D3317" s="114"/>
      <c r="P3317" s="82"/>
      <c r="Q3317" s="82"/>
      <c r="R3317" s="38"/>
      <c r="S3317" s="38"/>
      <c r="T3317" s="38"/>
      <c r="U3317" s="38"/>
      <c r="V3317" s="38"/>
      <c r="W3317" s="38"/>
      <c r="X3317" s="38"/>
      <c r="Y3317" s="38"/>
      <c r="Z3317" s="38"/>
      <c r="AA3317" s="38"/>
      <c r="AB3317" s="38"/>
      <c r="AC3317" s="38"/>
      <c r="AD3317" s="38"/>
      <c r="AE3317" s="38"/>
      <c r="AF3317" s="38"/>
      <c r="AG3317" s="38"/>
      <c r="AH3317" s="38"/>
    </row>
    <row r="3318" spans="3:34" ht="20.100000000000001" customHeight="1">
      <c r="C3318" s="113"/>
      <c r="D3318" s="114"/>
      <c r="P3318" s="82"/>
      <c r="Q3318" s="82"/>
      <c r="R3318" s="38"/>
      <c r="S3318" s="38"/>
      <c r="T3318" s="38"/>
      <c r="U3318" s="38"/>
      <c r="V3318" s="38"/>
      <c r="W3318" s="38"/>
      <c r="X3318" s="38"/>
      <c r="Y3318" s="38"/>
      <c r="Z3318" s="38"/>
      <c r="AA3318" s="38"/>
      <c r="AB3318" s="38"/>
      <c r="AC3318" s="38"/>
      <c r="AD3318" s="38"/>
      <c r="AE3318" s="38"/>
      <c r="AF3318" s="38"/>
      <c r="AG3318" s="38"/>
      <c r="AH3318" s="38"/>
    </row>
    <row r="3319" spans="3:34" ht="20.100000000000001" customHeight="1">
      <c r="C3319" s="113"/>
      <c r="D3319" s="114"/>
      <c r="P3319" s="82"/>
      <c r="Q3319" s="82"/>
      <c r="R3319" s="38"/>
      <c r="S3319" s="38"/>
      <c r="T3319" s="38"/>
      <c r="U3319" s="38"/>
      <c r="V3319" s="38"/>
      <c r="W3319" s="38"/>
      <c r="X3319" s="38"/>
      <c r="Y3319" s="38"/>
      <c r="Z3319" s="38"/>
      <c r="AA3319" s="38"/>
      <c r="AB3319" s="38"/>
      <c r="AC3319" s="38"/>
      <c r="AD3319" s="38"/>
      <c r="AE3319" s="38"/>
      <c r="AF3319" s="38"/>
      <c r="AG3319" s="38"/>
      <c r="AH3319" s="38"/>
    </row>
    <row r="3320" spans="3:34" ht="20.100000000000001" customHeight="1">
      <c r="C3320" s="113"/>
      <c r="D3320" s="114"/>
      <c r="P3320" s="82"/>
      <c r="Q3320" s="82"/>
      <c r="R3320" s="38"/>
      <c r="S3320" s="38"/>
      <c r="T3320" s="38"/>
      <c r="U3320" s="38"/>
      <c r="V3320" s="38"/>
      <c r="W3320" s="38"/>
      <c r="X3320" s="38"/>
      <c r="Y3320" s="38"/>
      <c r="Z3320" s="38"/>
      <c r="AA3320" s="38"/>
      <c r="AB3320" s="38"/>
      <c r="AC3320" s="38"/>
      <c r="AD3320" s="38"/>
      <c r="AE3320" s="38"/>
      <c r="AF3320" s="38"/>
      <c r="AG3320" s="38"/>
      <c r="AH3320" s="38"/>
    </row>
    <row r="3321" spans="3:34" ht="20.100000000000001" customHeight="1">
      <c r="C3321" s="113"/>
      <c r="D3321" s="114"/>
      <c r="P3321" s="82"/>
      <c r="Q3321" s="82"/>
      <c r="R3321" s="38"/>
      <c r="S3321" s="38"/>
      <c r="T3321" s="38"/>
      <c r="U3321" s="38"/>
      <c r="V3321" s="38"/>
      <c r="W3321" s="38"/>
      <c r="X3321" s="38"/>
      <c r="Y3321" s="38"/>
      <c r="Z3321" s="38"/>
      <c r="AA3321" s="38"/>
      <c r="AB3321" s="38"/>
      <c r="AC3321" s="38"/>
      <c r="AD3321" s="38"/>
      <c r="AE3321" s="38"/>
      <c r="AF3321" s="38"/>
      <c r="AG3321" s="38"/>
      <c r="AH3321" s="38"/>
    </row>
    <row r="3322" spans="3:34" ht="20.100000000000001" customHeight="1">
      <c r="C3322" s="113"/>
      <c r="D3322" s="114"/>
      <c r="P3322" s="82"/>
      <c r="Q3322" s="82"/>
      <c r="R3322" s="38"/>
      <c r="S3322" s="38"/>
      <c r="T3322" s="38"/>
      <c r="U3322" s="38"/>
      <c r="V3322" s="38"/>
      <c r="W3322" s="38"/>
      <c r="X3322" s="38"/>
      <c r="Y3322" s="38"/>
      <c r="Z3322" s="38"/>
      <c r="AA3322" s="38"/>
      <c r="AB3322" s="38"/>
      <c r="AC3322" s="38"/>
      <c r="AD3322" s="38"/>
      <c r="AE3322" s="38"/>
      <c r="AF3322" s="38"/>
      <c r="AG3322" s="38"/>
      <c r="AH3322" s="38"/>
    </row>
    <row r="3323" spans="3:34" ht="20.100000000000001" customHeight="1">
      <c r="C3323" s="113"/>
      <c r="D3323" s="114"/>
      <c r="P3323" s="82"/>
      <c r="Q3323" s="82"/>
      <c r="R3323" s="38"/>
      <c r="S3323" s="38"/>
      <c r="T3323" s="38"/>
      <c r="U3323" s="38"/>
      <c r="V3323" s="38"/>
      <c r="W3323" s="38"/>
      <c r="X3323" s="38"/>
      <c r="Y3323" s="38"/>
      <c r="Z3323" s="38"/>
      <c r="AA3323" s="38"/>
      <c r="AB3323" s="38"/>
      <c r="AC3323" s="38"/>
      <c r="AD3323" s="38"/>
      <c r="AE3323" s="38"/>
      <c r="AF3323" s="38"/>
      <c r="AG3323" s="38"/>
      <c r="AH3323" s="38"/>
    </row>
    <row r="3324" spans="3:34" ht="20.100000000000001" customHeight="1">
      <c r="C3324" s="113"/>
      <c r="D3324" s="114"/>
      <c r="P3324" s="82"/>
      <c r="Q3324" s="82"/>
      <c r="R3324" s="38"/>
      <c r="S3324" s="38"/>
      <c r="T3324" s="38"/>
      <c r="U3324" s="38"/>
      <c r="V3324" s="38"/>
      <c r="W3324" s="38"/>
      <c r="X3324" s="38"/>
      <c r="Y3324" s="38"/>
      <c r="Z3324" s="38"/>
      <c r="AA3324" s="38"/>
      <c r="AB3324" s="38"/>
      <c r="AC3324" s="38"/>
      <c r="AD3324" s="38"/>
      <c r="AE3324" s="38"/>
      <c r="AF3324" s="38"/>
      <c r="AG3324" s="38"/>
      <c r="AH3324" s="38"/>
    </row>
    <row r="3325" spans="3:34" ht="20.100000000000001" customHeight="1">
      <c r="C3325" s="113"/>
      <c r="D3325" s="114"/>
      <c r="P3325" s="82"/>
      <c r="Q3325" s="82"/>
      <c r="R3325" s="38"/>
      <c r="S3325" s="38"/>
      <c r="T3325" s="38"/>
      <c r="U3325" s="38"/>
      <c r="V3325" s="38"/>
      <c r="W3325" s="38"/>
      <c r="X3325" s="38"/>
      <c r="Y3325" s="38"/>
      <c r="Z3325" s="38"/>
      <c r="AA3325" s="38"/>
      <c r="AB3325" s="38"/>
      <c r="AC3325" s="38"/>
      <c r="AD3325" s="38"/>
      <c r="AE3325" s="38"/>
      <c r="AF3325" s="38"/>
      <c r="AG3325" s="38"/>
      <c r="AH3325" s="38"/>
    </row>
    <row r="3326" spans="3:34" ht="20.100000000000001" customHeight="1">
      <c r="C3326" s="113"/>
      <c r="D3326" s="114"/>
      <c r="P3326" s="82"/>
      <c r="Q3326" s="82"/>
      <c r="R3326" s="38"/>
      <c r="S3326" s="38"/>
      <c r="T3326" s="38"/>
      <c r="U3326" s="38"/>
      <c r="V3326" s="38"/>
      <c r="W3326" s="38"/>
      <c r="X3326" s="38"/>
      <c r="Y3326" s="38"/>
      <c r="Z3326" s="38"/>
      <c r="AA3326" s="38"/>
      <c r="AB3326" s="38"/>
      <c r="AC3326" s="38"/>
      <c r="AD3326" s="38"/>
      <c r="AE3326" s="38"/>
      <c r="AF3326" s="38"/>
      <c r="AG3326" s="38"/>
      <c r="AH3326" s="38"/>
    </row>
    <row r="3327" spans="3:34" ht="20.100000000000001" customHeight="1">
      <c r="C3327" s="113"/>
      <c r="D3327" s="114"/>
      <c r="P3327" s="82"/>
      <c r="Q3327" s="82"/>
      <c r="R3327" s="38"/>
      <c r="S3327" s="38"/>
      <c r="T3327" s="38"/>
      <c r="U3327" s="38"/>
      <c r="V3327" s="38"/>
      <c r="W3327" s="38"/>
      <c r="X3327" s="38"/>
      <c r="Y3327" s="38"/>
      <c r="Z3327" s="38"/>
      <c r="AA3327" s="38"/>
      <c r="AB3327" s="38"/>
      <c r="AC3327" s="38"/>
      <c r="AD3327" s="38"/>
      <c r="AE3327" s="38"/>
      <c r="AF3327" s="38"/>
      <c r="AG3327" s="38"/>
      <c r="AH3327" s="38"/>
    </row>
    <row r="3328" spans="3:34" ht="20.100000000000001" customHeight="1">
      <c r="C3328" s="113"/>
      <c r="D3328" s="114"/>
      <c r="P3328" s="82"/>
      <c r="Q3328" s="82"/>
      <c r="R3328" s="38"/>
      <c r="S3328" s="38"/>
      <c r="T3328" s="38"/>
      <c r="U3328" s="38"/>
      <c r="V3328" s="38"/>
      <c r="W3328" s="38"/>
      <c r="X3328" s="38"/>
      <c r="Y3328" s="38"/>
      <c r="Z3328" s="38"/>
      <c r="AA3328" s="38"/>
      <c r="AB3328" s="38"/>
      <c r="AC3328" s="38"/>
      <c r="AD3328" s="38"/>
      <c r="AE3328" s="38"/>
      <c r="AF3328" s="38"/>
      <c r="AG3328" s="38"/>
      <c r="AH3328" s="38"/>
    </row>
    <row r="3329" spans="3:34" ht="20.100000000000001" customHeight="1">
      <c r="C3329" s="113"/>
      <c r="D3329" s="114"/>
      <c r="P3329" s="82"/>
      <c r="Q3329" s="82"/>
      <c r="R3329" s="38"/>
      <c r="S3329" s="38"/>
      <c r="T3329" s="38"/>
      <c r="U3329" s="38"/>
      <c r="V3329" s="38"/>
      <c r="W3329" s="38"/>
      <c r="X3329" s="38"/>
      <c r="Y3329" s="38"/>
      <c r="Z3329" s="38"/>
      <c r="AA3329" s="38"/>
      <c r="AB3329" s="38"/>
      <c r="AC3329" s="38"/>
      <c r="AD3329" s="38"/>
      <c r="AE3329" s="38"/>
      <c r="AF3329" s="38"/>
      <c r="AG3329" s="38"/>
      <c r="AH3329" s="38"/>
    </row>
    <row r="3330" spans="3:34" ht="20.100000000000001" customHeight="1">
      <c r="C3330" s="113"/>
      <c r="D3330" s="114"/>
      <c r="P3330" s="82"/>
      <c r="Q3330" s="82"/>
      <c r="R3330" s="38"/>
      <c r="S3330" s="38"/>
      <c r="T3330" s="38"/>
      <c r="U3330" s="38"/>
      <c r="V3330" s="38"/>
      <c r="W3330" s="38"/>
      <c r="X3330" s="38"/>
      <c r="Y3330" s="38"/>
      <c r="Z3330" s="38"/>
      <c r="AA3330" s="38"/>
      <c r="AB3330" s="38"/>
      <c r="AC3330" s="38"/>
      <c r="AD3330" s="38"/>
      <c r="AE3330" s="38"/>
      <c r="AF3330" s="38"/>
      <c r="AG3330" s="38"/>
      <c r="AH3330" s="38"/>
    </row>
    <row r="3331" spans="3:34" ht="20.100000000000001" customHeight="1">
      <c r="C3331" s="113"/>
      <c r="D3331" s="114"/>
      <c r="P3331" s="82"/>
      <c r="Q3331" s="82"/>
      <c r="R3331" s="38"/>
      <c r="S3331" s="38"/>
      <c r="T3331" s="38"/>
      <c r="U3331" s="38"/>
      <c r="V3331" s="38"/>
      <c r="W3331" s="38"/>
      <c r="X3331" s="38"/>
      <c r="Y3331" s="38"/>
      <c r="Z3331" s="38"/>
      <c r="AA3331" s="38"/>
      <c r="AB3331" s="38"/>
      <c r="AC3331" s="38"/>
      <c r="AD3331" s="38"/>
      <c r="AE3331" s="38"/>
      <c r="AF3331" s="38"/>
      <c r="AG3331" s="38"/>
      <c r="AH3331" s="38"/>
    </row>
    <row r="3332" spans="3:34" ht="20.100000000000001" customHeight="1">
      <c r="C3332" s="113"/>
      <c r="D3332" s="114"/>
      <c r="P3332" s="82"/>
      <c r="Q3332" s="82"/>
      <c r="R3332" s="38"/>
      <c r="S3332" s="38"/>
      <c r="T3332" s="38"/>
      <c r="U3332" s="38"/>
      <c r="V3332" s="38"/>
      <c r="W3332" s="38"/>
      <c r="X3332" s="38"/>
      <c r="Y3332" s="38"/>
      <c r="Z3332" s="38"/>
      <c r="AA3332" s="38"/>
      <c r="AB3332" s="38"/>
      <c r="AC3332" s="38"/>
      <c r="AD3332" s="38"/>
      <c r="AE3332" s="38"/>
      <c r="AF3332" s="38"/>
      <c r="AG3332" s="38"/>
      <c r="AH3332" s="38"/>
    </row>
    <row r="3333" spans="3:34" ht="20.100000000000001" customHeight="1">
      <c r="C3333" s="113"/>
      <c r="D3333" s="114"/>
      <c r="P3333" s="82"/>
      <c r="Q3333" s="82"/>
      <c r="R3333" s="38"/>
      <c r="S3333" s="38"/>
      <c r="T3333" s="38"/>
      <c r="U3333" s="38"/>
      <c r="V3333" s="38"/>
      <c r="W3333" s="38"/>
      <c r="X3333" s="38"/>
      <c r="Y3333" s="38"/>
      <c r="Z3333" s="38"/>
      <c r="AA3333" s="38"/>
      <c r="AB3333" s="38"/>
      <c r="AC3333" s="38"/>
      <c r="AD3333" s="38"/>
      <c r="AE3333" s="38"/>
      <c r="AF3333" s="38"/>
      <c r="AG3333" s="38"/>
      <c r="AH3333" s="38"/>
    </row>
    <row r="3334" spans="3:34" ht="20.100000000000001" customHeight="1">
      <c r="C3334" s="113"/>
      <c r="D3334" s="114"/>
      <c r="P3334" s="82"/>
      <c r="Q3334" s="82"/>
      <c r="R3334" s="38"/>
      <c r="S3334" s="38"/>
      <c r="T3334" s="38"/>
      <c r="U3334" s="38"/>
      <c r="V3334" s="38"/>
      <c r="W3334" s="38"/>
      <c r="X3334" s="38"/>
      <c r="Y3334" s="38"/>
      <c r="Z3334" s="38"/>
      <c r="AA3334" s="38"/>
      <c r="AB3334" s="38"/>
      <c r="AC3334" s="38"/>
      <c r="AD3334" s="38"/>
      <c r="AE3334" s="38"/>
      <c r="AF3334" s="38"/>
      <c r="AG3334" s="38"/>
      <c r="AH3334" s="38"/>
    </row>
    <row r="3335" spans="3:34" ht="20.100000000000001" customHeight="1">
      <c r="C3335" s="113"/>
      <c r="D3335" s="114"/>
      <c r="P3335" s="82"/>
      <c r="Q3335" s="82"/>
      <c r="R3335" s="38"/>
      <c r="S3335" s="38"/>
      <c r="T3335" s="38"/>
      <c r="U3335" s="38"/>
      <c r="V3335" s="38"/>
      <c r="W3335" s="38"/>
      <c r="X3335" s="38"/>
      <c r="Y3335" s="38"/>
      <c r="Z3335" s="38"/>
      <c r="AA3335" s="38"/>
      <c r="AB3335" s="38"/>
      <c r="AC3335" s="38"/>
      <c r="AD3335" s="38"/>
      <c r="AE3335" s="38"/>
      <c r="AF3335" s="38"/>
      <c r="AG3335" s="38"/>
      <c r="AH3335" s="38"/>
    </row>
    <row r="3336" spans="3:34" ht="20.100000000000001" customHeight="1">
      <c r="C3336" s="113"/>
      <c r="D3336" s="114"/>
      <c r="P3336" s="82"/>
      <c r="Q3336" s="82"/>
      <c r="R3336" s="38"/>
      <c r="S3336" s="38"/>
      <c r="T3336" s="38"/>
      <c r="U3336" s="38"/>
      <c r="V3336" s="38"/>
      <c r="W3336" s="38"/>
      <c r="X3336" s="38"/>
      <c r="Y3336" s="38"/>
      <c r="Z3336" s="38"/>
      <c r="AA3336" s="38"/>
      <c r="AB3336" s="38"/>
      <c r="AC3336" s="38"/>
      <c r="AD3336" s="38"/>
      <c r="AE3336" s="38"/>
      <c r="AF3336" s="38"/>
      <c r="AG3336" s="38"/>
      <c r="AH3336" s="38"/>
    </row>
    <row r="3337" spans="3:34" ht="20.100000000000001" customHeight="1">
      <c r="C3337" s="113"/>
      <c r="D3337" s="114"/>
      <c r="P3337" s="82"/>
      <c r="Q3337" s="82"/>
      <c r="R3337" s="38"/>
      <c r="S3337" s="38"/>
      <c r="T3337" s="38"/>
      <c r="U3337" s="38"/>
      <c r="V3337" s="38"/>
      <c r="W3337" s="38"/>
      <c r="X3337" s="38"/>
      <c r="Y3337" s="38"/>
      <c r="Z3337" s="38"/>
      <c r="AA3337" s="38"/>
      <c r="AB3337" s="38"/>
      <c r="AC3337" s="38"/>
      <c r="AD3337" s="38"/>
      <c r="AE3337" s="38"/>
      <c r="AF3337" s="38"/>
      <c r="AG3337" s="38"/>
      <c r="AH3337" s="38"/>
    </row>
    <row r="3338" spans="3:34" ht="20.100000000000001" customHeight="1">
      <c r="C3338" s="113"/>
      <c r="D3338" s="114"/>
      <c r="P3338" s="82"/>
      <c r="Q3338" s="82"/>
      <c r="R3338" s="38"/>
      <c r="S3338" s="38"/>
      <c r="T3338" s="38"/>
      <c r="U3338" s="38"/>
      <c r="V3338" s="38"/>
      <c r="W3338" s="38"/>
      <c r="X3338" s="38"/>
      <c r="Y3338" s="38"/>
      <c r="Z3338" s="38"/>
      <c r="AA3338" s="38"/>
      <c r="AB3338" s="38"/>
      <c r="AC3338" s="38"/>
      <c r="AD3338" s="38"/>
      <c r="AE3338" s="38"/>
      <c r="AF3338" s="38"/>
      <c r="AG3338" s="38"/>
      <c r="AH3338" s="38"/>
    </row>
    <row r="3339" spans="3:34" ht="20.100000000000001" customHeight="1">
      <c r="C3339" s="113"/>
      <c r="D3339" s="114"/>
      <c r="P3339" s="82"/>
      <c r="Q3339" s="82"/>
      <c r="R3339" s="38"/>
      <c r="S3339" s="38"/>
      <c r="T3339" s="38"/>
      <c r="U3339" s="38"/>
      <c r="V3339" s="38"/>
      <c r="W3339" s="38"/>
      <c r="X3339" s="38"/>
      <c r="Y3339" s="38"/>
      <c r="Z3339" s="38"/>
      <c r="AA3339" s="38"/>
      <c r="AB3339" s="38"/>
      <c r="AC3339" s="38"/>
      <c r="AD3339" s="38"/>
      <c r="AE3339" s="38"/>
      <c r="AF3339" s="38"/>
      <c r="AG3339" s="38"/>
      <c r="AH3339" s="38"/>
    </row>
    <row r="3340" spans="3:34" ht="20.100000000000001" customHeight="1">
      <c r="C3340" s="113"/>
      <c r="D3340" s="114"/>
      <c r="P3340" s="82"/>
      <c r="Q3340" s="82"/>
      <c r="R3340" s="38"/>
      <c r="S3340" s="38"/>
      <c r="T3340" s="38"/>
      <c r="U3340" s="38"/>
      <c r="V3340" s="38"/>
      <c r="W3340" s="38"/>
      <c r="X3340" s="38"/>
      <c r="Y3340" s="38"/>
      <c r="Z3340" s="38"/>
      <c r="AA3340" s="38"/>
      <c r="AB3340" s="38"/>
      <c r="AC3340" s="38"/>
      <c r="AD3340" s="38"/>
      <c r="AE3340" s="38"/>
      <c r="AF3340" s="38"/>
      <c r="AG3340" s="38"/>
      <c r="AH3340" s="38"/>
    </row>
    <row r="3341" spans="3:34" ht="20.100000000000001" customHeight="1">
      <c r="C3341" s="113"/>
      <c r="D3341" s="114"/>
      <c r="P3341" s="82"/>
      <c r="Q3341" s="82"/>
      <c r="R3341" s="38"/>
      <c r="S3341" s="38"/>
      <c r="T3341" s="38"/>
      <c r="U3341" s="38"/>
      <c r="V3341" s="38"/>
      <c r="W3341" s="38"/>
      <c r="X3341" s="38"/>
      <c r="Y3341" s="38"/>
      <c r="Z3341" s="38"/>
      <c r="AA3341" s="38"/>
      <c r="AB3341" s="38"/>
      <c r="AC3341" s="38"/>
      <c r="AD3341" s="38"/>
      <c r="AE3341" s="38"/>
      <c r="AF3341" s="38"/>
      <c r="AG3341" s="38"/>
      <c r="AH3341" s="38"/>
    </row>
    <row r="3342" spans="3:34" ht="20.100000000000001" customHeight="1">
      <c r="C3342" s="113"/>
      <c r="D3342" s="114"/>
      <c r="P3342" s="82"/>
      <c r="Q3342" s="82"/>
      <c r="R3342" s="38"/>
      <c r="S3342" s="38"/>
      <c r="T3342" s="38"/>
      <c r="U3342" s="38"/>
      <c r="V3342" s="38"/>
      <c r="W3342" s="38"/>
      <c r="X3342" s="38"/>
      <c r="Y3342" s="38"/>
      <c r="Z3342" s="38"/>
      <c r="AA3342" s="38"/>
      <c r="AB3342" s="38"/>
      <c r="AC3342" s="38"/>
      <c r="AD3342" s="38"/>
      <c r="AE3342" s="38"/>
      <c r="AF3342" s="38"/>
      <c r="AG3342" s="38"/>
      <c r="AH3342" s="38"/>
    </row>
    <row r="3343" spans="3:34" ht="20.100000000000001" customHeight="1">
      <c r="C3343" s="113"/>
      <c r="D3343" s="114"/>
      <c r="P3343" s="82"/>
      <c r="Q3343" s="82"/>
      <c r="R3343" s="38"/>
      <c r="S3343" s="38"/>
      <c r="T3343" s="38"/>
      <c r="U3343" s="38"/>
      <c r="V3343" s="38"/>
      <c r="W3343" s="38"/>
      <c r="X3343" s="38"/>
      <c r="Y3343" s="38"/>
      <c r="Z3343" s="38"/>
      <c r="AA3343" s="38"/>
      <c r="AB3343" s="38"/>
      <c r="AC3343" s="38"/>
      <c r="AD3343" s="38"/>
      <c r="AE3343" s="38"/>
      <c r="AF3343" s="38"/>
      <c r="AG3343" s="38"/>
      <c r="AH3343" s="38"/>
    </row>
    <row r="3344" spans="3:34" ht="20.100000000000001" customHeight="1">
      <c r="C3344" s="113"/>
      <c r="D3344" s="114"/>
      <c r="P3344" s="82"/>
      <c r="Q3344" s="82"/>
      <c r="R3344" s="38"/>
      <c r="S3344" s="38"/>
      <c r="T3344" s="38"/>
      <c r="U3344" s="38"/>
      <c r="V3344" s="38"/>
      <c r="W3344" s="38"/>
      <c r="X3344" s="38"/>
      <c r="Y3344" s="38"/>
      <c r="Z3344" s="38"/>
      <c r="AA3344" s="38"/>
      <c r="AB3344" s="38"/>
      <c r="AC3344" s="38"/>
      <c r="AD3344" s="38"/>
      <c r="AE3344" s="38"/>
      <c r="AF3344" s="38"/>
      <c r="AG3344" s="38"/>
      <c r="AH3344" s="38"/>
    </row>
    <row r="3345" spans="3:34" ht="20.100000000000001" customHeight="1">
      <c r="C3345" s="113"/>
      <c r="D3345" s="114"/>
      <c r="P3345" s="82"/>
      <c r="Q3345" s="82"/>
      <c r="R3345" s="38"/>
      <c r="S3345" s="38"/>
      <c r="T3345" s="38"/>
      <c r="U3345" s="38"/>
      <c r="V3345" s="38"/>
      <c r="W3345" s="38"/>
      <c r="X3345" s="38"/>
      <c r="Y3345" s="38"/>
      <c r="Z3345" s="38"/>
      <c r="AA3345" s="38"/>
      <c r="AB3345" s="38"/>
      <c r="AC3345" s="38"/>
      <c r="AD3345" s="38"/>
      <c r="AE3345" s="38"/>
      <c r="AF3345" s="38"/>
      <c r="AG3345" s="38"/>
      <c r="AH3345" s="38"/>
    </row>
    <row r="3346" spans="3:34" ht="20.100000000000001" customHeight="1">
      <c r="C3346" s="113"/>
      <c r="D3346" s="114"/>
      <c r="P3346" s="82"/>
      <c r="Q3346" s="82"/>
      <c r="R3346" s="38"/>
      <c r="S3346" s="38"/>
      <c r="T3346" s="38"/>
      <c r="U3346" s="38"/>
      <c r="V3346" s="38"/>
      <c r="W3346" s="38"/>
      <c r="X3346" s="38"/>
      <c r="Y3346" s="38"/>
      <c r="Z3346" s="38"/>
      <c r="AA3346" s="38"/>
      <c r="AB3346" s="38"/>
      <c r="AC3346" s="38"/>
      <c r="AD3346" s="38"/>
      <c r="AE3346" s="38"/>
      <c r="AF3346" s="38"/>
      <c r="AG3346" s="38"/>
      <c r="AH3346" s="38"/>
    </row>
    <row r="3347" spans="3:34" ht="20.100000000000001" customHeight="1">
      <c r="C3347" s="113"/>
      <c r="D3347" s="114"/>
      <c r="P3347" s="82"/>
      <c r="Q3347" s="82"/>
      <c r="R3347" s="38"/>
      <c r="S3347" s="38"/>
      <c r="T3347" s="38"/>
      <c r="U3347" s="38"/>
      <c r="V3347" s="38"/>
      <c r="W3347" s="38"/>
      <c r="X3347" s="38"/>
      <c r="Y3347" s="38"/>
      <c r="Z3347" s="38"/>
      <c r="AA3347" s="38"/>
      <c r="AB3347" s="38"/>
      <c r="AC3347" s="38"/>
      <c r="AD3347" s="38"/>
      <c r="AE3347" s="38"/>
      <c r="AF3347" s="38"/>
      <c r="AG3347" s="38"/>
      <c r="AH3347" s="38"/>
    </row>
    <row r="3348" spans="3:34" ht="20.100000000000001" customHeight="1">
      <c r="C3348" s="113"/>
      <c r="D3348" s="114"/>
      <c r="P3348" s="82"/>
      <c r="Q3348" s="82"/>
      <c r="R3348" s="38"/>
      <c r="S3348" s="38"/>
      <c r="T3348" s="38"/>
      <c r="U3348" s="38"/>
      <c r="V3348" s="38"/>
      <c r="W3348" s="38"/>
      <c r="X3348" s="38"/>
      <c r="Y3348" s="38"/>
      <c r="Z3348" s="38"/>
      <c r="AA3348" s="38"/>
      <c r="AB3348" s="38"/>
      <c r="AC3348" s="38"/>
      <c r="AD3348" s="38"/>
      <c r="AE3348" s="38"/>
      <c r="AF3348" s="38"/>
      <c r="AG3348" s="38"/>
      <c r="AH3348" s="38"/>
    </row>
    <row r="3349" spans="3:34" ht="20.100000000000001" customHeight="1">
      <c r="C3349" s="113"/>
      <c r="D3349" s="114"/>
      <c r="P3349" s="82"/>
      <c r="Q3349" s="82"/>
      <c r="R3349" s="38"/>
      <c r="S3349" s="38"/>
      <c r="T3349" s="38"/>
      <c r="U3349" s="38"/>
      <c r="V3349" s="38"/>
      <c r="W3349" s="38"/>
      <c r="X3349" s="38"/>
      <c r="Y3349" s="38"/>
      <c r="Z3349" s="38"/>
      <c r="AA3349" s="38"/>
      <c r="AB3349" s="38"/>
      <c r="AC3349" s="38"/>
      <c r="AD3349" s="38"/>
      <c r="AE3349" s="38"/>
      <c r="AF3349" s="38"/>
      <c r="AG3349" s="38"/>
      <c r="AH3349" s="38"/>
    </row>
    <row r="3350" spans="3:34" ht="20.100000000000001" customHeight="1">
      <c r="C3350" s="113"/>
      <c r="D3350" s="114"/>
      <c r="P3350" s="82"/>
      <c r="Q3350" s="82"/>
      <c r="R3350" s="38"/>
      <c r="S3350" s="38"/>
      <c r="T3350" s="38"/>
      <c r="U3350" s="38"/>
      <c r="V3350" s="38"/>
      <c r="W3350" s="38"/>
      <c r="X3350" s="38"/>
      <c r="Y3350" s="38"/>
      <c r="Z3350" s="38"/>
      <c r="AA3350" s="38"/>
      <c r="AB3350" s="38"/>
      <c r="AC3350" s="38"/>
      <c r="AD3350" s="38"/>
      <c r="AE3350" s="38"/>
      <c r="AF3350" s="38"/>
      <c r="AG3350" s="38"/>
      <c r="AH3350" s="38"/>
    </row>
    <row r="3351" spans="3:34" ht="20.100000000000001" customHeight="1">
      <c r="C3351" s="113"/>
      <c r="D3351" s="114"/>
      <c r="P3351" s="82"/>
      <c r="Q3351" s="82"/>
      <c r="R3351" s="38"/>
      <c r="S3351" s="38"/>
      <c r="T3351" s="38"/>
      <c r="U3351" s="38"/>
      <c r="V3351" s="38"/>
      <c r="W3351" s="38"/>
      <c r="X3351" s="38"/>
      <c r="Y3351" s="38"/>
      <c r="Z3351" s="38"/>
      <c r="AA3351" s="38"/>
      <c r="AB3351" s="38"/>
      <c r="AC3351" s="38"/>
      <c r="AD3351" s="38"/>
      <c r="AE3351" s="38"/>
      <c r="AF3351" s="38"/>
      <c r="AG3351" s="38"/>
      <c r="AH3351" s="38"/>
    </row>
    <row r="3352" spans="3:34" ht="20.100000000000001" customHeight="1">
      <c r="C3352" s="113"/>
      <c r="D3352" s="114"/>
      <c r="P3352" s="82"/>
      <c r="Q3352" s="82"/>
      <c r="R3352" s="38"/>
      <c r="S3352" s="38"/>
      <c r="T3352" s="38"/>
      <c r="U3352" s="38"/>
      <c r="V3352" s="38"/>
      <c r="W3352" s="38"/>
      <c r="X3352" s="38"/>
      <c r="Y3352" s="38"/>
      <c r="Z3352" s="38"/>
      <c r="AA3352" s="38"/>
      <c r="AB3352" s="38"/>
      <c r="AC3352" s="38"/>
      <c r="AD3352" s="38"/>
      <c r="AE3352" s="38"/>
      <c r="AF3352" s="38"/>
      <c r="AG3352" s="38"/>
      <c r="AH3352" s="38"/>
    </row>
    <row r="3353" spans="3:34" ht="20.100000000000001" customHeight="1">
      <c r="C3353" s="113"/>
      <c r="D3353" s="114"/>
      <c r="P3353" s="82"/>
      <c r="Q3353" s="82"/>
      <c r="R3353" s="38"/>
      <c r="S3353" s="38"/>
      <c r="T3353" s="38"/>
      <c r="U3353" s="38"/>
      <c r="V3353" s="38"/>
      <c r="W3353" s="38"/>
      <c r="X3353" s="38"/>
      <c r="Y3353" s="38"/>
      <c r="Z3353" s="38"/>
      <c r="AA3353" s="38"/>
      <c r="AB3353" s="38"/>
      <c r="AC3353" s="38"/>
      <c r="AD3353" s="38"/>
      <c r="AE3353" s="38"/>
      <c r="AF3353" s="38"/>
      <c r="AG3353" s="38"/>
      <c r="AH3353" s="38"/>
    </row>
    <row r="3354" spans="3:34" ht="20.100000000000001" customHeight="1">
      <c r="C3354" s="113"/>
      <c r="D3354" s="114"/>
      <c r="P3354" s="82"/>
      <c r="Q3354" s="82"/>
      <c r="R3354" s="38"/>
      <c r="S3354" s="38"/>
      <c r="T3354" s="38"/>
      <c r="U3354" s="38"/>
      <c r="V3354" s="38"/>
      <c r="W3354" s="38"/>
      <c r="X3354" s="38"/>
      <c r="Y3354" s="38"/>
      <c r="Z3354" s="38"/>
      <c r="AA3354" s="38"/>
      <c r="AB3354" s="38"/>
      <c r="AC3354" s="38"/>
      <c r="AD3354" s="38"/>
      <c r="AE3354" s="38"/>
      <c r="AF3354" s="38"/>
      <c r="AG3354" s="38"/>
      <c r="AH3354" s="38"/>
    </row>
    <row r="3355" spans="3:34" ht="20.100000000000001" customHeight="1">
      <c r="C3355" s="113"/>
      <c r="D3355" s="114"/>
      <c r="P3355" s="82"/>
      <c r="Q3355" s="82"/>
      <c r="R3355" s="38"/>
      <c r="S3355" s="38"/>
      <c r="T3355" s="38"/>
      <c r="U3355" s="38"/>
      <c r="V3355" s="38"/>
      <c r="W3355" s="38"/>
      <c r="X3355" s="38"/>
      <c r="Y3355" s="38"/>
      <c r="Z3355" s="38"/>
      <c r="AA3355" s="38"/>
      <c r="AB3355" s="38"/>
      <c r="AC3355" s="38"/>
      <c r="AD3355" s="38"/>
      <c r="AE3355" s="38"/>
      <c r="AF3355" s="38"/>
      <c r="AG3355" s="38"/>
      <c r="AH3355" s="38"/>
    </row>
    <row r="3356" spans="3:34" ht="20.100000000000001" customHeight="1">
      <c r="C3356" s="113"/>
      <c r="D3356" s="114"/>
      <c r="P3356" s="82"/>
      <c r="Q3356" s="82"/>
      <c r="R3356" s="38"/>
      <c r="S3356" s="38"/>
      <c r="T3356" s="38"/>
      <c r="U3356" s="38"/>
      <c r="V3356" s="38"/>
      <c r="W3356" s="38"/>
      <c r="X3356" s="38"/>
      <c r="Y3356" s="38"/>
      <c r="Z3356" s="38"/>
      <c r="AA3356" s="38"/>
      <c r="AB3356" s="38"/>
      <c r="AC3356" s="38"/>
      <c r="AD3356" s="38"/>
      <c r="AE3356" s="38"/>
      <c r="AF3356" s="38"/>
      <c r="AG3356" s="38"/>
      <c r="AH3356" s="38"/>
    </row>
    <row r="3357" spans="3:34" ht="20.100000000000001" customHeight="1">
      <c r="C3357" s="113"/>
      <c r="D3357" s="114"/>
      <c r="P3357" s="82"/>
      <c r="Q3357" s="82"/>
      <c r="R3357" s="38"/>
      <c r="S3357" s="38"/>
      <c r="T3357" s="38"/>
      <c r="U3357" s="38"/>
      <c r="V3357" s="38"/>
      <c r="W3357" s="38"/>
      <c r="X3357" s="38"/>
      <c r="Y3357" s="38"/>
      <c r="Z3357" s="38"/>
      <c r="AA3357" s="38"/>
      <c r="AB3357" s="38"/>
      <c r="AC3357" s="38"/>
      <c r="AD3357" s="38"/>
      <c r="AE3357" s="38"/>
      <c r="AF3357" s="38"/>
      <c r="AG3357" s="38"/>
      <c r="AH3357" s="38"/>
    </row>
    <row r="3358" spans="3:34" ht="20.100000000000001" customHeight="1">
      <c r="C3358" s="113"/>
      <c r="D3358" s="114"/>
      <c r="P3358" s="82"/>
      <c r="Q3358" s="82"/>
      <c r="R3358" s="38"/>
      <c r="S3358" s="38"/>
      <c r="T3358" s="38"/>
      <c r="U3358" s="38"/>
      <c r="V3358" s="38"/>
      <c r="W3358" s="38"/>
      <c r="X3358" s="38"/>
      <c r="Y3358" s="38"/>
      <c r="Z3358" s="38"/>
      <c r="AA3358" s="38"/>
      <c r="AB3358" s="38"/>
      <c r="AC3358" s="38"/>
      <c r="AD3358" s="38"/>
      <c r="AE3358" s="38"/>
      <c r="AF3358" s="38"/>
      <c r="AG3358" s="38"/>
      <c r="AH3358" s="38"/>
    </row>
    <row r="3359" spans="3:34" ht="20.100000000000001" customHeight="1">
      <c r="C3359" s="113"/>
      <c r="D3359" s="114"/>
      <c r="P3359" s="82"/>
      <c r="Q3359" s="82"/>
      <c r="R3359" s="38"/>
      <c r="S3359" s="38"/>
      <c r="T3359" s="38"/>
      <c r="U3359" s="38"/>
      <c r="V3359" s="38"/>
      <c r="W3359" s="38"/>
      <c r="X3359" s="38"/>
      <c r="Y3359" s="38"/>
      <c r="Z3359" s="38"/>
      <c r="AA3359" s="38"/>
      <c r="AB3359" s="38"/>
      <c r="AC3359" s="38"/>
      <c r="AD3359" s="38"/>
      <c r="AE3359" s="38"/>
      <c r="AF3359" s="38"/>
      <c r="AG3359" s="38"/>
      <c r="AH3359" s="38"/>
    </row>
    <row r="3360" spans="3:34" ht="20.100000000000001" customHeight="1">
      <c r="C3360" s="113"/>
      <c r="D3360" s="114"/>
      <c r="P3360" s="82"/>
      <c r="Q3360" s="82"/>
      <c r="R3360" s="38"/>
      <c r="S3360" s="38"/>
      <c r="T3360" s="38"/>
      <c r="U3360" s="38"/>
      <c r="V3360" s="38"/>
      <c r="W3360" s="38"/>
      <c r="X3360" s="38"/>
      <c r="Y3360" s="38"/>
      <c r="Z3360" s="38"/>
      <c r="AA3360" s="38"/>
      <c r="AB3360" s="38"/>
      <c r="AC3360" s="38"/>
      <c r="AD3360" s="38"/>
      <c r="AE3360" s="38"/>
      <c r="AF3360" s="38"/>
      <c r="AG3360" s="38"/>
      <c r="AH3360" s="38"/>
    </row>
    <row r="3361" spans="3:34" ht="20.100000000000001" customHeight="1">
      <c r="C3361" s="113"/>
      <c r="D3361" s="114"/>
      <c r="P3361" s="82"/>
      <c r="Q3361" s="82"/>
      <c r="R3361" s="38"/>
      <c r="S3361" s="38"/>
      <c r="T3361" s="38"/>
      <c r="U3361" s="38"/>
      <c r="V3361" s="38"/>
      <c r="W3361" s="38"/>
      <c r="X3361" s="38"/>
      <c r="Y3361" s="38"/>
      <c r="Z3361" s="38"/>
      <c r="AA3361" s="38"/>
      <c r="AB3361" s="38"/>
      <c r="AC3361" s="38"/>
      <c r="AD3361" s="38"/>
      <c r="AE3361" s="38"/>
      <c r="AF3361" s="38"/>
      <c r="AG3361" s="38"/>
      <c r="AH3361" s="38"/>
    </row>
    <row r="3362" spans="3:34" ht="20.100000000000001" customHeight="1">
      <c r="C3362" s="113"/>
      <c r="D3362" s="114"/>
      <c r="P3362" s="82"/>
      <c r="Q3362" s="82"/>
      <c r="R3362" s="38"/>
      <c r="S3362" s="38"/>
      <c r="T3362" s="38"/>
      <c r="U3362" s="38"/>
      <c r="V3362" s="38"/>
      <c r="W3362" s="38"/>
      <c r="X3362" s="38"/>
      <c r="Y3362" s="38"/>
      <c r="Z3362" s="38"/>
      <c r="AA3362" s="38"/>
      <c r="AB3362" s="38"/>
      <c r="AC3362" s="38"/>
      <c r="AD3362" s="38"/>
      <c r="AE3362" s="38"/>
      <c r="AF3362" s="38"/>
      <c r="AG3362" s="38"/>
      <c r="AH3362" s="38"/>
    </row>
    <row r="3363" spans="3:34" ht="20.100000000000001" customHeight="1">
      <c r="C3363" s="113"/>
      <c r="D3363" s="114"/>
      <c r="P3363" s="82"/>
      <c r="Q3363" s="82"/>
      <c r="R3363" s="38"/>
      <c r="S3363" s="38"/>
      <c r="T3363" s="38"/>
      <c r="U3363" s="38"/>
      <c r="V3363" s="38"/>
      <c r="W3363" s="38"/>
      <c r="X3363" s="38"/>
      <c r="Y3363" s="38"/>
      <c r="Z3363" s="38"/>
      <c r="AA3363" s="38"/>
      <c r="AB3363" s="38"/>
      <c r="AC3363" s="38"/>
      <c r="AD3363" s="38"/>
      <c r="AE3363" s="38"/>
      <c r="AF3363" s="38"/>
      <c r="AG3363" s="38"/>
      <c r="AH3363" s="38"/>
    </row>
    <row r="3364" spans="3:34" ht="20.100000000000001" customHeight="1">
      <c r="C3364" s="113"/>
      <c r="D3364" s="114"/>
      <c r="P3364" s="82"/>
      <c r="Q3364" s="82"/>
      <c r="R3364" s="38"/>
      <c r="S3364" s="38"/>
      <c r="T3364" s="38"/>
      <c r="U3364" s="38"/>
      <c r="V3364" s="38"/>
      <c r="W3364" s="38"/>
      <c r="X3364" s="38"/>
      <c r="Y3364" s="38"/>
      <c r="Z3364" s="38"/>
      <c r="AA3364" s="38"/>
      <c r="AB3364" s="38"/>
      <c r="AC3364" s="38"/>
      <c r="AD3364" s="38"/>
      <c r="AE3364" s="38"/>
      <c r="AF3364" s="38"/>
      <c r="AG3364" s="38"/>
      <c r="AH3364" s="38"/>
    </row>
    <row r="3365" spans="3:34" ht="20.100000000000001" customHeight="1">
      <c r="C3365" s="113"/>
      <c r="D3365" s="114"/>
      <c r="P3365" s="82"/>
      <c r="Q3365" s="82"/>
      <c r="R3365" s="38"/>
      <c r="S3365" s="38"/>
      <c r="T3365" s="38"/>
      <c r="U3365" s="38"/>
      <c r="V3365" s="38"/>
      <c r="W3365" s="38"/>
      <c r="X3365" s="38"/>
      <c r="Y3365" s="38"/>
      <c r="Z3365" s="38"/>
      <c r="AA3365" s="38"/>
      <c r="AB3365" s="38"/>
      <c r="AC3365" s="38"/>
      <c r="AD3365" s="38"/>
      <c r="AE3365" s="38"/>
      <c r="AF3365" s="38"/>
      <c r="AG3365" s="38"/>
      <c r="AH3365" s="38"/>
    </row>
    <row r="3366" spans="3:34" ht="20.100000000000001" customHeight="1">
      <c r="C3366" s="113"/>
      <c r="D3366" s="114"/>
      <c r="P3366" s="82"/>
      <c r="Q3366" s="82"/>
      <c r="R3366" s="38"/>
      <c r="S3366" s="38"/>
      <c r="T3366" s="38"/>
      <c r="U3366" s="38"/>
      <c r="V3366" s="38"/>
      <c r="W3366" s="38"/>
      <c r="X3366" s="38"/>
      <c r="Y3366" s="38"/>
      <c r="Z3366" s="38"/>
      <c r="AA3366" s="38"/>
      <c r="AB3366" s="38"/>
      <c r="AC3366" s="38"/>
      <c r="AD3366" s="38"/>
      <c r="AE3366" s="38"/>
      <c r="AF3366" s="38"/>
      <c r="AG3366" s="38"/>
      <c r="AH3366" s="38"/>
    </row>
    <row r="3367" spans="3:34" ht="20.100000000000001" customHeight="1">
      <c r="C3367" s="113"/>
      <c r="D3367" s="114"/>
      <c r="P3367" s="82"/>
      <c r="Q3367" s="82"/>
      <c r="R3367" s="38"/>
      <c r="S3367" s="38"/>
      <c r="T3367" s="38"/>
      <c r="U3367" s="38"/>
      <c r="V3367" s="38"/>
      <c r="W3367" s="38"/>
      <c r="X3367" s="38"/>
      <c r="Y3367" s="38"/>
      <c r="Z3367" s="38"/>
      <c r="AA3367" s="38"/>
      <c r="AB3367" s="38"/>
      <c r="AC3367" s="38"/>
      <c r="AD3367" s="38"/>
      <c r="AE3367" s="38"/>
      <c r="AF3367" s="38"/>
      <c r="AG3367" s="38"/>
      <c r="AH3367" s="38"/>
    </row>
    <row r="3368" spans="3:34" ht="20.100000000000001" customHeight="1">
      <c r="C3368" s="113"/>
      <c r="D3368" s="114"/>
      <c r="P3368" s="82"/>
      <c r="Q3368" s="82"/>
      <c r="R3368" s="38"/>
      <c r="S3368" s="38"/>
      <c r="T3368" s="38"/>
      <c r="U3368" s="38"/>
      <c r="V3368" s="38"/>
      <c r="W3368" s="38"/>
      <c r="X3368" s="38"/>
      <c r="Y3368" s="38"/>
      <c r="Z3368" s="38"/>
      <c r="AA3368" s="38"/>
      <c r="AB3368" s="38"/>
      <c r="AC3368" s="38"/>
      <c r="AD3368" s="38"/>
      <c r="AE3368" s="38"/>
      <c r="AF3368" s="38"/>
      <c r="AG3368" s="38"/>
      <c r="AH3368" s="38"/>
    </row>
    <row r="3369" spans="3:34" ht="20.100000000000001" customHeight="1">
      <c r="C3369" s="113"/>
      <c r="D3369" s="114"/>
      <c r="P3369" s="82"/>
      <c r="Q3369" s="82"/>
      <c r="R3369" s="38"/>
      <c r="S3369" s="38"/>
      <c r="T3369" s="38"/>
      <c r="U3369" s="38"/>
      <c r="V3369" s="38"/>
      <c r="W3369" s="38"/>
      <c r="X3369" s="38"/>
      <c r="Y3369" s="38"/>
      <c r="Z3369" s="38"/>
      <c r="AA3369" s="38"/>
      <c r="AB3369" s="38"/>
      <c r="AC3369" s="38"/>
      <c r="AD3369" s="38"/>
      <c r="AE3369" s="38"/>
      <c r="AF3369" s="38"/>
      <c r="AG3369" s="38"/>
      <c r="AH3369" s="38"/>
    </row>
    <row r="3370" spans="3:34" ht="20.100000000000001" customHeight="1">
      <c r="C3370" s="113"/>
      <c r="D3370" s="114"/>
      <c r="P3370" s="82"/>
      <c r="Q3370" s="82"/>
      <c r="R3370" s="38"/>
      <c r="S3370" s="38"/>
      <c r="T3370" s="38"/>
      <c r="U3370" s="38"/>
      <c r="V3370" s="38"/>
      <c r="W3370" s="38"/>
      <c r="X3370" s="38"/>
      <c r="Y3370" s="38"/>
      <c r="Z3370" s="38"/>
      <c r="AA3370" s="38"/>
      <c r="AB3370" s="38"/>
      <c r="AC3370" s="38"/>
      <c r="AD3370" s="38"/>
      <c r="AE3370" s="38"/>
      <c r="AF3370" s="38"/>
      <c r="AG3370" s="38"/>
      <c r="AH3370" s="38"/>
    </row>
    <row r="3371" spans="3:34" ht="20.100000000000001" customHeight="1">
      <c r="C3371" s="113"/>
      <c r="D3371" s="114"/>
      <c r="P3371" s="82"/>
      <c r="Q3371" s="82"/>
      <c r="R3371" s="38"/>
      <c r="S3371" s="38"/>
      <c r="T3371" s="38"/>
      <c r="U3371" s="38"/>
      <c r="V3371" s="38"/>
      <c r="W3371" s="38"/>
      <c r="X3371" s="38"/>
      <c r="Y3371" s="38"/>
      <c r="Z3371" s="38"/>
      <c r="AA3371" s="38"/>
      <c r="AB3371" s="38"/>
      <c r="AC3371" s="38"/>
      <c r="AD3371" s="38"/>
      <c r="AE3371" s="38"/>
      <c r="AF3371" s="38"/>
      <c r="AG3371" s="38"/>
      <c r="AH3371" s="38"/>
    </row>
    <row r="3372" spans="3:34" ht="20.100000000000001" customHeight="1">
      <c r="C3372" s="113"/>
      <c r="D3372" s="114"/>
      <c r="P3372" s="82"/>
      <c r="Q3372" s="82"/>
      <c r="R3372" s="38"/>
      <c r="S3372" s="38"/>
      <c r="T3372" s="38"/>
      <c r="U3372" s="38"/>
      <c r="V3372" s="38"/>
      <c r="W3372" s="38"/>
      <c r="X3372" s="38"/>
      <c r="Y3372" s="38"/>
      <c r="Z3372" s="38"/>
      <c r="AA3372" s="38"/>
      <c r="AB3372" s="38"/>
      <c r="AC3372" s="38"/>
      <c r="AD3372" s="38"/>
      <c r="AE3372" s="38"/>
      <c r="AF3372" s="38"/>
      <c r="AG3372" s="38"/>
      <c r="AH3372" s="38"/>
    </row>
    <row r="3373" spans="3:34" ht="20.100000000000001" customHeight="1">
      <c r="C3373" s="113"/>
      <c r="D3373" s="114"/>
      <c r="P3373" s="82"/>
      <c r="Q3373" s="82"/>
      <c r="R3373" s="38"/>
      <c r="S3373" s="38"/>
      <c r="T3373" s="38"/>
      <c r="U3373" s="38"/>
      <c r="V3373" s="38"/>
      <c r="W3373" s="38"/>
      <c r="X3373" s="38"/>
      <c r="Y3373" s="38"/>
      <c r="Z3373" s="38"/>
      <c r="AA3373" s="38"/>
      <c r="AB3373" s="38"/>
      <c r="AC3373" s="38"/>
      <c r="AD3373" s="38"/>
      <c r="AE3373" s="38"/>
      <c r="AF3373" s="38"/>
      <c r="AG3373" s="38"/>
      <c r="AH3373" s="38"/>
    </row>
    <row r="3374" spans="3:34" ht="20.100000000000001" customHeight="1">
      <c r="C3374" s="113"/>
      <c r="D3374" s="114"/>
      <c r="P3374" s="82"/>
      <c r="Q3374" s="82"/>
      <c r="R3374" s="38"/>
      <c r="S3374" s="38"/>
      <c r="T3374" s="38"/>
      <c r="U3374" s="38"/>
      <c r="V3374" s="38"/>
      <c r="W3374" s="38"/>
      <c r="X3374" s="38"/>
      <c r="Y3374" s="38"/>
      <c r="Z3374" s="38"/>
      <c r="AA3374" s="38"/>
      <c r="AB3374" s="38"/>
      <c r="AC3374" s="38"/>
      <c r="AD3374" s="38"/>
      <c r="AE3374" s="38"/>
      <c r="AF3374" s="38"/>
      <c r="AG3374" s="38"/>
      <c r="AH3374" s="38"/>
    </row>
    <row r="3375" spans="3:34" ht="20.100000000000001" customHeight="1">
      <c r="C3375" s="113"/>
      <c r="D3375" s="114"/>
      <c r="P3375" s="82"/>
      <c r="Q3375" s="82"/>
      <c r="R3375" s="38"/>
      <c r="S3375" s="38"/>
      <c r="T3375" s="38"/>
      <c r="U3375" s="38"/>
      <c r="V3375" s="38"/>
      <c r="W3375" s="38"/>
      <c r="X3375" s="38"/>
      <c r="Y3375" s="38"/>
      <c r="Z3375" s="38"/>
      <c r="AA3375" s="38"/>
      <c r="AB3375" s="38"/>
      <c r="AC3375" s="38"/>
      <c r="AD3375" s="38"/>
      <c r="AE3375" s="38"/>
      <c r="AF3375" s="38"/>
      <c r="AG3375" s="38"/>
      <c r="AH3375" s="38"/>
    </row>
    <row r="3376" spans="3:34" ht="20.100000000000001" customHeight="1">
      <c r="C3376" s="113"/>
      <c r="D3376" s="114"/>
      <c r="P3376" s="82"/>
      <c r="Q3376" s="82"/>
      <c r="R3376" s="38"/>
      <c r="S3376" s="38"/>
      <c r="T3376" s="38"/>
      <c r="U3376" s="38"/>
      <c r="V3376" s="38"/>
      <c r="W3376" s="38"/>
      <c r="X3376" s="38"/>
      <c r="Y3376" s="38"/>
      <c r="Z3376" s="38"/>
      <c r="AA3376" s="38"/>
      <c r="AB3376" s="38"/>
      <c r="AC3376" s="38"/>
      <c r="AD3376" s="38"/>
      <c r="AE3376" s="38"/>
      <c r="AF3376" s="38"/>
      <c r="AG3376" s="38"/>
      <c r="AH3376" s="38"/>
    </row>
    <row r="3377" spans="3:34" ht="20.100000000000001" customHeight="1">
      <c r="C3377" s="113"/>
      <c r="D3377" s="114"/>
      <c r="P3377" s="82"/>
      <c r="Q3377" s="82"/>
      <c r="R3377" s="38"/>
      <c r="S3377" s="38"/>
      <c r="T3377" s="38"/>
      <c r="U3377" s="38"/>
      <c r="V3377" s="38"/>
      <c r="W3377" s="38"/>
      <c r="X3377" s="38"/>
      <c r="Y3377" s="38"/>
      <c r="Z3377" s="38"/>
      <c r="AA3377" s="38"/>
      <c r="AB3377" s="38"/>
      <c r="AC3377" s="38"/>
      <c r="AD3377" s="38"/>
      <c r="AE3377" s="38"/>
      <c r="AF3377" s="38"/>
      <c r="AG3377" s="38"/>
      <c r="AH3377" s="38"/>
    </row>
    <row r="3378" spans="3:34" ht="20.100000000000001" customHeight="1">
      <c r="C3378" s="113"/>
      <c r="D3378" s="114"/>
      <c r="P3378" s="82"/>
      <c r="Q3378" s="82"/>
      <c r="R3378" s="38"/>
      <c r="S3378" s="38"/>
      <c r="T3378" s="38"/>
      <c r="U3378" s="38"/>
      <c r="V3378" s="38"/>
      <c r="W3378" s="38"/>
      <c r="X3378" s="38"/>
      <c r="Y3378" s="38"/>
      <c r="Z3378" s="38"/>
      <c r="AA3378" s="38"/>
      <c r="AB3378" s="38"/>
      <c r="AC3378" s="38"/>
      <c r="AD3378" s="38"/>
      <c r="AE3378" s="38"/>
      <c r="AF3378" s="38"/>
      <c r="AG3378" s="38"/>
      <c r="AH3378" s="38"/>
    </row>
    <row r="3379" spans="3:34" ht="20.100000000000001" customHeight="1">
      <c r="C3379" s="113"/>
      <c r="D3379" s="114"/>
      <c r="P3379" s="82"/>
      <c r="Q3379" s="82"/>
      <c r="R3379" s="38"/>
      <c r="S3379" s="38"/>
      <c r="T3379" s="38"/>
      <c r="U3379" s="38"/>
      <c r="V3379" s="38"/>
      <c r="W3379" s="38"/>
      <c r="X3379" s="38"/>
      <c r="Y3379" s="38"/>
      <c r="Z3379" s="38"/>
      <c r="AA3379" s="38"/>
      <c r="AB3379" s="38"/>
      <c r="AC3379" s="38"/>
      <c r="AD3379" s="38"/>
      <c r="AE3379" s="38"/>
      <c r="AF3379" s="38"/>
      <c r="AG3379" s="38"/>
      <c r="AH3379" s="38"/>
    </row>
    <row r="3380" spans="3:34" ht="20.100000000000001" customHeight="1">
      <c r="C3380" s="113"/>
      <c r="D3380" s="114"/>
      <c r="P3380" s="82"/>
      <c r="Q3380" s="82"/>
      <c r="R3380" s="38"/>
      <c r="S3380" s="38"/>
      <c r="T3380" s="38"/>
      <c r="U3380" s="38"/>
      <c r="V3380" s="38"/>
      <c r="W3380" s="38"/>
      <c r="X3380" s="38"/>
      <c r="Y3380" s="38"/>
      <c r="Z3380" s="38"/>
      <c r="AA3380" s="38"/>
      <c r="AB3380" s="38"/>
      <c r="AC3380" s="38"/>
      <c r="AD3380" s="38"/>
      <c r="AE3380" s="38"/>
      <c r="AF3380" s="38"/>
      <c r="AG3380" s="38"/>
      <c r="AH3380" s="38"/>
    </row>
    <row r="3381" spans="3:34" ht="20.100000000000001" customHeight="1">
      <c r="C3381" s="113"/>
      <c r="D3381" s="114"/>
      <c r="P3381" s="82"/>
      <c r="Q3381" s="82"/>
      <c r="R3381" s="38"/>
      <c r="S3381" s="38"/>
      <c r="T3381" s="38"/>
      <c r="U3381" s="38"/>
      <c r="V3381" s="38"/>
      <c r="W3381" s="38"/>
      <c r="X3381" s="38"/>
      <c r="Y3381" s="38"/>
      <c r="Z3381" s="38"/>
      <c r="AA3381" s="38"/>
      <c r="AB3381" s="38"/>
      <c r="AC3381" s="38"/>
      <c r="AD3381" s="38"/>
      <c r="AE3381" s="38"/>
      <c r="AF3381" s="38"/>
      <c r="AG3381" s="38"/>
      <c r="AH3381" s="38"/>
    </row>
    <row r="3382" spans="3:34" ht="20.100000000000001" customHeight="1">
      <c r="C3382" s="113"/>
      <c r="D3382" s="114"/>
      <c r="P3382" s="82"/>
      <c r="Q3382" s="82"/>
      <c r="R3382" s="38"/>
      <c r="S3382" s="38"/>
      <c r="T3382" s="38"/>
      <c r="U3382" s="38"/>
      <c r="V3382" s="38"/>
      <c r="W3382" s="38"/>
      <c r="X3382" s="38"/>
      <c r="Y3382" s="38"/>
      <c r="Z3382" s="38"/>
      <c r="AA3382" s="38"/>
      <c r="AB3382" s="38"/>
      <c r="AC3382" s="38"/>
      <c r="AD3382" s="38"/>
      <c r="AE3382" s="38"/>
      <c r="AF3382" s="38"/>
      <c r="AG3382" s="38"/>
      <c r="AH3382" s="38"/>
    </row>
    <row r="3383" spans="3:34" ht="20.100000000000001" customHeight="1">
      <c r="C3383" s="113"/>
      <c r="D3383" s="114"/>
      <c r="P3383" s="82"/>
      <c r="Q3383" s="82"/>
      <c r="R3383" s="38"/>
      <c r="S3383" s="38"/>
      <c r="T3383" s="38"/>
      <c r="U3383" s="38"/>
      <c r="V3383" s="38"/>
      <c r="W3383" s="38"/>
      <c r="X3383" s="38"/>
      <c r="Y3383" s="38"/>
      <c r="Z3383" s="38"/>
      <c r="AA3383" s="38"/>
      <c r="AB3383" s="38"/>
      <c r="AC3383" s="38"/>
      <c r="AD3383" s="38"/>
      <c r="AE3383" s="38"/>
      <c r="AF3383" s="38"/>
      <c r="AG3383" s="38"/>
      <c r="AH3383" s="38"/>
    </row>
    <row r="3384" spans="3:34" ht="20.100000000000001" customHeight="1">
      <c r="C3384" s="113"/>
      <c r="D3384" s="114"/>
      <c r="P3384" s="82"/>
      <c r="Q3384" s="82"/>
      <c r="R3384" s="38"/>
      <c r="S3384" s="38"/>
      <c r="T3384" s="38"/>
      <c r="U3384" s="38"/>
      <c r="V3384" s="38"/>
      <c r="W3384" s="38"/>
      <c r="X3384" s="38"/>
      <c r="Y3384" s="38"/>
      <c r="Z3384" s="38"/>
      <c r="AA3384" s="38"/>
      <c r="AB3384" s="38"/>
      <c r="AC3384" s="38"/>
      <c r="AD3384" s="38"/>
      <c r="AE3384" s="38"/>
      <c r="AF3384" s="38"/>
      <c r="AG3384" s="38"/>
      <c r="AH3384" s="38"/>
    </row>
    <row r="3385" spans="3:34" ht="20.100000000000001" customHeight="1">
      <c r="C3385" s="113"/>
      <c r="D3385" s="114"/>
      <c r="P3385" s="82"/>
      <c r="Q3385" s="82"/>
      <c r="R3385" s="38"/>
      <c r="S3385" s="38"/>
      <c r="T3385" s="38"/>
      <c r="U3385" s="38"/>
      <c r="V3385" s="38"/>
      <c r="W3385" s="38"/>
      <c r="X3385" s="38"/>
      <c r="Y3385" s="38"/>
      <c r="Z3385" s="38"/>
      <c r="AA3385" s="38"/>
      <c r="AB3385" s="38"/>
      <c r="AC3385" s="38"/>
      <c r="AD3385" s="38"/>
      <c r="AE3385" s="38"/>
      <c r="AF3385" s="38"/>
      <c r="AG3385" s="38"/>
      <c r="AH3385" s="38"/>
    </row>
    <row r="3386" spans="3:34" ht="20.100000000000001" customHeight="1">
      <c r="C3386" s="113"/>
      <c r="D3386" s="114"/>
      <c r="P3386" s="82"/>
      <c r="Q3386" s="82"/>
      <c r="R3386" s="38"/>
      <c r="S3386" s="38"/>
      <c r="T3386" s="38"/>
      <c r="U3386" s="38"/>
      <c r="V3386" s="38"/>
      <c r="W3386" s="38"/>
      <c r="X3386" s="38"/>
      <c r="Y3386" s="38"/>
      <c r="Z3386" s="38"/>
      <c r="AA3386" s="38"/>
      <c r="AB3386" s="38"/>
      <c r="AC3386" s="38"/>
      <c r="AD3386" s="38"/>
      <c r="AE3386" s="38"/>
      <c r="AF3386" s="38"/>
      <c r="AG3386" s="38"/>
      <c r="AH3386" s="38"/>
    </row>
    <row r="3387" spans="3:34" ht="20.100000000000001" customHeight="1">
      <c r="C3387" s="113"/>
      <c r="D3387" s="114"/>
      <c r="P3387" s="82"/>
      <c r="Q3387" s="82"/>
      <c r="R3387" s="38"/>
      <c r="S3387" s="38"/>
      <c r="T3387" s="38"/>
      <c r="U3387" s="38"/>
      <c r="V3387" s="38"/>
      <c r="W3387" s="38"/>
      <c r="X3387" s="38"/>
      <c r="Y3387" s="38"/>
      <c r="Z3387" s="38"/>
      <c r="AA3387" s="38"/>
      <c r="AB3387" s="38"/>
      <c r="AC3387" s="38"/>
      <c r="AD3387" s="38"/>
      <c r="AE3387" s="38"/>
      <c r="AF3387" s="38"/>
      <c r="AG3387" s="38"/>
      <c r="AH3387" s="38"/>
    </row>
    <row r="3388" spans="3:34" ht="20.100000000000001" customHeight="1">
      <c r="C3388" s="113"/>
      <c r="D3388" s="114"/>
      <c r="P3388" s="82"/>
      <c r="Q3388" s="82"/>
      <c r="R3388" s="38"/>
      <c r="S3388" s="38"/>
      <c r="T3388" s="38"/>
      <c r="U3388" s="38"/>
      <c r="V3388" s="38"/>
      <c r="W3388" s="38"/>
      <c r="X3388" s="38"/>
      <c r="Y3388" s="38"/>
      <c r="Z3388" s="38"/>
      <c r="AA3388" s="38"/>
      <c r="AB3388" s="38"/>
      <c r="AC3388" s="38"/>
      <c r="AD3388" s="38"/>
      <c r="AE3388" s="38"/>
      <c r="AF3388" s="38"/>
      <c r="AG3388" s="38"/>
      <c r="AH3388" s="38"/>
    </row>
    <row r="3389" spans="3:34" ht="20.100000000000001" customHeight="1">
      <c r="C3389" s="113"/>
      <c r="D3389" s="114"/>
      <c r="P3389" s="82"/>
      <c r="Q3389" s="82"/>
      <c r="R3389" s="38"/>
      <c r="S3389" s="38"/>
      <c r="T3389" s="38"/>
      <c r="U3389" s="38"/>
      <c r="V3389" s="38"/>
      <c r="W3389" s="38"/>
      <c r="X3389" s="38"/>
      <c r="Y3389" s="38"/>
      <c r="Z3389" s="38"/>
      <c r="AA3389" s="38"/>
      <c r="AB3389" s="38"/>
      <c r="AC3389" s="38"/>
      <c r="AD3389" s="38"/>
      <c r="AE3389" s="38"/>
      <c r="AF3389" s="38"/>
      <c r="AG3389" s="38"/>
      <c r="AH3389" s="38"/>
    </row>
    <row r="3390" spans="3:34" ht="20.100000000000001" customHeight="1">
      <c r="C3390" s="113"/>
      <c r="D3390" s="114"/>
      <c r="P3390" s="82"/>
      <c r="Q3390" s="82"/>
      <c r="R3390" s="38"/>
      <c r="S3390" s="38"/>
      <c r="T3390" s="38"/>
      <c r="U3390" s="38"/>
      <c r="V3390" s="38"/>
      <c r="W3390" s="38"/>
      <c r="X3390" s="38"/>
      <c r="Y3390" s="38"/>
      <c r="Z3390" s="38"/>
      <c r="AA3390" s="38"/>
      <c r="AB3390" s="38"/>
      <c r="AC3390" s="38"/>
      <c r="AD3390" s="38"/>
      <c r="AE3390" s="38"/>
      <c r="AF3390" s="38"/>
      <c r="AG3390" s="38"/>
      <c r="AH3390" s="38"/>
    </row>
    <row r="3391" spans="3:34" ht="20.100000000000001" customHeight="1">
      <c r="C3391" s="113"/>
      <c r="D3391" s="114"/>
      <c r="P3391" s="82"/>
      <c r="Q3391" s="82"/>
      <c r="R3391" s="38"/>
      <c r="S3391" s="38"/>
      <c r="T3391" s="38"/>
      <c r="U3391" s="38"/>
      <c r="V3391" s="38"/>
      <c r="W3391" s="38"/>
      <c r="X3391" s="38"/>
      <c r="Y3391" s="38"/>
      <c r="Z3391" s="38"/>
      <c r="AA3391" s="38"/>
      <c r="AB3391" s="38"/>
      <c r="AC3391" s="38"/>
      <c r="AD3391" s="38"/>
      <c r="AE3391" s="38"/>
      <c r="AF3391" s="38"/>
      <c r="AG3391" s="38"/>
      <c r="AH3391" s="38"/>
    </row>
    <row r="3392" spans="3:34" ht="20.100000000000001" customHeight="1">
      <c r="C3392" s="113"/>
      <c r="D3392" s="114"/>
      <c r="P3392" s="82"/>
      <c r="Q3392" s="82"/>
      <c r="R3392" s="38"/>
      <c r="S3392" s="38"/>
      <c r="T3392" s="38"/>
      <c r="U3392" s="38"/>
      <c r="V3392" s="38"/>
      <c r="W3392" s="38"/>
      <c r="X3392" s="38"/>
      <c r="Y3392" s="38"/>
      <c r="Z3392" s="38"/>
      <c r="AA3392" s="38"/>
      <c r="AB3392" s="38"/>
      <c r="AC3392" s="38"/>
      <c r="AD3392" s="38"/>
      <c r="AE3392" s="38"/>
      <c r="AF3392" s="38"/>
      <c r="AG3392" s="38"/>
      <c r="AH3392" s="38"/>
    </row>
    <row r="3393" spans="3:34" ht="20.100000000000001" customHeight="1">
      <c r="C3393" s="113"/>
      <c r="D3393" s="114"/>
      <c r="P3393" s="82"/>
      <c r="Q3393" s="82"/>
      <c r="R3393" s="38"/>
      <c r="S3393" s="38"/>
      <c r="T3393" s="38"/>
      <c r="U3393" s="38"/>
      <c r="V3393" s="38"/>
      <c r="W3393" s="38"/>
      <c r="X3393" s="38"/>
      <c r="Y3393" s="38"/>
      <c r="Z3393" s="38"/>
      <c r="AA3393" s="38"/>
      <c r="AB3393" s="38"/>
      <c r="AC3393" s="38"/>
      <c r="AD3393" s="38"/>
      <c r="AE3393" s="38"/>
      <c r="AF3393" s="38"/>
      <c r="AG3393" s="38"/>
      <c r="AH3393" s="38"/>
    </row>
    <row r="3394" spans="3:34" ht="20.100000000000001" customHeight="1">
      <c r="C3394" s="113"/>
      <c r="D3394" s="114"/>
      <c r="P3394" s="82"/>
      <c r="Q3394" s="82"/>
      <c r="R3394" s="38"/>
      <c r="S3394" s="38"/>
      <c r="T3394" s="38"/>
      <c r="U3394" s="38"/>
      <c r="V3394" s="38"/>
      <c r="W3394" s="38"/>
      <c r="X3394" s="38"/>
      <c r="Y3394" s="38"/>
      <c r="Z3394" s="38"/>
      <c r="AA3394" s="38"/>
      <c r="AB3394" s="38"/>
      <c r="AC3394" s="38"/>
      <c r="AD3394" s="38"/>
      <c r="AE3394" s="38"/>
      <c r="AF3394" s="38"/>
      <c r="AG3394" s="38"/>
      <c r="AH3394" s="38"/>
    </row>
    <row r="3395" spans="3:34" ht="20.100000000000001" customHeight="1">
      <c r="C3395" s="113"/>
      <c r="D3395" s="114"/>
      <c r="P3395" s="82"/>
      <c r="Q3395" s="82"/>
      <c r="R3395" s="38"/>
      <c r="S3395" s="38"/>
      <c r="T3395" s="38"/>
      <c r="U3395" s="38"/>
      <c r="V3395" s="38"/>
      <c r="W3395" s="38"/>
      <c r="X3395" s="38"/>
      <c r="Y3395" s="38"/>
      <c r="Z3395" s="38"/>
      <c r="AA3395" s="38"/>
      <c r="AB3395" s="38"/>
      <c r="AC3395" s="38"/>
      <c r="AD3395" s="38"/>
      <c r="AE3395" s="38"/>
      <c r="AF3395" s="38"/>
      <c r="AG3395" s="38"/>
      <c r="AH3395" s="38"/>
    </row>
    <row r="3396" spans="3:34" ht="20.100000000000001" customHeight="1">
      <c r="C3396" s="113"/>
      <c r="D3396" s="114"/>
      <c r="P3396" s="82"/>
      <c r="Q3396" s="82"/>
      <c r="R3396" s="38"/>
      <c r="S3396" s="38"/>
      <c r="T3396" s="38"/>
      <c r="U3396" s="38"/>
      <c r="V3396" s="38"/>
      <c r="W3396" s="38"/>
      <c r="X3396" s="38"/>
      <c r="Y3396" s="38"/>
      <c r="Z3396" s="38"/>
      <c r="AA3396" s="38"/>
      <c r="AB3396" s="38"/>
      <c r="AC3396" s="38"/>
      <c r="AD3396" s="38"/>
      <c r="AE3396" s="38"/>
      <c r="AF3396" s="38"/>
      <c r="AG3396" s="38"/>
      <c r="AH3396" s="38"/>
    </row>
    <row r="3397" spans="3:34" ht="20.100000000000001" customHeight="1">
      <c r="C3397" s="113"/>
      <c r="D3397" s="114"/>
      <c r="P3397" s="82"/>
      <c r="Q3397" s="82"/>
      <c r="R3397" s="38"/>
      <c r="S3397" s="38"/>
      <c r="T3397" s="38"/>
      <c r="U3397" s="38"/>
      <c r="V3397" s="38"/>
      <c r="W3397" s="38"/>
      <c r="X3397" s="38"/>
      <c r="Y3397" s="38"/>
      <c r="Z3397" s="38"/>
      <c r="AA3397" s="38"/>
      <c r="AB3397" s="38"/>
      <c r="AC3397" s="38"/>
      <c r="AD3397" s="38"/>
      <c r="AE3397" s="38"/>
      <c r="AF3397" s="38"/>
      <c r="AG3397" s="38"/>
      <c r="AH3397" s="38"/>
    </row>
    <row r="3398" spans="3:34" ht="20.100000000000001" customHeight="1">
      <c r="C3398" s="113"/>
      <c r="D3398" s="114"/>
      <c r="P3398" s="82"/>
      <c r="Q3398" s="82"/>
      <c r="R3398" s="38"/>
      <c r="S3398" s="38"/>
      <c r="T3398" s="38"/>
      <c r="U3398" s="38"/>
      <c r="V3398" s="38"/>
      <c r="W3398" s="38"/>
      <c r="X3398" s="38"/>
      <c r="Y3398" s="38"/>
      <c r="Z3398" s="38"/>
      <c r="AA3398" s="38"/>
      <c r="AB3398" s="38"/>
      <c r="AC3398" s="38"/>
      <c r="AD3398" s="38"/>
      <c r="AE3398" s="38"/>
      <c r="AF3398" s="38"/>
      <c r="AG3398" s="38"/>
      <c r="AH3398" s="38"/>
    </row>
    <row r="3399" spans="3:34" ht="20.100000000000001" customHeight="1">
      <c r="C3399" s="113"/>
      <c r="D3399" s="114"/>
      <c r="P3399" s="82"/>
      <c r="Q3399" s="82"/>
      <c r="R3399" s="38"/>
      <c r="S3399" s="38"/>
      <c r="T3399" s="38"/>
      <c r="U3399" s="38"/>
      <c r="V3399" s="38"/>
      <c r="W3399" s="38"/>
      <c r="X3399" s="38"/>
      <c r="Y3399" s="38"/>
      <c r="Z3399" s="38"/>
      <c r="AA3399" s="38"/>
      <c r="AB3399" s="38"/>
      <c r="AC3399" s="38"/>
      <c r="AD3399" s="38"/>
      <c r="AE3399" s="38"/>
      <c r="AF3399" s="38"/>
      <c r="AG3399" s="38"/>
      <c r="AH3399" s="38"/>
    </row>
    <row r="3400" spans="3:34" ht="20.100000000000001" customHeight="1">
      <c r="C3400" s="113"/>
      <c r="D3400" s="114"/>
      <c r="P3400" s="82"/>
      <c r="Q3400" s="82"/>
      <c r="R3400" s="38"/>
      <c r="S3400" s="38"/>
      <c r="T3400" s="38"/>
      <c r="U3400" s="38"/>
      <c r="V3400" s="38"/>
      <c r="W3400" s="38"/>
      <c r="X3400" s="38"/>
      <c r="Y3400" s="38"/>
      <c r="Z3400" s="38"/>
      <c r="AA3400" s="38"/>
      <c r="AB3400" s="38"/>
      <c r="AC3400" s="38"/>
      <c r="AD3400" s="38"/>
      <c r="AE3400" s="38"/>
      <c r="AF3400" s="38"/>
      <c r="AG3400" s="38"/>
      <c r="AH3400" s="38"/>
    </row>
    <row r="3401" spans="3:34" ht="20.100000000000001" customHeight="1">
      <c r="C3401" s="113"/>
      <c r="D3401" s="114"/>
      <c r="P3401" s="82"/>
      <c r="Q3401" s="82"/>
      <c r="R3401" s="38"/>
      <c r="S3401" s="38"/>
      <c r="T3401" s="38"/>
      <c r="U3401" s="38"/>
      <c r="V3401" s="38"/>
      <c r="W3401" s="38"/>
      <c r="X3401" s="38"/>
      <c r="Y3401" s="38"/>
      <c r="Z3401" s="38"/>
      <c r="AA3401" s="38"/>
      <c r="AB3401" s="38"/>
      <c r="AC3401" s="38"/>
      <c r="AD3401" s="38"/>
      <c r="AE3401" s="38"/>
      <c r="AF3401" s="38"/>
      <c r="AG3401" s="38"/>
      <c r="AH3401" s="38"/>
    </row>
    <row r="3402" spans="3:34" ht="20.100000000000001" customHeight="1">
      <c r="C3402" s="113"/>
      <c r="D3402" s="114"/>
      <c r="P3402" s="82"/>
      <c r="Q3402" s="82"/>
      <c r="R3402" s="38"/>
      <c r="S3402" s="38"/>
      <c r="T3402" s="38"/>
      <c r="U3402" s="38"/>
      <c r="V3402" s="38"/>
      <c r="W3402" s="38"/>
      <c r="X3402" s="38"/>
      <c r="Y3402" s="38"/>
      <c r="Z3402" s="38"/>
      <c r="AA3402" s="38"/>
      <c r="AB3402" s="38"/>
      <c r="AC3402" s="38"/>
      <c r="AD3402" s="38"/>
      <c r="AE3402" s="38"/>
      <c r="AF3402" s="38"/>
      <c r="AG3402" s="38"/>
      <c r="AH3402" s="38"/>
    </row>
    <row r="3403" spans="3:34" ht="20.100000000000001" customHeight="1">
      <c r="C3403" s="113"/>
      <c r="D3403" s="114"/>
      <c r="P3403" s="82"/>
      <c r="Q3403" s="82"/>
      <c r="R3403" s="38"/>
      <c r="S3403" s="38"/>
      <c r="T3403" s="38"/>
      <c r="U3403" s="38"/>
      <c r="V3403" s="38"/>
      <c r="W3403" s="38"/>
      <c r="X3403" s="38"/>
      <c r="Y3403" s="38"/>
      <c r="Z3403" s="38"/>
      <c r="AA3403" s="38"/>
      <c r="AB3403" s="38"/>
      <c r="AC3403" s="38"/>
      <c r="AD3403" s="38"/>
      <c r="AE3403" s="38"/>
      <c r="AF3403" s="38"/>
      <c r="AG3403" s="38"/>
      <c r="AH3403" s="38"/>
    </row>
    <row r="3404" spans="3:34" ht="20.100000000000001" customHeight="1">
      <c r="C3404" s="113"/>
      <c r="D3404" s="114"/>
      <c r="P3404" s="82"/>
      <c r="Q3404" s="82"/>
      <c r="R3404" s="38"/>
      <c r="S3404" s="38"/>
      <c r="T3404" s="38"/>
      <c r="U3404" s="38"/>
      <c r="V3404" s="38"/>
      <c r="W3404" s="38"/>
      <c r="X3404" s="38"/>
      <c r="Y3404" s="38"/>
      <c r="Z3404" s="38"/>
      <c r="AA3404" s="38"/>
      <c r="AB3404" s="38"/>
      <c r="AC3404" s="38"/>
      <c r="AD3404" s="38"/>
      <c r="AE3404" s="38"/>
      <c r="AF3404" s="38"/>
      <c r="AG3404" s="38"/>
      <c r="AH3404" s="38"/>
    </row>
    <row r="3405" spans="3:34" ht="20.100000000000001" customHeight="1">
      <c r="C3405" s="113"/>
      <c r="D3405" s="114"/>
      <c r="P3405" s="82"/>
      <c r="Q3405" s="82"/>
      <c r="R3405" s="38"/>
      <c r="S3405" s="38"/>
      <c r="T3405" s="38"/>
      <c r="U3405" s="38"/>
      <c r="V3405" s="38"/>
      <c r="W3405" s="38"/>
      <c r="X3405" s="38"/>
      <c r="Y3405" s="38"/>
      <c r="Z3405" s="38"/>
      <c r="AA3405" s="38"/>
      <c r="AB3405" s="38"/>
      <c r="AC3405" s="38"/>
      <c r="AD3405" s="38"/>
      <c r="AE3405" s="38"/>
      <c r="AF3405" s="38"/>
      <c r="AG3405" s="38"/>
      <c r="AH3405" s="38"/>
    </row>
    <row r="3406" spans="3:34" ht="20.100000000000001" customHeight="1">
      <c r="C3406" s="113"/>
      <c r="D3406" s="114"/>
      <c r="P3406" s="82"/>
      <c r="Q3406" s="82"/>
      <c r="R3406" s="38"/>
      <c r="S3406" s="38"/>
      <c r="T3406" s="38"/>
      <c r="U3406" s="38"/>
      <c r="V3406" s="38"/>
      <c r="W3406" s="38"/>
      <c r="X3406" s="38"/>
      <c r="Y3406" s="38"/>
      <c r="Z3406" s="38"/>
      <c r="AA3406" s="38"/>
      <c r="AB3406" s="38"/>
      <c r="AC3406" s="38"/>
      <c r="AD3406" s="38"/>
      <c r="AE3406" s="38"/>
      <c r="AF3406" s="38"/>
      <c r="AG3406" s="38"/>
      <c r="AH3406" s="38"/>
    </row>
    <row r="3407" spans="3:34" ht="20.100000000000001" customHeight="1">
      <c r="C3407" s="113"/>
      <c r="D3407" s="114"/>
      <c r="P3407" s="82"/>
      <c r="Q3407" s="82"/>
      <c r="R3407" s="38"/>
      <c r="S3407" s="38"/>
      <c r="T3407" s="38"/>
      <c r="U3407" s="38"/>
      <c r="V3407" s="38"/>
      <c r="W3407" s="38"/>
      <c r="X3407" s="38"/>
      <c r="Y3407" s="38"/>
      <c r="Z3407" s="38"/>
      <c r="AA3407" s="38"/>
      <c r="AB3407" s="38"/>
      <c r="AC3407" s="38"/>
      <c r="AD3407" s="38"/>
      <c r="AE3407" s="38"/>
      <c r="AF3407" s="38"/>
      <c r="AG3407" s="38"/>
      <c r="AH3407" s="38"/>
    </row>
    <row r="3408" spans="3:34" ht="20.100000000000001" customHeight="1">
      <c r="C3408" s="113"/>
      <c r="D3408" s="114"/>
      <c r="P3408" s="82"/>
      <c r="Q3408" s="82"/>
      <c r="R3408" s="38"/>
      <c r="S3408" s="38"/>
      <c r="T3408" s="38"/>
      <c r="U3408" s="38"/>
      <c r="V3408" s="38"/>
      <c r="W3408" s="38"/>
      <c r="X3408" s="38"/>
      <c r="Y3408" s="38"/>
      <c r="Z3408" s="38"/>
      <c r="AA3408" s="38"/>
      <c r="AB3408" s="38"/>
      <c r="AC3408" s="38"/>
      <c r="AD3408" s="38"/>
      <c r="AE3408" s="38"/>
      <c r="AF3408" s="38"/>
      <c r="AG3408" s="38"/>
      <c r="AH3408" s="38"/>
    </row>
    <row r="3409" spans="3:34" ht="20.100000000000001" customHeight="1">
      <c r="C3409" s="113"/>
      <c r="D3409" s="114"/>
      <c r="P3409" s="82"/>
      <c r="Q3409" s="82"/>
      <c r="R3409" s="38"/>
      <c r="S3409" s="38"/>
      <c r="T3409" s="38"/>
      <c r="U3409" s="38"/>
      <c r="V3409" s="38"/>
      <c r="W3409" s="38"/>
      <c r="X3409" s="38"/>
      <c r="Y3409" s="38"/>
      <c r="Z3409" s="38"/>
      <c r="AA3409" s="38"/>
      <c r="AB3409" s="38"/>
      <c r="AC3409" s="38"/>
      <c r="AD3409" s="38"/>
      <c r="AE3409" s="38"/>
      <c r="AF3409" s="38"/>
      <c r="AG3409" s="38"/>
      <c r="AH3409" s="38"/>
    </row>
    <row r="3410" spans="3:34" ht="20.100000000000001" customHeight="1">
      <c r="C3410" s="113"/>
      <c r="D3410" s="114"/>
      <c r="P3410" s="82"/>
      <c r="Q3410" s="82"/>
      <c r="R3410" s="38"/>
      <c r="S3410" s="38"/>
      <c r="T3410" s="38"/>
      <c r="U3410" s="38"/>
      <c r="V3410" s="38"/>
      <c r="W3410" s="38"/>
      <c r="X3410" s="38"/>
      <c r="Y3410" s="38"/>
      <c r="Z3410" s="38"/>
      <c r="AA3410" s="38"/>
      <c r="AB3410" s="38"/>
      <c r="AC3410" s="38"/>
      <c r="AD3410" s="38"/>
      <c r="AE3410" s="38"/>
      <c r="AF3410" s="38"/>
      <c r="AG3410" s="38"/>
      <c r="AH3410" s="38"/>
    </row>
    <row r="3411" spans="3:34" ht="20.100000000000001" customHeight="1">
      <c r="C3411" s="113"/>
      <c r="D3411" s="114"/>
      <c r="P3411" s="82"/>
      <c r="Q3411" s="82"/>
      <c r="R3411" s="38"/>
      <c r="S3411" s="38"/>
      <c r="T3411" s="38"/>
      <c r="U3411" s="38"/>
      <c r="V3411" s="38"/>
      <c r="W3411" s="38"/>
      <c r="X3411" s="38"/>
      <c r="Y3411" s="38"/>
      <c r="Z3411" s="38"/>
      <c r="AA3411" s="38"/>
      <c r="AB3411" s="38"/>
      <c r="AC3411" s="38"/>
      <c r="AD3411" s="38"/>
      <c r="AE3411" s="38"/>
      <c r="AF3411" s="38"/>
      <c r="AG3411" s="38"/>
      <c r="AH3411" s="38"/>
    </row>
    <row r="3412" spans="3:34" ht="20.100000000000001" customHeight="1">
      <c r="C3412" s="113"/>
      <c r="D3412" s="114"/>
      <c r="P3412" s="82"/>
      <c r="Q3412" s="82"/>
      <c r="R3412" s="38"/>
      <c r="S3412" s="38"/>
      <c r="T3412" s="38"/>
      <c r="U3412" s="38"/>
      <c r="V3412" s="38"/>
      <c r="W3412" s="38"/>
      <c r="X3412" s="38"/>
      <c r="Y3412" s="38"/>
      <c r="Z3412" s="38"/>
      <c r="AA3412" s="38"/>
      <c r="AB3412" s="38"/>
      <c r="AC3412" s="38"/>
      <c r="AD3412" s="38"/>
      <c r="AE3412" s="38"/>
      <c r="AF3412" s="38"/>
      <c r="AG3412" s="38"/>
      <c r="AH3412" s="38"/>
    </row>
    <row r="3413" spans="3:34" ht="20.100000000000001" customHeight="1">
      <c r="C3413" s="113"/>
      <c r="D3413" s="114"/>
      <c r="P3413" s="82"/>
      <c r="Q3413" s="82"/>
      <c r="R3413" s="38"/>
      <c r="S3413" s="38"/>
      <c r="T3413" s="38"/>
      <c r="U3413" s="38"/>
      <c r="V3413" s="38"/>
      <c r="W3413" s="38"/>
      <c r="X3413" s="38"/>
      <c r="Y3413" s="38"/>
      <c r="Z3413" s="38"/>
      <c r="AA3413" s="38"/>
      <c r="AB3413" s="38"/>
      <c r="AC3413" s="38"/>
      <c r="AD3413" s="38"/>
      <c r="AE3413" s="38"/>
      <c r="AF3413" s="38"/>
      <c r="AG3413" s="38"/>
      <c r="AH3413" s="38"/>
    </row>
    <row r="3414" spans="3:34" ht="20.100000000000001" customHeight="1">
      <c r="C3414" s="113"/>
      <c r="D3414" s="114"/>
      <c r="P3414" s="82"/>
      <c r="Q3414" s="82"/>
      <c r="R3414" s="38"/>
      <c r="S3414" s="38"/>
      <c r="T3414" s="38"/>
      <c r="U3414" s="38"/>
      <c r="V3414" s="38"/>
      <c r="W3414" s="38"/>
      <c r="X3414" s="38"/>
      <c r="Y3414" s="38"/>
      <c r="Z3414" s="38"/>
      <c r="AA3414" s="38"/>
      <c r="AB3414" s="38"/>
      <c r="AC3414" s="38"/>
      <c r="AD3414" s="38"/>
      <c r="AE3414" s="38"/>
      <c r="AF3414" s="38"/>
      <c r="AG3414" s="38"/>
      <c r="AH3414" s="38"/>
    </row>
    <row r="3415" spans="3:34" ht="20.100000000000001" customHeight="1">
      <c r="C3415" s="113"/>
      <c r="D3415" s="114"/>
      <c r="P3415" s="82"/>
      <c r="Q3415" s="82"/>
      <c r="R3415" s="38"/>
      <c r="S3415" s="38"/>
      <c r="T3415" s="38"/>
      <c r="U3415" s="38"/>
      <c r="V3415" s="38"/>
      <c r="W3415" s="38"/>
      <c r="X3415" s="38"/>
      <c r="Y3415" s="38"/>
      <c r="Z3415" s="38"/>
      <c r="AA3415" s="38"/>
      <c r="AB3415" s="38"/>
      <c r="AC3415" s="38"/>
      <c r="AD3415" s="38"/>
      <c r="AE3415" s="38"/>
      <c r="AF3415" s="38"/>
      <c r="AG3415" s="38"/>
      <c r="AH3415" s="38"/>
    </row>
    <row r="3416" spans="3:34" ht="20.100000000000001" customHeight="1">
      <c r="C3416" s="113"/>
      <c r="D3416" s="114"/>
      <c r="P3416" s="82"/>
      <c r="Q3416" s="82"/>
      <c r="R3416" s="38"/>
      <c r="S3416" s="38"/>
      <c r="T3416" s="38"/>
      <c r="U3416" s="38"/>
      <c r="V3416" s="38"/>
      <c r="W3416" s="38"/>
      <c r="X3416" s="38"/>
      <c r="Y3416" s="38"/>
      <c r="Z3416" s="38"/>
      <c r="AA3416" s="38"/>
      <c r="AB3416" s="38"/>
      <c r="AC3416" s="38"/>
      <c r="AD3416" s="38"/>
      <c r="AE3416" s="38"/>
      <c r="AF3416" s="38"/>
      <c r="AG3416" s="38"/>
      <c r="AH3416" s="38"/>
    </row>
    <row r="3417" spans="3:34" ht="20.100000000000001" customHeight="1">
      <c r="C3417" s="113"/>
      <c r="D3417" s="114"/>
      <c r="P3417" s="82"/>
      <c r="Q3417" s="82"/>
      <c r="R3417" s="38"/>
      <c r="S3417" s="38"/>
      <c r="T3417" s="38"/>
      <c r="U3417" s="38"/>
      <c r="V3417" s="38"/>
      <c r="W3417" s="38"/>
      <c r="X3417" s="38"/>
      <c r="Y3417" s="38"/>
      <c r="Z3417" s="38"/>
      <c r="AA3417" s="38"/>
      <c r="AB3417" s="38"/>
      <c r="AC3417" s="38"/>
      <c r="AD3417" s="38"/>
      <c r="AE3417" s="38"/>
      <c r="AF3417" s="38"/>
      <c r="AG3417" s="38"/>
      <c r="AH3417" s="38"/>
    </row>
    <row r="3418" spans="3:34" ht="20.100000000000001" customHeight="1">
      <c r="C3418" s="113"/>
      <c r="D3418" s="114"/>
      <c r="P3418" s="82"/>
      <c r="Q3418" s="82"/>
      <c r="R3418" s="38"/>
      <c r="S3418" s="38"/>
      <c r="T3418" s="38"/>
      <c r="U3418" s="38"/>
      <c r="V3418" s="38"/>
      <c r="W3418" s="38"/>
      <c r="X3418" s="38"/>
      <c r="Y3418" s="38"/>
      <c r="Z3418" s="38"/>
      <c r="AA3418" s="38"/>
      <c r="AB3418" s="38"/>
      <c r="AC3418" s="38"/>
      <c r="AD3418" s="38"/>
      <c r="AE3418" s="38"/>
      <c r="AF3418" s="38"/>
      <c r="AG3418" s="38"/>
      <c r="AH3418" s="38"/>
    </row>
    <row r="3419" spans="3:34" ht="20.100000000000001" customHeight="1">
      <c r="C3419" s="113"/>
      <c r="D3419" s="114"/>
      <c r="P3419" s="82"/>
      <c r="Q3419" s="82"/>
      <c r="R3419" s="38"/>
      <c r="S3419" s="38"/>
      <c r="T3419" s="38"/>
      <c r="U3419" s="38"/>
      <c r="V3419" s="38"/>
      <c r="W3419" s="38"/>
      <c r="X3419" s="38"/>
      <c r="Y3419" s="38"/>
      <c r="Z3419" s="38"/>
      <c r="AA3419" s="38"/>
      <c r="AB3419" s="38"/>
      <c r="AC3419" s="38"/>
      <c r="AD3419" s="38"/>
      <c r="AE3419" s="38"/>
      <c r="AF3419" s="38"/>
      <c r="AG3419" s="38"/>
      <c r="AH3419" s="38"/>
    </row>
    <row r="3420" spans="3:34" ht="20.100000000000001" customHeight="1">
      <c r="C3420" s="113"/>
      <c r="D3420" s="114"/>
      <c r="P3420" s="82"/>
      <c r="Q3420" s="82"/>
      <c r="R3420" s="38"/>
      <c r="S3420" s="38"/>
      <c r="T3420" s="38"/>
      <c r="U3420" s="38"/>
      <c r="V3420" s="38"/>
      <c r="W3420" s="38"/>
      <c r="X3420" s="38"/>
      <c r="Y3420" s="38"/>
      <c r="Z3420" s="38"/>
      <c r="AA3420" s="38"/>
      <c r="AB3420" s="38"/>
      <c r="AC3420" s="38"/>
      <c r="AD3420" s="38"/>
      <c r="AE3420" s="38"/>
      <c r="AF3420" s="38"/>
      <c r="AG3420" s="38"/>
      <c r="AH3420" s="38"/>
    </row>
    <row r="3421" spans="3:34" ht="20.100000000000001" customHeight="1">
      <c r="C3421" s="113"/>
      <c r="D3421" s="114"/>
      <c r="P3421" s="82"/>
      <c r="Q3421" s="82"/>
      <c r="R3421" s="38"/>
      <c r="S3421" s="38"/>
      <c r="T3421" s="38"/>
      <c r="U3421" s="38"/>
      <c r="V3421" s="38"/>
      <c r="W3421" s="38"/>
      <c r="X3421" s="38"/>
      <c r="Y3421" s="38"/>
      <c r="Z3421" s="38"/>
      <c r="AA3421" s="38"/>
      <c r="AB3421" s="38"/>
      <c r="AC3421" s="38"/>
      <c r="AD3421" s="38"/>
      <c r="AE3421" s="38"/>
      <c r="AF3421" s="38"/>
      <c r="AG3421" s="38"/>
      <c r="AH3421" s="38"/>
    </row>
    <row r="3422" spans="3:34" ht="20.100000000000001" customHeight="1">
      <c r="C3422" s="113"/>
      <c r="D3422" s="114"/>
      <c r="P3422" s="82"/>
      <c r="Q3422" s="82"/>
      <c r="R3422" s="38"/>
      <c r="S3422" s="38"/>
      <c r="T3422" s="38"/>
      <c r="U3422" s="38"/>
      <c r="V3422" s="38"/>
      <c r="W3422" s="38"/>
      <c r="X3422" s="38"/>
      <c r="Y3422" s="38"/>
      <c r="Z3422" s="38"/>
      <c r="AA3422" s="38"/>
      <c r="AB3422" s="38"/>
      <c r="AC3422" s="38"/>
      <c r="AD3422" s="38"/>
      <c r="AE3422" s="38"/>
      <c r="AF3422" s="38"/>
      <c r="AG3422" s="38"/>
      <c r="AH3422" s="38"/>
    </row>
    <row r="3423" spans="3:34" ht="20.100000000000001" customHeight="1">
      <c r="C3423" s="113"/>
      <c r="D3423" s="114"/>
      <c r="P3423" s="82"/>
      <c r="Q3423" s="82"/>
      <c r="R3423" s="38"/>
      <c r="S3423" s="38"/>
      <c r="T3423" s="38"/>
      <c r="U3423" s="38"/>
      <c r="V3423" s="38"/>
      <c r="W3423" s="38"/>
      <c r="X3423" s="38"/>
      <c r="Y3423" s="38"/>
      <c r="Z3423" s="38"/>
      <c r="AA3423" s="38"/>
      <c r="AB3423" s="38"/>
      <c r="AC3423" s="38"/>
      <c r="AD3423" s="38"/>
      <c r="AE3423" s="38"/>
      <c r="AF3423" s="38"/>
      <c r="AG3423" s="38"/>
      <c r="AH3423" s="38"/>
    </row>
    <row r="3424" spans="3:34" ht="20.100000000000001" customHeight="1">
      <c r="C3424" s="113"/>
      <c r="D3424" s="114"/>
      <c r="P3424" s="82"/>
      <c r="Q3424" s="82"/>
      <c r="R3424" s="38"/>
      <c r="S3424" s="38"/>
      <c r="T3424" s="38"/>
      <c r="U3424" s="38"/>
      <c r="V3424" s="38"/>
      <c r="W3424" s="38"/>
      <c r="X3424" s="38"/>
      <c r="Y3424" s="38"/>
      <c r="Z3424" s="38"/>
      <c r="AA3424" s="38"/>
      <c r="AB3424" s="38"/>
      <c r="AC3424" s="38"/>
      <c r="AD3424" s="38"/>
      <c r="AE3424" s="38"/>
      <c r="AF3424" s="38"/>
      <c r="AG3424" s="38"/>
      <c r="AH3424" s="38"/>
    </row>
    <row r="3425" spans="3:34" ht="20.100000000000001" customHeight="1">
      <c r="C3425" s="113"/>
      <c r="D3425" s="114"/>
      <c r="P3425" s="82"/>
      <c r="Q3425" s="82"/>
      <c r="R3425" s="38"/>
      <c r="S3425" s="38"/>
      <c r="T3425" s="38"/>
      <c r="U3425" s="38"/>
      <c r="V3425" s="38"/>
      <c r="W3425" s="38"/>
      <c r="X3425" s="38"/>
      <c r="Y3425" s="38"/>
      <c r="Z3425" s="38"/>
      <c r="AA3425" s="38"/>
      <c r="AB3425" s="38"/>
      <c r="AC3425" s="38"/>
      <c r="AD3425" s="38"/>
      <c r="AE3425" s="38"/>
      <c r="AF3425" s="38"/>
      <c r="AG3425" s="38"/>
      <c r="AH3425" s="38"/>
    </row>
    <row r="3426" spans="3:34" ht="20.100000000000001" customHeight="1">
      <c r="C3426" s="113"/>
      <c r="D3426" s="114"/>
      <c r="P3426" s="82"/>
      <c r="Q3426" s="82"/>
      <c r="R3426" s="38"/>
      <c r="S3426" s="38"/>
      <c r="T3426" s="38"/>
      <c r="U3426" s="38"/>
      <c r="V3426" s="38"/>
      <c r="W3426" s="38"/>
      <c r="X3426" s="38"/>
      <c r="Y3426" s="38"/>
      <c r="Z3426" s="38"/>
      <c r="AA3426" s="38"/>
      <c r="AB3426" s="38"/>
      <c r="AC3426" s="38"/>
      <c r="AD3426" s="38"/>
      <c r="AE3426" s="38"/>
      <c r="AF3426" s="38"/>
      <c r="AG3426" s="38"/>
      <c r="AH3426" s="38"/>
    </row>
    <row r="3427" spans="3:34" ht="20.100000000000001" customHeight="1">
      <c r="C3427" s="113"/>
      <c r="D3427" s="114"/>
      <c r="P3427" s="82"/>
      <c r="Q3427" s="82"/>
      <c r="R3427" s="38"/>
      <c r="S3427" s="38"/>
      <c r="T3427" s="38"/>
      <c r="U3427" s="38"/>
      <c r="V3427" s="38"/>
      <c r="W3427" s="38"/>
      <c r="X3427" s="38"/>
      <c r="Y3427" s="38"/>
      <c r="Z3427" s="38"/>
      <c r="AA3427" s="38"/>
      <c r="AB3427" s="38"/>
      <c r="AC3427" s="38"/>
      <c r="AD3427" s="38"/>
      <c r="AE3427" s="38"/>
      <c r="AF3427" s="38"/>
      <c r="AG3427" s="38"/>
      <c r="AH3427" s="38"/>
    </row>
    <row r="3428" spans="3:34" ht="20.100000000000001" customHeight="1">
      <c r="C3428" s="113"/>
      <c r="D3428" s="114"/>
      <c r="P3428" s="82"/>
      <c r="Q3428" s="82"/>
      <c r="R3428" s="38"/>
      <c r="S3428" s="38"/>
      <c r="T3428" s="38"/>
      <c r="U3428" s="38"/>
      <c r="V3428" s="38"/>
      <c r="W3428" s="38"/>
      <c r="X3428" s="38"/>
      <c r="Y3428" s="38"/>
      <c r="Z3428" s="38"/>
      <c r="AA3428" s="38"/>
      <c r="AB3428" s="38"/>
      <c r="AC3428" s="38"/>
      <c r="AD3428" s="38"/>
      <c r="AE3428" s="38"/>
      <c r="AF3428" s="38"/>
      <c r="AG3428" s="38"/>
      <c r="AH3428" s="38"/>
    </row>
    <row r="3429" spans="3:34" ht="20.100000000000001" customHeight="1">
      <c r="C3429" s="113"/>
      <c r="D3429" s="114"/>
      <c r="P3429" s="82"/>
      <c r="Q3429" s="82"/>
      <c r="R3429" s="38"/>
      <c r="S3429" s="38"/>
      <c r="T3429" s="38"/>
      <c r="U3429" s="38"/>
      <c r="V3429" s="38"/>
      <c r="W3429" s="38"/>
      <c r="X3429" s="38"/>
      <c r="Y3429" s="38"/>
      <c r="Z3429" s="38"/>
      <c r="AA3429" s="38"/>
      <c r="AB3429" s="38"/>
      <c r="AC3429" s="38"/>
      <c r="AD3429" s="38"/>
      <c r="AE3429" s="38"/>
      <c r="AF3429" s="38"/>
      <c r="AG3429" s="38"/>
      <c r="AH3429" s="38"/>
    </row>
    <row r="3430" spans="3:34" ht="20.100000000000001" customHeight="1">
      <c r="C3430" s="113"/>
      <c r="D3430" s="114"/>
      <c r="P3430" s="82"/>
      <c r="Q3430" s="82"/>
      <c r="R3430" s="38"/>
      <c r="S3430" s="38"/>
      <c r="T3430" s="38"/>
      <c r="U3430" s="38"/>
      <c r="V3430" s="38"/>
      <c r="W3430" s="38"/>
      <c r="X3430" s="38"/>
      <c r="Y3430" s="38"/>
      <c r="Z3430" s="38"/>
      <c r="AA3430" s="38"/>
      <c r="AB3430" s="38"/>
      <c r="AC3430" s="38"/>
      <c r="AD3430" s="38"/>
      <c r="AE3430" s="38"/>
      <c r="AF3430" s="38"/>
      <c r="AG3430" s="38"/>
      <c r="AH3430" s="38"/>
    </row>
    <row r="3431" spans="3:34" ht="20.100000000000001" customHeight="1">
      <c r="C3431" s="113"/>
      <c r="D3431" s="114"/>
      <c r="P3431" s="82"/>
      <c r="Q3431" s="82"/>
      <c r="R3431" s="38"/>
      <c r="S3431" s="38"/>
      <c r="T3431" s="38"/>
      <c r="U3431" s="38"/>
      <c r="V3431" s="38"/>
      <c r="W3431" s="38"/>
      <c r="X3431" s="38"/>
      <c r="Y3431" s="38"/>
      <c r="Z3431" s="38"/>
      <c r="AA3431" s="38"/>
      <c r="AB3431" s="38"/>
      <c r="AC3431" s="38"/>
      <c r="AD3431" s="38"/>
      <c r="AE3431" s="38"/>
      <c r="AF3431" s="38"/>
      <c r="AG3431" s="38"/>
      <c r="AH3431" s="38"/>
    </row>
    <row r="3432" spans="3:34" ht="20.100000000000001" customHeight="1">
      <c r="C3432" s="113"/>
      <c r="D3432" s="114"/>
      <c r="P3432" s="82"/>
      <c r="Q3432" s="82"/>
      <c r="R3432" s="38"/>
      <c r="S3432" s="38"/>
      <c r="T3432" s="38"/>
      <c r="U3432" s="38"/>
      <c r="V3432" s="38"/>
      <c r="W3432" s="38"/>
      <c r="X3432" s="38"/>
      <c r="Y3432" s="38"/>
      <c r="Z3432" s="38"/>
      <c r="AA3432" s="38"/>
      <c r="AB3432" s="38"/>
      <c r="AC3432" s="38"/>
      <c r="AD3432" s="38"/>
      <c r="AE3432" s="38"/>
      <c r="AF3432" s="38"/>
      <c r="AG3432" s="38"/>
      <c r="AH3432" s="38"/>
    </row>
    <row r="3433" spans="3:34" ht="20.100000000000001" customHeight="1">
      <c r="C3433" s="113"/>
      <c r="D3433" s="114"/>
      <c r="P3433" s="82"/>
      <c r="Q3433" s="82"/>
      <c r="R3433" s="38"/>
      <c r="S3433" s="38"/>
      <c r="T3433" s="38"/>
      <c r="U3433" s="38"/>
      <c r="V3433" s="38"/>
      <c r="W3433" s="38"/>
      <c r="X3433" s="38"/>
      <c r="Y3433" s="38"/>
      <c r="Z3433" s="38"/>
      <c r="AA3433" s="38"/>
      <c r="AB3433" s="38"/>
      <c r="AC3433" s="38"/>
      <c r="AD3433" s="38"/>
      <c r="AE3433" s="38"/>
      <c r="AF3433" s="38"/>
      <c r="AG3433" s="38"/>
      <c r="AH3433" s="38"/>
    </row>
    <row r="3434" spans="3:34" ht="20.100000000000001" customHeight="1">
      <c r="C3434" s="113"/>
      <c r="D3434" s="114"/>
      <c r="P3434" s="82"/>
      <c r="Q3434" s="82"/>
      <c r="R3434" s="38"/>
      <c r="S3434" s="38"/>
      <c r="T3434" s="38"/>
      <c r="U3434" s="38"/>
      <c r="V3434" s="38"/>
      <c r="W3434" s="38"/>
      <c r="X3434" s="38"/>
      <c r="Y3434" s="38"/>
      <c r="Z3434" s="38"/>
      <c r="AA3434" s="38"/>
      <c r="AB3434" s="38"/>
      <c r="AC3434" s="38"/>
      <c r="AD3434" s="38"/>
      <c r="AE3434" s="38"/>
      <c r="AF3434" s="38"/>
      <c r="AG3434" s="38"/>
      <c r="AH3434" s="38"/>
    </row>
    <row r="3435" spans="3:34" ht="20.100000000000001" customHeight="1">
      <c r="C3435" s="113"/>
      <c r="D3435" s="114"/>
      <c r="P3435" s="82"/>
      <c r="Q3435" s="82"/>
      <c r="R3435" s="38"/>
      <c r="S3435" s="38"/>
      <c r="T3435" s="38"/>
      <c r="U3435" s="38"/>
      <c r="V3435" s="38"/>
      <c r="W3435" s="38"/>
      <c r="X3435" s="38"/>
      <c r="Y3435" s="38"/>
      <c r="Z3435" s="38"/>
      <c r="AA3435" s="38"/>
      <c r="AB3435" s="38"/>
      <c r="AC3435" s="38"/>
      <c r="AD3435" s="38"/>
      <c r="AE3435" s="38"/>
      <c r="AF3435" s="38"/>
      <c r="AG3435" s="38"/>
      <c r="AH3435" s="38"/>
    </row>
    <row r="3436" spans="3:34" ht="20.100000000000001" customHeight="1">
      <c r="C3436" s="113"/>
      <c r="D3436" s="114"/>
      <c r="P3436" s="82"/>
      <c r="Q3436" s="82"/>
      <c r="R3436" s="38"/>
      <c r="S3436" s="38"/>
      <c r="T3436" s="38"/>
      <c r="U3436" s="38"/>
      <c r="V3436" s="38"/>
      <c r="W3436" s="38"/>
      <c r="X3436" s="38"/>
      <c r="Y3436" s="38"/>
      <c r="Z3436" s="38"/>
      <c r="AA3436" s="38"/>
      <c r="AB3436" s="38"/>
      <c r="AC3436" s="38"/>
      <c r="AD3436" s="38"/>
      <c r="AE3436" s="38"/>
      <c r="AF3436" s="38"/>
      <c r="AG3436" s="38"/>
      <c r="AH3436" s="38"/>
    </row>
    <row r="3437" spans="3:34" ht="20.100000000000001" customHeight="1">
      <c r="C3437" s="113"/>
      <c r="D3437" s="114"/>
      <c r="P3437" s="82"/>
      <c r="Q3437" s="82"/>
      <c r="R3437" s="38"/>
      <c r="S3437" s="38"/>
      <c r="T3437" s="38"/>
      <c r="U3437" s="38"/>
      <c r="V3437" s="38"/>
      <c r="W3437" s="38"/>
      <c r="X3437" s="38"/>
      <c r="Y3437" s="38"/>
      <c r="Z3437" s="38"/>
      <c r="AA3437" s="38"/>
      <c r="AB3437" s="38"/>
      <c r="AC3437" s="38"/>
      <c r="AD3437" s="38"/>
      <c r="AE3437" s="38"/>
      <c r="AF3437" s="38"/>
      <c r="AG3437" s="38"/>
      <c r="AH3437" s="38"/>
    </row>
    <row r="3438" spans="3:34" ht="20.100000000000001" customHeight="1">
      <c r="C3438" s="113"/>
      <c r="D3438" s="114"/>
      <c r="P3438" s="82"/>
      <c r="Q3438" s="82"/>
      <c r="R3438" s="38"/>
      <c r="S3438" s="38"/>
      <c r="T3438" s="38"/>
      <c r="U3438" s="38"/>
      <c r="V3438" s="38"/>
      <c r="W3438" s="38"/>
      <c r="X3438" s="38"/>
      <c r="Y3438" s="38"/>
      <c r="Z3438" s="38"/>
      <c r="AA3438" s="38"/>
      <c r="AB3438" s="38"/>
      <c r="AC3438" s="38"/>
      <c r="AD3438" s="38"/>
      <c r="AE3438" s="38"/>
      <c r="AF3438" s="38"/>
      <c r="AG3438" s="38"/>
      <c r="AH3438" s="38"/>
    </row>
    <row r="3439" spans="3:34" ht="20.100000000000001" customHeight="1">
      <c r="C3439" s="113"/>
      <c r="D3439" s="114"/>
      <c r="P3439" s="82"/>
      <c r="Q3439" s="82"/>
      <c r="R3439" s="38"/>
      <c r="S3439" s="38"/>
      <c r="T3439" s="38"/>
      <c r="U3439" s="38"/>
      <c r="V3439" s="38"/>
      <c r="W3439" s="38"/>
      <c r="X3439" s="38"/>
      <c r="Y3439" s="38"/>
      <c r="Z3439" s="38"/>
      <c r="AA3439" s="38"/>
      <c r="AB3439" s="38"/>
      <c r="AC3439" s="38"/>
      <c r="AD3439" s="38"/>
      <c r="AE3439" s="38"/>
      <c r="AF3439" s="38"/>
      <c r="AG3439" s="38"/>
      <c r="AH3439" s="38"/>
    </row>
    <row r="3440" spans="3:34" ht="20.100000000000001" customHeight="1">
      <c r="C3440" s="113"/>
      <c r="D3440" s="114"/>
      <c r="P3440" s="82"/>
      <c r="Q3440" s="82"/>
      <c r="R3440" s="38"/>
      <c r="S3440" s="38"/>
      <c r="T3440" s="38"/>
      <c r="U3440" s="38"/>
      <c r="V3440" s="38"/>
      <c r="W3440" s="38"/>
      <c r="X3440" s="38"/>
      <c r="Y3440" s="38"/>
      <c r="Z3440" s="38"/>
      <c r="AA3440" s="38"/>
      <c r="AB3440" s="38"/>
      <c r="AC3440" s="38"/>
      <c r="AD3440" s="38"/>
      <c r="AE3440" s="38"/>
      <c r="AF3440" s="38"/>
      <c r="AG3440" s="38"/>
      <c r="AH3440" s="38"/>
    </row>
    <row r="3441" spans="3:34" ht="20.100000000000001" customHeight="1">
      <c r="C3441" s="113"/>
      <c r="D3441" s="114"/>
      <c r="P3441" s="82"/>
      <c r="Q3441" s="82"/>
      <c r="R3441" s="38"/>
      <c r="S3441" s="38"/>
      <c r="T3441" s="38"/>
      <c r="U3441" s="38"/>
      <c r="V3441" s="38"/>
      <c r="W3441" s="38"/>
      <c r="X3441" s="38"/>
      <c r="Y3441" s="38"/>
      <c r="Z3441" s="38"/>
      <c r="AA3441" s="38"/>
      <c r="AB3441" s="38"/>
      <c r="AC3441" s="38"/>
      <c r="AD3441" s="38"/>
      <c r="AE3441" s="38"/>
      <c r="AF3441" s="38"/>
      <c r="AG3441" s="38"/>
      <c r="AH3441" s="38"/>
    </row>
    <row r="3442" spans="3:34" ht="20.100000000000001" customHeight="1">
      <c r="C3442" s="113"/>
      <c r="D3442" s="114"/>
      <c r="P3442" s="82"/>
      <c r="Q3442" s="82"/>
      <c r="R3442" s="38"/>
      <c r="S3442" s="38"/>
      <c r="T3442" s="38"/>
      <c r="U3442" s="38"/>
      <c r="V3442" s="38"/>
      <c r="W3442" s="38"/>
      <c r="X3442" s="38"/>
      <c r="Y3442" s="38"/>
      <c r="Z3442" s="38"/>
      <c r="AA3442" s="38"/>
      <c r="AB3442" s="38"/>
      <c r="AC3442" s="38"/>
      <c r="AD3442" s="38"/>
      <c r="AE3442" s="38"/>
      <c r="AF3442" s="38"/>
      <c r="AG3442" s="38"/>
      <c r="AH3442" s="38"/>
    </row>
    <row r="3443" spans="3:34" ht="20.100000000000001" customHeight="1">
      <c r="C3443" s="113"/>
      <c r="D3443" s="114"/>
      <c r="P3443" s="82"/>
      <c r="Q3443" s="82"/>
      <c r="R3443" s="38"/>
      <c r="S3443" s="38"/>
      <c r="T3443" s="38"/>
      <c r="U3443" s="38"/>
      <c r="V3443" s="38"/>
      <c r="W3443" s="38"/>
      <c r="X3443" s="38"/>
      <c r="Y3443" s="38"/>
      <c r="Z3443" s="38"/>
      <c r="AA3443" s="38"/>
      <c r="AB3443" s="38"/>
      <c r="AC3443" s="38"/>
      <c r="AD3443" s="38"/>
      <c r="AE3443" s="38"/>
      <c r="AF3443" s="38"/>
      <c r="AG3443" s="38"/>
      <c r="AH3443" s="38"/>
    </row>
    <row r="3444" spans="3:34" ht="20.100000000000001" customHeight="1">
      <c r="C3444" s="113"/>
      <c r="D3444" s="114"/>
      <c r="P3444" s="82"/>
      <c r="Q3444" s="82"/>
      <c r="R3444" s="38"/>
      <c r="S3444" s="38"/>
      <c r="T3444" s="38"/>
      <c r="U3444" s="38"/>
      <c r="V3444" s="38"/>
      <c r="W3444" s="38"/>
      <c r="X3444" s="38"/>
      <c r="Y3444" s="38"/>
      <c r="Z3444" s="38"/>
      <c r="AA3444" s="38"/>
      <c r="AB3444" s="38"/>
      <c r="AC3444" s="38"/>
      <c r="AD3444" s="38"/>
      <c r="AE3444" s="38"/>
      <c r="AF3444" s="38"/>
      <c r="AG3444" s="38"/>
      <c r="AH3444" s="38"/>
    </row>
    <row r="3445" spans="3:34" ht="20.100000000000001" customHeight="1">
      <c r="C3445" s="113"/>
      <c r="D3445" s="114"/>
      <c r="P3445" s="82"/>
      <c r="Q3445" s="82"/>
      <c r="R3445" s="38"/>
      <c r="S3445" s="38"/>
      <c r="T3445" s="38"/>
      <c r="U3445" s="38"/>
      <c r="V3445" s="38"/>
      <c r="W3445" s="38"/>
      <c r="X3445" s="38"/>
      <c r="Y3445" s="38"/>
      <c r="Z3445" s="38"/>
      <c r="AA3445" s="38"/>
      <c r="AB3445" s="38"/>
      <c r="AC3445" s="38"/>
      <c r="AD3445" s="38"/>
      <c r="AE3445" s="38"/>
      <c r="AF3445" s="38"/>
      <c r="AG3445" s="38"/>
      <c r="AH3445" s="38"/>
    </row>
    <row r="3446" spans="3:34" ht="20.100000000000001" customHeight="1">
      <c r="C3446" s="113"/>
      <c r="D3446" s="114"/>
      <c r="P3446" s="82"/>
      <c r="Q3446" s="82"/>
      <c r="R3446" s="38"/>
      <c r="S3446" s="38"/>
      <c r="T3446" s="38"/>
      <c r="U3446" s="38"/>
      <c r="V3446" s="38"/>
      <c r="W3446" s="38"/>
      <c r="X3446" s="38"/>
      <c r="Y3446" s="38"/>
      <c r="Z3446" s="38"/>
      <c r="AA3446" s="38"/>
      <c r="AB3446" s="38"/>
      <c r="AC3446" s="38"/>
      <c r="AD3446" s="38"/>
      <c r="AE3446" s="38"/>
      <c r="AF3446" s="38"/>
      <c r="AG3446" s="38"/>
      <c r="AH3446" s="38"/>
    </row>
    <row r="3447" spans="3:34" ht="20.100000000000001" customHeight="1">
      <c r="C3447" s="113"/>
      <c r="D3447" s="114"/>
      <c r="P3447" s="82"/>
      <c r="Q3447" s="82"/>
      <c r="R3447" s="38"/>
      <c r="S3447" s="38"/>
      <c r="T3447" s="38"/>
      <c r="U3447" s="38"/>
      <c r="V3447" s="38"/>
      <c r="W3447" s="38"/>
      <c r="X3447" s="38"/>
      <c r="Y3447" s="38"/>
      <c r="Z3447" s="38"/>
      <c r="AA3447" s="38"/>
      <c r="AB3447" s="38"/>
      <c r="AC3447" s="38"/>
      <c r="AD3447" s="38"/>
      <c r="AE3447" s="38"/>
      <c r="AF3447" s="38"/>
      <c r="AG3447" s="38"/>
      <c r="AH3447" s="38"/>
    </row>
    <row r="3448" spans="3:34" ht="20.100000000000001" customHeight="1">
      <c r="C3448" s="113"/>
      <c r="D3448" s="114"/>
      <c r="P3448" s="82"/>
      <c r="Q3448" s="82"/>
      <c r="R3448" s="38"/>
      <c r="S3448" s="38"/>
      <c r="T3448" s="38"/>
      <c r="U3448" s="38"/>
      <c r="V3448" s="38"/>
      <c r="W3448" s="38"/>
      <c r="X3448" s="38"/>
      <c r="Y3448" s="38"/>
      <c r="Z3448" s="38"/>
      <c r="AA3448" s="38"/>
      <c r="AB3448" s="38"/>
      <c r="AC3448" s="38"/>
      <c r="AD3448" s="38"/>
      <c r="AE3448" s="38"/>
      <c r="AF3448" s="38"/>
      <c r="AG3448" s="38"/>
      <c r="AH3448" s="38"/>
    </row>
    <row r="3449" spans="3:34" ht="20.100000000000001" customHeight="1">
      <c r="C3449" s="113"/>
      <c r="D3449" s="114"/>
      <c r="P3449" s="82"/>
      <c r="Q3449" s="82"/>
      <c r="R3449" s="38"/>
      <c r="S3449" s="38"/>
      <c r="T3449" s="38"/>
      <c r="U3449" s="38"/>
      <c r="V3449" s="38"/>
      <c r="W3449" s="38"/>
      <c r="X3449" s="38"/>
      <c r="Y3449" s="38"/>
      <c r="Z3449" s="38"/>
      <c r="AA3449" s="38"/>
      <c r="AB3449" s="38"/>
      <c r="AC3449" s="38"/>
      <c r="AD3449" s="38"/>
      <c r="AE3449" s="38"/>
      <c r="AF3449" s="38"/>
      <c r="AG3449" s="38"/>
      <c r="AH3449" s="38"/>
    </row>
    <row r="3450" spans="3:34" ht="20.100000000000001" customHeight="1">
      <c r="C3450" s="113"/>
      <c r="D3450" s="114"/>
      <c r="P3450" s="82"/>
      <c r="Q3450" s="82"/>
      <c r="R3450" s="38"/>
      <c r="S3450" s="38"/>
      <c r="T3450" s="38"/>
      <c r="U3450" s="38"/>
      <c r="V3450" s="38"/>
      <c r="W3450" s="38"/>
      <c r="X3450" s="38"/>
      <c r="Y3450" s="38"/>
      <c r="Z3450" s="38"/>
      <c r="AA3450" s="38"/>
      <c r="AB3450" s="38"/>
      <c r="AC3450" s="38"/>
      <c r="AD3450" s="38"/>
      <c r="AE3450" s="38"/>
      <c r="AF3450" s="38"/>
      <c r="AG3450" s="38"/>
      <c r="AH3450" s="38"/>
    </row>
    <row r="3451" spans="3:34" ht="20.100000000000001" customHeight="1">
      <c r="C3451" s="113"/>
      <c r="D3451" s="114"/>
      <c r="P3451" s="82"/>
      <c r="Q3451" s="82"/>
      <c r="R3451" s="38"/>
      <c r="S3451" s="38"/>
      <c r="T3451" s="38"/>
      <c r="U3451" s="38"/>
      <c r="V3451" s="38"/>
      <c r="W3451" s="38"/>
      <c r="X3451" s="38"/>
      <c r="Y3451" s="38"/>
      <c r="Z3451" s="38"/>
      <c r="AA3451" s="38"/>
      <c r="AB3451" s="38"/>
      <c r="AC3451" s="38"/>
      <c r="AD3451" s="38"/>
      <c r="AE3451" s="38"/>
      <c r="AF3451" s="38"/>
      <c r="AG3451" s="38"/>
      <c r="AH3451" s="38"/>
    </row>
    <row r="3452" spans="3:34" ht="20.100000000000001" customHeight="1">
      <c r="C3452" s="113"/>
      <c r="D3452" s="114"/>
      <c r="P3452" s="82"/>
      <c r="Q3452" s="82"/>
      <c r="R3452" s="38"/>
      <c r="S3452" s="38"/>
      <c r="T3452" s="38"/>
      <c r="U3452" s="38"/>
      <c r="V3452" s="38"/>
      <c r="W3452" s="38"/>
      <c r="X3452" s="38"/>
      <c r="Y3452" s="38"/>
      <c r="Z3452" s="38"/>
      <c r="AA3452" s="38"/>
      <c r="AB3452" s="38"/>
      <c r="AC3452" s="38"/>
      <c r="AD3452" s="38"/>
      <c r="AE3452" s="38"/>
      <c r="AF3452" s="38"/>
      <c r="AG3452" s="38"/>
      <c r="AH3452" s="38"/>
    </row>
    <row r="3453" spans="3:34" ht="20.100000000000001" customHeight="1">
      <c r="C3453" s="113"/>
      <c r="D3453" s="114"/>
      <c r="P3453" s="82"/>
      <c r="Q3453" s="82"/>
      <c r="R3453" s="38"/>
      <c r="S3453" s="38"/>
      <c r="T3453" s="38"/>
      <c r="U3453" s="38"/>
      <c r="V3453" s="38"/>
      <c r="W3453" s="38"/>
      <c r="X3453" s="38"/>
      <c r="Y3453" s="38"/>
      <c r="Z3453" s="38"/>
      <c r="AA3453" s="38"/>
      <c r="AB3453" s="38"/>
      <c r="AC3453" s="38"/>
      <c r="AD3453" s="38"/>
      <c r="AE3453" s="38"/>
      <c r="AF3453" s="38"/>
      <c r="AG3453" s="38"/>
      <c r="AH3453" s="38"/>
    </row>
    <row r="3454" spans="3:34" ht="20.100000000000001" customHeight="1">
      <c r="C3454" s="113"/>
      <c r="D3454" s="114"/>
      <c r="P3454" s="82"/>
      <c r="Q3454" s="82"/>
      <c r="R3454" s="38"/>
      <c r="S3454" s="38"/>
      <c r="T3454" s="38"/>
      <c r="U3454" s="38"/>
      <c r="V3454" s="38"/>
      <c r="W3454" s="38"/>
      <c r="X3454" s="38"/>
      <c r="Y3454" s="38"/>
      <c r="Z3454" s="38"/>
      <c r="AA3454" s="38"/>
      <c r="AB3454" s="38"/>
      <c r="AC3454" s="38"/>
      <c r="AD3454" s="38"/>
      <c r="AE3454" s="38"/>
      <c r="AF3454" s="38"/>
      <c r="AG3454" s="38"/>
      <c r="AH3454" s="38"/>
    </row>
    <row r="3455" spans="3:34" ht="20.100000000000001" customHeight="1">
      <c r="C3455" s="113"/>
      <c r="D3455" s="114"/>
      <c r="P3455" s="82"/>
      <c r="Q3455" s="82"/>
      <c r="R3455" s="38"/>
      <c r="S3455" s="38"/>
      <c r="T3455" s="38"/>
      <c r="U3455" s="38"/>
      <c r="V3455" s="38"/>
      <c r="W3455" s="38"/>
      <c r="X3455" s="38"/>
      <c r="Y3455" s="38"/>
      <c r="Z3455" s="38"/>
      <c r="AA3455" s="38"/>
      <c r="AB3455" s="38"/>
      <c r="AC3455" s="38"/>
      <c r="AD3455" s="38"/>
      <c r="AE3455" s="38"/>
      <c r="AF3455" s="38"/>
      <c r="AG3455" s="38"/>
      <c r="AH3455" s="38"/>
    </row>
    <row r="3456" spans="3:34" ht="20.100000000000001" customHeight="1">
      <c r="C3456" s="113"/>
      <c r="D3456" s="114"/>
      <c r="P3456" s="82"/>
      <c r="Q3456" s="82"/>
      <c r="R3456" s="38"/>
      <c r="S3456" s="38"/>
      <c r="T3456" s="38"/>
      <c r="U3456" s="38"/>
      <c r="V3456" s="38"/>
      <c r="W3456" s="38"/>
      <c r="X3456" s="38"/>
      <c r="Y3456" s="38"/>
      <c r="Z3456" s="38"/>
      <c r="AA3456" s="38"/>
      <c r="AB3456" s="38"/>
      <c r="AC3456" s="38"/>
      <c r="AD3456" s="38"/>
      <c r="AE3456" s="38"/>
      <c r="AF3456" s="38"/>
      <c r="AG3456" s="38"/>
      <c r="AH3456" s="38"/>
    </row>
    <row r="3457" spans="3:34" ht="20.100000000000001" customHeight="1">
      <c r="C3457" s="113"/>
      <c r="D3457" s="114"/>
      <c r="P3457" s="82"/>
      <c r="Q3457" s="82"/>
      <c r="R3457" s="38"/>
      <c r="S3457" s="38"/>
      <c r="T3457" s="38"/>
      <c r="U3457" s="38"/>
      <c r="V3457" s="38"/>
      <c r="W3457" s="38"/>
      <c r="X3457" s="38"/>
      <c r="Y3457" s="38"/>
      <c r="Z3457" s="38"/>
      <c r="AA3457" s="38"/>
      <c r="AB3457" s="38"/>
      <c r="AC3457" s="38"/>
      <c r="AD3457" s="38"/>
      <c r="AE3457" s="38"/>
      <c r="AF3457" s="38"/>
      <c r="AG3457" s="38"/>
      <c r="AH3457" s="38"/>
    </row>
    <row r="3458" spans="3:34" ht="20.100000000000001" customHeight="1">
      <c r="C3458" s="113"/>
      <c r="D3458" s="114"/>
      <c r="P3458" s="82"/>
      <c r="Q3458" s="82"/>
      <c r="R3458" s="38"/>
      <c r="S3458" s="38"/>
      <c r="T3458" s="38"/>
      <c r="U3458" s="38"/>
      <c r="V3458" s="38"/>
      <c r="W3458" s="38"/>
      <c r="X3458" s="38"/>
      <c r="Y3458" s="38"/>
      <c r="Z3458" s="38"/>
      <c r="AA3458" s="38"/>
      <c r="AB3458" s="38"/>
      <c r="AC3458" s="38"/>
      <c r="AD3458" s="38"/>
      <c r="AE3458" s="38"/>
      <c r="AF3458" s="38"/>
      <c r="AG3458" s="38"/>
      <c r="AH3458" s="38"/>
    </row>
    <row r="3459" spans="3:34" ht="20.100000000000001" customHeight="1">
      <c r="C3459" s="113"/>
      <c r="D3459" s="114"/>
      <c r="P3459" s="82"/>
      <c r="Q3459" s="82"/>
      <c r="R3459" s="38"/>
      <c r="S3459" s="38"/>
      <c r="T3459" s="38"/>
      <c r="U3459" s="38"/>
      <c r="V3459" s="38"/>
      <c r="W3459" s="38"/>
      <c r="X3459" s="38"/>
      <c r="Y3459" s="38"/>
      <c r="Z3459" s="38"/>
      <c r="AA3459" s="38"/>
      <c r="AB3459" s="38"/>
      <c r="AC3459" s="38"/>
      <c r="AD3459" s="38"/>
      <c r="AE3459" s="38"/>
      <c r="AF3459" s="38"/>
      <c r="AG3459" s="38"/>
      <c r="AH3459" s="38"/>
    </row>
    <row r="3460" spans="3:34" ht="20.100000000000001" customHeight="1">
      <c r="C3460" s="113"/>
      <c r="D3460" s="114"/>
      <c r="P3460" s="82"/>
      <c r="Q3460" s="82"/>
      <c r="R3460" s="38"/>
      <c r="S3460" s="38"/>
      <c r="T3460" s="38"/>
      <c r="U3460" s="38"/>
      <c r="V3460" s="38"/>
      <c r="W3460" s="38"/>
      <c r="X3460" s="38"/>
      <c r="Y3460" s="38"/>
      <c r="Z3460" s="38"/>
      <c r="AA3460" s="38"/>
      <c r="AB3460" s="38"/>
      <c r="AC3460" s="38"/>
      <c r="AD3460" s="38"/>
      <c r="AE3460" s="38"/>
      <c r="AF3460" s="38"/>
      <c r="AG3460" s="38"/>
      <c r="AH3460" s="38"/>
    </row>
    <row r="3461" spans="3:34" ht="20.100000000000001" customHeight="1">
      <c r="C3461" s="113"/>
      <c r="D3461" s="114"/>
      <c r="P3461" s="82"/>
      <c r="Q3461" s="82"/>
      <c r="R3461" s="38"/>
      <c r="S3461" s="38"/>
      <c r="T3461" s="38"/>
      <c r="U3461" s="38"/>
      <c r="V3461" s="38"/>
      <c r="W3461" s="38"/>
      <c r="X3461" s="38"/>
      <c r="Y3461" s="38"/>
      <c r="Z3461" s="38"/>
      <c r="AA3461" s="38"/>
      <c r="AB3461" s="38"/>
      <c r="AC3461" s="38"/>
      <c r="AD3461" s="38"/>
      <c r="AE3461" s="38"/>
      <c r="AF3461" s="38"/>
      <c r="AG3461" s="38"/>
      <c r="AH3461" s="38"/>
    </row>
    <row r="3462" spans="3:34" ht="20.100000000000001" customHeight="1">
      <c r="C3462" s="113"/>
      <c r="D3462" s="114"/>
      <c r="P3462" s="82"/>
      <c r="Q3462" s="82"/>
      <c r="R3462" s="38"/>
      <c r="S3462" s="38"/>
      <c r="T3462" s="38"/>
      <c r="U3462" s="38"/>
      <c r="V3462" s="38"/>
      <c r="W3462" s="38"/>
      <c r="X3462" s="38"/>
      <c r="Y3462" s="38"/>
      <c r="Z3462" s="38"/>
      <c r="AA3462" s="38"/>
      <c r="AB3462" s="38"/>
      <c r="AC3462" s="38"/>
      <c r="AD3462" s="38"/>
      <c r="AE3462" s="38"/>
      <c r="AF3462" s="38"/>
      <c r="AG3462" s="38"/>
      <c r="AH3462" s="38"/>
    </row>
    <row r="3463" spans="3:34" ht="20.100000000000001" customHeight="1">
      <c r="C3463" s="113"/>
      <c r="D3463" s="114"/>
      <c r="P3463" s="82"/>
      <c r="Q3463" s="82"/>
      <c r="R3463" s="38"/>
      <c r="S3463" s="38"/>
      <c r="T3463" s="38"/>
      <c r="U3463" s="38"/>
      <c r="V3463" s="38"/>
      <c r="W3463" s="38"/>
      <c r="X3463" s="38"/>
      <c r="Y3463" s="38"/>
      <c r="Z3463" s="38"/>
      <c r="AA3463" s="38"/>
      <c r="AB3463" s="38"/>
      <c r="AC3463" s="38"/>
      <c r="AD3463" s="38"/>
      <c r="AE3463" s="38"/>
      <c r="AF3463" s="38"/>
      <c r="AG3463" s="38"/>
      <c r="AH3463" s="38"/>
    </row>
    <row r="3464" spans="3:34" ht="20.100000000000001" customHeight="1">
      <c r="C3464" s="113"/>
      <c r="D3464" s="114"/>
      <c r="P3464" s="82"/>
      <c r="Q3464" s="82"/>
      <c r="R3464" s="38"/>
      <c r="S3464" s="38"/>
      <c r="T3464" s="38"/>
      <c r="U3464" s="38"/>
      <c r="V3464" s="38"/>
      <c r="W3464" s="38"/>
      <c r="X3464" s="38"/>
      <c r="Y3464" s="38"/>
      <c r="Z3464" s="38"/>
      <c r="AA3464" s="38"/>
      <c r="AB3464" s="38"/>
      <c r="AC3464" s="38"/>
      <c r="AD3464" s="38"/>
      <c r="AE3464" s="38"/>
      <c r="AF3464" s="38"/>
      <c r="AG3464" s="38"/>
      <c r="AH3464" s="38"/>
    </row>
    <row r="3465" spans="3:34" ht="20.100000000000001" customHeight="1">
      <c r="C3465" s="113"/>
      <c r="D3465" s="114"/>
      <c r="P3465" s="82"/>
      <c r="Q3465" s="82"/>
      <c r="R3465" s="38"/>
      <c r="S3465" s="38"/>
      <c r="T3465" s="38"/>
      <c r="U3465" s="38"/>
      <c r="V3465" s="38"/>
      <c r="W3465" s="38"/>
      <c r="X3465" s="38"/>
      <c r="Y3465" s="38"/>
      <c r="Z3465" s="38"/>
      <c r="AA3465" s="38"/>
      <c r="AB3465" s="38"/>
      <c r="AC3465" s="38"/>
      <c r="AD3465" s="38"/>
      <c r="AE3465" s="38"/>
      <c r="AF3465" s="38"/>
      <c r="AG3465" s="38"/>
      <c r="AH3465" s="38"/>
    </row>
    <row r="3466" spans="3:34" ht="20.100000000000001" customHeight="1">
      <c r="C3466" s="113"/>
      <c r="D3466" s="114"/>
      <c r="P3466" s="82"/>
      <c r="Q3466" s="82"/>
      <c r="R3466" s="38"/>
      <c r="S3466" s="38"/>
      <c r="T3466" s="38"/>
      <c r="U3466" s="38"/>
      <c r="V3466" s="38"/>
      <c r="W3466" s="38"/>
      <c r="X3466" s="38"/>
      <c r="Y3466" s="38"/>
      <c r="Z3466" s="38"/>
      <c r="AA3466" s="38"/>
      <c r="AB3466" s="38"/>
      <c r="AC3466" s="38"/>
      <c r="AD3466" s="38"/>
      <c r="AE3466" s="38"/>
      <c r="AF3466" s="38"/>
      <c r="AG3466" s="38"/>
      <c r="AH3466" s="38"/>
    </row>
    <row r="3467" spans="3:34" ht="20.100000000000001" customHeight="1">
      <c r="C3467" s="113"/>
      <c r="D3467" s="114"/>
      <c r="P3467" s="82"/>
      <c r="Q3467" s="82"/>
      <c r="R3467" s="38"/>
      <c r="S3467" s="38"/>
      <c r="T3467" s="38"/>
      <c r="U3467" s="38"/>
      <c r="V3467" s="38"/>
      <c r="W3467" s="38"/>
      <c r="X3467" s="38"/>
      <c r="Y3467" s="38"/>
      <c r="Z3467" s="38"/>
      <c r="AA3467" s="38"/>
      <c r="AB3467" s="38"/>
      <c r="AC3467" s="38"/>
      <c r="AD3467" s="38"/>
      <c r="AE3467" s="38"/>
      <c r="AF3467" s="38"/>
      <c r="AG3467" s="38"/>
      <c r="AH3467" s="38"/>
    </row>
    <row r="3468" spans="3:34" ht="20.100000000000001" customHeight="1">
      <c r="C3468" s="113"/>
      <c r="D3468" s="114"/>
      <c r="P3468" s="82"/>
      <c r="Q3468" s="82"/>
      <c r="R3468" s="38"/>
      <c r="S3468" s="38"/>
      <c r="T3468" s="38"/>
      <c r="U3468" s="38"/>
      <c r="V3468" s="38"/>
      <c r="W3468" s="38"/>
      <c r="X3468" s="38"/>
      <c r="Y3468" s="38"/>
      <c r="Z3468" s="38"/>
      <c r="AA3468" s="38"/>
      <c r="AB3468" s="38"/>
      <c r="AC3468" s="38"/>
      <c r="AD3468" s="38"/>
      <c r="AE3468" s="38"/>
      <c r="AF3468" s="38"/>
      <c r="AG3468" s="38"/>
      <c r="AH3468" s="38"/>
    </row>
    <row r="3469" spans="3:34" ht="20.100000000000001" customHeight="1">
      <c r="C3469" s="113"/>
      <c r="D3469" s="114"/>
      <c r="P3469" s="82"/>
      <c r="Q3469" s="82"/>
      <c r="R3469" s="38"/>
      <c r="S3469" s="38"/>
      <c r="T3469" s="38"/>
      <c r="U3469" s="38"/>
      <c r="V3469" s="38"/>
      <c r="W3469" s="38"/>
      <c r="X3469" s="38"/>
      <c r="Y3469" s="38"/>
      <c r="Z3469" s="38"/>
      <c r="AA3469" s="38"/>
      <c r="AB3469" s="38"/>
      <c r="AC3469" s="38"/>
      <c r="AD3469" s="38"/>
      <c r="AE3469" s="38"/>
      <c r="AF3469" s="38"/>
      <c r="AG3469" s="38"/>
      <c r="AH3469" s="38"/>
    </row>
    <row r="3470" spans="3:34" ht="20.100000000000001" customHeight="1">
      <c r="C3470" s="113"/>
      <c r="D3470" s="114"/>
      <c r="P3470" s="82"/>
      <c r="Q3470" s="82"/>
      <c r="R3470" s="38"/>
      <c r="S3470" s="38"/>
      <c r="T3470" s="38"/>
      <c r="U3470" s="38"/>
      <c r="V3470" s="38"/>
      <c r="W3470" s="38"/>
      <c r="X3470" s="38"/>
      <c r="Y3470" s="38"/>
      <c r="Z3470" s="38"/>
      <c r="AA3470" s="38"/>
      <c r="AB3470" s="38"/>
      <c r="AC3470" s="38"/>
      <c r="AD3470" s="38"/>
      <c r="AE3470" s="38"/>
      <c r="AF3470" s="38"/>
      <c r="AG3470" s="38"/>
      <c r="AH3470" s="38"/>
    </row>
    <row r="3471" spans="3:34" ht="20.100000000000001" customHeight="1">
      <c r="C3471" s="113"/>
      <c r="D3471" s="114"/>
      <c r="P3471" s="82"/>
      <c r="Q3471" s="82"/>
      <c r="R3471" s="38"/>
      <c r="S3471" s="38"/>
      <c r="T3471" s="38"/>
      <c r="U3471" s="38"/>
      <c r="V3471" s="38"/>
      <c r="W3471" s="38"/>
      <c r="X3471" s="38"/>
      <c r="Y3471" s="38"/>
      <c r="Z3471" s="38"/>
      <c r="AA3471" s="38"/>
      <c r="AB3471" s="38"/>
      <c r="AC3471" s="38"/>
      <c r="AD3471" s="38"/>
      <c r="AE3471" s="38"/>
      <c r="AF3471" s="38"/>
      <c r="AG3471" s="38"/>
      <c r="AH3471" s="38"/>
    </row>
    <row r="3472" spans="3:34" ht="20.100000000000001" customHeight="1">
      <c r="C3472" s="113"/>
      <c r="D3472" s="114"/>
      <c r="P3472" s="82"/>
      <c r="Q3472" s="82"/>
      <c r="R3472" s="38"/>
      <c r="S3472" s="38"/>
      <c r="T3472" s="38"/>
      <c r="U3472" s="38"/>
      <c r="V3472" s="38"/>
      <c r="W3472" s="38"/>
      <c r="X3472" s="38"/>
      <c r="Y3472" s="38"/>
      <c r="Z3472" s="38"/>
      <c r="AA3472" s="38"/>
      <c r="AB3472" s="38"/>
      <c r="AC3472" s="38"/>
      <c r="AD3472" s="38"/>
      <c r="AE3472" s="38"/>
      <c r="AF3472" s="38"/>
      <c r="AG3472" s="38"/>
      <c r="AH3472" s="38"/>
    </row>
    <row r="3473" spans="3:34" ht="20.100000000000001" customHeight="1">
      <c r="C3473" s="113"/>
      <c r="D3473" s="114"/>
      <c r="P3473" s="82"/>
      <c r="Q3473" s="82"/>
      <c r="R3473" s="38"/>
      <c r="S3473" s="38"/>
      <c r="T3473" s="38"/>
      <c r="U3473" s="38"/>
      <c r="V3473" s="38"/>
      <c r="W3473" s="38"/>
      <c r="X3473" s="38"/>
      <c r="Y3473" s="38"/>
      <c r="Z3473" s="38"/>
      <c r="AA3473" s="38"/>
      <c r="AB3473" s="38"/>
      <c r="AC3473" s="38"/>
      <c r="AD3473" s="38"/>
      <c r="AE3473" s="38"/>
      <c r="AF3473" s="38"/>
      <c r="AG3473" s="38"/>
      <c r="AH3473" s="38"/>
    </row>
    <row r="3474" spans="3:34" ht="20.100000000000001" customHeight="1">
      <c r="C3474" s="113"/>
      <c r="D3474" s="114"/>
      <c r="P3474" s="82"/>
      <c r="Q3474" s="82"/>
      <c r="R3474" s="38"/>
      <c r="S3474" s="38"/>
      <c r="T3474" s="38"/>
      <c r="U3474" s="38"/>
      <c r="V3474" s="38"/>
      <c r="W3474" s="38"/>
      <c r="X3474" s="38"/>
      <c r="Y3474" s="38"/>
      <c r="Z3474" s="38"/>
      <c r="AA3474" s="38"/>
      <c r="AB3474" s="38"/>
      <c r="AC3474" s="38"/>
      <c r="AD3474" s="38"/>
      <c r="AE3474" s="38"/>
      <c r="AF3474" s="38"/>
      <c r="AG3474" s="38"/>
      <c r="AH3474" s="38"/>
    </row>
    <row r="3475" spans="3:34" ht="20.100000000000001" customHeight="1">
      <c r="C3475" s="113"/>
      <c r="D3475" s="114"/>
      <c r="P3475" s="82"/>
      <c r="Q3475" s="82"/>
      <c r="R3475" s="38"/>
      <c r="S3475" s="38"/>
      <c r="T3475" s="38"/>
      <c r="U3475" s="38"/>
      <c r="V3475" s="38"/>
      <c r="W3475" s="38"/>
      <c r="X3475" s="38"/>
      <c r="Y3475" s="38"/>
      <c r="Z3475" s="38"/>
      <c r="AA3475" s="38"/>
      <c r="AB3475" s="38"/>
      <c r="AC3475" s="38"/>
      <c r="AD3475" s="38"/>
      <c r="AE3475" s="38"/>
      <c r="AF3475" s="38"/>
      <c r="AG3475" s="38"/>
      <c r="AH3475" s="38"/>
    </row>
    <row r="3476" spans="3:34" ht="20.100000000000001" customHeight="1">
      <c r="C3476" s="113"/>
      <c r="D3476" s="114"/>
      <c r="P3476" s="82"/>
      <c r="Q3476" s="82"/>
      <c r="R3476" s="38"/>
      <c r="S3476" s="38"/>
      <c r="T3476" s="38"/>
      <c r="U3476" s="38"/>
      <c r="V3476" s="38"/>
      <c r="W3476" s="38"/>
      <c r="X3476" s="38"/>
      <c r="Y3476" s="38"/>
      <c r="Z3476" s="38"/>
      <c r="AA3476" s="38"/>
      <c r="AB3476" s="38"/>
      <c r="AC3476" s="38"/>
      <c r="AD3476" s="38"/>
      <c r="AE3476" s="38"/>
      <c r="AF3476" s="38"/>
      <c r="AG3476" s="38"/>
      <c r="AH3476" s="38"/>
    </row>
    <row r="3477" spans="3:34" ht="20.100000000000001" customHeight="1">
      <c r="C3477" s="113"/>
      <c r="D3477" s="114"/>
      <c r="P3477" s="82"/>
      <c r="Q3477" s="82"/>
      <c r="R3477" s="38"/>
      <c r="S3477" s="38"/>
      <c r="T3477" s="38"/>
      <c r="U3477" s="38"/>
      <c r="V3477" s="38"/>
      <c r="W3477" s="38"/>
      <c r="X3477" s="38"/>
      <c r="Y3477" s="38"/>
      <c r="Z3477" s="38"/>
      <c r="AA3477" s="38"/>
      <c r="AB3477" s="38"/>
      <c r="AC3477" s="38"/>
      <c r="AD3477" s="38"/>
      <c r="AE3477" s="38"/>
      <c r="AF3477" s="38"/>
      <c r="AG3477" s="38"/>
      <c r="AH3477" s="38"/>
    </row>
    <row r="3478" spans="3:34" ht="20.100000000000001" customHeight="1">
      <c r="C3478" s="113"/>
      <c r="D3478" s="114"/>
      <c r="P3478" s="82"/>
      <c r="Q3478" s="82"/>
      <c r="R3478" s="38"/>
      <c r="S3478" s="38"/>
      <c r="T3478" s="38"/>
      <c r="U3478" s="38"/>
      <c r="V3478" s="38"/>
      <c r="W3478" s="38"/>
      <c r="X3478" s="38"/>
      <c r="Y3478" s="38"/>
      <c r="Z3478" s="38"/>
      <c r="AA3478" s="38"/>
      <c r="AB3478" s="38"/>
      <c r="AC3478" s="38"/>
      <c r="AD3478" s="38"/>
      <c r="AE3478" s="38"/>
      <c r="AF3478" s="38"/>
      <c r="AG3478" s="38"/>
      <c r="AH3478" s="38"/>
    </row>
    <row r="3479" spans="3:34" ht="20.100000000000001" customHeight="1">
      <c r="C3479" s="113"/>
      <c r="D3479" s="114"/>
      <c r="P3479" s="82"/>
      <c r="Q3479" s="82"/>
      <c r="R3479" s="38"/>
      <c r="S3479" s="38"/>
      <c r="T3479" s="38"/>
      <c r="U3479" s="38"/>
      <c r="V3479" s="38"/>
      <c r="W3479" s="38"/>
      <c r="X3479" s="38"/>
      <c r="Y3479" s="38"/>
      <c r="Z3479" s="38"/>
      <c r="AA3479" s="38"/>
      <c r="AB3479" s="38"/>
      <c r="AC3479" s="38"/>
      <c r="AD3479" s="38"/>
      <c r="AE3479" s="38"/>
      <c r="AF3479" s="38"/>
      <c r="AG3479" s="38"/>
      <c r="AH3479" s="38"/>
    </row>
    <row r="3480" spans="3:34" ht="20.100000000000001" customHeight="1">
      <c r="C3480" s="113"/>
      <c r="D3480" s="114"/>
      <c r="P3480" s="82"/>
      <c r="Q3480" s="82"/>
      <c r="R3480" s="38"/>
      <c r="S3480" s="38"/>
      <c r="T3480" s="38"/>
      <c r="U3480" s="38"/>
      <c r="V3480" s="38"/>
      <c r="W3480" s="38"/>
      <c r="X3480" s="38"/>
      <c r="Y3480" s="38"/>
      <c r="Z3480" s="38"/>
      <c r="AA3480" s="38"/>
      <c r="AB3480" s="38"/>
      <c r="AC3480" s="38"/>
      <c r="AD3480" s="38"/>
      <c r="AE3480" s="38"/>
      <c r="AF3480" s="38"/>
      <c r="AG3480" s="38"/>
      <c r="AH3480" s="38"/>
    </row>
    <row r="3481" spans="3:34" ht="20.100000000000001" customHeight="1">
      <c r="C3481" s="113"/>
      <c r="D3481" s="114"/>
      <c r="P3481" s="82"/>
      <c r="Q3481" s="82"/>
      <c r="R3481" s="38"/>
      <c r="S3481" s="38"/>
      <c r="T3481" s="38"/>
      <c r="U3481" s="38"/>
      <c r="V3481" s="38"/>
      <c r="W3481" s="38"/>
      <c r="X3481" s="38"/>
      <c r="Y3481" s="38"/>
      <c r="Z3481" s="38"/>
      <c r="AA3481" s="38"/>
      <c r="AB3481" s="38"/>
      <c r="AC3481" s="38"/>
      <c r="AD3481" s="38"/>
      <c r="AE3481" s="38"/>
      <c r="AF3481" s="38"/>
      <c r="AG3481" s="38"/>
      <c r="AH3481" s="38"/>
    </row>
    <row r="3482" spans="3:34" ht="20.100000000000001" customHeight="1">
      <c r="C3482" s="113"/>
      <c r="D3482" s="114"/>
      <c r="P3482" s="82"/>
      <c r="Q3482" s="82"/>
      <c r="R3482" s="38"/>
      <c r="S3482" s="38"/>
      <c r="T3482" s="38"/>
      <c r="U3482" s="38"/>
      <c r="V3482" s="38"/>
      <c r="W3482" s="38"/>
      <c r="X3482" s="38"/>
      <c r="Y3482" s="38"/>
      <c r="Z3482" s="38"/>
      <c r="AA3482" s="38"/>
      <c r="AB3482" s="38"/>
      <c r="AC3482" s="38"/>
      <c r="AD3482" s="38"/>
      <c r="AE3482" s="38"/>
      <c r="AF3482" s="38"/>
      <c r="AG3482" s="38"/>
      <c r="AH3482" s="38"/>
    </row>
    <row r="3483" spans="3:34" ht="20.100000000000001" customHeight="1">
      <c r="C3483" s="113"/>
      <c r="D3483" s="114"/>
      <c r="P3483" s="82"/>
      <c r="Q3483" s="82"/>
      <c r="R3483" s="38"/>
      <c r="S3483" s="38"/>
      <c r="T3483" s="38"/>
      <c r="U3483" s="38"/>
      <c r="V3483" s="38"/>
      <c r="W3483" s="38"/>
      <c r="X3483" s="38"/>
      <c r="Y3483" s="38"/>
      <c r="Z3483" s="38"/>
      <c r="AA3483" s="38"/>
      <c r="AB3483" s="38"/>
      <c r="AC3483" s="38"/>
      <c r="AD3483" s="38"/>
      <c r="AE3483" s="38"/>
      <c r="AF3483" s="38"/>
      <c r="AG3483" s="38"/>
      <c r="AH3483" s="38"/>
    </row>
    <row r="3484" spans="3:34" ht="20.100000000000001" customHeight="1">
      <c r="C3484" s="113"/>
      <c r="D3484" s="114"/>
      <c r="P3484" s="82"/>
      <c r="Q3484" s="82"/>
      <c r="R3484" s="38"/>
      <c r="S3484" s="38"/>
      <c r="T3484" s="38"/>
      <c r="U3484" s="38"/>
      <c r="V3484" s="38"/>
      <c r="W3484" s="38"/>
      <c r="X3484" s="38"/>
      <c r="Y3484" s="38"/>
      <c r="Z3484" s="38"/>
      <c r="AA3484" s="38"/>
      <c r="AB3484" s="38"/>
      <c r="AC3484" s="38"/>
      <c r="AD3484" s="38"/>
      <c r="AE3484" s="38"/>
      <c r="AF3484" s="38"/>
      <c r="AG3484" s="38"/>
      <c r="AH3484" s="38"/>
    </row>
    <row r="3485" spans="3:34" ht="20.100000000000001" customHeight="1">
      <c r="C3485" s="113"/>
      <c r="D3485" s="114"/>
      <c r="P3485" s="82"/>
      <c r="Q3485" s="82"/>
      <c r="R3485" s="38"/>
      <c r="S3485" s="38"/>
      <c r="T3485" s="38"/>
      <c r="U3485" s="38"/>
      <c r="V3485" s="38"/>
      <c r="W3485" s="38"/>
      <c r="X3485" s="38"/>
      <c r="Y3485" s="38"/>
      <c r="Z3485" s="38"/>
      <c r="AA3485" s="38"/>
      <c r="AB3485" s="38"/>
      <c r="AC3485" s="38"/>
      <c r="AD3485" s="38"/>
      <c r="AE3485" s="38"/>
      <c r="AF3485" s="38"/>
      <c r="AG3485" s="38"/>
      <c r="AH3485" s="38"/>
    </row>
    <row r="3486" spans="3:34" ht="20.100000000000001" customHeight="1">
      <c r="C3486" s="113"/>
      <c r="D3486" s="114"/>
      <c r="P3486" s="82"/>
      <c r="Q3486" s="82"/>
      <c r="R3486" s="38"/>
      <c r="S3486" s="38"/>
      <c r="T3486" s="38"/>
      <c r="U3486" s="38"/>
      <c r="V3486" s="38"/>
      <c r="W3486" s="38"/>
      <c r="X3486" s="38"/>
      <c r="Y3486" s="38"/>
      <c r="Z3486" s="38"/>
      <c r="AA3486" s="38"/>
      <c r="AB3486" s="38"/>
      <c r="AC3486" s="38"/>
      <c r="AD3486" s="38"/>
      <c r="AE3486" s="38"/>
      <c r="AF3486" s="38"/>
      <c r="AG3486" s="38"/>
      <c r="AH3486" s="38"/>
    </row>
    <row r="3487" spans="3:34" ht="20.100000000000001" customHeight="1">
      <c r="C3487" s="113"/>
      <c r="D3487" s="114"/>
      <c r="P3487" s="82"/>
      <c r="Q3487" s="82"/>
      <c r="R3487" s="38"/>
      <c r="S3487" s="38"/>
      <c r="T3487" s="38"/>
      <c r="U3487" s="38"/>
      <c r="V3487" s="38"/>
      <c r="W3487" s="38"/>
      <c r="X3487" s="38"/>
      <c r="Y3487" s="38"/>
      <c r="Z3487" s="38"/>
      <c r="AA3487" s="38"/>
      <c r="AB3487" s="38"/>
      <c r="AC3487" s="38"/>
      <c r="AD3487" s="38"/>
      <c r="AE3487" s="38"/>
      <c r="AF3487" s="38"/>
      <c r="AG3487" s="38"/>
      <c r="AH3487" s="38"/>
    </row>
    <row r="3488" spans="3:34" ht="20.100000000000001" customHeight="1">
      <c r="C3488" s="113"/>
      <c r="D3488" s="114"/>
      <c r="P3488" s="82"/>
      <c r="Q3488" s="82"/>
      <c r="R3488" s="38"/>
      <c r="S3488" s="38"/>
      <c r="T3488" s="38"/>
      <c r="U3488" s="38"/>
      <c r="V3488" s="38"/>
      <c r="W3488" s="38"/>
      <c r="X3488" s="38"/>
      <c r="Y3488" s="38"/>
      <c r="Z3488" s="38"/>
      <c r="AA3488" s="38"/>
      <c r="AB3488" s="38"/>
      <c r="AC3488" s="38"/>
      <c r="AD3488" s="38"/>
      <c r="AE3488" s="38"/>
      <c r="AF3488" s="38"/>
      <c r="AG3488" s="38"/>
      <c r="AH3488" s="38"/>
    </row>
    <row r="3489" spans="3:34" ht="20.100000000000001" customHeight="1">
      <c r="C3489" s="113"/>
      <c r="D3489" s="114"/>
      <c r="P3489" s="82"/>
      <c r="Q3489" s="82"/>
      <c r="R3489" s="38"/>
      <c r="S3489" s="38"/>
      <c r="T3489" s="38"/>
      <c r="U3489" s="38"/>
      <c r="V3489" s="38"/>
      <c r="W3489" s="38"/>
      <c r="X3489" s="38"/>
      <c r="Y3489" s="38"/>
      <c r="Z3489" s="38"/>
      <c r="AA3489" s="38"/>
      <c r="AB3489" s="38"/>
      <c r="AC3489" s="38"/>
      <c r="AD3489" s="38"/>
      <c r="AE3489" s="38"/>
      <c r="AF3489" s="38"/>
      <c r="AG3489" s="38"/>
      <c r="AH3489" s="38"/>
    </row>
    <row r="3490" spans="3:34" ht="20.100000000000001" customHeight="1">
      <c r="C3490" s="113"/>
      <c r="D3490" s="114"/>
      <c r="P3490" s="82"/>
      <c r="Q3490" s="82"/>
      <c r="R3490" s="38"/>
      <c r="S3490" s="38"/>
      <c r="T3490" s="38"/>
      <c r="U3490" s="38"/>
      <c r="V3490" s="38"/>
      <c r="W3490" s="38"/>
      <c r="X3490" s="38"/>
      <c r="Y3490" s="38"/>
      <c r="Z3490" s="38"/>
      <c r="AA3490" s="38"/>
      <c r="AB3490" s="38"/>
      <c r="AC3490" s="38"/>
      <c r="AD3490" s="38"/>
      <c r="AE3490" s="38"/>
      <c r="AF3490" s="38"/>
      <c r="AG3490" s="38"/>
      <c r="AH3490" s="38"/>
    </row>
    <row r="3491" spans="3:34" ht="20.100000000000001" customHeight="1">
      <c r="C3491" s="113"/>
      <c r="D3491" s="114"/>
      <c r="P3491" s="82"/>
      <c r="Q3491" s="82"/>
      <c r="R3491" s="38"/>
      <c r="S3491" s="38"/>
      <c r="T3491" s="38"/>
      <c r="U3491" s="38"/>
      <c r="V3491" s="38"/>
      <c r="W3491" s="38"/>
      <c r="X3491" s="38"/>
      <c r="Y3491" s="38"/>
      <c r="Z3491" s="38"/>
      <c r="AA3491" s="38"/>
      <c r="AB3491" s="38"/>
      <c r="AC3491" s="38"/>
      <c r="AD3491" s="38"/>
      <c r="AE3491" s="38"/>
      <c r="AF3491" s="38"/>
      <c r="AG3491" s="38"/>
      <c r="AH3491" s="38"/>
    </row>
    <row r="3492" spans="3:34" ht="20.100000000000001" customHeight="1">
      <c r="C3492" s="113"/>
      <c r="D3492" s="114"/>
      <c r="P3492" s="82"/>
      <c r="Q3492" s="82"/>
      <c r="R3492" s="38"/>
      <c r="S3492" s="38"/>
      <c r="T3492" s="38"/>
      <c r="U3492" s="38"/>
      <c r="V3492" s="38"/>
      <c r="W3492" s="38"/>
      <c r="X3492" s="38"/>
      <c r="Y3492" s="38"/>
      <c r="Z3492" s="38"/>
      <c r="AA3492" s="38"/>
      <c r="AB3492" s="38"/>
      <c r="AC3492" s="38"/>
      <c r="AD3492" s="38"/>
      <c r="AE3492" s="38"/>
      <c r="AF3492" s="38"/>
      <c r="AG3492" s="38"/>
      <c r="AH3492" s="38"/>
    </row>
    <row r="3493" spans="3:34" ht="20.100000000000001" customHeight="1">
      <c r="C3493" s="113"/>
      <c r="D3493" s="114"/>
      <c r="P3493" s="82"/>
      <c r="Q3493" s="82"/>
      <c r="R3493" s="38"/>
      <c r="S3493" s="38"/>
      <c r="T3493" s="38"/>
      <c r="U3493" s="38"/>
      <c r="V3493" s="38"/>
      <c r="W3493" s="38"/>
      <c r="X3493" s="38"/>
      <c r="Y3493" s="38"/>
      <c r="Z3493" s="38"/>
      <c r="AA3493" s="38"/>
      <c r="AB3493" s="38"/>
      <c r="AC3493" s="38"/>
      <c r="AD3493" s="38"/>
      <c r="AE3493" s="38"/>
      <c r="AF3493" s="38"/>
      <c r="AG3493" s="38"/>
      <c r="AH3493" s="38"/>
    </row>
    <row r="3494" spans="3:34" ht="20.100000000000001" customHeight="1">
      <c r="C3494" s="113"/>
      <c r="D3494" s="114"/>
      <c r="P3494" s="82"/>
      <c r="Q3494" s="82"/>
      <c r="R3494" s="38"/>
      <c r="S3494" s="38"/>
      <c r="T3494" s="38"/>
      <c r="U3494" s="38"/>
      <c r="V3494" s="38"/>
      <c r="W3494" s="38"/>
      <c r="X3494" s="38"/>
      <c r="Y3494" s="38"/>
      <c r="Z3494" s="38"/>
      <c r="AA3494" s="38"/>
      <c r="AB3494" s="38"/>
      <c r="AC3494" s="38"/>
      <c r="AD3494" s="38"/>
      <c r="AE3494" s="38"/>
      <c r="AF3494" s="38"/>
      <c r="AG3494" s="38"/>
      <c r="AH3494" s="38"/>
    </row>
    <row r="3495" spans="3:34" ht="20.100000000000001" customHeight="1">
      <c r="C3495" s="113"/>
      <c r="D3495" s="114"/>
      <c r="P3495" s="82"/>
      <c r="Q3495" s="82"/>
      <c r="R3495" s="38"/>
      <c r="S3495" s="38"/>
      <c r="T3495" s="38"/>
      <c r="U3495" s="38"/>
      <c r="V3495" s="38"/>
      <c r="W3495" s="38"/>
      <c r="X3495" s="38"/>
      <c r="Y3495" s="38"/>
      <c r="Z3495" s="38"/>
      <c r="AA3495" s="38"/>
      <c r="AB3495" s="38"/>
      <c r="AC3495" s="38"/>
      <c r="AD3495" s="38"/>
      <c r="AE3495" s="38"/>
      <c r="AF3495" s="38"/>
      <c r="AG3495" s="38"/>
      <c r="AH3495" s="38"/>
    </row>
    <row r="3496" spans="3:34" ht="20.100000000000001" customHeight="1">
      <c r="C3496" s="113"/>
      <c r="D3496" s="114"/>
      <c r="P3496" s="82"/>
      <c r="Q3496" s="82"/>
      <c r="R3496" s="38"/>
      <c r="S3496" s="38"/>
      <c r="T3496" s="38"/>
      <c r="U3496" s="38"/>
      <c r="V3496" s="38"/>
      <c r="W3496" s="38"/>
      <c r="X3496" s="38"/>
      <c r="Y3496" s="38"/>
      <c r="Z3496" s="38"/>
      <c r="AA3496" s="38"/>
      <c r="AB3496" s="38"/>
      <c r="AC3496" s="38"/>
      <c r="AD3496" s="38"/>
      <c r="AE3496" s="38"/>
      <c r="AF3496" s="38"/>
      <c r="AG3496" s="38"/>
      <c r="AH3496" s="38"/>
    </row>
    <row r="3497" spans="3:34" ht="20.100000000000001" customHeight="1">
      <c r="C3497" s="113"/>
      <c r="D3497" s="114"/>
      <c r="P3497" s="82"/>
      <c r="Q3497" s="82"/>
      <c r="R3497" s="38"/>
      <c r="S3497" s="38"/>
      <c r="T3497" s="38"/>
      <c r="U3497" s="38"/>
      <c r="V3497" s="38"/>
      <c r="W3497" s="38"/>
      <c r="X3497" s="38"/>
      <c r="Y3497" s="38"/>
      <c r="Z3497" s="38"/>
      <c r="AA3497" s="38"/>
      <c r="AB3497" s="38"/>
      <c r="AC3497" s="38"/>
      <c r="AD3497" s="38"/>
      <c r="AE3497" s="38"/>
      <c r="AF3497" s="38"/>
      <c r="AG3497" s="38"/>
      <c r="AH3497" s="38"/>
    </row>
    <row r="3498" spans="3:34" ht="20.100000000000001" customHeight="1">
      <c r="C3498" s="113"/>
      <c r="D3498" s="114"/>
      <c r="P3498" s="82"/>
      <c r="Q3498" s="82"/>
      <c r="R3498" s="38"/>
      <c r="S3498" s="38"/>
      <c r="T3498" s="38"/>
      <c r="U3498" s="38"/>
      <c r="V3498" s="38"/>
      <c r="W3498" s="38"/>
      <c r="X3498" s="38"/>
      <c r="Y3498" s="38"/>
      <c r="Z3498" s="38"/>
      <c r="AA3498" s="38"/>
      <c r="AB3498" s="38"/>
      <c r="AC3498" s="38"/>
      <c r="AD3498" s="38"/>
      <c r="AE3498" s="38"/>
      <c r="AF3498" s="38"/>
      <c r="AG3498" s="38"/>
      <c r="AH3498" s="38"/>
    </row>
    <row r="3499" spans="3:34" ht="20.100000000000001" customHeight="1">
      <c r="C3499" s="113"/>
      <c r="D3499" s="114"/>
      <c r="P3499" s="82"/>
      <c r="Q3499" s="82"/>
      <c r="R3499" s="38"/>
      <c r="S3499" s="38"/>
      <c r="T3499" s="38"/>
      <c r="U3499" s="38"/>
      <c r="V3499" s="38"/>
      <c r="W3499" s="38"/>
      <c r="X3499" s="38"/>
      <c r="Y3499" s="38"/>
      <c r="Z3499" s="38"/>
      <c r="AA3499" s="38"/>
      <c r="AB3499" s="38"/>
      <c r="AC3499" s="38"/>
      <c r="AD3499" s="38"/>
      <c r="AE3499" s="38"/>
      <c r="AF3499" s="38"/>
      <c r="AG3499" s="38"/>
      <c r="AH3499" s="38"/>
    </row>
    <row r="3500" spans="3:34" ht="20.100000000000001" customHeight="1">
      <c r="C3500" s="113"/>
      <c r="D3500" s="114"/>
      <c r="P3500" s="82"/>
      <c r="Q3500" s="82"/>
      <c r="R3500" s="38"/>
      <c r="S3500" s="38"/>
      <c r="T3500" s="38"/>
      <c r="U3500" s="38"/>
      <c r="V3500" s="38"/>
      <c r="W3500" s="38"/>
      <c r="X3500" s="38"/>
      <c r="Y3500" s="38"/>
      <c r="Z3500" s="38"/>
      <c r="AA3500" s="38"/>
      <c r="AB3500" s="38"/>
      <c r="AC3500" s="38"/>
      <c r="AD3500" s="38"/>
      <c r="AE3500" s="38"/>
      <c r="AF3500" s="38"/>
      <c r="AG3500" s="38"/>
      <c r="AH3500" s="38"/>
    </row>
    <row r="3501" spans="3:34" ht="20.100000000000001" customHeight="1">
      <c r="C3501" s="113"/>
      <c r="D3501" s="114"/>
      <c r="P3501" s="82"/>
      <c r="Q3501" s="82"/>
      <c r="R3501" s="38"/>
      <c r="S3501" s="38"/>
      <c r="T3501" s="38"/>
      <c r="U3501" s="38"/>
      <c r="V3501" s="38"/>
      <c r="W3501" s="38"/>
      <c r="X3501" s="38"/>
      <c r="Y3501" s="38"/>
      <c r="Z3501" s="38"/>
      <c r="AA3501" s="38"/>
      <c r="AB3501" s="38"/>
      <c r="AC3501" s="38"/>
      <c r="AD3501" s="38"/>
      <c r="AE3501" s="38"/>
      <c r="AF3501" s="38"/>
      <c r="AG3501" s="38"/>
      <c r="AH3501" s="38"/>
    </row>
    <row r="3502" spans="3:34" ht="20.100000000000001" customHeight="1">
      <c r="C3502" s="113"/>
      <c r="D3502" s="114"/>
      <c r="P3502" s="82"/>
      <c r="Q3502" s="82"/>
      <c r="R3502" s="38"/>
      <c r="S3502" s="38"/>
      <c r="T3502" s="38"/>
      <c r="U3502" s="38"/>
      <c r="V3502" s="38"/>
      <c r="W3502" s="38"/>
      <c r="X3502" s="38"/>
      <c r="Y3502" s="38"/>
      <c r="Z3502" s="38"/>
      <c r="AA3502" s="38"/>
      <c r="AB3502" s="38"/>
      <c r="AC3502" s="38"/>
      <c r="AD3502" s="38"/>
      <c r="AE3502" s="38"/>
      <c r="AF3502" s="38"/>
      <c r="AG3502" s="38"/>
      <c r="AH3502" s="38"/>
    </row>
    <row r="3503" spans="3:34" ht="20.100000000000001" customHeight="1">
      <c r="C3503" s="113"/>
      <c r="D3503" s="114"/>
      <c r="P3503" s="82"/>
      <c r="Q3503" s="82"/>
      <c r="R3503" s="38"/>
      <c r="S3503" s="38"/>
      <c r="T3503" s="38"/>
      <c r="U3503" s="38"/>
      <c r="V3503" s="38"/>
      <c r="W3503" s="38"/>
      <c r="X3503" s="38"/>
      <c r="Y3503" s="38"/>
      <c r="Z3503" s="38"/>
      <c r="AA3503" s="38"/>
      <c r="AB3503" s="38"/>
      <c r="AC3503" s="38"/>
      <c r="AD3503" s="38"/>
      <c r="AE3503" s="38"/>
      <c r="AF3503" s="38"/>
      <c r="AG3503" s="38"/>
      <c r="AH3503" s="38"/>
    </row>
    <row r="3504" spans="3:34" ht="20.100000000000001" customHeight="1">
      <c r="C3504" s="113"/>
      <c r="D3504" s="114"/>
      <c r="P3504" s="82"/>
      <c r="Q3504" s="82"/>
      <c r="R3504" s="38"/>
      <c r="S3504" s="38"/>
      <c r="T3504" s="38"/>
      <c r="U3504" s="38"/>
      <c r="V3504" s="38"/>
      <c r="W3504" s="38"/>
      <c r="X3504" s="38"/>
      <c r="Y3504" s="38"/>
      <c r="Z3504" s="38"/>
      <c r="AA3504" s="38"/>
      <c r="AB3504" s="38"/>
      <c r="AC3504" s="38"/>
      <c r="AD3504" s="38"/>
      <c r="AE3504" s="38"/>
      <c r="AF3504" s="38"/>
      <c r="AG3504" s="38"/>
      <c r="AH3504" s="38"/>
    </row>
    <row r="3505" spans="3:34" ht="20.100000000000001" customHeight="1">
      <c r="C3505" s="113"/>
      <c r="D3505" s="114"/>
      <c r="P3505" s="82"/>
      <c r="Q3505" s="82"/>
      <c r="R3505" s="38"/>
      <c r="S3505" s="38"/>
      <c r="T3505" s="38"/>
      <c r="U3505" s="38"/>
      <c r="V3505" s="38"/>
      <c r="W3505" s="38"/>
      <c r="X3505" s="38"/>
      <c r="Y3505" s="38"/>
      <c r="Z3505" s="38"/>
      <c r="AA3505" s="38"/>
      <c r="AB3505" s="38"/>
      <c r="AC3505" s="38"/>
      <c r="AD3505" s="38"/>
      <c r="AE3505" s="38"/>
      <c r="AF3505" s="38"/>
      <c r="AG3505" s="38"/>
      <c r="AH3505" s="38"/>
    </row>
    <row r="3506" spans="3:34" ht="20.100000000000001" customHeight="1">
      <c r="C3506" s="113"/>
      <c r="D3506" s="114"/>
      <c r="P3506" s="82"/>
      <c r="Q3506" s="82"/>
      <c r="R3506" s="38"/>
      <c r="S3506" s="38"/>
      <c r="T3506" s="38"/>
      <c r="U3506" s="38"/>
      <c r="V3506" s="38"/>
      <c r="W3506" s="38"/>
      <c r="X3506" s="38"/>
      <c r="Y3506" s="38"/>
      <c r="Z3506" s="38"/>
      <c r="AA3506" s="38"/>
      <c r="AB3506" s="38"/>
      <c r="AC3506" s="38"/>
      <c r="AD3506" s="38"/>
      <c r="AE3506" s="38"/>
      <c r="AF3506" s="38"/>
      <c r="AG3506" s="38"/>
      <c r="AH3506" s="38"/>
    </row>
    <row r="3507" spans="3:34" ht="20.100000000000001" customHeight="1">
      <c r="C3507" s="113"/>
      <c r="D3507" s="114"/>
      <c r="P3507" s="82"/>
      <c r="Q3507" s="82"/>
      <c r="R3507" s="38"/>
      <c r="S3507" s="38"/>
      <c r="T3507" s="38"/>
      <c r="U3507" s="38"/>
      <c r="V3507" s="38"/>
      <c r="W3507" s="38"/>
      <c r="X3507" s="38"/>
      <c r="Y3507" s="38"/>
      <c r="Z3507" s="38"/>
      <c r="AA3507" s="38"/>
      <c r="AB3507" s="38"/>
      <c r="AC3507" s="38"/>
      <c r="AD3507" s="38"/>
      <c r="AE3507" s="38"/>
      <c r="AF3507" s="38"/>
      <c r="AG3507" s="38"/>
      <c r="AH3507" s="38"/>
    </row>
    <row r="3508" spans="3:34" ht="20.100000000000001" customHeight="1">
      <c r="C3508" s="113"/>
      <c r="D3508" s="114"/>
      <c r="P3508" s="82"/>
      <c r="Q3508" s="82"/>
      <c r="R3508" s="38"/>
      <c r="S3508" s="38"/>
      <c r="T3508" s="38"/>
      <c r="U3508" s="38"/>
      <c r="V3508" s="38"/>
      <c r="W3508" s="38"/>
      <c r="X3508" s="38"/>
      <c r="Y3508" s="38"/>
      <c r="Z3508" s="38"/>
      <c r="AA3508" s="38"/>
      <c r="AB3508" s="38"/>
      <c r="AC3508" s="38"/>
      <c r="AD3508" s="38"/>
      <c r="AE3508" s="38"/>
      <c r="AF3508" s="38"/>
      <c r="AG3508" s="38"/>
      <c r="AH3508" s="38"/>
    </row>
    <row r="3509" spans="3:34" ht="20.100000000000001" customHeight="1">
      <c r="C3509" s="113"/>
      <c r="D3509" s="114"/>
      <c r="P3509" s="82"/>
      <c r="Q3509" s="82"/>
      <c r="R3509" s="38"/>
      <c r="S3509" s="38"/>
      <c r="T3509" s="38"/>
      <c r="U3509" s="38"/>
      <c r="V3509" s="38"/>
      <c r="W3509" s="38"/>
      <c r="X3509" s="38"/>
      <c r="Y3509" s="38"/>
      <c r="Z3509" s="38"/>
      <c r="AA3509" s="38"/>
      <c r="AB3509" s="38"/>
      <c r="AC3509" s="38"/>
      <c r="AD3509" s="38"/>
      <c r="AE3509" s="38"/>
      <c r="AF3509" s="38"/>
      <c r="AG3509" s="38"/>
      <c r="AH3509" s="38"/>
    </row>
    <row r="3510" spans="3:34" ht="20.100000000000001" customHeight="1">
      <c r="C3510" s="113"/>
      <c r="D3510" s="114"/>
      <c r="P3510" s="82"/>
      <c r="Q3510" s="82"/>
      <c r="R3510" s="38"/>
      <c r="S3510" s="38"/>
      <c r="T3510" s="38"/>
      <c r="U3510" s="38"/>
      <c r="V3510" s="38"/>
      <c r="W3510" s="38"/>
      <c r="X3510" s="38"/>
      <c r="Y3510" s="38"/>
      <c r="Z3510" s="38"/>
      <c r="AA3510" s="38"/>
      <c r="AB3510" s="38"/>
      <c r="AC3510" s="38"/>
      <c r="AD3510" s="38"/>
      <c r="AE3510" s="38"/>
      <c r="AF3510" s="38"/>
      <c r="AG3510" s="38"/>
      <c r="AH3510" s="38"/>
    </row>
    <row r="3511" spans="3:34" ht="20.100000000000001" customHeight="1">
      <c r="C3511" s="113"/>
      <c r="D3511" s="114"/>
      <c r="P3511" s="82"/>
      <c r="Q3511" s="82"/>
      <c r="R3511" s="38"/>
      <c r="S3511" s="38"/>
      <c r="T3511" s="38"/>
      <c r="U3511" s="38"/>
      <c r="V3511" s="38"/>
      <c r="W3511" s="38"/>
      <c r="X3511" s="38"/>
      <c r="Y3511" s="38"/>
      <c r="Z3511" s="38"/>
      <c r="AA3511" s="38"/>
      <c r="AB3511" s="38"/>
      <c r="AC3511" s="38"/>
      <c r="AD3511" s="38"/>
      <c r="AE3511" s="38"/>
      <c r="AF3511" s="38"/>
      <c r="AG3511" s="38"/>
      <c r="AH3511" s="38"/>
    </row>
    <row r="3512" spans="3:34" ht="20.100000000000001" customHeight="1">
      <c r="C3512" s="113"/>
      <c r="D3512" s="114"/>
      <c r="P3512" s="82"/>
      <c r="Q3512" s="82"/>
      <c r="R3512" s="38"/>
      <c r="S3512" s="38"/>
      <c r="T3512" s="38"/>
      <c r="U3512" s="38"/>
      <c r="V3512" s="38"/>
      <c r="W3512" s="38"/>
      <c r="X3512" s="38"/>
      <c r="Y3512" s="38"/>
      <c r="Z3512" s="38"/>
      <c r="AA3512" s="38"/>
      <c r="AB3512" s="38"/>
      <c r="AC3512" s="38"/>
      <c r="AD3512" s="38"/>
      <c r="AE3512" s="38"/>
      <c r="AF3512" s="38"/>
      <c r="AG3512" s="38"/>
      <c r="AH3512" s="38"/>
    </row>
    <row r="3513" spans="3:34" ht="20.100000000000001" customHeight="1">
      <c r="C3513" s="113"/>
      <c r="D3513" s="114"/>
      <c r="P3513" s="82"/>
      <c r="Q3513" s="82"/>
      <c r="R3513" s="38"/>
      <c r="S3513" s="38"/>
      <c r="T3513" s="38"/>
      <c r="U3513" s="38"/>
      <c r="V3513" s="38"/>
      <c r="W3513" s="38"/>
      <c r="X3513" s="38"/>
      <c r="Y3513" s="38"/>
      <c r="Z3513" s="38"/>
      <c r="AA3513" s="38"/>
      <c r="AB3513" s="38"/>
      <c r="AC3513" s="38"/>
      <c r="AD3513" s="38"/>
      <c r="AE3513" s="38"/>
      <c r="AF3513" s="38"/>
      <c r="AG3513" s="38"/>
      <c r="AH3513" s="38"/>
    </row>
    <row r="3514" spans="3:34" ht="20.100000000000001" customHeight="1">
      <c r="C3514" s="113"/>
      <c r="D3514" s="114"/>
      <c r="P3514" s="82"/>
      <c r="Q3514" s="82"/>
      <c r="R3514" s="38"/>
      <c r="S3514" s="38"/>
      <c r="T3514" s="38"/>
      <c r="U3514" s="38"/>
      <c r="V3514" s="38"/>
      <c r="W3514" s="38"/>
      <c r="X3514" s="38"/>
      <c r="Y3514" s="38"/>
      <c r="Z3514" s="38"/>
      <c r="AA3514" s="38"/>
      <c r="AB3514" s="38"/>
      <c r="AC3514" s="38"/>
      <c r="AD3514" s="38"/>
      <c r="AE3514" s="38"/>
      <c r="AF3514" s="38"/>
      <c r="AG3514" s="38"/>
      <c r="AH3514" s="38"/>
    </row>
    <row r="3515" spans="3:34" ht="20.100000000000001" customHeight="1">
      <c r="C3515" s="113"/>
      <c r="D3515" s="114"/>
      <c r="P3515" s="82"/>
      <c r="Q3515" s="82"/>
      <c r="R3515" s="38"/>
      <c r="S3515" s="38"/>
      <c r="T3515" s="38"/>
      <c r="U3515" s="38"/>
      <c r="V3515" s="38"/>
      <c r="W3515" s="38"/>
      <c r="X3515" s="38"/>
      <c r="Y3515" s="38"/>
      <c r="Z3515" s="38"/>
      <c r="AA3515" s="38"/>
      <c r="AB3515" s="38"/>
      <c r="AC3515" s="38"/>
      <c r="AD3515" s="38"/>
      <c r="AE3515" s="38"/>
      <c r="AF3515" s="38"/>
      <c r="AG3515" s="38"/>
      <c r="AH3515" s="38"/>
    </row>
    <row r="3516" spans="3:34" ht="20.100000000000001" customHeight="1">
      <c r="C3516" s="113"/>
      <c r="D3516" s="114"/>
      <c r="P3516" s="82"/>
      <c r="Q3516" s="82"/>
      <c r="R3516" s="38"/>
      <c r="S3516" s="38"/>
      <c r="T3516" s="38"/>
      <c r="U3516" s="38"/>
      <c r="V3516" s="38"/>
      <c r="W3516" s="38"/>
      <c r="X3516" s="38"/>
      <c r="Y3516" s="38"/>
      <c r="Z3516" s="38"/>
      <c r="AA3516" s="38"/>
      <c r="AB3516" s="38"/>
      <c r="AC3516" s="38"/>
      <c r="AD3516" s="38"/>
      <c r="AE3516" s="38"/>
      <c r="AF3516" s="38"/>
      <c r="AG3516" s="38"/>
      <c r="AH3516" s="38"/>
    </row>
    <row r="3517" spans="3:34" ht="20.100000000000001" customHeight="1">
      <c r="C3517" s="113"/>
      <c r="D3517" s="114"/>
      <c r="P3517" s="82"/>
      <c r="Q3517" s="82"/>
      <c r="R3517" s="38"/>
      <c r="S3517" s="38"/>
      <c r="T3517" s="38"/>
      <c r="U3517" s="38"/>
      <c r="V3517" s="38"/>
      <c r="W3517" s="38"/>
      <c r="X3517" s="38"/>
      <c r="Y3517" s="38"/>
      <c r="Z3517" s="38"/>
      <c r="AA3517" s="38"/>
      <c r="AB3517" s="38"/>
      <c r="AC3517" s="38"/>
      <c r="AD3517" s="38"/>
      <c r="AE3517" s="38"/>
      <c r="AF3517" s="38"/>
      <c r="AG3517" s="38"/>
      <c r="AH3517" s="38"/>
    </row>
    <row r="3518" spans="3:34" ht="20.100000000000001" customHeight="1">
      <c r="C3518" s="113"/>
      <c r="D3518" s="114"/>
      <c r="P3518" s="82"/>
      <c r="Q3518" s="82"/>
      <c r="R3518" s="38"/>
      <c r="S3518" s="38"/>
      <c r="T3518" s="38"/>
      <c r="U3518" s="38"/>
      <c r="V3518" s="38"/>
      <c r="W3518" s="38"/>
      <c r="X3518" s="38"/>
      <c r="Y3518" s="38"/>
      <c r="Z3518" s="38"/>
      <c r="AA3518" s="38"/>
      <c r="AB3518" s="38"/>
      <c r="AC3518" s="38"/>
      <c r="AD3518" s="38"/>
      <c r="AE3518" s="38"/>
      <c r="AF3518" s="38"/>
      <c r="AG3518" s="38"/>
      <c r="AH3518" s="38"/>
    </row>
    <row r="3519" spans="3:34" ht="20.100000000000001" customHeight="1">
      <c r="C3519" s="113"/>
      <c r="D3519" s="114"/>
      <c r="P3519" s="82"/>
      <c r="Q3519" s="82"/>
      <c r="R3519" s="38"/>
      <c r="S3519" s="38"/>
      <c r="T3519" s="38"/>
      <c r="U3519" s="38"/>
      <c r="V3519" s="38"/>
      <c r="W3519" s="38"/>
      <c r="X3519" s="38"/>
      <c r="Y3519" s="38"/>
      <c r="Z3519" s="38"/>
      <c r="AA3519" s="38"/>
      <c r="AB3519" s="38"/>
      <c r="AC3519" s="38"/>
      <c r="AD3519" s="38"/>
      <c r="AE3519" s="38"/>
      <c r="AF3519" s="38"/>
      <c r="AG3519" s="38"/>
      <c r="AH3519" s="38"/>
    </row>
    <row r="3520" spans="3:34" ht="20.100000000000001" customHeight="1">
      <c r="C3520" s="113"/>
      <c r="D3520" s="114"/>
      <c r="P3520" s="82"/>
      <c r="Q3520" s="82"/>
      <c r="R3520" s="38"/>
      <c r="S3520" s="38"/>
      <c r="T3520" s="38"/>
      <c r="U3520" s="38"/>
      <c r="V3520" s="38"/>
      <c r="W3520" s="38"/>
      <c r="X3520" s="38"/>
      <c r="Y3520" s="38"/>
      <c r="Z3520" s="38"/>
      <c r="AA3520" s="38"/>
      <c r="AB3520" s="38"/>
      <c r="AC3520" s="38"/>
      <c r="AD3520" s="38"/>
      <c r="AE3520" s="38"/>
      <c r="AF3520" s="38"/>
      <c r="AG3520" s="38"/>
      <c r="AH3520" s="38"/>
    </row>
    <row r="3521" spans="3:34" ht="20.100000000000001" customHeight="1">
      <c r="C3521" s="113"/>
      <c r="D3521" s="114"/>
      <c r="P3521" s="82"/>
      <c r="Q3521" s="82"/>
      <c r="R3521" s="38"/>
      <c r="S3521" s="38"/>
      <c r="T3521" s="38"/>
      <c r="U3521" s="38"/>
      <c r="V3521" s="38"/>
      <c r="W3521" s="38"/>
      <c r="X3521" s="38"/>
      <c r="Y3521" s="38"/>
      <c r="Z3521" s="38"/>
      <c r="AA3521" s="38"/>
      <c r="AB3521" s="38"/>
      <c r="AC3521" s="38"/>
      <c r="AD3521" s="38"/>
      <c r="AE3521" s="38"/>
      <c r="AF3521" s="38"/>
      <c r="AG3521" s="38"/>
      <c r="AH3521" s="38"/>
    </row>
    <row r="3522" spans="3:34" ht="20.100000000000001" customHeight="1">
      <c r="C3522" s="113"/>
      <c r="D3522" s="114"/>
      <c r="P3522" s="82"/>
      <c r="Q3522" s="82"/>
      <c r="R3522" s="38"/>
      <c r="S3522" s="38"/>
      <c r="T3522" s="38"/>
      <c r="U3522" s="38"/>
      <c r="V3522" s="38"/>
      <c r="W3522" s="38"/>
      <c r="X3522" s="38"/>
      <c r="Y3522" s="38"/>
      <c r="Z3522" s="38"/>
      <c r="AA3522" s="38"/>
      <c r="AB3522" s="38"/>
      <c r="AC3522" s="38"/>
      <c r="AD3522" s="38"/>
      <c r="AE3522" s="38"/>
      <c r="AF3522" s="38"/>
      <c r="AG3522" s="38"/>
      <c r="AH3522" s="38"/>
    </row>
    <row r="3523" spans="3:34" ht="20.100000000000001" customHeight="1">
      <c r="C3523" s="113"/>
      <c r="D3523" s="114"/>
      <c r="P3523" s="82"/>
      <c r="Q3523" s="82"/>
      <c r="R3523" s="38"/>
      <c r="S3523" s="38"/>
      <c r="T3523" s="38"/>
      <c r="U3523" s="38"/>
      <c r="V3523" s="38"/>
      <c r="W3523" s="38"/>
      <c r="X3523" s="38"/>
      <c r="Y3523" s="38"/>
      <c r="Z3523" s="38"/>
      <c r="AA3523" s="38"/>
      <c r="AB3523" s="38"/>
      <c r="AC3523" s="38"/>
      <c r="AD3523" s="38"/>
      <c r="AE3523" s="38"/>
      <c r="AF3523" s="38"/>
      <c r="AG3523" s="38"/>
      <c r="AH3523" s="38"/>
    </row>
    <row r="3524" spans="3:34" ht="20.100000000000001" customHeight="1">
      <c r="C3524" s="113"/>
      <c r="D3524" s="114"/>
      <c r="P3524" s="82"/>
      <c r="Q3524" s="82"/>
      <c r="R3524" s="38"/>
      <c r="S3524" s="38"/>
      <c r="T3524" s="38"/>
      <c r="U3524" s="38"/>
      <c r="V3524" s="38"/>
      <c r="W3524" s="38"/>
      <c r="X3524" s="38"/>
      <c r="Y3524" s="38"/>
      <c r="Z3524" s="38"/>
      <c r="AA3524" s="38"/>
      <c r="AB3524" s="38"/>
      <c r="AC3524" s="38"/>
      <c r="AD3524" s="38"/>
      <c r="AE3524" s="38"/>
      <c r="AF3524" s="38"/>
      <c r="AG3524" s="38"/>
      <c r="AH3524" s="38"/>
    </row>
    <row r="3525" spans="3:34" ht="20.100000000000001" customHeight="1">
      <c r="C3525" s="113"/>
      <c r="D3525" s="114"/>
      <c r="P3525" s="82"/>
      <c r="Q3525" s="82"/>
      <c r="R3525" s="38"/>
      <c r="S3525" s="38"/>
      <c r="T3525" s="38"/>
      <c r="U3525" s="38"/>
      <c r="V3525" s="38"/>
      <c r="W3525" s="38"/>
      <c r="X3525" s="38"/>
      <c r="Y3525" s="38"/>
      <c r="Z3525" s="38"/>
      <c r="AA3525" s="38"/>
      <c r="AB3525" s="38"/>
      <c r="AC3525" s="38"/>
      <c r="AD3525" s="38"/>
      <c r="AE3525" s="38"/>
      <c r="AF3525" s="38"/>
      <c r="AG3525" s="38"/>
      <c r="AH3525" s="38"/>
    </row>
    <row r="3526" spans="3:34" ht="20.100000000000001" customHeight="1">
      <c r="C3526" s="113"/>
      <c r="D3526" s="114"/>
      <c r="P3526" s="82"/>
      <c r="Q3526" s="82"/>
      <c r="R3526" s="38"/>
      <c r="S3526" s="38"/>
      <c r="T3526" s="38"/>
      <c r="U3526" s="38"/>
      <c r="V3526" s="38"/>
      <c r="W3526" s="38"/>
      <c r="X3526" s="38"/>
      <c r="Y3526" s="38"/>
      <c r="Z3526" s="38"/>
      <c r="AA3526" s="38"/>
      <c r="AB3526" s="38"/>
      <c r="AC3526" s="38"/>
      <c r="AD3526" s="38"/>
      <c r="AE3526" s="38"/>
      <c r="AF3526" s="38"/>
      <c r="AG3526" s="38"/>
      <c r="AH3526" s="38"/>
    </row>
    <row r="3527" spans="3:34" ht="20.100000000000001" customHeight="1">
      <c r="C3527" s="113"/>
      <c r="D3527" s="114"/>
      <c r="P3527" s="82"/>
      <c r="Q3527" s="82"/>
      <c r="R3527" s="38"/>
      <c r="S3527" s="38"/>
      <c r="T3527" s="38"/>
      <c r="U3527" s="38"/>
      <c r="V3527" s="38"/>
      <c r="W3527" s="38"/>
      <c r="X3527" s="38"/>
      <c r="Y3527" s="38"/>
      <c r="Z3527" s="38"/>
      <c r="AA3527" s="38"/>
      <c r="AB3527" s="38"/>
      <c r="AC3527" s="38"/>
      <c r="AD3527" s="38"/>
      <c r="AE3527" s="38"/>
      <c r="AF3527" s="38"/>
      <c r="AG3527" s="38"/>
      <c r="AH3527" s="38"/>
    </row>
    <row r="3528" spans="3:34" ht="20.100000000000001" customHeight="1">
      <c r="C3528" s="113"/>
      <c r="D3528" s="114"/>
      <c r="P3528" s="82"/>
      <c r="Q3528" s="82"/>
      <c r="R3528" s="38"/>
      <c r="S3528" s="38"/>
      <c r="T3528" s="38"/>
      <c r="U3528" s="38"/>
      <c r="V3528" s="38"/>
      <c r="W3528" s="38"/>
      <c r="X3528" s="38"/>
      <c r="Y3528" s="38"/>
      <c r="Z3528" s="38"/>
      <c r="AA3528" s="38"/>
      <c r="AB3528" s="38"/>
      <c r="AC3528" s="38"/>
      <c r="AD3528" s="38"/>
      <c r="AE3528" s="38"/>
      <c r="AF3528" s="38"/>
      <c r="AG3528" s="38"/>
      <c r="AH3528" s="38"/>
    </row>
    <row r="3529" spans="3:34" ht="20.100000000000001" customHeight="1">
      <c r="C3529" s="113"/>
      <c r="D3529" s="114"/>
      <c r="P3529" s="82"/>
      <c r="Q3529" s="82"/>
      <c r="R3529" s="38"/>
      <c r="S3529" s="38"/>
      <c r="T3529" s="38"/>
      <c r="U3529" s="38"/>
      <c r="V3529" s="38"/>
      <c r="W3529" s="38"/>
      <c r="X3529" s="38"/>
      <c r="Y3529" s="38"/>
      <c r="Z3529" s="38"/>
      <c r="AA3529" s="38"/>
      <c r="AB3529" s="38"/>
      <c r="AC3529" s="38"/>
      <c r="AD3529" s="38"/>
      <c r="AE3529" s="38"/>
      <c r="AF3529" s="38"/>
      <c r="AG3529" s="38"/>
      <c r="AH3529" s="38"/>
    </row>
    <row r="3530" spans="3:34" ht="20.100000000000001" customHeight="1">
      <c r="C3530" s="113"/>
      <c r="D3530" s="114"/>
      <c r="P3530" s="82"/>
      <c r="Q3530" s="82"/>
      <c r="R3530" s="38"/>
      <c r="S3530" s="38"/>
      <c r="T3530" s="38"/>
      <c r="U3530" s="38"/>
      <c r="V3530" s="38"/>
      <c r="W3530" s="38"/>
      <c r="X3530" s="38"/>
      <c r="Y3530" s="38"/>
      <c r="Z3530" s="38"/>
      <c r="AA3530" s="38"/>
      <c r="AB3530" s="38"/>
      <c r="AC3530" s="38"/>
      <c r="AD3530" s="38"/>
      <c r="AE3530" s="38"/>
      <c r="AF3530" s="38"/>
      <c r="AG3530" s="38"/>
      <c r="AH3530" s="38"/>
    </row>
    <row r="3531" spans="3:34" ht="20.100000000000001" customHeight="1">
      <c r="C3531" s="113"/>
      <c r="D3531" s="114"/>
      <c r="P3531" s="82"/>
      <c r="Q3531" s="82"/>
      <c r="R3531" s="38"/>
      <c r="S3531" s="38"/>
      <c r="T3531" s="38"/>
      <c r="U3531" s="38"/>
      <c r="V3531" s="38"/>
      <c r="W3531" s="38"/>
      <c r="X3531" s="38"/>
      <c r="Y3531" s="38"/>
      <c r="Z3531" s="38"/>
      <c r="AA3531" s="38"/>
      <c r="AB3531" s="38"/>
      <c r="AC3531" s="38"/>
      <c r="AD3531" s="38"/>
      <c r="AE3531" s="38"/>
      <c r="AF3531" s="38"/>
      <c r="AG3531" s="38"/>
      <c r="AH3531" s="38"/>
    </row>
    <row r="3532" spans="3:34" ht="20.100000000000001" customHeight="1">
      <c r="C3532" s="113"/>
      <c r="D3532" s="114"/>
      <c r="P3532" s="82"/>
      <c r="Q3532" s="82"/>
      <c r="R3532" s="38"/>
      <c r="S3532" s="38"/>
      <c r="T3532" s="38"/>
      <c r="U3532" s="38"/>
      <c r="V3532" s="38"/>
      <c r="W3532" s="38"/>
      <c r="X3532" s="38"/>
      <c r="Y3532" s="38"/>
      <c r="Z3532" s="38"/>
      <c r="AA3532" s="38"/>
      <c r="AB3532" s="38"/>
      <c r="AC3532" s="38"/>
      <c r="AD3532" s="38"/>
      <c r="AE3532" s="38"/>
      <c r="AF3532" s="38"/>
      <c r="AG3532" s="38"/>
      <c r="AH3532" s="38"/>
    </row>
    <row r="3533" spans="3:34" ht="20.100000000000001" customHeight="1">
      <c r="C3533" s="113"/>
      <c r="D3533" s="114"/>
      <c r="P3533" s="82"/>
      <c r="Q3533" s="82"/>
      <c r="R3533" s="38"/>
      <c r="S3533" s="38"/>
      <c r="T3533" s="38"/>
      <c r="U3533" s="38"/>
      <c r="V3533" s="38"/>
      <c r="W3533" s="38"/>
      <c r="X3533" s="38"/>
      <c r="Y3533" s="38"/>
      <c r="Z3533" s="38"/>
      <c r="AA3533" s="38"/>
      <c r="AB3533" s="38"/>
      <c r="AC3533" s="38"/>
      <c r="AD3533" s="38"/>
      <c r="AE3533" s="38"/>
      <c r="AF3533" s="38"/>
      <c r="AG3533" s="38"/>
      <c r="AH3533" s="38"/>
    </row>
    <row r="3534" spans="3:34" ht="20.100000000000001" customHeight="1">
      <c r="C3534" s="113"/>
      <c r="D3534" s="114"/>
      <c r="P3534" s="82"/>
      <c r="Q3534" s="82"/>
      <c r="R3534" s="38"/>
      <c r="S3534" s="38"/>
      <c r="T3534" s="38"/>
      <c r="U3534" s="38"/>
      <c r="V3534" s="38"/>
      <c r="W3534" s="38"/>
      <c r="X3534" s="38"/>
      <c r="Y3534" s="38"/>
      <c r="Z3534" s="38"/>
      <c r="AA3534" s="38"/>
      <c r="AB3534" s="38"/>
      <c r="AC3534" s="38"/>
      <c r="AD3534" s="38"/>
      <c r="AE3534" s="38"/>
      <c r="AF3534" s="38"/>
      <c r="AG3534" s="38"/>
      <c r="AH3534" s="38"/>
    </row>
    <row r="3535" spans="3:34" ht="20.100000000000001" customHeight="1">
      <c r="C3535" s="113"/>
      <c r="D3535" s="114"/>
      <c r="P3535" s="82"/>
      <c r="Q3535" s="82"/>
      <c r="R3535" s="38"/>
      <c r="S3535" s="38"/>
      <c r="T3535" s="38"/>
      <c r="U3535" s="38"/>
      <c r="V3535" s="38"/>
      <c r="W3535" s="38"/>
      <c r="X3535" s="38"/>
      <c r="Y3535" s="38"/>
      <c r="Z3535" s="38"/>
      <c r="AA3535" s="38"/>
      <c r="AB3535" s="38"/>
      <c r="AC3535" s="38"/>
      <c r="AD3535" s="38"/>
      <c r="AE3535" s="38"/>
      <c r="AF3535" s="38"/>
      <c r="AG3535" s="38"/>
      <c r="AH3535" s="38"/>
    </row>
    <row r="3536" spans="3:34" ht="20.100000000000001" customHeight="1">
      <c r="C3536" s="113"/>
      <c r="D3536" s="114"/>
      <c r="P3536" s="82"/>
      <c r="Q3536" s="82"/>
      <c r="R3536" s="38"/>
      <c r="S3536" s="38"/>
      <c r="T3536" s="38"/>
      <c r="U3536" s="38"/>
      <c r="V3536" s="38"/>
      <c r="W3536" s="38"/>
      <c r="X3536" s="38"/>
      <c r="Y3536" s="38"/>
      <c r="Z3536" s="38"/>
      <c r="AA3536" s="38"/>
      <c r="AB3536" s="38"/>
      <c r="AC3536" s="38"/>
      <c r="AD3536" s="38"/>
      <c r="AE3536" s="38"/>
      <c r="AF3536" s="38"/>
      <c r="AG3536" s="38"/>
      <c r="AH3536" s="38"/>
    </row>
    <row r="3537" spans="3:34" ht="20.100000000000001" customHeight="1">
      <c r="C3537" s="113"/>
      <c r="D3537" s="114"/>
      <c r="P3537" s="82"/>
      <c r="Q3537" s="82"/>
      <c r="R3537" s="38"/>
      <c r="S3537" s="38"/>
      <c r="T3537" s="38"/>
      <c r="U3537" s="38"/>
      <c r="V3537" s="38"/>
      <c r="W3537" s="38"/>
      <c r="X3537" s="38"/>
      <c r="Y3537" s="38"/>
      <c r="Z3537" s="38"/>
      <c r="AA3537" s="38"/>
      <c r="AB3537" s="38"/>
      <c r="AC3537" s="38"/>
      <c r="AD3537" s="38"/>
      <c r="AE3537" s="38"/>
      <c r="AF3537" s="38"/>
      <c r="AG3537" s="38"/>
      <c r="AH3537" s="38"/>
    </row>
    <row r="3538" spans="3:34" ht="20.100000000000001" customHeight="1">
      <c r="C3538" s="113"/>
      <c r="D3538" s="114"/>
      <c r="P3538" s="82"/>
      <c r="Q3538" s="82"/>
      <c r="R3538" s="38"/>
      <c r="S3538" s="38"/>
      <c r="T3538" s="38"/>
      <c r="U3538" s="38"/>
      <c r="V3538" s="38"/>
      <c r="W3538" s="38"/>
      <c r="X3538" s="38"/>
      <c r="Y3538" s="38"/>
      <c r="Z3538" s="38"/>
      <c r="AA3538" s="38"/>
      <c r="AB3538" s="38"/>
      <c r="AC3538" s="38"/>
      <c r="AD3538" s="38"/>
      <c r="AE3538" s="38"/>
      <c r="AF3538" s="38"/>
      <c r="AG3538" s="38"/>
      <c r="AH3538" s="38"/>
    </row>
    <row r="3539" spans="3:34" ht="20.100000000000001" customHeight="1">
      <c r="C3539" s="113"/>
      <c r="D3539" s="114"/>
      <c r="P3539" s="82"/>
      <c r="Q3539" s="82"/>
      <c r="R3539" s="38"/>
      <c r="S3539" s="38"/>
      <c r="T3539" s="38"/>
      <c r="U3539" s="38"/>
      <c r="V3539" s="38"/>
      <c r="W3539" s="38"/>
      <c r="X3539" s="38"/>
      <c r="Y3539" s="38"/>
      <c r="Z3539" s="38"/>
      <c r="AA3539" s="38"/>
      <c r="AB3539" s="38"/>
      <c r="AC3539" s="38"/>
      <c r="AD3539" s="38"/>
      <c r="AE3539" s="38"/>
      <c r="AF3539" s="38"/>
      <c r="AG3539" s="38"/>
      <c r="AH3539" s="38"/>
    </row>
    <row r="3540" spans="3:34" ht="20.100000000000001" customHeight="1">
      <c r="C3540" s="113"/>
      <c r="D3540" s="114"/>
      <c r="P3540" s="82"/>
      <c r="Q3540" s="82"/>
      <c r="R3540" s="38"/>
      <c r="S3540" s="38"/>
      <c r="T3540" s="38"/>
      <c r="U3540" s="38"/>
      <c r="V3540" s="38"/>
      <c r="W3540" s="38"/>
      <c r="X3540" s="38"/>
      <c r="Y3540" s="38"/>
      <c r="Z3540" s="38"/>
      <c r="AA3540" s="38"/>
      <c r="AB3540" s="38"/>
      <c r="AC3540" s="38"/>
      <c r="AD3540" s="38"/>
      <c r="AE3540" s="38"/>
      <c r="AF3540" s="38"/>
      <c r="AG3540" s="38"/>
      <c r="AH3540" s="38"/>
    </row>
    <row r="3541" spans="3:34" ht="20.100000000000001" customHeight="1">
      <c r="C3541" s="113"/>
      <c r="D3541" s="114"/>
      <c r="P3541" s="82"/>
      <c r="Q3541" s="82"/>
      <c r="R3541" s="38"/>
      <c r="S3541" s="38"/>
      <c r="T3541" s="38"/>
      <c r="U3541" s="38"/>
      <c r="V3541" s="38"/>
      <c r="W3541" s="38"/>
      <c r="X3541" s="38"/>
      <c r="Y3541" s="38"/>
      <c r="Z3541" s="38"/>
      <c r="AA3541" s="38"/>
      <c r="AB3541" s="38"/>
      <c r="AC3541" s="38"/>
      <c r="AD3541" s="38"/>
      <c r="AE3541" s="38"/>
      <c r="AF3541" s="38"/>
      <c r="AG3541" s="38"/>
      <c r="AH3541" s="38"/>
    </row>
    <row r="3542" spans="3:34" ht="20.100000000000001" customHeight="1">
      <c r="C3542" s="113"/>
      <c r="D3542" s="114"/>
      <c r="P3542" s="82"/>
      <c r="Q3542" s="82"/>
      <c r="R3542" s="38"/>
      <c r="S3542" s="38"/>
      <c r="T3542" s="38"/>
      <c r="U3542" s="38"/>
      <c r="V3542" s="38"/>
      <c r="W3542" s="38"/>
      <c r="X3542" s="38"/>
      <c r="Y3542" s="38"/>
      <c r="Z3542" s="38"/>
      <c r="AA3542" s="38"/>
      <c r="AB3542" s="38"/>
      <c r="AC3542" s="38"/>
      <c r="AD3542" s="38"/>
      <c r="AE3542" s="38"/>
      <c r="AF3542" s="38"/>
      <c r="AG3542" s="38"/>
      <c r="AH3542" s="38"/>
    </row>
    <row r="3543" spans="3:34" ht="20.100000000000001" customHeight="1">
      <c r="C3543" s="113"/>
      <c r="D3543" s="114"/>
      <c r="P3543" s="82"/>
      <c r="Q3543" s="82"/>
      <c r="R3543" s="38"/>
      <c r="S3543" s="38"/>
      <c r="T3543" s="38"/>
      <c r="U3543" s="38"/>
      <c r="V3543" s="38"/>
      <c r="W3543" s="38"/>
      <c r="X3543" s="38"/>
      <c r="Y3543" s="38"/>
      <c r="Z3543" s="38"/>
      <c r="AA3543" s="38"/>
      <c r="AB3543" s="38"/>
      <c r="AC3543" s="38"/>
      <c r="AD3543" s="38"/>
      <c r="AE3543" s="38"/>
      <c r="AF3543" s="38"/>
      <c r="AG3543" s="38"/>
      <c r="AH3543" s="38"/>
    </row>
    <row r="3544" spans="3:34" ht="20.100000000000001" customHeight="1">
      <c r="C3544" s="113"/>
      <c r="D3544" s="114"/>
      <c r="P3544" s="82"/>
      <c r="Q3544" s="82"/>
      <c r="R3544" s="38"/>
      <c r="S3544" s="38"/>
      <c r="T3544" s="38"/>
      <c r="U3544" s="38"/>
      <c r="V3544" s="38"/>
      <c r="W3544" s="38"/>
      <c r="X3544" s="38"/>
      <c r="Y3544" s="38"/>
      <c r="Z3544" s="38"/>
      <c r="AA3544" s="38"/>
      <c r="AB3544" s="38"/>
      <c r="AC3544" s="38"/>
      <c r="AD3544" s="38"/>
      <c r="AE3544" s="38"/>
      <c r="AF3544" s="38"/>
      <c r="AG3544" s="38"/>
      <c r="AH3544" s="38"/>
    </row>
    <row r="3545" spans="3:34" ht="20.100000000000001" customHeight="1">
      <c r="C3545" s="113"/>
      <c r="D3545" s="114"/>
      <c r="P3545" s="82"/>
      <c r="Q3545" s="82"/>
      <c r="R3545" s="38"/>
      <c r="S3545" s="38"/>
      <c r="T3545" s="38"/>
      <c r="U3545" s="38"/>
      <c r="V3545" s="38"/>
      <c r="W3545" s="38"/>
      <c r="X3545" s="38"/>
      <c r="Y3545" s="38"/>
      <c r="Z3545" s="38"/>
      <c r="AA3545" s="38"/>
      <c r="AB3545" s="38"/>
      <c r="AC3545" s="38"/>
      <c r="AD3545" s="38"/>
      <c r="AE3545" s="38"/>
      <c r="AF3545" s="38"/>
      <c r="AG3545" s="38"/>
      <c r="AH3545" s="38"/>
    </row>
    <row r="3546" spans="3:34" ht="20.100000000000001" customHeight="1">
      <c r="C3546" s="113"/>
      <c r="D3546" s="114"/>
      <c r="P3546" s="82"/>
      <c r="Q3546" s="82"/>
      <c r="R3546" s="38"/>
      <c r="S3546" s="38"/>
      <c r="T3546" s="38"/>
      <c r="U3546" s="38"/>
      <c r="V3546" s="38"/>
      <c r="W3546" s="38"/>
      <c r="X3546" s="38"/>
      <c r="Y3546" s="38"/>
      <c r="Z3546" s="38"/>
      <c r="AA3546" s="38"/>
      <c r="AB3546" s="38"/>
      <c r="AC3546" s="38"/>
      <c r="AD3546" s="38"/>
      <c r="AE3546" s="38"/>
      <c r="AF3546" s="38"/>
      <c r="AG3546" s="38"/>
      <c r="AH3546" s="38"/>
    </row>
    <row r="3547" spans="3:34" ht="20.100000000000001" customHeight="1">
      <c r="C3547" s="113"/>
      <c r="D3547" s="114"/>
      <c r="P3547" s="82"/>
      <c r="Q3547" s="82"/>
      <c r="R3547" s="38"/>
      <c r="S3547" s="38"/>
      <c r="T3547" s="38"/>
      <c r="U3547" s="38"/>
      <c r="V3547" s="38"/>
      <c r="W3547" s="38"/>
      <c r="X3547" s="38"/>
      <c r="Y3547" s="38"/>
      <c r="Z3547" s="38"/>
      <c r="AA3547" s="38"/>
      <c r="AB3547" s="38"/>
      <c r="AC3547" s="38"/>
      <c r="AD3547" s="38"/>
      <c r="AE3547" s="38"/>
      <c r="AF3547" s="38"/>
      <c r="AG3547" s="38"/>
      <c r="AH3547" s="38"/>
    </row>
    <row r="3548" spans="3:34" ht="20.100000000000001" customHeight="1">
      <c r="C3548" s="113"/>
      <c r="D3548" s="114"/>
      <c r="P3548" s="82"/>
      <c r="Q3548" s="82"/>
      <c r="R3548" s="38"/>
      <c r="S3548" s="38"/>
      <c r="T3548" s="38"/>
      <c r="U3548" s="38"/>
      <c r="V3548" s="38"/>
      <c r="W3548" s="38"/>
      <c r="X3548" s="38"/>
      <c r="Y3548" s="38"/>
      <c r="Z3548" s="38"/>
      <c r="AA3548" s="38"/>
      <c r="AB3548" s="38"/>
      <c r="AC3548" s="38"/>
      <c r="AD3548" s="38"/>
      <c r="AE3548" s="38"/>
      <c r="AF3548" s="38"/>
      <c r="AG3548" s="38"/>
      <c r="AH3548" s="38"/>
    </row>
    <row r="3549" spans="3:34" ht="20.100000000000001" customHeight="1">
      <c r="C3549" s="113"/>
      <c r="D3549" s="114"/>
      <c r="P3549" s="82"/>
      <c r="Q3549" s="82"/>
      <c r="R3549" s="38"/>
      <c r="S3549" s="38"/>
      <c r="T3549" s="38"/>
      <c r="U3549" s="38"/>
      <c r="V3549" s="38"/>
      <c r="W3549" s="38"/>
      <c r="X3549" s="38"/>
      <c r="Y3549" s="38"/>
      <c r="Z3549" s="38"/>
      <c r="AA3549" s="38"/>
      <c r="AB3549" s="38"/>
      <c r="AC3549" s="38"/>
      <c r="AD3549" s="38"/>
      <c r="AE3549" s="38"/>
      <c r="AF3549" s="38"/>
      <c r="AG3549" s="38"/>
      <c r="AH3549" s="38"/>
    </row>
    <row r="3550" spans="3:34" ht="20.100000000000001" customHeight="1">
      <c r="C3550" s="113"/>
      <c r="D3550" s="114"/>
      <c r="P3550" s="82"/>
      <c r="Q3550" s="82"/>
      <c r="R3550" s="38"/>
      <c r="S3550" s="38"/>
      <c r="T3550" s="38"/>
      <c r="U3550" s="38"/>
      <c r="V3550" s="38"/>
      <c r="W3550" s="38"/>
      <c r="X3550" s="38"/>
      <c r="Y3550" s="38"/>
      <c r="Z3550" s="38"/>
      <c r="AA3550" s="38"/>
      <c r="AB3550" s="38"/>
      <c r="AC3550" s="38"/>
      <c r="AD3550" s="38"/>
      <c r="AE3550" s="38"/>
      <c r="AF3550" s="38"/>
      <c r="AG3550" s="38"/>
      <c r="AH3550" s="38"/>
    </row>
    <row r="3551" spans="3:34" ht="20.100000000000001" customHeight="1">
      <c r="C3551" s="113"/>
      <c r="D3551" s="114"/>
      <c r="P3551" s="82"/>
      <c r="Q3551" s="82"/>
      <c r="R3551" s="38"/>
      <c r="S3551" s="38"/>
      <c r="T3551" s="38"/>
      <c r="U3551" s="38"/>
      <c r="V3551" s="38"/>
      <c r="W3551" s="38"/>
      <c r="X3551" s="38"/>
      <c r="Y3551" s="38"/>
      <c r="Z3551" s="38"/>
      <c r="AA3551" s="38"/>
      <c r="AB3551" s="38"/>
      <c r="AC3551" s="38"/>
      <c r="AD3551" s="38"/>
      <c r="AE3551" s="38"/>
      <c r="AF3551" s="38"/>
      <c r="AG3551" s="38"/>
      <c r="AH3551" s="38"/>
    </row>
    <row r="3552" spans="3:34" ht="20.100000000000001" customHeight="1">
      <c r="C3552" s="113"/>
      <c r="D3552" s="114"/>
      <c r="P3552" s="82"/>
      <c r="Q3552" s="82"/>
      <c r="R3552" s="38"/>
      <c r="S3552" s="38"/>
      <c r="T3552" s="38"/>
      <c r="U3552" s="38"/>
      <c r="V3552" s="38"/>
      <c r="W3552" s="38"/>
      <c r="X3552" s="38"/>
      <c r="Y3552" s="38"/>
      <c r="Z3552" s="38"/>
      <c r="AA3552" s="38"/>
      <c r="AB3552" s="38"/>
      <c r="AC3552" s="38"/>
      <c r="AD3552" s="38"/>
      <c r="AE3552" s="38"/>
      <c r="AF3552" s="38"/>
      <c r="AG3552" s="38"/>
      <c r="AH3552" s="38"/>
    </row>
    <row r="3553" spans="3:34" ht="20.100000000000001" customHeight="1">
      <c r="C3553" s="113"/>
      <c r="D3553" s="114"/>
      <c r="P3553" s="82"/>
      <c r="Q3553" s="82"/>
      <c r="R3553" s="38"/>
      <c r="S3553" s="38"/>
      <c r="T3553" s="38"/>
      <c r="U3553" s="38"/>
      <c r="V3553" s="38"/>
      <c r="W3553" s="38"/>
      <c r="X3553" s="38"/>
      <c r="Y3553" s="38"/>
      <c r="Z3553" s="38"/>
      <c r="AA3553" s="38"/>
      <c r="AB3553" s="38"/>
      <c r="AC3553" s="38"/>
      <c r="AD3553" s="38"/>
      <c r="AE3553" s="38"/>
      <c r="AF3553" s="38"/>
      <c r="AG3553" s="38"/>
      <c r="AH3553" s="38"/>
    </row>
    <row r="3554" spans="3:34" ht="20.100000000000001" customHeight="1">
      <c r="C3554" s="113"/>
      <c r="D3554" s="114"/>
      <c r="P3554" s="82"/>
      <c r="Q3554" s="82"/>
      <c r="R3554" s="38"/>
      <c r="S3554" s="38"/>
      <c r="T3554" s="38"/>
      <c r="U3554" s="38"/>
      <c r="V3554" s="38"/>
      <c r="W3554" s="38"/>
      <c r="X3554" s="38"/>
      <c r="Y3554" s="38"/>
      <c r="Z3554" s="38"/>
      <c r="AA3554" s="38"/>
      <c r="AB3554" s="38"/>
      <c r="AC3554" s="38"/>
      <c r="AD3554" s="38"/>
      <c r="AE3554" s="38"/>
      <c r="AF3554" s="38"/>
      <c r="AG3554" s="38"/>
      <c r="AH3554" s="38"/>
    </row>
    <row r="3555" spans="3:34" ht="20.100000000000001" customHeight="1">
      <c r="C3555" s="113"/>
      <c r="D3555" s="114"/>
      <c r="P3555" s="82"/>
      <c r="Q3555" s="82"/>
      <c r="R3555" s="38"/>
      <c r="S3555" s="38"/>
      <c r="T3555" s="38"/>
      <c r="U3555" s="38"/>
      <c r="V3555" s="38"/>
      <c r="W3555" s="38"/>
      <c r="X3555" s="38"/>
      <c r="Y3555" s="38"/>
      <c r="Z3555" s="38"/>
      <c r="AA3555" s="38"/>
      <c r="AB3555" s="38"/>
      <c r="AC3555" s="38"/>
      <c r="AD3555" s="38"/>
      <c r="AE3555" s="38"/>
      <c r="AF3555" s="38"/>
      <c r="AG3555" s="38"/>
      <c r="AH3555" s="38"/>
    </row>
    <row r="3556" spans="3:34" ht="20.100000000000001" customHeight="1">
      <c r="C3556" s="113"/>
      <c r="D3556" s="114"/>
      <c r="P3556" s="82"/>
      <c r="Q3556" s="82"/>
      <c r="R3556" s="38"/>
      <c r="S3556" s="38"/>
      <c r="T3556" s="38"/>
      <c r="U3556" s="38"/>
      <c r="V3556" s="38"/>
      <c r="W3556" s="38"/>
      <c r="X3556" s="38"/>
      <c r="Y3556" s="38"/>
      <c r="Z3556" s="38"/>
      <c r="AA3556" s="38"/>
      <c r="AB3556" s="38"/>
      <c r="AC3556" s="38"/>
      <c r="AD3556" s="38"/>
      <c r="AE3556" s="38"/>
      <c r="AF3556" s="38"/>
      <c r="AG3556" s="38"/>
      <c r="AH3556" s="38"/>
    </row>
    <row r="3557" spans="3:34" ht="20.100000000000001" customHeight="1">
      <c r="C3557" s="113"/>
      <c r="D3557" s="114"/>
      <c r="P3557" s="82"/>
      <c r="Q3557" s="82"/>
      <c r="R3557" s="38"/>
      <c r="S3557" s="38"/>
      <c r="T3557" s="38"/>
      <c r="U3557" s="38"/>
      <c r="V3557" s="38"/>
      <c r="W3557" s="38"/>
      <c r="X3557" s="38"/>
      <c r="Y3557" s="38"/>
      <c r="Z3557" s="38"/>
      <c r="AA3557" s="38"/>
      <c r="AB3557" s="38"/>
      <c r="AC3557" s="38"/>
      <c r="AD3557" s="38"/>
      <c r="AE3557" s="38"/>
      <c r="AF3557" s="38"/>
      <c r="AG3557" s="38"/>
      <c r="AH3557" s="38"/>
    </row>
    <row r="3558" spans="3:34" ht="20.100000000000001" customHeight="1">
      <c r="C3558" s="113"/>
      <c r="D3558" s="114"/>
      <c r="P3558" s="82"/>
      <c r="Q3558" s="82"/>
      <c r="R3558" s="38"/>
      <c r="S3558" s="38"/>
      <c r="T3558" s="38"/>
      <c r="U3558" s="38"/>
      <c r="V3558" s="38"/>
      <c r="W3558" s="38"/>
      <c r="X3558" s="38"/>
      <c r="Y3558" s="38"/>
      <c r="Z3558" s="38"/>
      <c r="AA3558" s="38"/>
      <c r="AB3558" s="38"/>
      <c r="AC3558" s="38"/>
      <c r="AD3558" s="38"/>
      <c r="AE3558" s="38"/>
      <c r="AF3558" s="38"/>
      <c r="AG3558" s="38"/>
      <c r="AH3558" s="38"/>
    </row>
    <row r="3559" spans="3:34" ht="20.100000000000001" customHeight="1">
      <c r="C3559" s="113"/>
      <c r="D3559" s="114"/>
      <c r="P3559" s="82"/>
      <c r="Q3559" s="82"/>
      <c r="R3559" s="38"/>
      <c r="S3559" s="38"/>
      <c r="T3559" s="38"/>
      <c r="U3559" s="38"/>
      <c r="V3559" s="38"/>
      <c r="W3559" s="38"/>
      <c r="X3559" s="38"/>
      <c r="Y3559" s="38"/>
      <c r="Z3559" s="38"/>
      <c r="AA3559" s="38"/>
      <c r="AB3559" s="38"/>
      <c r="AC3559" s="38"/>
      <c r="AD3559" s="38"/>
      <c r="AE3559" s="38"/>
      <c r="AF3559" s="38"/>
      <c r="AG3559" s="38"/>
      <c r="AH3559" s="38"/>
    </row>
    <row r="3560" spans="3:34" ht="20.100000000000001" customHeight="1">
      <c r="C3560" s="113"/>
      <c r="D3560" s="114"/>
      <c r="P3560" s="82"/>
      <c r="Q3560" s="82"/>
      <c r="R3560" s="38"/>
      <c r="S3560" s="38"/>
      <c r="T3560" s="38"/>
      <c r="U3560" s="38"/>
      <c r="V3560" s="38"/>
      <c r="W3560" s="38"/>
      <c r="X3560" s="38"/>
      <c r="Y3560" s="38"/>
      <c r="Z3560" s="38"/>
      <c r="AA3560" s="38"/>
      <c r="AB3560" s="38"/>
      <c r="AC3560" s="38"/>
      <c r="AD3560" s="38"/>
      <c r="AE3560" s="38"/>
      <c r="AF3560" s="38"/>
      <c r="AG3560" s="38"/>
      <c r="AH3560" s="38"/>
    </row>
    <row r="3561" spans="3:34" ht="20.100000000000001" customHeight="1">
      <c r="C3561" s="113"/>
      <c r="D3561" s="114"/>
      <c r="P3561" s="82"/>
      <c r="Q3561" s="82"/>
      <c r="R3561" s="38"/>
      <c r="S3561" s="38"/>
      <c r="T3561" s="38"/>
      <c r="U3561" s="38"/>
      <c r="V3561" s="38"/>
      <c r="W3561" s="38"/>
      <c r="X3561" s="38"/>
      <c r="Y3561" s="38"/>
      <c r="Z3561" s="38"/>
      <c r="AA3561" s="38"/>
      <c r="AB3561" s="38"/>
      <c r="AC3561" s="38"/>
      <c r="AD3561" s="38"/>
      <c r="AE3561" s="38"/>
      <c r="AF3561" s="38"/>
      <c r="AG3561" s="38"/>
      <c r="AH3561" s="38"/>
    </row>
    <row r="3562" spans="3:34" ht="20.100000000000001" customHeight="1">
      <c r="C3562" s="113"/>
      <c r="D3562" s="114"/>
      <c r="P3562" s="82"/>
      <c r="Q3562" s="82"/>
      <c r="R3562" s="38"/>
      <c r="S3562" s="38"/>
      <c r="T3562" s="38"/>
      <c r="U3562" s="38"/>
      <c r="V3562" s="38"/>
      <c r="W3562" s="38"/>
      <c r="X3562" s="38"/>
      <c r="Y3562" s="38"/>
      <c r="Z3562" s="38"/>
      <c r="AA3562" s="38"/>
      <c r="AB3562" s="38"/>
      <c r="AC3562" s="38"/>
      <c r="AD3562" s="38"/>
      <c r="AE3562" s="38"/>
      <c r="AF3562" s="38"/>
      <c r="AG3562" s="38"/>
      <c r="AH3562" s="38"/>
    </row>
    <row r="3563" spans="3:34" ht="20.100000000000001" customHeight="1">
      <c r="C3563" s="113"/>
      <c r="D3563" s="114"/>
      <c r="P3563" s="82"/>
      <c r="Q3563" s="82"/>
      <c r="R3563" s="38"/>
      <c r="S3563" s="38"/>
      <c r="T3563" s="38"/>
      <c r="U3563" s="38"/>
      <c r="V3563" s="38"/>
      <c r="W3563" s="38"/>
      <c r="X3563" s="38"/>
      <c r="Y3563" s="38"/>
      <c r="Z3563" s="38"/>
      <c r="AA3563" s="38"/>
      <c r="AB3563" s="38"/>
      <c r="AC3563" s="38"/>
      <c r="AD3563" s="38"/>
      <c r="AE3563" s="38"/>
      <c r="AF3563" s="38"/>
      <c r="AG3563" s="38"/>
      <c r="AH3563" s="38"/>
    </row>
    <row r="3564" spans="3:34" ht="20.100000000000001" customHeight="1">
      <c r="C3564" s="113"/>
      <c r="D3564" s="114"/>
      <c r="P3564" s="82"/>
      <c r="Q3564" s="82"/>
      <c r="R3564" s="38"/>
      <c r="S3564" s="38"/>
      <c r="T3564" s="38"/>
      <c r="U3564" s="38"/>
      <c r="V3564" s="38"/>
      <c r="W3564" s="38"/>
      <c r="X3564" s="38"/>
      <c r="Y3564" s="38"/>
      <c r="Z3564" s="38"/>
      <c r="AA3564" s="38"/>
      <c r="AB3564" s="38"/>
      <c r="AC3564" s="38"/>
      <c r="AD3564" s="38"/>
      <c r="AE3564" s="38"/>
      <c r="AF3564" s="38"/>
      <c r="AG3564" s="38"/>
      <c r="AH3564" s="38"/>
    </row>
    <row r="3565" spans="3:34" ht="20.100000000000001" customHeight="1">
      <c r="C3565" s="113"/>
      <c r="D3565" s="114"/>
      <c r="P3565" s="82"/>
      <c r="Q3565" s="82"/>
      <c r="R3565" s="38"/>
      <c r="S3565" s="38"/>
      <c r="T3565" s="38"/>
      <c r="U3565" s="38"/>
      <c r="V3565" s="38"/>
      <c r="W3565" s="38"/>
      <c r="X3565" s="38"/>
      <c r="Y3565" s="38"/>
      <c r="Z3565" s="38"/>
      <c r="AA3565" s="38"/>
      <c r="AB3565" s="38"/>
      <c r="AC3565" s="38"/>
      <c r="AD3565" s="38"/>
      <c r="AE3565" s="38"/>
      <c r="AF3565" s="38"/>
      <c r="AG3565" s="38"/>
      <c r="AH3565" s="38"/>
    </row>
    <row r="3566" spans="3:34" ht="20.100000000000001" customHeight="1">
      <c r="C3566" s="113"/>
      <c r="D3566" s="114"/>
      <c r="P3566" s="82"/>
      <c r="Q3566" s="82"/>
      <c r="R3566" s="38"/>
      <c r="S3566" s="38"/>
      <c r="T3566" s="38"/>
      <c r="U3566" s="38"/>
      <c r="V3566" s="38"/>
      <c r="W3566" s="38"/>
      <c r="X3566" s="38"/>
      <c r="Y3566" s="38"/>
      <c r="Z3566" s="38"/>
      <c r="AA3566" s="38"/>
      <c r="AB3566" s="38"/>
      <c r="AC3566" s="38"/>
      <c r="AD3566" s="38"/>
      <c r="AE3566" s="38"/>
      <c r="AF3566" s="38"/>
      <c r="AG3566" s="38"/>
      <c r="AH3566" s="38"/>
    </row>
    <row r="3567" spans="3:34" ht="20.100000000000001" customHeight="1">
      <c r="C3567" s="113"/>
      <c r="D3567" s="114"/>
      <c r="P3567" s="82"/>
      <c r="Q3567" s="82"/>
      <c r="R3567" s="38"/>
      <c r="S3567" s="38"/>
      <c r="T3567" s="38"/>
      <c r="U3567" s="38"/>
      <c r="V3567" s="38"/>
      <c r="W3567" s="38"/>
      <c r="X3567" s="38"/>
      <c r="Y3567" s="38"/>
      <c r="Z3567" s="38"/>
      <c r="AA3567" s="38"/>
      <c r="AB3567" s="38"/>
      <c r="AC3567" s="38"/>
      <c r="AD3567" s="38"/>
      <c r="AE3567" s="38"/>
      <c r="AF3567" s="38"/>
      <c r="AG3567" s="38"/>
      <c r="AH3567" s="38"/>
    </row>
    <row r="3568" spans="3:34" ht="20.100000000000001" customHeight="1">
      <c r="C3568" s="113"/>
      <c r="D3568" s="114"/>
      <c r="P3568" s="82"/>
      <c r="Q3568" s="82"/>
      <c r="R3568" s="38"/>
      <c r="S3568" s="38"/>
      <c r="T3568" s="38"/>
      <c r="U3568" s="38"/>
      <c r="V3568" s="38"/>
      <c r="W3568" s="38"/>
      <c r="X3568" s="38"/>
      <c r="Y3568" s="38"/>
      <c r="Z3568" s="38"/>
      <c r="AA3568" s="38"/>
      <c r="AB3568" s="38"/>
      <c r="AC3568" s="38"/>
      <c r="AD3568" s="38"/>
      <c r="AE3568" s="38"/>
      <c r="AF3568" s="38"/>
      <c r="AG3568" s="38"/>
      <c r="AH3568" s="38"/>
    </row>
    <row r="3569" spans="3:34" ht="20.100000000000001" customHeight="1">
      <c r="C3569" s="113"/>
      <c r="D3569" s="114"/>
      <c r="P3569" s="82"/>
      <c r="Q3569" s="82"/>
      <c r="R3569" s="38"/>
      <c r="S3569" s="38"/>
      <c r="T3569" s="38"/>
      <c r="U3569" s="38"/>
      <c r="V3569" s="38"/>
      <c r="W3569" s="38"/>
      <c r="X3569" s="38"/>
      <c r="Y3569" s="38"/>
      <c r="Z3569" s="38"/>
      <c r="AA3569" s="38"/>
      <c r="AB3569" s="38"/>
      <c r="AC3569" s="38"/>
      <c r="AD3569" s="38"/>
      <c r="AE3569" s="38"/>
      <c r="AF3569" s="38"/>
      <c r="AG3569" s="38"/>
      <c r="AH3569" s="38"/>
    </row>
    <row r="3570" spans="3:34" ht="20.100000000000001" customHeight="1">
      <c r="C3570" s="113"/>
      <c r="D3570" s="114"/>
      <c r="P3570" s="82"/>
      <c r="Q3570" s="82"/>
      <c r="R3570" s="38"/>
      <c r="S3570" s="38"/>
      <c r="T3570" s="38"/>
      <c r="U3570" s="38"/>
      <c r="V3570" s="38"/>
      <c r="W3570" s="38"/>
      <c r="X3570" s="38"/>
      <c r="Y3570" s="38"/>
      <c r="Z3570" s="38"/>
      <c r="AA3570" s="38"/>
      <c r="AB3570" s="38"/>
      <c r="AC3570" s="38"/>
      <c r="AD3570" s="38"/>
      <c r="AE3570" s="38"/>
      <c r="AF3570" s="38"/>
      <c r="AG3570" s="38"/>
      <c r="AH3570" s="38"/>
    </row>
    <row r="3571" spans="3:34" ht="20.100000000000001" customHeight="1">
      <c r="C3571" s="113"/>
      <c r="D3571" s="114"/>
      <c r="P3571" s="82"/>
      <c r="Q3571" s="82"/>
      <c r="R3571" s="38"/>
      <c r="S3571" s="38"/>
      <c r="T3571" s="38"/>
      <c r="U3571" s="38"/>
      <c r="V3571" s="38"/>
      <c r="W3571" s="38"/>
      <c r="X3571" s="38"/>
      <c r="Y3571" s="38"/>
      <c r="Z3571" s="38"/>
      <c r="AA3571" s="38"/>
      <c r="AB3571" s="38"/>
      <c r="AC3571" s="38"/>
      <c r="AD3571" s="38"/>
      <c r="AE3571" s="38"/>
      <c r="AF3571" s="38"/>
      <c r="AG3571" s="38"/>
      <c r="AH3571" s="38"/>
    </row>
    <row r="3572" spans="3:34" ht="20.100000000000001" customHeight="1">
      <c r="C3572" s="113"/>
      <c r="D3572" s="114"/>
      <c r="P3572" s="82"/>
      <c r="Q3572" s="82"/>
      <c r="R3572" s="38"/>
      <c r="S3572" s="38"/>
      <c r="T3572" s="38"/>
      <c r="U3572" s="38"/>
      <c r="V3572" s="38"/>
      <c r="W3572" s="38"/>
      <c r="X3572" s="38"/>
      <c r="Y3572" s="38"/>
      <c r="Z3572" s="38"/>
      <c r="AA3572" s="38"/>
      <c r="AB3572" s="38"/>
      <c r="AC3572" s="38"/>
      <c r="AD3572" s="38"/>
      <c r="AE3572" s="38"/>
      <c r="AF3572" s="38"/>
      <c r="AG3572" s="38"/>
      <c r="AH3572" s="38"/>
    </row>
    <row r="3573" spans="3:34" ht="20.100000000000001" customHeight="1">
      <c r="C3573" s="113"/>
      <c r="D3573" s="114"/>
      <c r="P3573" s="82"/>
      <c r="Q3573" s="82"/>
      <c r="R3573" s="38"/>
      <c r="S3573" s="38"/>
      <c r="T3573" s="38"/>
      <c r="U3573" s="38"/>
      <c r="V3573" s="38"/>
      <c r="W3573" s="38"/>
      <c r="X3573" s="38"/>
      <c r="Y3573" s="38"/>
      <c r="Z3573" s="38"/>
      <c r="AA3573" s="38"/>
      <c r="AB3573" s="38"/>
      <c r="AC3573" s="38"/>
      <c r="AD3573" s="38"/>
      <c r="AE3573" s="38"/>
      <c r="AF3573" s="38"/>
      <c r="AG3573" s="38"/>
      <c r="AH3573" s="38"/>
    </row>
    <row r="3574" spans="3:34" ht="20.100000000000001" customHeight="1">
      <c r="C3574" s="113"/>
      <c r="D3574" s="114"/>
      <c r="P3574" s="82"/>
      <c r="Q3574" s="82"/>
      <c r="R3574" s="38"/>
      <c r="S3574" s="38"/>
      <c r="T3574" s="38"/>
      <c r="U3574" s="38"/>
      <c r="V3574" s="38"/>
      <c r="W3574" s="38"/>
      <c r="X3574" s="38"/>
      <c r="Y3574" s="38"/>
      <c r="Z3574" s="38"/>
      <c r="AA3574" s="38"/>
      <c r="AB3574" s="38"/>
      <c r="AC3574" s="38"/>
      <c r="AD3574" s="38"/>
      <c r="AE3574" s="38"/>
      <c r="AF3574" s="38"/>
      <c r="AG3574" s="38"/>
      <c r="AH3574" s="38"/>
    </row>
    <row r="3575" spans="3:34" ht="20.100000000000001" customHeight="1">
      <c r="C3575" s="113"/>
      <c r="D3575" s="114"/>
      <c r="P3575" s="82"/>
      <c r="Q3575" s="82"/>
      <c r="R3575" s="38"/>
      <c r="S3575" s="38"/>
      <c r="T3575" s="38"/>
      <c r="U3575" s="38"/>
      <c r="V3575" s="38"/>
      <c r="W3575" s="38"/>
      <c r="X3575" s="38"/>
      <c r="Y3575" s="38"/>
      <c r="Z3575" s="38"/>
      <c r="AA3575" s="38"/>
      <c r="AB3575" s="38"/>
      <c r="AC3575" s="38"/>
      <c r="AD3575" s="38"/>
      <c r="AE3575" s="38"/>
      <c r="AF3575" s="38"/>
      <c r="AG3575" s="38"/>
      <c r="AH3575" s="38"/>
    </row>
    <row r="3576" spans="3:34" ht="20.100000000000001" customHeight="1">
      <c r="C3576" s="113"/>
      <c r="D3576" s="114"/>
      <c r="P3576" s="82"/>
      <c r="Q3576" s="82"/>
      <c r="R3576" s="38"/>
      <c r="S3576" s="38"/>
      <c r="T3576" s="38"/>
      <c r="U3576" s="38"/>
      <c r="V3576" s="38"/>
      <c r="W3576" s="38"/>
      <c r="X3576" s="38"/>
      <c r="Y3576" s="38"/>
      <c r="Z3576" s="38"/>
      <c r="AA3576" s="38"/>
      <c r="AB3576" s="38"/>
      <c r="AC3576" s="38"/>
      <c r="AD3576" s="38"/>
      <c r="AE3576" s="38"/>
      <c r="AF3576" s="38"/>
      <c r="AG3576" s="38"/>
      <c r="AH3576" s="38"/>
    </row>
    <row r="3577" spans="3:34" ht="20.100000000000001" customHeight="1">
      <c r="C3577" s="113"/>
      <c r="D3577" s="114"/>
      <c r="P3577" s="82"/>
      <c r="Q3577" s="82"/>
      <c r="R3577" s="38"/>
      <c r="S3577" s="38"/>
      <c r="T3577" s="38"/>
      <c r="U3577" s="38"/>
      <c r="V3577" s="38"/>
      <c r="W3577" s="38"/>
      <c r="X3577" s="38"/>
      <c r="Y3577" s="38"/>
      <c r="Z3577" s="38"/>
      <c r="AA3577" s="38"/>
      <c r="AB3577" s="38"/>
      <c r="AC3577" s="38"/>
      <c r="AD3577" s="38"/>
      <c r="AE3577" s="38"/>
      <c r="AF3577" s="38"/>
      <c r="AG3577" s="38"/>
      <c r="AH3577" s="38"/>
    </row>
    <row r="3578" spans="3:34" ht="20.100000000000001" customHeight="1">
      <c r="C3578" s="113"/>
      <c r="D3578" s="114"/>
      <c r="P3578" s="82"/>
      <c r="Q3578" s="82"/>
      <c r="R3578" s="38"/>
      <c r="S3578" s="38"/>
      <c r="T3578" s="38"/>
      <c r="U3578" s="38"/>
      <c r="V3578" s="38"/>
      <c r="W3578" s="38"/>
      <c r="X3578" s="38"/>
      <c r="Y3578" s="38"/>
      <c r="Z3578" s="38"/>
      <c r="AA3578" s="38"/>
      <c r="AB3578" s="38"/>
      <c r="AC3578" s="38"/>
      <c r="AD3578" s="38"/>
      <c r="AE3578" s="38"/>
      <c r="AF3578" s="38"/>
      <c r="AG3578" s="38"/>
      <c r="AH3578" s="38"/>
    </row>
    <row r="3579" spans="3:34" ht="20.100000000000001" customHeight="1">
      <c r="C3579" s="113"/>
      <c r="D3579" s="114"/>
      <c r="P3579" s="82"/>
      <c r="Q3579" s="82"/>
      <c r="R3579" s="38"/>
      <c r="S3579" s="38"/>
      <c r="T3579" s="38"/>
      <c r="U3579" s="38"/>
      <c r="V3579" s="38"/>
      <c r="W3579" s="38"/>
      <c r="X3579" s="38"/>
      <c r="Y3579" s="38"/>
      <c r="Z3579" s="38"/>
      <c r="AA3579" s="38"/>
      <c r="AB3579" s="38"/>
      <c r="AC3579" s="38"/>
      <c r="AD3579" s="38"/>
      <c r="AE3579" s="38"/>
      <c r="AF3579" s="38"/>
      <c r="AG3579" s="38"/>
      <c r="AH3579" s="38"/>
    </row>
    <row r="3580" spans="3:34" ht="20.100000000000001" customHeight="1">
      <c r="C3580" s="113"/>
      <c r="D3580" s="114"/>
      <c r="P3580" s="82"/>
      <c r="Q3580" s="82"/>
      <c r="R3580" s="38"/>
      <c r="S3580" s="38"/>
      <c r="T3580" s="38"/>
      <c r="U3580" s="38"/>
      <c r="V3580" s="38"/>
      <c r="W3580" s="38"/>
      <c r="X3580" s="38"/>
      <c r="Y3580" s="38"/>
      <c r="Z3580" s="38"/>
      <c r="AA3580" s="38"/>
      <c r="AB3580" s="38"/>
      <c r="AC3580" s="38"/>
      <c r="AD3580" s="38"/>
      <c r="AE3580" s="38"/>
      <c r="AF3580" s="38"/>
      <c r="AG3580" s="38"/>
      <c r="AH3580" s="38"/>
    </row>
    <row r="3581" spans="3:34" ht="20.100000000000001" customHeight="1">
      <c r="C3581" s="113"/>
      <c r="D3581" s="114"/>
      <c r="P3581" s="82"/>
      <c r="Q3581" s="82"/>
      <c r="R3581" s="38"/>
      <c r="S3581" s="38"/>
      <c r="T3581" s="38"/>
      <c r="U3581" s="38"/>
      <c r="V3581" s="38"/>
      <c r="W3581" s="38"/>
      <c r="X3581" s="38"/>
      <c r="Y3581" s="38"/>
      <c r="Z3581" s="38"/>
      <c r="AA3581" s="38"/>
      <c r="AB3581" s="38"/>
      <c r="AC3581" s="38"/>
      <c r="AD3581" s="38"/>
      <c r="AE3581" s="38"/>
      <c r="AF3581" s="38"/>
      <c r="AG3581" s="38"/>
      <c r="AH3581" s="38"/>
    </row>
    <row r="3582" spans="3:34" ht="20.100000000000001" customHeight="1">
      <c r="C3582" s="113"/>
      <c r="D3582" s="114"/>
      <c r="P3582" s="82"/>
      <c r="Q3582" s="82"/>
      <c r="R3582" s="38"/>
      <c r="S3582" s="38"/>
      <c r="T3582" s="38"/>
      <c r="U3582" s="38"/>
      <c r="V3582" s="38"/>
      <c r="W3582" s="38"/>
      <c r="X3582" s="38"/>
      <c r="Y3582" s="38"/>
      <c r="Z3582" s="38"/>
      <c r="AA3582" s="38"/>
      <c r="AB3582" s="38"/>
      <c r="AC3582" s="38"/>
      <c r="AD3582" s="38"/>
      <c r="AE3582" s="38"/>
      <c r="AF3582" s="38"/>
      <c r="AG3582" s="38"/>
      <c r="AH3582" s="38"/>
    </row>
    <row r="3583" spans="3:34" ht="20.100000000000001" customHeight="1">
      <c r="C3583" s="113"/>
      <c r="D3583" s="114"/>
      <c r="P3583" s="82"/>
      <c r="Q3583" s="82"/>
      <c r="R3583" s="38"/>
      <c r="S3583" s="38"/>
      <c r="T3583" s="38"/>
      <c r="U3583" s="38"/>
      <c r="V3583" s="38"/>
      <c r="W3583" s="38"/>
      <c r="X3583" s="38"/>
      <c r="Y3583" s="38"/>
      <c r="Z3583" s="38"/>
      <c r="AA3583" s="38"/>
      <c r="AB3583" s="38"/>
      <c r="AC3583" s="38"/>
      <c r="AD3583" s="38"/>
      <c r="AE3583" s="38"/>
      <c r="AF3583" s="38"/>
      <c r="AG3583" s="38"/>
      <c r="AH3583" s="38"/>
    </row>
    <row r="3584" spans="3:34" ht="20.100000000000001" customHeight="1">
      <c r="C3584" s="113"/>
      <c r="D3584" s="114"/>
      <c r="P3584" s="82"/>
      <c r="Q3584" s="82"/>
      <c r="R3584" s="38"/>
      <c r="S3584" s="38"/>
      <c r="T3584" s="38"/>
      <c r="U3584" s="38"/>
      <c r="V3584" s="38"/>
      <c r="W3584" s="38"/>
      <c r="X3584" s="38"/>
      <c r="Y3584" s="38"/>
      <c r="Z3584" s="38"/>
      <c r="AA3584" s="38"/>
      <c r="AB3584" s="38"/>
      <c r="AC3584" s="38"/>
      <c r="AD3584" s="38"/>
      <c r="AE3584" s="38"/>
      <c r="AF3584" s="38"/>
      <c r="AG3584" s="38"/>
      <c r="AH3584" s="38"/>
    </row>
    <row r="3585" spans="3:34" ht="20.100000000000001" customHeight="1">
      <c r="C3585" s="113"/>
      <c r="D3585" s="114"/>
      <c r="P3585" s="82"/>
      <c r="Q3585" s="82"/>
      <c r="R3585" s="38"/>
      <c r="S3585" s="38"/>
      <c r="T3585" s="38"/>
      <c r="U3585" s="38"/>
      <c r="V3585" s="38"/>
      <c r="W3585" s="38"/>
      <c r="X3585" s="38"/>
      <c r="Y3585" s="38"/>
      <c r="Z3585" s="38"/>
      <c r="AA3585" s="38"/>
      <c r="AB3585" s="38"/>
      <c r="AC3585" s="38"/>
      <c r="AD3585" s="38"/>
      <c r="AE3585" s="38"/>
      <c r="AF3585" s="38"/>
      <c r="AG3585" s="38"/>
      <c r="AH3585" s="38"/>
    </row>
    <row r="3586" spans="3:34" ht="20.100000000000001" customHeight="1">
      <c r="C3586" s="113"/>
      <c r="D3586" s="114"/>
      <c r="P3586" s="82"/>
      <c r="Q3586" s="82"/>
      <c r="R3586" s="38"/>
      <c r="S3586" s="38"/>
      <c r="T3586" s="38"/>
      <c r="U3586" s="38"/>
      <c r="V3586" s="38"/>
      <c r="W3586" s="38"/>
      <c r="X3586" s="38"/>
      <c r="Y3586" s="38"/>
      <c r="Z3586" s="38"/>
      <c r="AA3586" s="38"/>
      <c r="AB3586" s="38"/>
      <c r="AC3586" s="38"/>
      <c r="AD3586" s="38"/>
      <c r="AE3586" s="38"/>
      <c r="AF3586" s="38"/>
      <c r="AG3586" s="38"/>
      <c r="AH3586" s="38"/>
    </row>
    <row r="3587" spans="3:34" ht="20.100000000000001" customHeight="1">
      <c r="C3587" s="113"/>
      <c r="D3587" s="114"/>
      <c r="P3587" s="82"/>
      <c r="Q3587" s="82"/>
      <c r="R3587" s="38"/>
      <c r="S3587" s="38"/>
      <c r="T3587" s="38"/>
      <c r="U3587" s="38"/>
      <c r="V3587" s="38"/>
      <c r="W3587" s="38"/>
      <c r="X3587" s="38"/>
      <c r="Y3587" s="38"/>
      <c r="Z3587" s="38"/>
      <c r="AA3587" s="38"/>
      <c r="AB3587" s="38"/>
      <c r="AC3587" s="38"/>
      <c r="AD3587" s="38"/>
      <c r="AE3587" s="38"/>
      <c r="AF3587" s="38"/>
      <c r="AG3587" s="38"/>
      <c r="AH3587" s="38"/>
    </row>
    <row r="3588" spans="3:34" ht="20.100000000000001" customHeight="1">
      <c r="C3588" s="113"/>
      <c r="D3588" s="114"/>
      <c r="P3588" s="82"/>
      <c r="Q3588" s="82"/>
      <c r="R3588" s="38"/>
      <c r="S3588" s="38"/>
      <c r="T3588" s="38"/>
      <c r="U3588" s="38"/>
      <c r="V3588" s="38"/>
      <c r="W3588" s="38"/>
      <c r="X3588" s="38"/>
      <c r="Y3588" s="38"/>
      <c r="Z3588" s="38"/>
      <c r="AA3588" s="38"/>
      <c r="AB3588" s="38"/>
      <c r="AC3588" s="38"/>
      <c r="AD3588" s="38"/>
      <c r="AE3588" s="38"/>
      <c r="AF3588" s="38"/>
      <c r="AG3588" s="38"/>
      <c r="AH3588" s="38"/>
    </row>
    <row r="3589" spans="3:34" ht="20.100000000000001" customHeight="1">
      <c r="C3589" s="113"/>
      <c r="D3589" s="114"/>
      <c r="P3589" s="82"/>
      <c r="Q3589" s="82"/>
      <c r="R3589" s="38"/>
      <c r="S3589" s="38"/>
      <c r="T3589" s="38"/>
      <c r="U3589" s="38"/>
      <c r="V3589" s="38"/>
      <c r="W3589" s="38"/>
      <c r="X3589" s="38"/>
      <c r="Y3589" s="38"/>
      <c r="Z3589" s="38"/>
      <c r="AA3589" s="38"/>
      <c r="AB3589" s="38"/>
      <c r="AC3589" s="38"/>
      <c r="AD3589" s="38"/>
      <c r="AE3589" s="38"/>
      <c r="AF3589" s="38"/>
      <c r="AG3589" s="38"/>
      <c r="AH3589" s="38"/>
    </row>
    <row r="3590" spans="3:34" ht="20.100000000000001" customHeight="1">
      <c r="C3590" s="113"/>
      <c r="D3590" s="114"/>
      <c r="P3590" s="82"/>
      <c r="Q3590" s="82"/>
      <c r="R3590" s="38"/>
      <c r="S3590" s="38"/>
      <c r="T3590" s="38"/>
      <c r="U3590" s="38"/>
      <c r="V3590" s="38"/>
      <c r="W3590" s="38"/>
      <c r="X3590" s="38"/>
      <c r="Y3590" s="38"/>
      <c r="Z3590" s="38"/>
      <c r="AA3590" s="38"/>
      <c r="AB3590" s="38"/>
      <c r="AC3590" s="38"/>
      <c r="AD3590" s="38"/>
      <c r="AE3590" s="38"/>
      <c r="AF3590" s="38"/>
      <c r="AG3590" s="38"/>
      <c r="AH3590" s="38"/>
    </row>
    <row r="3591" spans="3:34" ht="20.100000000000001" customHeight="1">
      <c r="C3591" s="113"/>
      <c r="D3591" s="114"/>
      <c r="P3591" s="82"/>
      <c r="Q3591" s="82"/>
      <c r="R3591" s="38"/>
      <c r="S3591" s="38"/>
      <c r="T3591" s="38"/>
      <c r="U3591" s="38"/>
      <c r="V3591" s="38"/>
      <c r="W3591" s="38"/>
      <c r="X3591" s="38"/>
      <c r="Y3591" s="38"/>
      <c r="Z3591" s="38"/>
      <c r="AA3591" s="38"/>
      <c r="AB3591" s="38"/>
      <c r="AC3591" s="38"/>
      <c r="AD3591" s="38"/>
      <c r="AE3591" s="38"/>
      <c r="AF3591" s="38"/>
      <c r="AG3591" s="38"/>
      <c r="AH3591" s="38"/>
    </row>
    <row r="3592" spans="3:34" ht="20.100000000000001" customHeight="1">
      <c r="C3592" s="113"/>
      <c r="D3592" s="114"/>
      <c r="P3592" s="82"/>
      <c r="Q3592" s="82"/>
      <c r="R3592" s="38"/>
      <c r="S3592" s="38"/>
      <c r="T3592" s="38"/>
      <c r="U3592" s="38"/>
      <c r="V3592" s="38"/>
      <c r="W3592" s="38"/>
      <c r="X3592" s="38"/>
      <c r="Y3592" s="38"/>
      <c r="Z3592" s="38"/>
      <c r="AA3592" s="38"/>
      <c r="AB3592" s="38"/>
      <c r="AC3592" s="38"/>
      <c r="AD3592" s="38"/>
      <c r="AE3592" s="38"/>
      <c r="AF3592" s="38"/>
      <c r="AG3592" s="38"/>
      <c r="AH3592" s="38"/>
    </row>
    <row r="3593" spans="3:34" ht="20.100000000000001" customHeight="1">
      <c r="C3593" s="113"/>
      <c r="D3593" s="114"/>
      <c r="P3593" s="82"/>
      <c r="Q3593" s="82"/>
      <c r="R3593" s="38"/>
      <c r="S3593" s="38"/>
      <c r="T3593" s="38"/>
      <c r="U3593" s="38"/>
      <c r="V3593" s="38"/>
      <c r="W3593" s="38"/>
      <c r="X3593" s="38"/>
      <c r="Y3593" s="38"/>
      <c r="Z3593" s="38"/>
      <c r="AA3593" s="38"/>
      <c r="AB3593" s="38"/>
      <c r="AC3593" s="38"/>
      <c r="AD3593" s="38"/>
      <c r="AE3593" s="38"/>
      <c r="AF3593" s="38"/>
      <c r="AG3593" s="38"/>
      <c r="AH3593" s="38"/>
    </row>
    <row r="3594" spans="3:34" ht="20.100000000000001" customHeight="1">
      <c r="C3594" s="113"/>
      <c r="D3594" s="114"/>
      <c r="P3594" s="82"/>
      <c r="Q3594" s="82"/>
      <c r="R3594" s="38"/>
      <c r="S3594" s="38"/>
      <c r="T3594" s="38"/>
      <c r="U3594" s="38"/>
      <c r="V3594" s="38"/>
      <c r="W3594" s="38"/>
      <c r="X3594" s="38"/>
      <c r="Y3594" s="38"/>
      <c r="Z3594" s="38"/>
      <c r="AA3594" s="38"/>
      <c r="AB3594" s="38"/>
      <c r="AC3594" s="38"/>
      <c r="AD3594" s="38"/>
      <c r="AE3594" s="38"/>
      <c r="AF3594" s="38"/>
      <c r="AG3594" s="38"/>
      <c r="AH3594" s="38"/>
    </row>
    <row r="3595" spans="3:34" ht="20.100000000000001" customHeight="1">
      <c r="C3595" s="113"/>
      <c r="D3595" s="114"/>
      <c r="P3595" s="82"/>
      <c r="Q3595" s="82"/>
      <c r="R3595" s="38"/>
      <c r="S3595" s="38"/>
      <c r="T3595" s="38"/>
      <c r="U3595" s="38"/>
      <c r="V3595" s="38"/>
      <c r="W3595" s="38"/>
      <c r="X3595" s="38"/>
      <c r="Y3595" s="38"/>
      <c r="Z3595" s="38"/>
      <c r="AA3595" s="38"/>
      <c r="AB3595" s="38"/>
      <c r="AC3595" s="38"/>
      <c r="AD3595" s="38"/>
      <c r="AE3595" s="38"/>
      <c r="AF3595" s="38"/>
      <c r="AG3595" s="38"/>
      <c r="AH3595" s="38"/>
    </row>
    <row r="3596" spans="3:34" ht="20.100000000000001" customHeight="1">
      <c r="C3596" s="113"/>
      <c r="D3596" s="114"/>
      <c r="P3596" s="82"/>
      <c r="Q3596" s="82"/>
      <c r="R3596" s="38"/>
      <c r="S3596" s="38"/>
      <c r="T3596" s="38"/>
      <c r="U3596" s="38"/>
      <c r="V3596" s="38"/>
      <c r="W3596" s="38"/>
      <c r="X3596" s="38"/>
      <c r="Y3596" s="38"/>
      <c r="Z3596" s="38"/>
      <c r="AA3596" s="38"/>
      <c r="AB3596" s="38"/>
      <c r="AC3596" s="38"/>
      <c r="AD3596" s="38"/>
      <c r="AE3596" s="38"/>
      <c r="AF3596" s="38"/>
      <c r="AG3596" s="38"/>
      <c r="AH3596" s="38"/>
    </row>
    <row r="3597" spans="3:34" ht="20.100000000000001" customHeight="1">
      <c r="C3597" s="113"/>
      <c r="D3597" s="114"/>
      <c r="P3597" s="82"/>
      <c r="Q3597" s="82"/>
      <c r="R3597" s="38"/>
      <c r="S3597" s="38"/>
      <c r="T3597" s="38"/>
      <c r="U3597" s="38"/>
      <c r="V3597" s="38"/>
      <c r="W3597" s="38"/>
      <c r="X3597" s="38"/>
      <c r="Y3597" s="38"/>
      <c r="Z3597" s="38"/>
      <c r="AA3597" s="38"/>
      <c r="AB3597" s="38"/>
      <c r="AC3597" s="38"/>
      <c r="AD3597" s="38"/>
      <c r="AE3597" s="38"/>
      <c r="AF3597" s="38"/>
      <c r="AG3597" s="38"/>
      <c r="AH3597" s="38"/>
    </row>
    <row r="3598" spans="3:34" ht="20.100000000000001" customHeight="1">
      <c r="C3598" s="113"/>
      <c r="D3598" s="114"/>
      <c r="P3598" s="82"/>
      <c r="Q3598" s="82"/>
      <c r="R3598" s="38"/>
      <c r="S3598" s="38"/>
      <c r="T3598" s="38"/>
      <c r="U3598" s="38"/>
      <c r="V3598" s="38"/>
      <c r="W3598" s="38"/>
      <c r="X3598" s="38"/>
      <c r="Y3598" s="38"/>
      <c r="Z3598" s="38"/>
      <c r="AA3598" s="38"/>
      <c r="AB3598" s="38"/>
      <c r="AC3598" s="38"/>
      <c r="AD3598" s="38"/>
      <c r="AE3598" s="38"/>
      <c r="AF3598" s="38"/>
      <c r="AG3598" s="38"/>
      <c r="AH3598" s="38"/>
    </row>
    <row r="3599" spans="3:34" ht="20.100000000000001" customHeight="1">
      <c r="C3599" s="113"/>
      <c r="D3599" s="114"/>
      <c r="P3599" s="82"/>
      <c r="Q3599" s="82"/>
      <c r="R3599" s="38"/>
      <c r="S3599" s="38"/>
      <c r="T3599" s="38"/>
      <c r="U3599" s="38"/>
      <c r="V3599" s="38"/>
      <c r="W3599" s="38"/>
      <c r="X3599" s="38"/>
      <c r="Y3599" s="38"/>
      <c r="Z3599" s="38"/>
      <c r="AA3599" s="38"/>
      <c r="AB3599" s="38"/>
      <c r="AC3599" s="38"/>
      <c r="AD3599" s="38"/>
      <c r="AE3599" s="38"/>
      <c r="AF3599" s="38"/>
      <c r="AG3599" s="38"/>
      <c r="AH3599" s="38"/>
    </row>
    <row r="3600" spans="3:34" ht="20.100000000000001" customHeight="1">
      <c r="C3600" s="113"/>
      <c r="D3600" s="114"/>
      <c r="P3600" s="82"/>
      <c r="Q3600" s="82"/>
      <c r="R3600" s="38"/>
      <c r="S3600" s="38"/>
      <c r="T3600" s="38"/>
      <c r="U3600" s="38"/>
      <c r="V3600" s="38"/>
      <c r="W3600" s="38"/>
      <c r="X3600" s="38"/>
      <c r="Y3600" s="38"/>
      <c r="Z3600" s="38"/>
      <c r="AA3600" s="38"/>
      <c r="AB3600" s="38"/>
      <c r="AC3600" s="38"/>
      <c r="AD3600" s="38"/>
      <c r="AE3600" s="38"/>
      <c r="AF3600" s="38"/>
      <c r="AG3600" s="38"/>
      <c r="AH3600" s="38"/>
    </row>
    <row r="3601" spans="3:34" ht="20.100000000000001" customHeight="1">
      <c r="C3601" s="113"/>
      <c r="D3601" s="114"/>
      <c r="P3601" s="82"/>
      <c r="Q3601" s="82"/>
      <c r="R3601" s="38"/>
      <c r="S3601" s="38"/>
      <c r="T3601" s="38"/>
      <c r="U3601" s="38"/>
      <c r="V3601" s="38"/>
      <c r="W3601" s="38"/>
      <c r="X3601" s="38"/>
      <c r="Y3601" s="38"/>
      <c r="Z3601" s="38"/>
      <c r="AA3601" s="38"/>
      <c r="AB3601" s="38"/>
      <c r="AC3601" s="38"/>
      <c r="AD3601" s="38"/>
      <c r="AE3601" s="38"/>
      <c r="AF3601" s="38"/>
      <c r="AG3601" s="38"/>
      <c r="AH3601" s="38"/>
    </row>
    <row r="3602" spans="3:34" ht="20.100000000000001" customHeight="1">
      <c r="C3602" s="113"/>
      <c r="D3602" s="114"/>
      <c r="P3602" s="82"/>
      <c r="Q3602" s="82"/>
      <c r="R3602" s="38"/>
      <c r="S3602" s="38"/>
      <c r="T3602" s="38"/>
      <c r="U3602" s="38"/>
      <c r="V3602" s="38"/>
      <c r="W3602" s="38"/>
      <c r="X3602" s="38"/>
      <c r="Y3602" s="38"/>
      <c r="Z3602" s="38"/>
      <c r="AA3602" s="38"/>
      <c r="AB3602" s="38"/>
      <c r="AC3602" s="38"/>
      <c r="AD3602" s="38"/>
      <c r="AE3602" s="38"/>
      <c r="AF3602" s="38"/>
      <c r="AG3602" s="38"/>
      <c r="AH3602" s="38"/>
    </row>
    <row r="3603" spans="3:34" ht="20.100000000000001" customHeight="1">
      <c r="C3603" s="113"/>
      <c r="D3603" s="114"/>
      <c r="P3603" s="82"/>
      <c r="Q3603" s="82"/>
      <c r="R3603" s="38"/>
      <c r="S3603" s="38"/>
      <c r="T3603" s="38"/>
      <c r="U3603" s="38"/>
      <c r="V3603" s="38"/>
      <c r="W3603" s="38"/>
      <c r="X3603" s="38"/>
      <c r="Y3603" s="38"/>
      <c r="Z3603" s="38"/>
      <c r="AA3603" s="38"/>
      <c r="AB3603" s="38"/>
      <c r="AC3603" s="38"/>
      <c r="AD3603" s="38"/>
      <c r="AE3603" s="38"/>
      <c r="AF3603" s="38"/>
      <c r="AG3603" s="38"/>
      <c r="AH3603" s="38"/>
    </row>
    <row r="3604" spans="3:34" ht="20.100000000000001" customHeight="1">
      <c r="C3604" s="113"/>
      <c r="D3604" s="114"/>
      <c r="P3604" s="82"/>
      <c r="Q3604" s="82"/>
      <c r="R3604" s="38"/>
      <c r="S3604" s="38"/>
      <c r="T3604" s="38"/>
      <c r="U3604" s="38"/>
      <c r="V3604" s="38"/>
      <c r="W3604" s="38"/>
      <c r="X3604" s="38"/>
      <c r="Y3604" s="38"/>
      <c r="Z3604" s="38"/>
      <c r="AA3604" s="38"/>
      <c r="AB3604" s="38"/>
      <c r="AC3604" s="38"/>
      <c r="AD3604" s="38"/>
      <c r="AE3604" s="38"/>
      <c r="AF3604" s="38"/>
      <c r="AG3604" s="38"/>
      <c r="AH3604" s="38"/>
    </row>
    <row r="3605" spans="3:34" ht="20.100000000000001" customHeight="1">
      <c r="C3605" s="113"/>
      <c r="D3605" s="114"/>
      <c r="P3605" s="82"/>
      <c r="Q3605" s="82"/>
      <c r="R3605" s="38"/>
      <c r="S3605" s="38"/>
      <c r="T3605" s="38"/>
      <c r="U3605" s="38"/>
      <c r="V3605" s="38"/>
      <c r="W3605" s="38"/>
      <c r="X3605" s="38"/>
      <c r="Y3605" s="38"/>
      <c r="Z3605" s="38"/>
      <c r="AA3605" s="38"/>
      <c r="AB3605" s="38"/>
      <c r="AC3605" s="38"/>
      <c r="AD3605" s="38"/>
      <c r="AE3605" s="38"/>
      <c r="AF3605" s="38"/>
      <c r="AG3605" s="38"/>
      <c r="AH3605" s="38"/>
    </row>
    <row r="3606" spans="3:34" ht="20.100000000000001" customHeight="1">
      <c r="C3606" s="113"/>
      <c r="D3606" s="114"/>
      <c r="P3606" s="82"/>
      <c r="Q3606" s="82"/>
      <c r="R3606" s="38"/>
      <c r="S3606" s="38"/>
      <c r="T3606" s="38"/>
      <c r="U3606" s="38"/>
      <c r="V3606" s="38"/>
      <c r="W3606" s="38"/>
      <c r="X3606" s="38"/>
      <c r="Y3606" s="38"/>
      <c r="Z3606" s="38"/>
      <c r="AA3606" s="38"/>
      <c r="AB3606" s="38"/>
      <c r="AC3606" s="38"/>
      <c r="AD3606" s="38"/>
      <c r="AE3606" s="38"/>
      <c r="AF3606" s="38"/>
      <c r="AG3606" s="38"/>
      <c r="AH3606" s="38"/>
    </row>
    <row r="3607" spans="3:34" ht="20.100000000000001" customHeight="1">
      <c r="C3607" s="113"/>
      <c r="D3607" s="114"/>
      <c r="P3607" s="82"/>
      <c r="Q3607" s="82"/>
      <c r="R3607" s="38"/>
      <c r="S3607" s="38"/>
      <c r="T3607" s="38"/>
      <c r="U3607" s="38"/>
      <c r="V3607" s="38"/>
      <c r="W3607" s="38"/>
      <c r="X3607" s="38"/>
      <c r="Y3607" s="38"/>
      <c r="Z3607" s="38"/>
      <c r="AA3607" s="38"/>
      <c r="AB3607" s="38"/>
      <c r="AC3607" s="38"/>
      <c r="AD3607" s="38"/>
      <c r="AE3607" s="38"/>
      <c r="AF3607" s="38"/>
      <c r="AG3607" s="38"/>
      <c r="AH3607" s="38"/>
    </row>
    <row r="3608" spans="3:34" ht="20.100000000000001" customHeight="1">
      <c r="C3608" s="113"/>
      <c r="D3608" s="114"/>
      <c r="P3608" s="82"/>
      <c r="Q3608" s="82"/>
      <c r="R3608" s="38"/>
      <c r="S3608" s="38"/>
      <c r="T3608" s="38"/>
      <c r="U3608" s="38"/>
      <c r="V3608" s="38"/>
      <c r="W3608" s="38"/>
      <c r="X3608" s="38"/>
      <c r="Y3608" s="38"/>
      <c r="Z3608" s="38"/>
      <c r="AA3608" s="38"/>
      <c r="AB3608" s="38"/>
      <c r="AC3608" s="38"/>
      <c r="AD3608" s="38"/>
      <c r="AE3608" s="38"/>
      <c r="AF3608" s="38"/>
      <c r="AG3608" s="38"/>
      <c r="AH3608" s="38"/>
    </row>
    <row r="3609" spans="3:34" ht="20.100000000000001" customHeight="1">
      <c r="C3609" s="113"/>
      <c r="D3609" s="114"/>
      <c r="P3609" s="82"/>
      <c r="Q3609" s="82"/>
      <c r="R3609" s="38"/>
      <c r="S3609" s="38"/>
      <c r="T3609" s="38"/>
      <c r="U3609" s="38"/>
      <c r="V3609" s="38"/>
      <c r="W3609" s="38"/>
      <c r="X3609" s="38"/>
      <c r="Y3609" s="38"/>
      <c r="Z3609" s="38"/>
      <c r="AA3609" s="38"/>
      <c r="AB3609" s="38"/>
      <c r="AC3609" s="38"/>
      <c r="AD3609" s="38"/>
      <c r="AE3609" s="38"/>
      <c r="AF3609" s="38"/>
      <c r="AG3609" s="38"/>
      <c r="AH3609" s="38"/>
    </row>
    <row r="3610" spans="3:34" ht="20.100000000000001" customHeight="1">
      <c r="C3610" s="113"/>
      <c r="D3610" s="114"/>
      <c r="P3610" s="82"/>
      <c r="Q3610" s="82"/>
      <c r="R3610" s="38"/>
      <c r="S3610" s="38"/>
      <c r="T3610" s="38"/>
      <c r="U3610" s="38"/>
      <c r="V3610" s="38"/>
      <c r="W3610" s="38"/>
      <c r="X3610" s="38"/>
      <c r="Y3610" s="38"/>
      <c r="Z3610" s="38"/>
      <c r="AA3610" s="38"/>
      <c r="AB3610" s="38"/>
      <c r="AC3610" s="38"/>
      <c r="AD3610" s="38"/>
      <c r="AE3610" s="38"/>
      <c r="AF3610" s="38"/>
      <c r="AG3610" s="38"/>
      <c r="AH3610" s="38"/>
    </row>
    <row r="3611" spans="3:34" ht="20.100000000000001" customHeight="1">
      <c r="C3611" s="113"/>
      <c r="D3611" s="114"/>
      <c r="P3611" s="82"/>
      <c r="Q3611" s="82"/>
      <c r="R3611" s="38"/>
      <c r="S3611" s="38"/>
      <c r="T3611" s="38"/>
      <c r="U3611" s="38"/>
      <c r="V3611" s="38"/>
      <c r="W3611" s="38"/>
      <c r="X3611" s="38"/>
      <c r="Y3611" s="38"/>
      <c r="Z3611" s="38"/>
      <c r="AA3611" s="38"/>
      <c r="AB3611" s="38"/>
      <c r="AC3611" s="38"/>
      <c r="AD3611" s="38"/>
      <c r="AE3611" s="38"/>
      <c r="AF3611" s="38"/>
      <c r="AG3611" s="38"/>
      <c r="AH3611" s="38"/>
    </row>
    <row r="3612" spans="3:34" ht="20.100000000000001" customHeight="1">
      <c r="C3612" s="113"/>
      <c r="D3612" s="114"/>
      <c r="P3612" s="82"/>
      <c r="Q3612" s="82"/>
      <c r="R3612" s="38"/>
      <c r="S3612" s="38"/>
      <c r="T3612" s="38"/>
      <c r="U3612" s="38"/>
      <c r="V3612" s="38"/>
      <c r="W3612" s="38"/>
      <c r="X3612" s="38"/>
      <c r="Y3612" s="38"/>
      <c r="Z3612" s="38"/>
      <c r="AA3612" s="38"/>
      <c r="AB3612" s="38"/>
      <c r="AC3612" s="38"/>
      <c r="AD3612" s="38"/>
      <c r="AE3612" s="38"/>
      <c r="AF3612" s="38"/>
      <c r="AG3612" s="38"/>
      <c r="AH3612" s="38"/>
    </row>
    <row r="3613" spans="3:34" ht="20.100000000000001" customHeight="1">
      <c r="C3613" s="113"/>
      <c r="D3613" s="114"/>
      <c r="P3613" s="82"/>
      <c r="Q3613" s="82"/>
      <c r="R3613" s="38"/>
      <c r="S3613" s="38"/>
      <c r="T3613" s="38"/>
      <c r="U3613" s="38"/>
      <c r="V3613" s="38"/>
      <c r="W3613" s="38"/>
      <c r="X3613" s="38"/>
      <c r="Y3613" s="38"/>
      <c r="Z3613" s="38"/>
      <c r="AA3613" s="38"/>
      <c r="AB3613" s="38"/>
      <c r="AC3613" s="38"/>
      <c r="AD3613" s="38"/>
      <c r="AE3613" s="38"/>
      <c r="AF3613" s="38"/>
      <c r="AG3613" s="38"/>
      <c r="AH3613" s="38"/>
    </row>
    <row r="3614" spans="3:34" ht="20.100000000000001" customHeight="1">
      <c r="C3614" s="113"/>
      <c r="D3614" s="114"/>
      <c r="P3614" s="82"/>
      <c r="Q3614" s="82"/>
      <c r="R3614" s="38"/>
      <c r="S3614" s="38"/>
      <c r="T3614" s="38"/>
      <c r="U3614" s="38"/>
      <c r="V3614" s="38"/>
      <c r="W3614" s="38"/>
      <c r="X3614" s="38"/>
      <c r="Y3614" s="38"/>
      <c r="Z3614" s="38"/>
      <c r="AA3614" s="38"/>
      <c r="AB3614" s="38"/>
      <c r="AC3614" s="38"/>
      <c r="AD3614" s="38"/>
      <c r="AE3614" s="38"/>
      <c r="AF3614" s="38"/>
      <c r="AG3614" s="38"/>
      <c r="AH3614" s="38"/>
    </row>
    <row r="3615" spans="3:34" ht="20.100000000000001" customHeight="1">
      <c r="C3615" s="113"/>
      <c r="D3615" s="114"/>
      <c r="P3615" s="82"/>
      <c r="Q3615" s="82"/>
      <c r="R3615" s="38"/>
      <c r="S3615" s="38"/>
      <c r="T3615" s="38"/>
      <c r="U3615" s="38"/>
      <c r="V3615" s="38"/>
      <c r="W3615" s="38"/>
      <c r="X3615" s="38"/>
      <c r="Y3615" s="38"/>
      <c r="Z3615" s="38"/>
      <c r="AA3615" s="38"/>
      <c r="AB3615" s="38"/>
      <c r="AC3615" s="38"/>
      <c r="AD3615" s="38"/>
      <c r="AE3615" s="38"/>
      <c r="AF3615" s="38"/>
      <c r="AG3615" s="38"/>
      <c r="AH3615" s="38"/>
    </row>
    <row r="3616" spans="3:34" ht="20.100000000000001" customHeight="1">
      <c r="C3616" s="113"/>
      <c r="D3616" s="114"/>
      <c r="P3616" s="82"/>
      <c r="Q3616" s="82"/>
      <c r="R3616" s="38"/>
      <c r="S3616" s="38"/>
      <c r="T3616" s="38"/>
      <c r="U3616" s="38"/>
      <c r="V3616" s="38"/>
      <c r="W3616" s="38"/>
      <c r="X3616" s="38"/>
      <c r="Y3616" s="38"/>
      <c r="Z3616" s="38"/>
      <c r="AA3616" s="38"/>
      <c r="AB3616" s="38"/>
      <c r="AC3616" s="38"/>
      <c r="AD3616" s="38"/>
      <c r="AE3616" s="38"/>
      <c r="AF3616" s="38"/>
      <c r="AG3616" s="38"/>
      <c r="AH3616" s="38"/>
    </row>
    <row r="3617" spans="3:34" ht="20.100000000000001" customHeight="1">
      <c r="C3617" s="113"/>
      <c r="D3617" s="114"/>
      <c r="P3617" s="82"/>
      <c r="Q3617" s="82"/>
      <c r="R3617" s="38"/>
      <c r="S3617" s="38"/>
      <c r="T3617" s="38"/>
      <c r="U3617" s="38"/>
      <c r="V3617" s="38"/>
      <c r="W3617" s="38"/>
      <c r="X3617" s="38"/>
      <c r="Y3617" s="38"/>
      <c r="Z3617" s="38"/>
      <c r="AA3617" s="38"/>
      <c r="AB3617" s="38"/>
      <c r="AC3617" s="38"/>
      <c r="AD3617" s="38"/>
      <c r="AE3617" s="38"/>
      <c r="AF3617" s="38"/>
      <c r="AG3617" s="38"/>
      <c r="AH3617" s="38"/>
    </row>
    <row r="3618" spans="3:34" ht="20.100000000000001" customHeight="1">
      <c r="C3618" s="113"/>
      <c r="D3618" s="114"/>
      <c r="P3618" s="82"/>
      <c r="Q3618" s="82"/>
      <c r="R3618" s="38"/>
      <c r="S3618" s="38"/>
      <c r="T3618" s="38"/>
      <c r="U3618" s="38"/>
      <c r="V3618" s="38"/>
      <c r="W3618" s="38"/>
      <c r="X3618" s="38"/>
      <c r="Y3618" s="38"/>
      <c r="Z3618" s="38"/>
      <c r="AA3618" s="38"/>
      <c r="AB3618" s="38"/>
      <c r="AC3618" s="38"/>
      <c r="AD3618" s="38"/>
      <c r="AE3618" s="38"/>
      <c r="AF3618" s="38"/>
      <c r="AG3618" s="38"/>
      <c r="AH3618" s="38"/>
    </row>
    <row r="3619" spans="3:34" ht="20.100000000000001" customHeight="1">
      <c r="C3619" s="113"/>
      <c r="D3619" s="114"/>
      <c r="P3619" s="82"/>
      <c r="Q3619" s="82"/>
      <c r="R3619" s="38"/>
      <c r="S3619" s="38"/>
      <c r="T3619" s="38"/>
      <c r="U3619" s="38"/>
      <c r="V3619" s="38"/>
      <c r="W3619" s="38"/>
      <c r="X3619" s="38"/>
      <c r="Y3619" s="38"/>
      <c r="Z3619" s="38"/>
      <c r="AA3619" s="38"/>
      <c r="AB3619" s="38"/>
      <c r="AC3619" s="38"/>
      <c r="AD3619" s="38"/>
      <c r="AE3619" s="38"/>
      <c r="AF3619" s="38"/>
      <c r="AG3619" s="38"/>
      <c r="AH3619" s="38"/>
    </row>
    <row r="3620" spans="3:34" ht="20.100000000000001" customHeight="1">
      <c r="C3620" s="113"/>
      <c r="D3620" s="114"/>
      <c r="P3620" s="82"/>
      <c r="Q3620" s="82"/>
      <c r="R3620" s="38"/>
      <c r="S3620" s="38"/>
      <c r="T3620" s="38"/>
      <c r="U3620" s="38"/>
      <c r="V3620" s="38"/>
      <c r="W3620" s="38"/>
      <c r="X3620" s="38"/>
      <c r="Y3620" s="38"/>
      <c r="Z3620" s="38"/>
      <c r="AA3620" s="38"/>
      <c r="AB3620" s="38"/>
      <c r="AC3620" s="38"/>
      <c r="AD3620" s="38"/>
      <c r="AE3620" s="38"/>
      <c r="AF3620" s="38"/>
      <c r="AG3620" s="38"/>
      <c r="AH3620" s="38"/>
    </row>
    <row r="3621" spans="3:34" ht="20.100000000000001" customHeight="1">
      <c r="C3621" s="113"/>
      <c r="D3621" s="114"/>
      <c r="P3621" s="82"/>
      <c r="Q3621" s="82"/>
      <c r="R3621" s="38"/>
      <c r="S3621" s="38"/>
      <c r="T3621" s="38"/>
      <c r="U3621" s="38"/>
      <c r="V3621" s="38"/>
      <c r="W3621" s="38"/>
      <c r="X3621" s="38"/>
      <c r="Y3621" s="38"/>
      <c r="Z3621" s="38"/>
      <c r="AA3621" s="38"/>
      <c r="AB3621" s="38"/>
      <c r="AC3621" s="38"/>
      <c r="AD3621" s="38"/>
      <c r="AE3621" s="38"/>
      <c r="AF3621" s="38"/>
      <c r="AG3621" s="38"/>
      <c r="AH3621" s="38"/>
    </row>
    <row r="3622" spans="3:34" ht="20.100000000000001" customHeight="1">
      <c r="C3622" s="113"/>
      <c r="D3622" s="114"/>
      <c r="P3622" s="82"/>
      <c r="Q3622" s="82"/>
      <c r="R3622" s="38"/>
      <c r="S3622" s="38"/>
      <c r="T3622" s="38"/>
      <c r="U3622" s="38"/>
      <c r="V3622" s="38"/>
      <c r="W3622" s="38"/>
      <c r="X3622" s="38"/>
      <c r="Y3622" s="38"/>
      <c r="Z3622" s="38"/>
      <c r="AA3622" s="38"/>
      <c r="AB3622" s="38"/>
      <c r="AC3622" s="38"/>
      <c r="AD3622" s="38"/>
      <c r="AE3622" s="38"/>
      <c r="AF3622" s="38"/>
      <c r="AG3622" s="38"/>
      <c r="AH3622" s="38"/>
    </row>
    <row r="3623" spans="3:34" ht="20.100000000000001" customHeight="1">
      <c r="C3623" s="113"/>
      <c r="D3623" s="114"/>
      <c r="P3623" s="82"/>
      <c r="Q3623" s="82"/>
      <c r="R3623" s="38"/>
      <c r="S3623" s="38"/>
      <c r="T3623" s="38"/>
      <c r="U3623" s="38"/>
      <c r="V3623" s="38"/>
      <c r="W3623" s="38"/>
      <c r="X3623" s="38"/>
      <c r="Y3623" s="38"/>
      <c r="Z3623" s="38"/>
      <c r="AA3623" s="38"/>
      <c r="AB3623" s="38"/>
      <c r="AC3623" s="38"/>
      <c r="AD3623" s="38"/>
      <c r="AE3623" s="38"/>
      <c r="AF3623" s="38"/>
      <c r="AG3623" s="38"/>
      <c r="AH3623" s="38"/>
    </row>
    <row r="3624" spans="3:34" ht="20.100000000000001" customHeight="1">
      <c r="C3624" s="113"/>
      <c r="D3624" s="114"/>
      <c r="P3624" s="82"/>
      <c r="Q3624" s="82"/>
      <c r="R3624" s="38"/>
      <c r="S3624" s="38"/>
      <c r="T3624" s="38"/>
      <c r="U3624" s="38"/>
      <c r="V3624" s="38"/>
      <c r="W3624" s="38"/>
      <c r="X3624" s="38"/>
      <c r="Y3624" s="38"/>
      <c r="Z3624" s="38"/>
      <c r="AA3624" s="38"/>
      <c r="AB3624" s="38"/>
      <c r="AC3624" s="38"/>
      <c r="AD3624" s="38"/>
      <c r="AE3624" s="38"/>
      <c r="AF3624" s="38"/>
      <c r="AG3624" s="38"/>
      <c r="AH3624" s="38"/>
    </row>
    <row r="3625" spans="3:34" ht="20.100000000000001" customHeight="1">
      <c r="C3625" s="113"/>
      <c r="D3625" s="114"/>
      <c r="P3625" s="82"/>
      <c r="Q3625" s="82"/>
      <c r="R3625" s="38"/>
      <c r="S3625" s="38"/>
      <c r="T3625" s="38"/>
      <c r="U3625" s="38"/>
      <c r="V3625" s="38"/>
      <c r="W3625" s="38"/>
      <c r="X3625" s="38"/>
      <c r="Y3625" s="38"/>
      <c r="Z3625" s="38"/>
      <c r="AA3625" s="38"/>
      <c r="AB3625" s="38"/>
      <c r="AC3625" s="38"/>
      <c r="AD3625" s="38"/>
      <c r="AE3625" s="38"/>
      <c r="AF3625" s="38"/>
      <c r="AG3625" s="38"/>
      <c r="AH3625" s="38"/>
    </row>
    <row r="3626" spans="3:34" ht="20.100000000000001" customHeight="1">
      <c r="C3626" s="113"/>
      <c r="D3626" s="114"/>
      <c r="P3626" s="82"/>
      <c r="Q3626" s="82"/>
      <c r="R3626" s="38"/>
      <c r="S3626" s="38"/>
      <c r="T3626" s="38"/>
      <c r="U3626" s="38"/>
      <c r="V3626" s="38"/>
      <c r="W3626" s="38"/>
      <c r="X3626" s="38"/>
      <c r="Y3626" s="38"/>
      <c r="Z3626" s="38"/>
      <c r="AA3626" s="38"/>
      <c r="AB3626" s="38"/>
      <c r="AC3626" s="38"/>
      <c r="AD3626" s="38"/>
      <c r="AE3626" s="38"/>
      <c r="AF3626" s="38"/>
      <c r="AG3626" s="38"/>
      <c r="AH3626" s="38"/>
    </row>
    <row r="3627" spans="3:34" ht="20.100000000000001" customHeight="1">
      <c r="C3627" s="113"/>
      <c r="D3627" s="114"/>
      <c r="P3627" s="82"/>
      <c r="Q3627" s="82"/>
      <c r="R3627" s="38"/>
      <c r="S3627" s="38"/>
      <c r="T3627" s="38"/>
      <c r="U3627" s="38"/>
      <c r="V3627" s="38"/>
      <c r="W3627" s="38"/>
      <c r="X3627" s="38"/>
      <c r="Y3627" s="38"/>
      <c r="Z3627" s="38"/>
      <c r="AA3627" s="38"/>
      <c r="AB3627" s="38"/>
      <c r="AC3627" s="38"/>
      <c r="AD3627" s="38"/>
      <c r="AE3627" s="38"/>
      <c r="AF3627" s="38"/>
      <c r="AG3627" s="38"/>
      <c r="AH3627" s="38"/>
    </row>
    <row r="3628" spans="3:34" ht="20.100000000000001" customHeight="1">
      <c r="C3628" s="113"/>
      <c r="D3628" s="114"/>
      <c r="P3628" s="82"/>
      <c r="Q3628" s="82"/>
      <c r="R3628" s="38"/>
      <c r="S3628" s="38"/>
      <c r="T3628" s="38"/>
      <c r="U3628" s="38"/>
      <c r="V3628" s="38"/>
      <c r="W3628" s="38"/>
      <c r="X3628" s="38"/>
      <c r="Y3628" s="38"/>
      <c r="Z3628" s="38"/>
      <c r="AA3628" s="38"/>
      <c r="AB3628" s="38"/>
      <c r="AC3628" s="38"/>
      <c r="AD3628" s="38"/>
      <c r="AE3628" s="38"/>
      <c r="AF3628" s="38"/>
      <c r="AG3628" s="38"/>
      <c r="AH3628" s="38"/>
    </row>
    <row r="3629" spans="3:34" ht="20.100000000000001" customHeight="1">
      <c r="C3629" s="113"/>
      <c r="D3629" s="114"/>
      <c r="P3629" s="82"/>
      <c r="Q3629" s="82"/>
      <c r="R3629" s="38"/>
      <c r="S3629" s="38"/>
      <c r="T3629" s="38"/>
      <c r="U3629" s="38"/>
      <c r="V3629" s="38"/>
      <c r="W3629" s="38"/>
      <c r="X3629" s="38"/>
      <c r="Y3629" s="38"/>
      <c r="Z3629" s="38"/>
      <c r="AA3629" s="38"/>
      <c r="AB3629" s="38"/>
      <c r="AC3629" s="38"/>
      <c r="AD3629" s="38"/>
      <c r="AE3629" s="38"/>
      <c r="AF3629" s="38"/>
      <c r="AG3629" s="38"/>
      <c r="AH3629" s="38"/>
    </row>
    <row r="3630" spans="3:34" ht="20.100000000000001" customHeight="1">
      <c r="C3630" s="113"/>
      <c r="D3630" s="114"/>
      <c r="P3630" s="82"/>
      <c r="Q3630" s="82"/>
      <c r="R3630" s="38"/>
      <c r="S3630" s="38"/>
      <c r="T3630" s="38"/>
      <c r="U3630" s="38"/>
      <c r="V3630" s="38"/>
      <c r="W3630" s="38"/>
      <c r="X3630" s="38"/>
      <c r="Y3630" s="38"/>
      <c r="Z3630" s="38"/>
      <c r="AA3630" s="38"/>
      <c r="AB3630" s="38"/>
      <c r="AC3630" s="38"/>
      <c r="AD3630" s="38"/>
      <c r="AE3630" s="38"/>
      <c r="AF3630" s="38"/>
      <c r="AG3630" s="38"/>
      <c r="AH3630" s="38"/>
    </row>
    <row r="3631" spans="3:34" ht="20.100000000000001" customHeight="1">
      <c r="C3631" s="113"/>
      <c r="D3631" s="114"/>
      <c r="P3631" s="82"/>
      <c r="Q3631" s="82"/>
      <c r="R3631" s="38"/>
      <c r="S3631" s="38"/>
      <c r="T3631" s="38"/>
      <c r="U3631" s="38"/>
      <c r="V3631" s="38"/>
      <c r="W3631" s="38"/>
      <c r="X3631" s="38"/>
      <c r="Y3631" s="38"/>
      <c r="Z3631" s="38"/>
      <c r="AA3631" s="38"/>
      <c r="AB3631" s="38"/>
      <c r="AC3631" s="38"/>
      <c r="AD3631" s="38"/>
      <c r="AE3631" s="38"/>
      <c r="AF3631" s="38"/>
      <c r="AG3631" s="38"/>
      <c r="AH3631" s="38"/>
    </row>
    <row r="3632" spans="3:34" ht="20.100000000000001" customHeight="1">
      <c r="C3632" s="113"/>
      <c r="D3632" s="114"/>
      <c r="P3632" s="82"/>
      <c r="Q3632" s="82"/>
      <c r="R3632" s="38"/>
      <c r="S3632" s="38"/>
      <c r="T3632" s="38"/>
      <c r="U3632" s="38"/>
      <c r="V3632" s="38"/>
      <c r="W3632" s="38"/>
      <c r="X3632" s="38"/>
      <c r="Y3632" s="38"/>
      <c r="Z3632" s="38"/>
      <c r="AA3632" s="38"/>
      <c r="AB3632" s="38"/>
      <c r="AC3632" s="38"/>
      <c r="AD3632" s="38"/>
      <c r="AE3632" s="38"/>
      <c r="AF3632" s="38"/>
      <c r="AG3632" s="38"/>
      <c r="AH3632" s="38"/>
    </row>
    <row r="3633" spans="3:34" ht="20.100000000000001" customHeight="1">
      <c r="C3633" s="113"/>
      <c r="D3633" s="114"/>
      <c r="P3633" s="82"/>
      <c r="Q3633" s="82"/>
      <c r="R3633" s="38"/>
      <c r="S3633" s="38"/>
      <c r="T3633" s="38"/>
      <c r="U3633" s="38"/>
      <c r="V3633" s="38"/>
      <c r="W3633" s="38"/>
      <c r="X3633" s="38"/>
      <c r="Y3633" s="38"/>
      <c r="Z3633" s="38"/>
      <c r="AA3633" s="38"/>
      <c r="AB3633" s="38"/>
      <c r="AC3633" s="38"/>
      <c r="AD3633" s="38"/>
      <c r="AE3633" s="38"/>
      <c r="AF3633" s="38"/>
      <c r="AG3633" s="38"/>
      <c r="AH3633" s="38"/>
    </row>
    <row r="3634" spans="3:34" ht="20.100000000000001" customHeight="1">
      <c r="C3634" s="113"/>
      <c r="D3634" s="114"/>
      <c r="P3634" s="82"/>
      <c r="Q3634" s="82"/>
      <c r="R3634" s="38"/>
      <c r="S3634" s="38"/>
      <c r="T3634" s="38"/>
      <c r="U3634" s="38"/>
      <c r="V3634" s="38"/>
      <c r="W3634" s="38"/>
      <c r="X3634" s="38"/>
      <c r="Y3634" s="38"/>
      <c r="Z3634" s="38"/>
      <c r="AA3634" s="38"/>
      <c r="AB3634" s="38"/>
      <c r="AC3634" s="38"/>
      <c r="AD3634" s="38"/>
      <c r="AE3634" s="38"/>
      <c r="AF3634" s="38"/>
      <c r="AG3634" s="38"/>
      <c r="AH3634" s="38"/>
    </row>
    <row r="3635" spans="3:34" ht="20.100000000000001" customHeight="1">
      <c r="C3635" s="113"/>
      <c r="D3635" s="114"/>
      <c r="P3635" s="82"/>
      <c r="Q3635" s="82"/>
      <c r="R3635" s="38"/>
      <c r="S3635" s="38"/>
      <c r="T3635" s="38"/>
      <c r="U3635" s="38"/>
      <c r="V3635" s="38"/>
      <c r="W3635" s="38"/>
      <c r="X3635" s="38"/>
      <c r="Y3635" s="38"/>
      <c r="Z3635" s="38"/>
      <c r="AA3635" s="38"/>
      <c r="AB3635" s="38"/>
      <c r="AC3635" s="38"/>
      <c r="AD3635" s="38"/>
      <c r="AE3635" s="38"/>
      <c r="AF3635" s="38"/>
      <c r="AG3635" s="38"/>
      <c r="AH3635" s="38"/>
    </row>
    <row r="3636" spans="3:34" ht="20.100000000000001" customHeight="1">
      <c r="C3636" s="113"/>
      <c r="D3636" s="114"/>
      <c r="P3636" s="82"/>
      <c r="Q3636" s="82"/>
      <c r="R3636" s="38"/>
      <c r="S3636" s="38"/>
      <c r="T3636" s="38"/>
      <c r="U3636" s="38"/>
      <c r="V3636" s="38"/>
      <c r="W3636" s="38"/>
      <c r="X3636" s="38"/>
      <c r="Y3636" s="38"/>
      <c r="Z3636" s="38"/>
      <c r="AA3636" s="38"/>
      <c r="AB3636" s="38"/>
      <c r="AC3636" s="38"/>
      <c r="AD3636" s="38"/>
      <c r="AE3636" s="38"/>
      <c r="AF3636" s="38"/>
      <c r="AG3636" s="38"/>
      <c r="AH3636" s="38"/>
    </row>
    <row r="3637" spans="3:34" ht="20.100000000000001" customHeight="1">
      <c r="C3637" s="113"/>
      <c r="D3637" s="114"/>
      <c r="P3637" s="82"/>
      <c r="Q3637" s="82"/>
      <c r="R3637" s="38"/>
      <c r="S3637" s="38"/>
      <c r="T3637" s="38"/>
      <c r="U3637" s="38"/>
      <c r="V3637" s="38"/>
      <c r="W3637" s="38"/>
      <c r="X3637" s="38"/>
      <c r="Y3637" s="38"/>
      <c r="Z3637" s="38"/>
      <c r="AA3637" s="38"/>
      <c r="AB3637" s="38"/>
      <c r="AC3637" s="38"/>
      <c r="AD3637" s="38"/>
      <c r="AE3637" s="38"/>
      <c r="AF3637" s="38"/>
      <c r="AG3637" s="38"/>
      <c r="AH3637" s="38"/>
    </row>
    <row r="3638" spans="3:34" ht="20.100000000000001" customHeight="1">
      <c r="C3638" s="113"/>
      <c r="D3638" s="114"/>
      <c r="P3638" s="82"/>
      <c r="Q3638" s="82"/>
      <c r="R3638" s="38"/>
      <c r="S3638" s="38"/>
      <c r="T3638" s="38"/>
      <c r="U3638" s="38"/>
      <c r="V3638" s="38"/>
      <c r="W3638" s="38"/>
      <c r="X3638" s="38"/>
      <c r="Y3638" s="38"/>
      <c r="Z3638" s="38"/>
      <c r="AA3638" s="38"/>
      <c r="AB3638" s="38"/>
      <c r="AC3638" s="38"/>
      <c r="AD3638" s="38"/>
      <c r="AE3638" s="38"/>
      <c r="AF3638" s="38"/>
      <c r="AG3638" s="38"/>
      <c r="AH3638" s="38"/>
    </row>
    <row r="3639" spans="3:34" ht="20.100000000000001" customHeight="1">
      <c r="C3639" s="113"/>
      <c r="D3639" s="114"/>
      <c r="P3639" s="82"/>
      <c r="Q3639" s="82"/>
      <c r="R3639" s="38"/>
      <c r="S3639" s="38"/>
      <c r="T3639" s="38"/>
      <c r="U3639" s="38"/>
      <c r="V3639" s="38"/>
      <c r="W3639" s="38"/>
      <c r="X3639" s="38"/>
      <c r="Y3639" s="38"/>
      <c r="Z3639" s="38"/>
      <c r="AA3639" s="38"/>
      <c r="AB3639" s="38"/>
      <c r="AC3639" s="38"/>
      <c r="AD3639" s="38"/>
      <c r="AE3639" s="38"/>
      <c r="AF3639" s="38"/>
      <c r="AG3639" s="38"/>
      <c r="AH3639" s="38"/>
    </row>
    <row r="3640" spans="3:34" ht="20.100000000000001" customHeight="1">
      <c r="C3640" s="113"/>
      <c r="D3640" s="114"/>
      <c r="P3640" s="82"/>
      <c r="Q3640" s="82"/>
      <c r="R3640" s="38"/>
      <c r="S3640" s="38"/>
      <c r="T3640" s="38"/>
      <c r="U3640" s="38"/>
      <c r="V3640" s="38"/>
      <c r="W3640" s="38"/>
      <c r="X3640" s="38"/>
      <c r="Y3640" s="38"/>
      <c r="Z3640" s="38"/>
      <c r="AA3640" s="38"/>
      <c r="AB3640" s="38"/>
      <c r="AC3640" s="38"/>
      <c r="AD3640" s="38"/>
      <c r="AE3640" s="38"/>
      <c r="AF3640" s="38"/>
      <c r="AG3640" s="38"/>
      <c r="AH3640" s="38"/>
    </row>
    <row r="3641" spans="3:34" ht="20.100000000000001" customHeight="1">
      <c r="C3641" s="113"/>
      <c r="D3641" s="114"/>
      <c r="P3641" s="82"/>
      <c r="Q3641" s="82"/>
      <c r="R3641" s="38"/>
      <c r="S3641" s="38"/>
      <c r="T3641" s="38"/>
      <c r="U3641" s="38"/>
      <c r="V3641" s="38"/>
      <c r="W3641" s="38"/>
      <c r="X3641" s="38"/>
      <c r="Y3641" s="38"/>
      <c r="Z3641" s="38"/>
      <c r="AA3641" s="38"/>
      <c r="AB3641" s="38"/>
      <c r="AC3641" s="38"/>
      <c r="AD3641" s="38"/>
      <c r="AE3641" s="38"/>
      <c r="AF3641" s="38"/>
      <c r="AG3641" s="38"/>
      <c r="AH3641" s="38"/>
    </row>
    <row r="3642" spans="3:34" ht="20.100000000000001" customHeight="1">
      <c r="C3642" s="113"/>
      <c r="D3642" s="114"/>
      <c r="P3642" s="82"/>
      <c r="Q3642" s="82"/>
      <c r="R3642" s="38"/>
      <c r="S3642" s="38"/>
      <c r="T3642" s="38"/>
      <c r="U3642" s="38"/>
      <c r="V3642" s="38"/>
      <c r="W3642" s="38"/>
      <c r="X3642" s="38"/>
      <c r="Y3642" s="38"/>
      <c r="Z3642" s="38"/>
      <c r="AA3642" s="38"/>
      <c r="AB3642" s="38"/>
      <c r="AC3642" s="38"/>
      <c r="AD3642" s="38"/>
      <c r="AE3642" s="38"/>
      <c r="AF3642" s="38"/>
      <c r="AG3642" s="38"/>
      <c r="AH3642" s="38"/>
    </row>
    <row r="3643" spans="3:34" ht="20.100000000000001" customHeight="1">
      <c r="C3643" s="113"/>
      <c r="D3643" s="114"/>
      <c r="P3643" s="82"/>
      <c r="Q3643" s="82"/>
      <c r="R3643" s="38"/>
      <c r="S3643" s="38"/>
      <c r="T3643" s="38"/>
      <c r="U3643" s="38"/>
      <c r="V3643" s="38"/>
      <c r="W3643" s="38"/>
      <c r="X3643" s="38"/>
      <c r="Y3643" s="38"/>
      <c r="Z3643" s="38"/>
      <c r="AA3643" s="38"/>
      <c r="AB3643" s="38"/>
      <c r="AC3643" s="38"/>
      <c r="AD3643" s="38"/>
      <c r="AE3643" s="38"/>
      <c r="AF3643" s="38"/>
      <c r="AG3643" s="38"/>
      <c r="AH3643" s="38"/>
    </row>
    <row r="3644" spans="3:34" ht="20.100000000000001" customHeight="1">
      <c r="C3644" s="113"/>
      <c r="D3644" s="114"/>
      <c r="P3644" s="82"/>
      <c r="Q3644" s="82"/>
      <c r="R3644" s="38"/>
      <c r="S3644" s="38"/>
      <c r="T3644" s="38"/>
      <c r="U3644" s="38"/>
      <c r="V3644" s="38"/>
      <c r="W3644" s="38"/>
      <c r="X3644" s="38"/>
      <c r="Y3644" s="38"/>
      <c r="Z3644" s="38"/>
      <c r="AA3644" s="38"/>
      <c r="AB3644" s="38"/>
      <c r="AC3644" s="38"/>
      <c r="AD3644" s="38"/>
      <c r="AE3644" s="38"/>
      <c r="AF3644" s="38"/>
      <c r="AG3644" s="38"/>
      <c r="AH3644" s="38"/>
    </row>
    <row r="3645" spans="3:34" ht="20.100000000000001" customHeight="1">
      <c r="C3645" s="113"/>
      <c r="D3645" s="114"/>
      <c r="P3645" s="82"/>
      <c r="Q3645" s="82"/>
      <c r="R3645" s="38"/>
      <c r="S3645" s="38"/>
      <c r="T3645" s="38"/>
      <c r="U3645" s="38"/>
      <c r="V3645" s="38"/>
      <c r="W3645" s="38"/>
      <c r="X3645" s="38"/>
      <c r="Y3645" s="38"/>
      <c r="Z3645" s="38"/>
      <c r="AA3645" s="38"/>
      <c r="AB3645" s="38"/>
      <c r="AC3645" s="38"/>
      <c r="AD3645" s="38"/>
      <c r="AE3645" s="38"/>
      <c r="AF3645" s="38"/>
      <c r="AG3645" s="38"/>
      <c r="AH3645" s="38"/>
    </row>
    <row r="3646" spans="3:34" ht="20.100000000000001" customHeight="1">
      <c r="C3646" s="113"/>
      <c r="D3646" s="114"/>
      <c r="P3646" s="82"/>
      <c r="Q3646" s="82"/>
      <c r="R3646" s="38"/>
      <c r="S3646" s="38"/>
      <c r="T3646" s="38"/>
      <c r="U3646" s="38"/>
      <c r="V3646" s="38"/>
      <c r="W3646" s="38"/>
      <c r="X3646" s="38"/>
      <c r="Y3646" s="38"/>
      <c r="Z3646" s="38"/>
      <c r="AA3646" s="38"/>
      <c r="AB3646" s="38"/>
      <c r="AC3646" s="38"/>
      <c r="AD3646" s="38"/>
      <c r="AE3646" s="38"/>
      <c r="AF3646" s="38"/>
      <c r="AG3646" s="38"/>
      <c r="AH3646" s="38"/>
    </row>
    <row r="3647" spans="3:34" ht="20.100000000000001" customHeight="1">
      <c r="C3647" s="113"/>
      <c r="D3647" s="114"/>
      <c r="P3647" s="82"/>
      <c r="Q3647" s="82"/>
      <c r="R3647" s="38"/>
      <c r="S3647" s="38"/>
      <c r="T3647" s="38"/>
      <c r="U3647" s="38"/>
      <c r="V3647" s="38"/>
      <c r="W3647" s="38"/>
      <c r="X3647" s="38"/>
      <c r="Y3647" s="38"/>
      <c r="Z3647" s="38"/>
      <c r="AA3647" s="38"/>
      <c r="AB3647" s="38"/>
      <c r="AC3647" s="38"/>
      <c r="AD3647" s="38"/>
      <c r="AE3647" s="38"/>
      <c r="AF3647" s="38"/>
      <c r="AG3647" s="38"/>
      <c r="AH3647" s="38"/>
    </row>
    <row r="3648" spans="3:34" ht="20.100000000000001" customHeight="1">
      <c r="C3648" s="113"/>
      <c r="D3648" s="114"/>
      <c r="P3648" s="82"/>
      <c r="Q3648" s="82"/>
      <c r="R3648" s="38"/>
      <c r="S3648" s="38"/>
      <c r="T3648" s="38"/>
      <c r="U3648" s="38"/>
      <c r="V3648" s="38"/>
      <c r="W3648" s="38"/>
      <c r="X3648" s="38"/>
      <c r="Y3648" s="38"/>
      <c r="Z3648" s="38"/>
      <c r="AA3648" s="38"/>
      <c r="AB3648" s="38"/>
      <c r="AC3648" s="38"/>
      <c r="AD3648" s="38"/>
      <c r="AE3648" s="38"/>
      <c r="AF3648" s="38"/>
      <c r="AG3648" s="38"/>
      <c r="AH3648" s="38"/>
    </row>
    <row r="3649" spans="3:34" ht="20.100000000000001" customHeight="1">
      <c r="C3649" s="113"/>
      <c r="D3649" s="114"/>
      <c r="P3649" s="82"/>
      <c r="Q3649" s="82"/>
      <c r="R3649" s="38"/>
      <c r="S3649" s="38"/>
      <c r="T3649" s="38"/>
      <c r="U3649" s="38"/>
      <c r="V3649" s="38"/>
      <c r="W3649" s="38"/>
      <c r="X3649" s="38"/>
      <c r="Y3649" s="38"/>
      <c r="Z3649" s="38"/>
      <c r="AA3649" s="38"/>
      <c r="AB3649" s="38"/>
      <c r="AC3649" s="38"/>
      <c r="AD3649" s="38"/>
      <c r="AE3649" s="38"/>
      <c r="AF3649" s="38"/>
      <c r="AG3649" s="38"/>
      <c r="AH3649" s="38"/>
    </row>
    <row r="3650" spans="3:34" ht="20.100000000000001" customHeight="1">
      <c r="C3650" s="113"/>
      <c r="D3650" s="114"/>
      <c r="P3650" s="82"/>
      <c r="Q3650" s="82"/>
      <c r="R3650" s="38"/>
      <c r="S3650" s="38"/>
      <c r="T3650" s="38"/>
      <c r="U3650" s="38"/>
      <c r="V3650" s="38"/>
      <c r="W3650" s="38"/>
      <c r="X3650" s="38"/>
      <c r="Y3650" s="38"/>
      <c r="Z3650" s="38"/>
      <c r="AA3650" s="38"/>
      <c r="AB3650" s="38"/>
      <c r="AC3650" s="38"/>
      <c r="AD3650" s="38"/>
      <c r="AE3650" s="38"/>
      <c r="AF3650" s="38"/>
      <c r="AG3650" s="38"/>
      <c r="AH3650" s="38"/>
    </row>
    <row r="3651" spans="3:34" ht="20.100000000000001" customHeight="1">
      <c r="C3651" s="113"/>
      <c r="D3651" s="114"/>
      <c r="P3651" s="82"/>
      <c r="Q3651" s="82"/>
      <c r="R3651" s="38"/>
      <c r="S3651" s="38"/>
      <c r="T3651" s="38"/>
      <c r="U3651" s="38"/>
      <c r="V3651" s="38"/>
      <c r="W3651" s="38"/>
      <c r="X3651" s="38"/>
      <c r="Y3651" s="38"/>
      <c r="Z3651" s="38"/>
      <c r="AA3651" s="38"/>
      <c r="AB3651" s="38"/>
      <c r="AC3651" s="38"/>
      <c r="AD3651" s="38"/>
      <c r="AE3651" s="38"/>
      <c r="AF3651" s="38"/>
      <c r="AG3651" s="38"/>
      <c r="AH3651" s="38"/>
    </row>
    <row r="3652" spans="3:34" ht="20.100000000000001" customHeight="1">
      <c r="C3652" s="113"/>
      <c r="D3652" s="114"/>
      <c r="P3652" s="82"/>
      <c r="Q3652" s="82"/>
      <c r="R3652" s="38"/>
      <c r="S3652" s="38"/>
      <c r="T3652" s="38"/>
      <c r="U3652" s="38"/>
      <c r="V3652" s="38"/>
      <c r="W3652" s="38"/>
      <c r="X3652" s="38"/>
      <c r="Y3652" s="38"/>
      <c r="Z3652" s="38"/>
      <c r="AA3652" s="38"/>
      <c r="AB3652" s="38"/>
      <c r="AC3652" s="38"/>
      <c r="AD3652" s="38"/>
      <c r="AE3652" s="38"/>
      <c r="AF3652" s="38"/>
      <c r="AG3652" s="38"/>
      <c r="AH3652" s="38"/>
    </row>
    <row r="3653" spans="3:34" ht="20.100000000000001" customHeight="1">
      <c r="C3653" s="113"/>
      <c r="D3653" s="114"/>
      <c r="P3653" s="82"/>
      <c r="Q3653" s="82"/>
      <c r="R3653" s="38"/>
      <c r="S3653" s="38"/>
      <c r="T3653" s="38"/>
      <c r="U3653" s="38"/>
      <c r="V3653" s="38"/>
      <c r="W3653" s="38"/>
      <c r="X3653" s="38"/>
      <c r="Y3653" s="38"/>
      <c r="Z3653" s="38"/>
      <c r="AA3653" s="38"/>
      <c r="AB3653" s="38"/>
      <c r="AC3653" s="38"/>
      <c r="AD3653" s="38"/>
      <c r="AE3653" s="38"/>
      <c r="AF3653" s="38"/>
      <c r="AG3653" s="38"/>
      <c r="AH3653" s="38"/>
    </row>
    <row r="3654" spans="3:34" ht="20.100000000000001" customHeight="1">
      <c r="C3654" s="113"/>
      <c r="D3654" s="114"/>
      <c r="P3654" s="82"/>
      <c r="Q3654" s="82"/>
      <c r="R3654" s="38"/>
      <c r="S3654" s="38"/>
      <c r="T3654" s="38"/>
      <c r="U3654" s="38"/>
      <c r="V3654" s="38"/>
      <c r="W3654" s="38"/>
      <c r="X3654" s="38"/>
      <c r="Y3654" s="38"/>
      <c r="Z3654" s="38"/>
      <c r="AA3654" s="38"/>
      <c r="AB3654" s="38"/>
      <c r="AC3654" s="38"/>
      <c r="AD3654" s="38"/>
      <c r="AE3654" s="38"/>
      <c r="AF3654" s="38"/>
      <c r="AG3654" s="38"/>
      <c r="AH3654" s="38"/>
    </row>
    <row r="3655" spans="3:34" ht="20.100000000000001" customHeight="1">
      <c r="C3655" s="113"/>
      <c r="D3655" s="114"/>
      <c r="P3655" s="82"/>
      <c r="Q3655" s="82"/>
      <c r="R3655" s="38"/>
      <c r="S3655" s="38"/>
      <c r="T3655" s="38"/>
      <c r="U3655" s="38"/>
      <c r="V3655" s="38"/>
      <c r="W3655" s="38"/>
      <c r="X3655" s="38"/>
      <c r="Y3655" s="38"/>
      <c r="Z3655" s="38"/>
      <c r="AA3655" s="38"/>
      <c r="AB3655" s="38"/>
      <c r="AC3655" s="38"/>
      <c r="AD3655" s="38"/>
      <c r="AE3655" s="38"/>
      <c r="AF3655" s="38"/>
      <c r="AG3655" s="38"/>
      <c r="AH3655" s="38"/>
    </row>
    <row r="3656" spans="3:34" ht="20.100000000000001" customHeight="1">
      <c r="C3656" s="113"/>
      <c r="D3656" s="114"/>
      <c r="P3656" s="82"/>
      <c r="Q3656" s="82"/>
      <c r="R3656" s="38"/>
      <c r="S3656" s="38"/>
      <c r="T3656" s="38"/>
      <c r="U3656" s="38"/>
      <c r="V3656" s="38"/>
      <c r="W3656" s="38"/>
      <c r="X3656" s="38"/>
      <c r="Y3656" s="38"/>
      <c r="Z3656" s="38"/>
      <c r="AA3656" s="38"/>
      <c r="AB3656" s="38"/>
      <c r="AC3656" s="38"/>
      <c r="AD3656" s="38"/>
      <c r="AE3656" s="38"/>
      <c r="AF3656" s="38"/>
      <c r="AG3656" s="38"/>
      <c r="AH3656" s="38"/>
    </row>
    <row r="3657" spans="3:34" ht="20.100000000000001" customHeight="1">
      <c r="C3657" s="113"/>
      <c r="D3657" s="114"/>
      <c r="P3657" s="82"/>
      <c r="Q3657" s="82"/>
      <c r="R3657" s="38"/>
      <c r="S3657" s="38"/>
      <c r="T3657" s="38"/>
      <c r="U3657" s="38"/>
      <c r="V3657" s="38"/>
      <c r="W3657" s="38"/>
      <c r="X3657" s="38"/>
      <c r="Y3657" s="38"/>
      <c r="Z3657" s="38"/>
      <c r="AA3657" s="38"/>
      <c r="AB3657" s="38"/>
      <c r="AC3657" s="38"/>
      <c r="AD3657" s="38"/>
      <c r="AE3657" s="38"/>
      <c r="AF3657" s="38"/>
      <c r="AG3657" s="38"/>
      <c r="AH3657" s="38"/>
    </row>
    <row r="3658" spans="3:34" ht="20.100000000000001" customHeight="1">
      <c r="C3658" s="113"/>
      <c r="D3658" s="114"/>
      <c r="P3658" s="82"/>
      <c r="Q3658" s="82"/>
      <c r="R3658" s="38"/>
      <c r="S3658" s="38"/>
      <c r="T3658" s="38"/>
      <c r="U3658" s="38"/>
      <c r="V3658" s="38"/>
      <c r="W3658" s="38"/>
      <c r="X3658" s="38"/>
      <c r="Y3658" s="38"/>
      <c r="Z3658" s="38"/>
      <c r="AA3658" s="38"/>
      <c r="AB3658" s="38"/>
      <c r="AC3658" s="38"/>
      <c r="AD3658" s="38"/>
      <c r="AE3658" s="38"/>
      <c r="AF3658" s="38"/>
      <c r="AG3658" s="38"/>
      <c r="AH3658" s="38"/>
    </row>
    <row r="3659" spans="3:34" ht="20.100000000000001" customHeight="1">
      <c r="C3659" s="113"/>
      <c r="D3659" s="114"/>
      <c r="P3659" s="82"/>
      <c r="Q3659" s="82"/>
      <c r="R3659" s="38"/>
      <c r="S3659" s="38"/>
      <c r="T3659" s="38"/>
      <c r="U3659" s="38"/>
      <c r="V3659" s="38"/>
      <c r="W3659" s="38"/>
      <c r="X3659" s="38"/>
      <c r="Y3659" s="38"/>
      <c r="Z3659" s="38"/>
      <c r="AA3659" s="38"/>
      <c r="AB3659" s="38"/>
      <c r="AC3659" s="38"/>
      <c r="AD3659" s="38"/>
      <c r="AE3659" s="38"/>
      <c r="AF3659" s="38"/>
      <c r="AG3659" s="38"/>
      <c r="AH3659" s="38"/>
    </row>
    <row r="3660" spans="3:34" ht="20.100000000000001" customHeight="1">
      <c r="C3660" s="113"/>
      <c r="D3660" s="114"/>
      <c r="P3660" s="82"/>
      <c r="Q3660" s="82"/>
      <c r="R3660" s="38"/>
      <c r="S3660" s="38"/>
      <c r="T3660" s="38"/>
      <c r="U3660" s="38"/>
      <c r="V3660" s="38"/>
      <c r="W3660" s="38"/>
      <c r="X3660" s="38"/>
      <c r="Y3660" s="38"/>
      <c r="Z3660" s="38"/>
      <c r="AA3660" s="38"/>
      <c r="AB3660" s="38"/>
      <c r="AC3660" s="38"/>
      <c r="AD3660" s="38"/>
      <c r="AE3660" s="38"/>
      <c r="AF3660" s="38"/>
      <c r="AG3660" s="38"/>
      <c r="AH3660" s="38"/>
    </row>
    <row r="3661" spans="3:34" ht="20.100000000000001" customHeight="1">
      <c r="C3661" s="113"/>
      <c r="D3661" s="114"/>
      <c r="P3661" s="82"/>
      <c r="Q3661" s="82"/>
      <c r="R3661" s="38"/>
      <c r="S3661" s="38"/>
      <c r="T3661" s="38"/>
      <c r="U3661" s="38"/>
      <c r="V3661" s="38"/>
      <c r="W3661" s="38"/>
      <c r="X3661" s="38"/>
      <c r="Y3661" s="38"/>
      <c r="Z3661" s="38"/>
      <c r="AA3661" s="38"/>
      <c r="AB3661" s="38"/>
      <c r="AC3661" s="38"/>
      <c r="AD3661" s="38"/>
      <c r="AE3661" s="38"/>
      <c r="AF3661" s="38"/>
      <c r="AG3661" s="38"/>
      <c r="AH3661" s="38"/>
    </row>
    <row r="3662" spans="3:34" ht="20.100000000000001" customHeight="1">
      <c r="C3662" s="113"/>
      <c r="D3662" s="114"/>
      <c r="P3662" s="82"/>
      <c r="Q3662" s="82"/>
      <c r="R3662" s="38"/>
      <c r="S3662" s="38"/>
      <c r="T3662" s="38"/>
      <c r="U3662" s="38"/>
      <c r="V3662" s="38"/>
      <c r="W3662" s="38"/>
      <c r="X3662" s="38"/>
      <c r="Y3662" s="38"/>
      <c r="Z3662" s="38"/>
      <c r="AA3662" s="38"/>
      <c r="AB3662" s="38"/>
      <c r="AC3662" s="38"/>
      <c r="AD3662" s="38"/>
      <c r="AE3662" s="38"/>
      <c r="AF3662" s="38"/>
      <c r="AG3662" s="38"/>
      <c r="AH3662" s="38"/>
    </row>
    <row r="3663" spans="3:34" ht="20.100000000000001" customHeight="1">
      <c r="C3663" s="113"/>
      <c r="D3663" s="114"/>
      <c r="P3663" s="82"/>
      <c r="Q3663" s="82"/>
      <c r="R3663" s="38"/>
      <c r="S3663" s="38"/>
      <c r="T3663" s="38"/>
      <c r="U3663" s="38"/>
      <c r="V3663" s="38"/>
      <c r="W3663" s="38"/>
      <c r="X3663" s="38"/>
      <c r="Y3663" s="38"/>
      <c r="Z3663" s="38"/>
      <c r="AA3663" s="38"/>
      <c r="AB3663" s="38"/>
      <c r="AC3663" s="38"/>
      <c r="AD3663" s="38"/>
      <c r="AE3663" s="38"/>
      <c r="AF3663" s="38"/>
      <c r="AG3663" s="38"/>
      <c r="AH3663" s="38"/>
    </row>
    <row r="3664" spans="3:34" ht="20.100000000000001" customHeight="1">
      <c r="C3664" s="113"/>
      <c r="D3664" s="114"/>
      <c r="P3664" s="82"/>
      <c r="Q3664" s="82"/>
      <c r="R3664" s="38"/>
      <c r="S3664" s="38"/>
      <c r="T3664" s="38"/>
      <c r="U3664" s="38"/>
      <c r="V3664" s="38"/>
      <c r="W3664" s="38"/>
      <c r="X3664" s="38"/>
      <c r="Y3664" s="38"/>
      <c r="Z3664" s="38"/>
      <c r="AA3664" s="38"/>
      <c r="AB3664" s="38"/>
      <c r="AC3664" s="38"/>
      <c r="AD3664" s="38"/>
      <c r="AE3664" s="38"/>
      <c r="AF3664" s="38"/>
      <c r="AG3664" s="38"/>
      <c r="AH3664" s="38"/>
    </row>
    <row r="3665" spans="3:34" ht="20.100000000000001" customHeight="1">
      <c r="C3665" s="113"/>
      <c r="D3665" s="114"/>
      <c r="P3665" s="82"/>
      <c r="Q3665" s="82"/>
      <c r="R3665" s="38"/>
      <c r="S3665" s="38"/>
      <c r="T3665" s="38"/>
      <c r="U3665" s="38"/>
      <c r="V3665" s="38"/>
      <c r="W3665" s="38"/>
      <c r="X3665" s="38"/>
      <c r="Y3665" s="38"/>
      <c r="Z3665" s="38"/>
      <c r="AA3665" s="38"/>
      <c r="AB3665" s="38"/>
      <c r="AC3665" s="38"/>
      <c r="AD3665" s="38"/>
      <c r="AE3665" s="38"/>
      <c r="AF3665" s="38"/>
      <c r="AG3665" s="38"/>
      <c r="AH3665" s="38"/>
    </row>
    <row r="3666" spans="3:34" ht="20.100000000000001" customHeight="1">
      <c r="C3666" s="113"/>
      <c r="D3666" s="114"/>
      <c r="P3666" s="82"/>
      <c r="Q3666" s="82"/>
      <c r="R3666" s="38"/>
      <c r="S3666" s="38"/>
      <c r="T3666" s="38"/>
      <c r="U3666" s="38"/>
      <c r="V3666" s="38"/>
      <c r="W3666" s="38"/>
      <c r="X3666" s="38"/>
      <c r="Y3666" s="38"/>
      <c r="Z3666" s="38"/>
      <c r="AA3666" s="38"/>
      <c r="AB3666" s="38"/>
      <c r="AC3666" s="38"/>
      <c r="AD3666" s="38"/>
      <c r="AE3666" s="38"/>
      <c r="AF3666" s="38"/>
      <c r="AG3666" s="38"/>
      <c r="AH3666" s="38"/>
    </row>
    <row r="3667" spans="3:34" ht="20.100000000000001" customHeight="1">
      <c r="C3667" s="113"/>
      <c r="D3667" s="114"/>
      <c r="P3667" s="82"/>
      <c r="Q3667" s="82"/>
      <c r="R3667" s="38"/>
      <c r="S3667" s="38"/>
      <c r="T3667" s="38"/>
      <c r="U3667" s="38"/>
      <c r="V3667" s="38"/>
      <c r="W3667" s="38"/>
      <c r="X3667" s="38"/>
      <c r="Y3667" s="38"/>
      <c r="Z3667" s="38"/>
      <c r="AA3667" s="38"/>
      <c r="AB3667" s="38"/>
      <c r="AC3667" s="38"/>
      <c r="AD3667" s="38"/>
      <c r="AE3667" s="38"/>
      <c r="AF3667" s="38"/>
      <c r="AG3667" s="38"/>
      <c r="AH3667" s="38"/>
    </row>
    <row r="3668" spans="3:34" ht="20.100000000000001" customHeight="1">
      <c r="C3668" s="113"/>
      <c r="D3668" s="114"/>
      <c r="P3668" s="82"/>
      <c r="Q3668" s="82"/>
      <c r="R3668" s="38"/>
      <c r="S3668" s="38"/>
      <c r="T3668" s="38"/>
      <c r="U3668" s="38"/>
      <c r="V3668" s="38"/>
      <c r="W3668" s="38"/>
      <c r="X3668" s="38"/>
      <c r="Y3668" s="38"/>
      <c r="Z3668" s="38"/>
      <c r="AA3668" s="38"/>
      <c r="AB3668" s="38"/>
      <c r="AC3668" s="38"/>
      <c r="AD3668" s="38"/>
      <c r="AE3668" s="38"/>
      <c r="AF3668" s="38"/>
      <c r="AG3668" s="38"/>
      <c r="AH3668" s="38"/>
    </row>
    <row r="3669" spans="3:34" ht="20.100000000000001" customHeight="1">
      <c r="C3669" s="113"/>
      <c r="D3669" s="114"/>
      <c r="P3669" s="82"/>
      <c r="Q3669" s="82"/>
      <c r="R3669" s="38"/>
      <c r="S3669" s="38"/>
      <c r="T3669" s="38"/>
      <c r="U3669" s="38"/>
      <c r="V3669" s="38"/>
      <c r="W3669" s="38"/>
      <c r="X3669" s="38"/>
      <c r="Y3669" s="38"/>
      <c r="Z3669" s="38"/>
      <c r="AA3669" s="38"/>
      <c r="AB3669" s="38"/>
      <c r="AC3669" s="38"/>
      <c r="AD3669" s="38"/>
      <c r="AE3669" s="38"/>
      <c r="AF3669" s="38"/>
      <c r="AG3669" s="38"/>
      <c r="AH3669" s="38"/>
    </row>
    <row r="3670" spans="3:34" ht="20.100000000000001" customHeight="1">
      <c r="C3670" s="113"/>
      <c r="D3670" s="114"/>
      <c r="P3670" s="82"/>
      <c r="Q3670" s="82"/>
      <c r="R3670" s="38"/>
      <c r="S3670" s="38"/>
      <c r="T3670" s="38"/>
      <c r="U3670" s="38"/>
      <c r="V3670" s="38"/>
      <c r="W3670" s="38"/>
      <c r="X3670" s="38"/>
      <c r="Y3670" s="38"/>
      <c r="Z3670" s="38"/>
      <c r="AA3670" s="38"/>
      <c r="AB3670" s="38"/>
      <c r="AC3670" s="38"/>
      <c r="AD3670" s="38"/>
      <c r="AE3670" s="38"/>
      <c r="AF3670" s="38"/>
      <c r="AG3670" s="38"/>
      <c r="AH3670" s="38"/>
    </row>
    <row r="3671" spans="3:34" ht="20.100000000000001" customHeight="1">
      <c r="C3671" s="113"/>
      <c r="D3671" s="114"/>
      <c r="P3671" s="82"/>
      <c r="Q3671" s="82"/>
      <c r="R3671" s="38"/>
      <c r="S3671" s="38"/>
      <c r="T3671" s="38"/>
      <c r="U3671" s="38"/>
      <c r="V3671" s="38"/>
      <c r="W3671" s="38"/>
      <c r="X3671" s="38"/>
      <c r="Y3671" s="38"/>
      <c r="Z3671" s="38"/>
      <c r="AA3671" s="38"/>
      <c r="AB3671" s="38"/>
      <c r="AC3671" s="38"/>
      <c r="AD3671" s="38"/>
      <c r="AE3671" s="38"/>
      <c r="AF3671" s="38"/>
      <c r="AG3671" s="38"/>
      <c r="AH3671" s="38"/>
    </row>
    <row r="3672" spans="3:34" ht="20.100000000000001" customHeight="1">
      <c r="C3672" s="113"/>
      <c r="D3672" s="114"/>
      <c r="P3672" s="82"/>
      <c r="Q3672" s="82"/>
      <c r="R3672" s="38"/>
      <c r="S3672" s="38"/>
      <c r="T3672" s="38"/>
      <c r="U3672" s="38"/>
      <c r="V3672" s="38"/>
      <c r="W3672" s="38"/>
      <c r="X3672" s="38"/>
      <c r="Y3672" s="38"/>
      <c r="Z3672" s="38"/>
      <c r="AA3672" s="38"/>
      <c r="AB3672" s="38"/>
      <c r="AC3672" s="38"/>
      <c r="AD3672" s="38"/>
      <c r="AE3672" s="38"/>
      <c r="AF3672" s="38"/>
      <c r="AG3672" s="38"/>
      <c r="AH3672" s="38"/>
    </row>
    <row r="3673" spans="3:34" ht="20.100000000000001" customHeight="1">
      <c r="C3673" s="113"/>
      <c r="D3673" s="114"/>
      <c r="P3673" s="82"/>
      <c r="Q3673" s="82"/>
      <c r="R3673" s="38"/>
      <c r="S3673" s="38"/>
      <c r="T3673" s="38"/>
      <c r="U3673" s="38"/>
      <c r="V3673" s="38"/>
      <c r="W3673" s="38"/>
      <c r="X3673" s="38"/>
      <c r="Y3673" s="38"/>
      <c r="Z3673" s="38"/>
      <c r="AA3673" s="38"/>
      <c r="AB3673" s="38"/>
      <c r="AC3673" s="38"/>
      <c r="AD3673" s="38"/>
      <c r="AE3673" s="38"/>
      <c r="AF3673" s="38"/>
      <c r="AG3673" s="38"/>
      <c r="AH3673" s="38"/>
    </row>
    <row r="3674" spans="3:34" ht="20.100000000000001" customHeight="1">
      <c r="C3674" s="113"/>
      <c r="D3674" s="114"/>
      <c r="P3674" s="82"/>
      <c r="Q3674" s="82"/>
      <c r="R3674" s="38"/>
      <c r="S3674" s="38"/>
      <c r="T3674" s="38"/>
      <c r="U3674" s="38"/>
      <c r="V3674" s="38"/>
      <c r="W3674" s="38"/>
      <c r="X3674" s="38"/>
      <c r="Y3674" s="38"/>
      <c r="Z3674" s="38"/>
      <c r="AA3674" s="38"/>
      <c r="AB3674" s="38"/>
      <c r="AC3674" s="38"/>
      <c r="AD3674" s="38"/>
      <c r="AE3674" s="38"/>
      <c r="AF3674" s="38"/>
      <c r="AG3674" s="38"/>
      <c r="AH3674" s="38"/>
    </row>
    <row r="3675" spans="3:34" ht="20.100000000000001" customHeight="1">
      <c r="C3675" s="113"/>
      <c r="D3675" s="114"/>
      <c r="P3675" s="82"/>
      <c r="Q3675" s="82"/>
      <c r="R3675" s="38"/>
      <c r="S3675" s="38"/>
      <c r="T3675" s="38"/>
      <c r="U3675" s="38"/>
      <c r="V3675" s="38"/>
      <c r="W3675" s="38"/>
      <c r="X3675" s="38"/>
      <c r="Y3675" s="38"/>
      <c r="Z3675" s="38"/>
      <c r="AA3675" s="38"/>
      <c r="AB3675" s="38"/>
      <c r="AC3675" s="38"/>
      <c r="AD3675" s="38"/>
      <c r="AE3675" s="38"/>
      <c r="AF3675" s="38"/>
      <c r="AG3675" s="38"/>
      <c r="AH3675" s="38"/>
    </row>
    <row r="3676" spans="3:34" ht="20.100000000000001" customHeight="1">
      <c r="C3676" s="113"/>
      <c r="D3676" s="114"/>
      <c r="P3676" s="82"/>
      <c r="Q3676" s="82"/>
      <c r="R3676" s="38"/>
      <c r="S3676" s="38"/>
      <c r="T3676" s="38"/>
      <c r="U3676" s="38"/>
      <c r="V3676" s="38"/>
      <c r="W3676" s="38"/>
      <c r="X3676" s="38"/>
      <c r="Y3676" s="38"/>
      <c r="Z3676" s="38"/>
      <c r="AA3676" s="38"/>
      <c r="AB3676" s="38"/>
      <c r="AC3676" s="38"/>
      <c r="AD3676" s="38"/>
      <c r="AE3676" s="38"/>
      <c r="AF3676" s="38"/>
      <c r="AG3676" s="38"/>
      <c r="AH3676" s="38"/>
    </row>
    <row r="3677" spans="3:34" ht="20.100000000000001" customHeight="1">
      <c r="C3677" s="113"/>
      <c r="D3677" s="114"/>
      <c r="P3677" s="82"/>
      <c r="Q3677" s="82"/>
      <c r="R3677" s="38"/>
      <c r="S3677" s="38"/>
      <c r="T3677" s="38"/>
      <c r="U3677" s="38"/>
      <c r="V3677" s="38"/>
      <c r="W3677" s="38"/>
      <c r="X3677" s="38"/>
      <c r="Y3677" s="38"/>
      <c r="Z3677" s="38"/>
      <c r="AA3677" s="38"/>
      <c r="AB3677" s="38"/>
      <c r="AC3677" s="38"/>
      <c r="AD3677" s="38"/>
      <c r="AE3677" s="38"/>
      <c r="AF3677" s="38"/>
      <c r="AG3677" s="38"/>
      <c r="AH3677" s="38"/>
    </row>
    <row r="3678" spans="3:34" ht="20.100000000000001" customHeight="1">
      <c r="C3678" s="113"/>
      <c r="D3678" s="114"/>
      <c r="P3678" s="82"/>
      <c r="Q3678" s="82"/>
      <c r="R3678" s="38"/>
      <c r="S3678" s="38"/>
      <c r="T3678" s="38"/>
      <c r="U3678" s="38"/>
      <c r="V3678" s="38"/>
      <c r="W3678" s="38"/>
      <c r="X3678" s="38"/>
      <c r="Y3678" s="38"/>
      <c r="Z3678" s="38"/>
      <c r="AA3678" s="38"/>
      <c r="AB3678" s="38"/>
      <c r="AC3678" s="38"/>
      <c r="AD3678" s="38"/>
      <c r="AE3678" s="38"/>
      <c r="AF3678" s="38"/>
      <c r="AG3678" s="38"/>
      <c r="AH3678" s="38"/>
    </row>
    <row r="3679" spans="3:34" ht="20.100000000000001" customHeight="1">
      <c r="C3679" s="113"/>
      <c r="D3679" s="114"/>
      <c r="P3679" s="82"/>
      <c r="Q3679" s="82"/>
      <c r="R3679" s="38"/>
      <c r="S3679" s="38"/>
      <c r="T3679" s="38"/>
      <c r="U3679" s="38"/>
      <c r="V3679" s="38"/>
      <c r="W3679" s="38"/>
      <c r="X3679" s="38"/>
      <c r="Y3679" s="38"/>
      <c r="Z3679" s="38"/>
      <c r="AA3679" s="38"/>
      <c r="AB3679" s="38"/>
      <c r="AC3679" s="38"/>
      <c r="AD3679" s="38"/>
      <c r="AE3679" s="38"/>
      <c r="AF3679" s="38"/>
      <c r="AG3679" s="38"/>
      <c r="AH3679" s="38"/>
    </row>
    <row r="3680" spans="3:34" ht="20.100000000000001" customHeight="1">
      <c r="C3680" s="113"/>
      <c r="D3680" s="114"/>
      <c r="P3680" s="82"/>
      <c r="Q3680" s="82"/>
      <c r="R3680" s="38"/>
      <c r="S3680" s="38"/>
      <c r="T3680" s="38"/>
      <c r="U3680" s="38"/>
      <c r="V3680" s="38"/>
      <c r="W3680" s="38"/>
      <c r="X3680" s="38"/>
      <c r="Y3680" s="38"/>
      <c r="Z3680" s="38"/>
      <c r="AA3680" s="38"/>
      <c r="AB3680" s="38"/>
      <c r="AC3680" s="38"/>
      <c r="AD3680" s="38"/>
      <c r="AE3680" s="38"/>
      <c r="AF3680" s="38"/>
      <c r="AG3680" s="38"/>
      <c r="AH3680" s="38"/>
    </row>
    <row r="3681" spans="3:34" ht="20.100000000000001" customHeight="1">
      <c r="C3681" s="113"/>
      <c r="D3681" s="114"/>
      <c r="P3681" s="82"/>
      <c r="Q3681" s="82"/>
      <c r="R3681" s="38"/>
      <c r="S3681" s="38"/>
      <c r="T3681" s="38"/>
      <c r="U3681" s="38"/>
      <c r="V3681" s="38"/>
      <c r="W3681" s="38"/>
      <c r="X3681" s="38"/>
      <c r="Y3681" s="38"/>
      <c r="Z3681" s="38"/>
      <c r="AA3681" s="38"/>
      <c r="AB3681" s="38"/>
      <c r="AC3681" s="38"/>
      <c r="AD3681" s="38"/>
      <c r="AE3681" s="38"/>
      <c r="AF3681" s="38"/>
      <c r="AG3681" s="38"/>
      <c r="AH3681" s="38"/>
    </row>
    <row r="3682" spans="3:34" ht="20.100000000000001" customHeight="1">
      <c r="C3682" s="113"/>
      <c r="D3682" s="114"/>
      <c r="P3682" s="82"/>
      <c r="Q3682" s="82"/>
      <c r="R3682" s="38"/>
      <c r="S3682" s="38"/>
      <c r="T3682" s="38"/>
      <c r="U3682" s="38"/>
      <c r="V3682" s="38"/>
      <c r="W3682" s="38"/>
      <c r="X3682" s="38"/>
      <c r="Y3682" s="38"/>
      <c r="Z3682" s="38"/>
      <c r="AA3682" s="38"/>
      <c r="AB3682" s="38"/>
      <c r="AC3682" s="38"/>
      <c r="AD3682" s="38"/>
      <c r="AE3682" s="38"/>
      <c r="AF3682" s="38"/>
      <c r="AG3682" s="38"/>
      <c r="AH3682" s="38"/>
    </row>
    <row r="3683" spans="3:34" ht="20.100000000000001" customHeight="1">
      <c r="C3683" s="113"/>
      <c r="D3683" s="114"/>
      <c r="P3683" s="82"/>
      <c r="Q3683" s="82"/>
      <c r="R3683" s="38"/>
      <c r="S3683" s="38"/>
      <c r="T3683" s="38"/>
      <c r="U3683" s="38"/>
      <c r="V3683" s="38"/>
      <c r="W3683" s="38"/>
      <c r="X3683" s="38"/>
      <c r="Y3683" s="38"/>
      <c r="Z3683" s="38"/>
      <c r="AA3683" s="38"/>
      <c r="AB3683" s="38"/>
      <c r="AC3683" s="38"/>
      <c r="AD3683" s="38"/>
      <c r="AE3683" s="38"/>
      <c r="AF3683" s="38"/>
      <c r="AG3683" s="38"/>
      <c r="AH3683" s="38"/>
    </row>
    <row r="3684" spans="3:34" ht="20.100000000000001" customHeight="1">
      <c r="C3684" s="113"/>
      <c r="D3684" s="114"/>
      <c r="P3684" s="82"/>
      <c r="Q3684" s="82"/>
      <c r="R3684" s="38"/>
      <c r="S3684" s="38"/>
      <c r="T3684" s="38"/>
      <c r="U3684" s="38"/>
      <c r="V3684" s="38"/>
      <c r="W3684" s="38"/>
      <c r="X3684" s="38"/>
      <c r="Y3684" s="38"/>
      <c r="Z3684" s="38"/>
      <c r="AA3684" s="38"/>
      <c r="AB3684" s="38"/>
      <c r="AC3684" s="38"/>
      <c r="AD3684" s="38"/>
      <c r="AE3684" s="38"/>
      <c r="AF3684" s="38"/>
      <c r="AG3684" s="38"/>
      <c r="AH3684" s="38"/>
    </row>
    <row r="3685" spans="3:34" ht="20.100000000000001" customHeight="1">
      <c r="C3685" s="113"/>
      <c r="D3685" s="114"/>
      <c r="P3685" s="82"/>
      <c r="Q3685" s="82"/>
      <c r="R3685" s="38"/>
      <c r="S3685" s="38"/>
      <c r="T3685" s="38"/>
      <c r="U3685" s="38"/>
      <c r="V3685" s="38"/>
      <c r="W3685" s="38"/>
      <c r="X3685" s="38"/>
      <c r="Y3685" s="38"/>
      <c r="Z3685" s="38"/>
      <c r="AA3685" s="38"/>
      <c r="AB3685" s="38"/>
      <c r="AC3685" s="38"/>
      <c r="AD3685" s="38"/>
      <c r="AE3685" s="38"/>
      <c r="AF3685" s="38"/>
      <c r="AG3685" s="38"/>
      <c r="AH3685" s="38"/>
    </row>
    <row r="3686" spans="3:34" ht="20.100000000000001" customHeight="1">
      <c r="C3686" s="113"/>
      <c r="D3686" s="114"/>
      <c r="P3686" s="82"/>
      <c r="Q3686" s="82"/>
      <c r="R3686" s="38"/>
      <c r="S3686" s="38"/>
      <c r="T3686" s="38"/>
      <c r="U3686" s="38"/>
      <c r="V3686" s="38"/>
      <c r="W3686" s="38"/>
      <c r="X3686" s="38"/>
      <c r="Y3686" s="38"/>
      <c r="Z3686" s="38"/>
      <c r="AA3686" s="38"/>
      <c r="AB3686" s="38"/>
      <c r="AC3686" s="38"/>
      <c r="AD3686" s="38"/>
      <c r="AE3686" s="38"/>
      <c r="AF3686" s="38"/>
      <c r="AG3686" s="38"/>
      <c r="AH3686" s="38"/>
    </row>
    <row r="3687" spans="3:34" ht="20.100000000000001" customHeight="1">
      <c r="C3687" s="113"/>
      <c r="D3687" s="114"/>
      <c r="P3687" s="82"/>
      <c r="Q3687" s="82"/>
      <c r="R3687" s="38"/>
      <c r="S3687" s="38"/>
      <c r="T3687" s="38"/>
      <c r="U3687" s="38"/>
      <c r="V3687" s="38"/>
      <c r="W3687" s="38"/>
      <c r="X3687" s="38"/>
      <c r="Y3687" s="38"/>
      <c r="Z3687" s="38"/>
      <c r="AA3687" s="38"/>
      <c r="AB3687" s="38"/>
      <c r="AC3687" s="38"/>
      <c r="AD3687" s="38"/>
      <c r="AE3687" s="38"/>
      <c r="AF3687" s="38"/>
      <c r="AG3687" s="38"/>
      <c r="AH3687" s="38"/>
    </row>
    <row r="3688" spans="3:34" ht="20.100000000000001" customHeight="1">
      <c r="C3688" s="113"/>
      <c r="D3688" s="114"/>
      <c r="P3688" s="82"/>
      <c r="Q3688" s="82"/>
      <c r="R3688" s="38"/>
      <c r="S3688" s="38"/>
      <c r="T3688" s="38"/>
      <c r="U3688" s="38"/>
      <c r="V3688" s="38"/>
      <c r="W3688" s="38"/>
      <c r="X3688" s="38"/>
      <c r="Y3688" s="38"/>
      <c r="Z3688" s="38"/>
      <c r="AA3688" s="38"/>
      <c r="AB3688" s="38"/>
      <c r="AC3688" s="38"/>
      <c r="AD3688" s="38"/>
      <c r="AE3688" s="38"/>
      <c r="AF3688" s="38"/>
      <c r="AG3688" s="38"/>
      <c r="AH3688" s="38"/>
    </row>
    <row r="3689" spans="3:34" ht="20.100000000000001" customHeight="1">
      <c r="C3689" s="113"/>
      <c r="D3689" s="114"/>
      <c r="P3689" s="82"/>
      <c r="Q3689" s="82"/>
      <c r="R3689" s="38"/>
      <c r="S3689" s="38"/>
      <c r="T3689" s="38"/>
      <c r="U3689" s="38"/>
      <c r="V3689" s="38"/>
      <c r="W3689" s="38"/>
      <c r="X3689" s="38"/>
      <c r="Y3689" s="38"/>
      <c r="Z3689" s="38"/>
      <c r="AA3689" s="38"/>
      <c r="AB3689" s="38"/>
      <c r="AC3689" s="38"/>
      <c r="AD3689" s="38"/>
      <c r="AE3689" s="38"/>
      <c r="AF3689" s="38"/>
      <c r="AG3689" s="38"/>
      <c r="AH3689" s="38"/>
    </row>
    <row r="3690" spans="3:34" ht="20.100000000000001" customHeight="1">
      <c r="C3690" s="113"/>
      <c r="D3690" s="114"/>
      <c r="P3690" s="82"/>
      <c r="Q3690" s="82"/>
      <c r="R3690" s="38"/>
      <c r="S3690" s="38"/>
      <c r="T3690" s="38"/>
      <c r="U3690" s="38"/>
      <c r="V3690" s="38"/>
      <c r="W3690" s="38"/>
      <c r="X3690" s="38"/>
      <c r="Y3690" s="38"/>
      <c r="Z3690" s="38"/>
      <c r="AA3690" s="38"/>
      <c r="AB3690" s="38"/>
      <c r="AC3690" s="38"/>
      <c r="AD3690" s="38"/>
      <c r="AE3690" s="38"/>
      <c r="AF3690" s="38"/>
      <c r="AG3690" s="38"/>
      <c r="AH3690" s="38"/>
    </row>
    <row r="3691" spans="3:34" ht="20.100000000000001" customHeight="1">
      <c r="C3691" s="113"/>
      <c r="D3691" s="114"/>
      <c r="P3691" s="82"/>
      <c r="Q3691" s="82"/>
      <c r="R3691" s="38"/>
      <c r="S3691" s="38"/>
      <c r="T3691" s="38"/>
      <c r="U3691" s="38"/>
      <c r="V3691" s="38"/>
      <c r="W3691" s="38"/>
      <c r="X3691" s="38"/>
      <c r="Y3691" s="38"/>
      <c r="Z3691" s="38"/>
      <c r="AA3691" s="38"/>
      <c r="AB3691" s="38"/>
      <c r="AC3691" s="38"/>
      <c r="AD3691" s="38"/>
      <c r="AE3691" s="38"/>
      <c r="AF3691" s="38"/>
      <c r="AG3691" s="38"/>
      <c r="AH3691" s="38"/>
    </row>
    <row r="3692" spans="3:34" ht="20.100000000000001" customHeight="1">
      <c r="C3692" s="113"/>
      <c r="D3692" s="114"/>
      <c r="P3692" s="82"/>
      <c r="Q3692" s="82"/>
      <c r="R3692" s="38"/>
      <c r="S3692" s="38"/>
      <c r="T3692" s="38"/>
      <c r="U3692" s="38"/>
      <c r="V3692" s="38"/>
      <c r="W3692" s="38"/>
      <c r="X3692" s="38"/>
      <c r="Y3692" s="38"/>
      <c r="Z3692" s="38"/>
      <c r="AA3692" s="38"/>
      <c r="AB3692" s="38"/>
      <c r="AC3692" s="38"/>
      <c r="AD3692" s="38"/>
      <c r="AE3692" s="38"/>
      <c r="AF3692" s="38"/>
      <c r="AG3692" s="38"/>
      <c r="AH3692" s="38"/>
    </row>
    <row r="3693" spans="3:34" ht="20.100000000000001" customHeight="1">
      <c r="C3693" s="113"/>
      <c r="D3693" s="114"/>
      <c r="P3693" s="82"/>
      <c r="Q3693" s="82"/>
      <c r="R3693" s="38"/>
      <c r="S3693" s="38"/>
      <c r="T3693" s="38"/>
      <c r="U3693" s="38"/>
      <c r="V3693" s="38"/>
      <c r="W3693" s="38"/>
      <c r="X3693" s="38"/>
      <c r="Y3693" s="38"/>
      <c r="Z3693" s="38"/>
      <c r="AA3693" s="38"/>
      <c r="AB3693" s="38"/>
      <c r="AC3693" s="38"/>
      <c r="AD3693" s="38"/>
      <c r="AE3693" s="38"/>
      <c r="AF3693" s="38"/>
      <c r="AG3693" s="38"/>
      <c r="AH3693" s="38"/>
    </row>
    <row r="3694" spans="3:34" ht="20.100000000000001" customHeight="1">
      <c r="C3694" s="113"/>
      <c r="D3694" s="114"/>
      <c r="P3694" s="82"/>
      <c r="Q3694" s="82"/>
      <c r="R3694" s="38"/>
      <c r="S3694" s="38"/>
      <c r="T3694" s="38"/>
      <c r="U3694" s="38"/>
      <c r="V3694" s="38"/>
      <c r="W3694" s="38"/>
      <c r="X3694" s="38"/>
      <c r="Y3694" s="38"/>
      <c r="Z3694" s="38"/>
      <c r="AA3694" s="38"/>
      <c r="AB3694" s="38"/>
      <c r="AC3694" s="38"/>
      <c r="AD3694" s="38"/>
      <c r="AE3694" s="38"/>
      <c r="AF3694" s="38"/>
      <c r="AG3694" s="38"/>
      <c r="AH3694" s="38"/>
    </row>
    <row r="3695" spans="3:34" ht="20.100000000000001" customHeight="1">
      <c r="C3695" s="113"/>
      <c r="D3695" s="114"/>
      <c r="P3695" s="82"/>
      <c r="Q3695" s="82"/>
      <c r="R3695" s="38"/>
      <c r="S3695" s="38"/>
      <c r="T3695" s="38"/>
      <c r="U3695" s="38"/>
      <c r="V3695" s="38"/>
      <c r="W3695" s="38"/>
      <c r="X3695" s="38"/>
      <c r="Y3695" s="38"/>
      <c r="Z3695" s="38"/>
      <c r="AA3695" s="38"/>
      <c r="AB3695" s="38"/>
      <c r="AC3695" s="38"/>
      <c r="AD3695" s="38"/>
      <c r="AE3695" s="38"/>
      <c r="AF3695" s="38"/>
      <c r="AG3695" s="38"/>
      <c r="AH3695" s="38"/>
    </row>
    <row r="3696" spans="3:34" ht="20.100000000000001" customHeight="1">
      <c r="C3696" s="113"/>
      <c r="D3696" s="114"/>
      <c r="P3696" s="82"/>
      <c r="Q3696" s="82"/>
      <c r="R3696" s="38"/>
      <c r="S3696" s="38"/>
      <c r="T3696" s="38"/>
      <c r="U3696" s="38"/>
      <c r="V3696" s="38"/>
      <c r="W3696" s="38"/>
      <c r="X3696" s="38"/>
      <c r="Y3696" s="38"/>
      <c r="Z3696" s="38"/>
      <c r="AA3696" s="38"/>
      <c r="AB3696" s="38"/>
      <c r="AC3696" s="38"/>
      <c r="AD3696" s="38"/>
      <c r="AE3696" s="38"/>
      <c r="AF3696" s="38"/>
      <c r="AG3696" s="38"/>
      <c r="AH3696" s="38"/>
    </row>
    <row r="3697" spans="3:34" ht="20.100000000000001" customHeight="1">
      <c r="C3697" s="113"/>
      <c r="D3697" s="114"/>
      <c r="P3697" s="82"/>
      <c r="Q3697" s="82"/>
      <c r="R3697" s="38"/>
      <c r="S3697" s="38"/>
      <c r="T3697" s="38"/>
      <c r="U3697" s="38"/>
      <c r="V3697" s="38"/>
      <c r="W3697" s="38"/>
      <c r="X3697" s="38"/>
      <c r="Y3697" s="38"/>
      <c r="Z3697" s="38"/>
      <c r="AA3697" s="38"/>
      <c r="AB3697" s="38"/>
      <c r="AC3697" s="38"/>
      <c r="AD3697" s="38"/>
      <c r="AE3697" s="38"/>
      <c r="AF3697" s="38"/>
      <c r="AG3697" s="38"/>
      <c r="AH3697" s="38"/>
    </row>
    <row r="3698" spans="3:34" ht="20.100000000000001" customHeight="1">
      <c r="C3698" s="113"/>
      <c r="D3698" s="114"/>
      <c r="P3698" s="82"/>
      <c r="Q3698" s="82"/>
      <c r="R3698" s="38"/>
      <c r="S3698" s="38"/>
      <c r="T3698" s="38"/>
      <c r="U3698" s="38"/>
      <c r="V3698" s="38"/>
      <c r="W3698" s="38"/>
      <c r="X3698" s="38"/>
      <c r="Y3698" s="38"/>
      <c r="Z3698" s="38"/>
      <c r="AA3698" s="38"/>
      <c r="AB3698" s="38"/>
      <c r="AC3698" s="38"/>
      <c r="AD3698" s="38"/>
      <c r="AE3698" s="38"/>
      <c r="AF3698" s="38"/>
      <c r="AG3698" s="38"/>
      <c r="AH3698" s="38"/>
    </row>
    <row r="3699" spans="3:34" ht="20.100000000000001" customHeight="1">
      <c r="C3699" s="113"/>
      <c r="D3699" s="114"/>
      <c r="P3699" s="82"/>
      <c r="Q3699" s="82"/>
      <c r="R3699" s="38"/>
      <c r="S3699" s="38"/>
      <c r="T3699" s="38"/>
      <c r="U3699" s="38"/>
      <c r="V3699" s="38"/>
      <c r="W3699" s="38"/>
      <c r="X3699" s="38"/>
      <c r="Y3699" s="38"/>
      <c r="Z3699" s="38"/>
      <c r="AA3699" s="38"/>
      <c r="AB3699" s="38"/>
      <c r="AC3699" s="38"/>
      <c r="AD3699" s="38"/>
      <c r="AE3699" s="38"/>
      <c r="AF3699" s="38"/>
      <c r="AG3699" s="38"/>
      <c r="AH3699" s="38"/>
    </row>
    <row r="3700" spans="3:34" ht="20.100000000000001" customHeight="1">
      <c r="C3700" s="113"/>
      <c r="D3700" s="114"/>
      <c r="P3700" s="82"/>
      <c r="Q3700" s="82"/>
      <c r="R3700" s="38"/>
      <c r="S3700" s="38"/>
      <c r="T3700" s="38"/>
      <c r="U3700" s="38"/>
      <c r="V3700" s="38"/>
      <c r="W3700" s="38"/>
      <c r="X3700" s="38"/>
      <c r="Y3700" s="38"/>
      <c r="Z3700" s="38"/>
      <c r="AA3700" s="38"/>
      <c r="AB3700" s="38"/>
      <c r="AC3700" s="38"/>
      <c r="AD3700" s="38"/>
      <c r="AE3700" s="38"/>
      <c r="AF3700" s="38"/>
      <c r="AG3700" s="38"/>
      <c r="AH3700" s="38"/>
    </row>
    <row r="3701" spans="3:34" ht="20.100000000000001" customHeight="1">
      <c r="C3701" s="113"/>
      <c r="D3701" s="114"/>
      <c r="P3701" s="82"/>
      <c r="Q3701" s="82"/>
      <c r="R3701" s="38"/>
      <c r="S3701" s="38"/>
      <c r="T3701" s="38"/>
      <c r="U3701" s="38"/>
      <c r="V3701" s="38"/>
      <c r="W3701" s="38"/>
      <c r="X3701" s="38"/>
      <c r="Y3701" s="38"/>
      <c r="Z3701" s="38"/>
      <c r="AA3701" s="38"/>
      <c r="AB3701" s="38"/>
      <c r="AC3701" s="38"/>
      <c r="AD3701" s="38"/>
      <c r="AE3701" s="38"/>
      <c r="AF3701" s="38"/>
      <c r="AG3701" s="38"/>
      <c r="AH3701" s="38"/>
    </row>
    <row r="3702" spans="3:34" ht="20.100000000000001" customHeight="1">
      <c r="C3702" s="113"/>
      <c r="D3702" s="114"/>
      <c r="P3702" s="82"/>
      <c r="Q3702" s="82"/>
      <c r="R3702" s="38"/>
      <c r="S3702" s="38"/>
      <c r="T3702" s="38"/>
      <c r="U3702" s="38"/>
      <c r="V3702" s="38"/>
      <c r="W3702" s="38"/>
      <c r="X3702" s="38"/>
      <c r="Y3702" s="38"/>
      <c r="Z3702" s="38"/>
      <c r="AA3702" s="38"/>
      <c r="AB3702" s="38"/>
      <c r="AC3702" s="38"/>
      <c r="AD3702" s="38"/>
      <c r="AE3702" s="38"/>
      <c r="AF3702" s="38"/>
      <c r="AG3702" s="38"/>
      <c r="AH3702" s="38"/>
    </row>
    <row r="3703" spans="3:34" ht="20.100000000000001" customHeight="1">
      <c r="C3703" s="113"/>
      <c r="D3703" s="114"/>
      <c r="P3703" s="82"/>
      <c r="Q3703" s="82"/>
      <c r="R3703" s="38"/>
      <c r="S3703" s="38"/>
      <c r="T3703" s="38"/>
      <c r="U3703" s="38"/>
      <c r="V3703" s="38"/>
      <c r="W3703" s="38"/>
      <c r="X3703" s="38"/>
      <c r="Y3703" s="38"/>
      <c r="Z3703" s="38"/>
      <c r="AA3703" s="38"/>
      <c r="AB3703" s="38"/>
      <c r="AC3703" s="38"/>
      <c r="AD3703" s="38"/>
      <c r="AE3703" s="38"/>
      <c r="AF3703" s="38"/>
      <c r="AG3703" s="38"/>
      <c r="AH3703" s="38"/>
    </row>
    <row r="3704" spans="3:34" ht="20.100000000000001" customHeight="1">
      <c r="C3704" s="113"/>
      <c r="D3704" s="114"/>
      <c r="P3704" s="82"/>
      <c r="Q3704" s="82"/>
      <c r="R3704" s="38"/>
      <c r="S3704" s="38"/>
      <c r="T3704" s="38"/>
      <c r="U3704" s="38"/>
      <c r="V3704" s="38"/>
      <c r="W3704" s="38"/>
      <c r="X3704" s="38"/>
      <c r="Y3704" s="38"/>
      <c r="Z3704" s="38"/>
      <c r="AA3704" s="38"/>
      <c r="AB3704" s="38"/>
      <c r="AC3704" s="38"/>
      <c r="AD3704" s="38"/>
      <c r="AE3704" s="38"/>
      <c r="AF3704" s="38"/>
      <c r="AG3704" s="38"/>
      <c r="AH3704" s="38"/>
    </row>
    <row r="3705" spans="3:34" ht="20.100000000000001" customHeight="1">
      <c r="C3705" s="113"/>
      <c r="D3705" s="114"/>
      <c r="P3705" s="82"/>
      <c r="Q3705" s="82"/>
      <c r="R3705" s="38"/>
      <c r="S3705" s="38"/>
      <c r="T3705" s="38"/>
      <c r="U3705" s="38"/>
      <c r="V3705" s="38"/>
      <c r="W3705" s="38"/>
      <c r="X3705" s="38"/>
      <c r="Y3705" s="38"/>
      <c r="Z3705" s="38"/>
      <c r="AA3705" s="38"/>
      <c r="AB3705" s="38"/>
      <c r="AC3705" s="38"/>
      <c r="AD3705" s="38"/>
      <c r="AE3705" s="38"/>
      <c r="AF3705" s="38"/>
      <c r="AG3705" s="38"/>
      <c r="AH3705" s="38"/>
    </row>
    <row r="3706" spans="3:34" ht="20.100000000000001" customHeight="1">
      <c r="C3706" s="113"/>
      <c r="D3706" s="114"/>
      <c r="P3706" s="82"/>
      <c r="Q3706" s="82"/>
      <c r="R3706" s="38"/>
      <c r="S3706" s="38"/>
      <c r="T3706" s="38"/>
      <c r="U3706" s="38"/>
      <c r="V3706" s="38"/>
      <c r="W3706" s="38"/>
      <c r="X3706" s="38"/>
      <c r="Y3706" s="38"/>
      <c r="Z3706" s="38"/>
      <c r="AA3706" s="38"/>
      <c r="AB3706" s="38"/>
      <c r="AC3706" s="38"/>
      <c r="AD3706" s="38"/>
      <c r="AE3706" s="38"/>
      <c r="AF3706" s="38"/>
      <c r="AG3706" s="38"/>
      <c r="AH3706" s="38"/>
    </row>
    <row r="3707" spans="3:34" ht="20.100000000000001" customHeight="1">
      <c r="C3707" s="113"/>
      <c r="D3707" s="114"/>
      <c r="P3707" s="82"/>
      <c r="Q3707" s="82"/>
      <c r="R3707" s="38"/>
      <c r="S3707" s="38"/>
      <c r="T3707" s="38"/>
      <c r="U3707" s="38"/>
      <c r="V3707" s="38"/>
      <c r="W3707" s="38"/>
      <c r="X3707" s="38"/>
      <c r="Y3707" s="38"/>
      <c r="Z3707" s="38"/>
      <c r="AA3707" s="38"/>
      <c r="AB3707" s="38"/>
      <c r="AC3707" s="38"/>
      <c r="AD3707" s="38"/>
      <c r="AE3707" s="38"/>
      <c r="AF3707" s="38"/>
      <c r="AG3707" s="38"/>
      <c r="AH3707" s="38"/>
    </row>
    <row r="3708" spans="3:34" ht="20.100000000000001" customHeight="1">
      <c r="C3708" s="113"/>
      <c r="D3708" s="114"/>
      <c r="P3708" s="82"/>
      <c r="Q3708" s="82"/>
      <c r="R3708" s="38"/>
      <c r="S3708" s="38"/>
      <c r="T3708" s="38"/>
      <c r="U3708" s="38"/>
      <c r="V3708" s="38"/>
      <c r="W3708" s="38"/>
      <c r="X3708" s="38"/>
      <c r="Y3708" s="38"/>
      <c r="Z3708" s="38"/>
      <c r="AA3708" s="38"/>
      <c r="AB3708" s="38"/>
      <c r="AC3708" s="38"/>
      <c r="AD3708" s="38"/>
      <c r="AE3708" s="38"/>
      <c r="AF3708" s="38"/>
      <c r="AG3708" s="38"/>
      <c r="AH3708" s="38"/>
    </row>
    <row r="3709" spans="3:34" ht="20.100000000000001" customHeight="1">
      <c r="C3709" s="113"/>
      <c r="D3709" s="114"/>
      <c r="P3709" s="82"/>
      <c r="Q3709" s="82"/>
      <c r="R3709" s="38"/>
      <c r="S3709" s="38"/>
      <c r="T3709" s="38"/>
      <c r="U3709" s="38"/>
      <c r="V3709" s="38"/>
      <c r="W3709" s="38"/>
      <c r="X3709" s="38"/>
      <c r="Y3709" s="38"/>
      <c r="Z3709" s="38"/>
      <c r="AA3709" s="38"/>
      <c r="AB3709" s="38"/>
      <c r="AC3709" s="38"/>
      <c r="AD3709" s="38"/>
      <c r="AE3709" s="38"/>
      <c r="AF3709" s="38"/>
      <c r="AG3709" s="38"/>
      <c r="AH3709" s="38"/>
    </row>
    <row r="3710" spans="3:34" ht="20.100000000000001" customHeight="1">
      <c r="C3710" s="113"/>
      <c r="D3710" s="114"/>
      <c r="P3710" s="82"/>
      <c r="Q3710" s="82"/>
      <c r="R3710" s="38"/>
      <c r="S3710" s="38"/>
      <c r="T3710" s="38"/>
      <c r="U3710" s="38"/>
      <c r="V3710" s="38"/>
      <c r="W3710" s="38"/>
      <c r="X3710" s="38"/>
      <c r="Y3710" s="38"/>
      <c r="Z3710" s="38"/>
      <c r="AA3710" s="38"/>
      <c r="AB3710" s="38"/>
      <c r="AC3710" s="38"/>
      <c r="AD3710" s="38"/>
      <c r="AE3710" s="38"/>
      <c r="AF3710" s="38"/>
      <c r="AG3710" s="38"/>
      <c r="AH3710" s="38"/>
    </row>
    <row r="3711" spans="3:34" ht="20.100000000000001" customHeight="1">
      <c r="C3711" s="113"/>
      <c r="D3711" s="114"/>
      <c r="P3711" s="82"/>
      <c r="Q3711" s="82"/>
      <c r="R3711" s="38"/>
      <c r="S3711" s="38"/>
      <c r="T3711" s="38"/>
      <c r="U3711" s="38"/>
      <c r="V3711" s="38"/>
      <c r="W3711" s="38"/>
      <c r="X3711" s="38"/>
      <c r="Y3711" s="38"/>
      <c r="Z3711" s="38"/>
      <c r="AA3711" s="38"/>
      <c r="AB3711" s="38"/>
      <c r="AC3711" s="38"/>
      <c r="AD3711" s="38"/>
      <c r="AE3711" s="38"/>
      <c r="AF3711" s="38"/>
      <c r="AG3711" s="38"/>
      <c r="AH3711" s="38"/>
    </row>
    <row r="3712" spans="3:34" ht="20.100000000000001" customHeight="1">
      <c r="C3712" s="113"/>
      <c r="D3712" s="114"/>
      <c r="P3712" s="82"/>
      <c r="Q3712" s="82"/>
      <c r="R3712" s="38"/>
      <c r="S3712" s="38"/>
      <c r="T3712" s="38"/>
      <c r="U3712" s="38"/>
      <c r="V3712" s="38"/>
      <c r="W3712" s="38"/>
      <c r="X3712" s="38"/>
      <c r="Y3712" s="38"/>
      <c r="Z3712" s="38"/>
      <c r="AA3712" s="38"/>
      <c r="AB3712" s="38"/>
      <c r="AC3712" s="38"/>
      <c r="AD3712" s="38"/>
      <c r="AE3712" s="38"/>
      <c r="AF3712" s="38"/>
      <c r="AG3712" s="38"/>
      <c r="AH3712" s="38"/>
    </row>
    <row r="3713" spans="3:34" ht="20.100000000000001" customHeight="1">
      <c r="C3713" s="113"/>
      <c r="D3713" s="114"/>
      <c r="P3713" s="82"/>
      <c r="Q3713" s="82"/>
      <c r="R3713" s="38"/>
      <c r="S3713" s="38"/>
      <c r="T3713" s="38"/>
      <c r="U3713" s="38"/>
      <c r="V3713" s="38"/>
      <c r="W3713" s="38"/>
      <c r="X3713" s="38"/>
      <c r="Y3713" s="38"/>
      <c r="Z3713" s="38"/>
      <c r="AA3713" s="38"/>
      <c r="AB3713" s="38"/>
      <c r="AC3713" s="38"/>
      <c r="AD3713" s="38"/>
      <c r="AE3713" s="38"/>
      <c r="AF3713" s="38"/>
      <c r="AG3713" s="38"/>
      <c r="AH3713" s="38"/>
    </row>
    <row r="3714" spans="3:34" ht="20.100000000000001" customHeight="1">
      <c r="C3714" s="113"/>
      <c r="D3714" s="114"/>
      <c r="P3714" s="82"/>
      <c r="Q3714" s="82"/>
      <c r="R3714" s="38"/>
      <c r="S3714" s="38"/>
      <c r="T3714" s="38"/>
      <c r="U3714" s="38"/>
      <c r="V3714" s="38"/>
      <c r="W3714" s="38"/>
      <c r="X3714" s="38"/>
      <c r="Y3714" s="38"/>
      <c r="Z3714" s="38"/>
      <c r="AA3714" s="38"/>
      <c r="AB3714" s="38"/>
      <c r="AC3714" s="38"/>
      <c r="AD3714" s="38"/>
      <c r="AE3714" s="38"/>
      <c r="AF3714" s="38"/>
      <c r="AG3714" s="38"/>
      <c r="AH3714" s="38"/>
    </row>
    <row r="3715" spans="3:34" ht="20.100000000000001" customHeight="1">
      <c r="C3715" s="113"/>
      <c r="D3715" s="114"/>
      <c r="P3715" s="82"/>
      <c r="Q3715" s="82"/>
      <c r="R3715" s="38"/>
      <c r="S3715" s="38"/>
      <c r="T3715" s="38"/>
      <c r="U3715" s="38"/>
      <c r="V3715" s="38"/>
      <c r="W3715" s="38"/>
      <c r="X3715" s="38"/>
      <c r="Y3715" s="38"/>
      <c r="Z3715" s="38"/>
      <c r="AA3715" s="38"/>
      <c r="AB3715" s="38"/>
      <c r="AC3715" s="38"/>
      <c r="AD3715" s="38"/>
      <c r="AE3715" s="38"/>
      <c r="AF3715" s="38"/>
      <c r="AG3715" s="38"/>
      <c r="AH3715" s="38"/>
    </row>
    <row r="3716" spans="3:34" ht="20.100000000000001" customHeight="1">
      <c r="C3716" s="113"/>
      <c r="D3716" s="114"/>
      <c r="P3716" s="82"/>
      <c r="Q3716" s="82"/>
      <c r="R3716" s="38"/>
      <c r="S3716" s="38"/>
      <c r="T3716" s="38"/>
      <c r="U3716" s="38"/>
      <c r="V3716" s="38"/>
      <c r="W3716" s="38"/>
      <c r="X3716" s="38"/>
      <c r="Y3716" s="38"/>
      <c r="Z3716" s="38"/>
      <c r="AA3716" s="38"/>
      <c r="AB3716" s="38"/>
      <c r="AC3716" s="38"/>
      <c r="AD3716" s="38"/>
      <c r="AE3716" s="38"/>
      <c r="AF3716" s="38"/>
      <c r="AG3716" s="38"/>
      <c r="AH3716" s="38"/>
    </row>
    <row r="3717" spans="3:34" ht="20.100000000000001" customHeight="1">
      <c r="C3717" s="113"/>
      <c r="D3717" s="114"/>
      <c r="P3717" s="82"/>
      <c r="Q3717" s="82"/>
      <c r="R3717" s="38"/>
      <c r="S3717" s="38"/>
      <c r="T3717" s="38"/>
      <c r="U3717" s="38"/>
      <c r="V3717" s="38"/>
      <c r="W3717" s="38"/>
      <c r="X3717" s="38"/>
      <c r="Y3717" s="38"/>
      <c r="Z3717" s="38"/>
      <c r="AA3717" s="38"/>
      <c r="AB3717" s="38"/>
      <c r="AC3717" s="38"/>
      <c r="AD3717" s="38"/>
      <c r="AE3717" s="38"/>
      <c r="AF3717" s="38"/>
      <c r="AG3717" s="38"/>
      <c r="AH3717" s="38"/>
    </row>
    <row r="3718" spans="3:34" ht="20.100000000000001" customHeight="1">
      <c r="C3718" s="113"/>
      <c r="D3718" s="114"/>
      <c r="P3718" s="82"/>
      <c r="Q3718" s="82"/>
      <c r="R3718" s="38"/>
      <c r="S3718" s="38"/>
      <c r="T3718" s="38"/>
      <c r="U3718" s="38"/>
      <c r="V3718" s="38"/>
      <c r="W3718" s="38"/>
      <c r="X3718" s="38"/>
      <c r="Y3718" s="38"/>
      <c r="Z3718" s="38"/>
      <c r="AA3718" s="38"/>
      <c r="AB3718" s="38"/>
      <c r="AC3718" s="38"/>
      <c r="AD3718" s="38"/>
      <c r="AE3718" s="38"/>
      <c r="AF3718" s="38"/>
      <c r="AG3718" s="38"/>
      <c r="AH3718" s="38"/>
    </row>
    <row r="3719" spans="3:34" ht="20.100000000000001" customHeight="1">
      <c r="C3719" s="113"/>
      <c r="D3719" s="114"/>
      <c r="P3719" s="82"/>
      <c r="Q3719" s="82"/>
      <c r="R3719" s="38"/>
      <c r="S3719" s="38"/>
      <c r="T3719" s="38"/>
      <c r="U3719" s="38"/>
      <c r="V3719" s="38"/>
      <c r="W3719" s="38"/>
      <c r="X3719" s="38"/>
      <c r="Y3719" s="38"/>
      <c r="Z3719" s="38"/>
      <c r="AA3719" s="38"/>
      <c r="AB3719" s="38"/>
      <c r="AC3719" s="38"/>
      <c r="AD3719" s="38"/>
      <c r="AE3719" s="38"/>
      <c r="AF3719" s="38"/>
      <c r="AG3719" s="38"/>
      <c r="AH3719" s="38"/>
    </row>
    <row r="3720" spans="3:34" ht="20.100000000000001" customHeight="1">
      <c r="C3720" s="113"/>
      <c r="D3720" s="114"/>
      <c r="P3720" s="82"/>
      <c r="Q3720" s="82"/>
      <c r="R3720" s="38"/>
      <c r="S3720" s="38"/>
      <c r="T3720" s="38"/>
      <c r="U3720" s="38"/>
      <c r="V3720" s="38"/>
      <c r="W3720" s="38"/>
      <c r="X3720" s="38"/>
      <c r="Y3720" s="38"/>
      <c r="Z3720" s="38"/>
      <c r="AA3720" s="38"/>
      <c r="AB3720" s="38"/>
      <c r="AC3720" s="38"/>
      <c r="AD3720" s="38"/>
      <c r="AE3720" s="38"/>
      <c r="AF3720" s="38"/>
      <c r="AG3720" s="38"/>
      <c r="AH3720" s="38"/>
    </row>
    <row r="3721" spans="3:34" ht="20.100000000000001" customHeight="1">
      <c r="C3721" s="113"/>
      <c r="D3721" s="114"/>
      <c r="P3721" s="82"/>
      <c r="Q3721" s="82"/>
      <c r="R3721" s="38"/>
      <c r="S3721" s="38"/>
      <c r="T3721" s="38"/>
      <c r="U3721" s="38"/>
      <c r="V3721" s="38"/>
      <c r="W3721" s="38"/>
      <c r="X3721" s="38"/>
      <c r="Y3721" s="38"/>
      <c r="Z3721" s="38"/>
      <c r="AA3721" s="38"/>
      <c r="AB3721" s="38"/>
      <c r="AC3721" s="38"/>
      <c r="AD3721" s="38"/>
      <c r="AE3721" s="38"/>
      <c r="AF3721" s="38"/>
      <c r="AG3721" s="38"/>
      <c r="AH3721" s="38"/>
    </row>
    <row r="3722" spans="3:34" ht="20.100000000000001" customHeight="1">
      <c r="C3722" s="113"/>
      <c r="D3722" s="114"/>
      <c r="P3722" s="82"/>
      <c r="Q3722" s="82"/>
      <c r="R3722" s="38"/>
      <c r="S3722" s="38"/>
      <c r="T3722" s="38"/>
      <c r="U3722" s="38"/>
      <c r="V3722" s="38"/>
      <c r="W3722" s="38"/>
      <c r="X3722" s="38"/>
      <c r="Y3722" s="38"/>
      <c r="Z3722" s="38"/>
      <c r="AA3722" s="38"/>
      <c r="AB3722" s="38"/>
      <c r="AC3722" s="38"/>
      <c r="AD3722" s="38"/>
      <c r="AE3722" s="38"/>
      <c r="AF3722" s="38"/>
      <c r="AG3722" s="38"/>
      <c r="AH3722" s="38"/>
    </row>
    <row r="3723" spans="3:34" ht="20.100000000000001" customHeight="1">
      <c r="C3723" s="113"/>
      <c r="D3723" s="114"/>
      <c r="P3723" s="82"/>
      <c r="Q3723" s="82"/>
      <c r="R3723" s="38"/>
      <c r="S3723" s="38"/>
      <c r="T3723" s="38"/>
      <c r="U3723" s="38"/>
      <c r="V3723" s="38"/>
      <c r="W3723" s="38"/>
      <c r="X3723" s="38"/>
      <c r="Y3723" s="38"/>
      <c r="Z3723" s="38"/>
      <c r="AA3723" s="38"/>
      <c r="AB3723" s="38"/>
      <c r="AC3723" s="38"/>
      <c r="AD3723" s="38"/>
      <c r="AE3723" s="38"/>
      <c r="AF3723" s="38"/>
      <c r="AG3723" s="38"/>
      <c r="AH3723" s="38"/>
    </row>
    <row r="3724" spans="3:34" ht="20.100000000000001" customHeight="1">
      <c r="C3724" s="113"/>
      <c r="D3724" s="114"/>
      <c r="P3724" s="82"/>
      <c r="Q3724" s="82"/>
      <c r="R3724" s="38"/>
      <c r="S3724" s="38"/>
      <c r="T3724" s="38"/>
      <c r="U3724" s="38"/>
      <c r="V3724" s="38"/>
      <c r="W3724" s="38"/>
      <c r="X3724" s="38"/>
      <c r="Y3724" s="38"/>
      <c r="Z3724" s="38"/>
      <c r="AA3724" s="38"/>
      <c r="AB3724" s="38"/>
      <c r="AC3724" s="38"/>
      <c r="AD3724" s="38"/>
      <c r="AE3724" s="38"/>
      <c r="AF3724" s="38"/>
      <c r="AG3724" s="38"/>
      <c r="AH3724" s="38"/>
    </row>
    <row r="3725" spans="3:34" ht="20.100000000000001" customHeight="1">
      <c r="C3725" s="113"/>
      <c r="D3725" s="114"/>
      <c r="P3725" s="82"/>
      <c r="Q3725" s="82"/>
      <c r="R3725" s="38"/>
      <c r="S3725" s="38"/>
      <c r="T3725" s="38"/>
      <c r="U3725" s="38"/>
      <c r="V3725" s="38"/>
      <c r="W3725" s="38"/>
      <c r="X3725" s="38"/>
      <c r="Y3725" s="38"/>
      <c r="Z3725" s="38"/>
      <c r="AA3725" s="38"/>
      <c r="AB3725" s="38"/>
      <c r="AC3725" s="38"/>
      <c r="AD3725" s="38"/>
      <c r="AE3725" s="38"/>
      <c r="AF3725" s="38"/>
      <c r="AG3725" s="38"/>
      <c r="AH3725" s="38"/>
    </row>
    <row r="3726" spans="3:34" ht="20.100000000000001" customHeight="1">
      <c r="C3726" s="113"/>
      <c r="D3726" s="114"/>
      <c r="P3726" s="82"/>
      <c r="Q3726" s="82"/>
      <c r="R3726" s="38"/>
      <c r="S3726" s="38"/>
      <c r="T3726" s="38"/>
      <c r="U3726" s="38"/>
      <c r="V3726" s="38"/>
      <c r="W3726" s="38"/>
      <c r="X3726" s="38"/>
      <c r="Y3726" s="38"/>
      <c r="Z3726" s="38"/>
      <c r="AA3726" s="38"/>
      <c r="AB3726" s="38"/>
      <c r="AC3726" s="38"/>
      <c r="AD3726" s="38"/>
      <c r="AE3726" s="38"/>
      <c r="AF3726" s="38"/>
      <c r="AG3726" s="38"/>
      <c r="AH3726" s="38"/>
    </row>
    <row r="3727" spans="3:34" ht="20.100000000000001" customHeight="1">
      <c r="C3727" s="113"/>
      <c r="D3727" s="114"/>
      <c r="P3727" s="82"/>
      <c r="Q3727" s="82"/>
      <c r="R3727" s="38"/>
      <c r="S3727" s="38"/>
      <c r="T3727" s="38"/>
      <c r="U3727" s="38"/>
      <c r="V3727" s="38"/>
      <c r="W3727" s="38"/>
      <c r="X3727" s="38"/>
      <c r="Y3727" s="38"/>
      <c r="Z3727" s="38"/>
      <c r="AA3727" s="38"/>
      <c r="AB3727" s="38"/>
      <c r="AC3727" s="38"/>
      <c r="AD3727" s="38"/>
      <c r="AE3727" s="38"/>
      <c r="AF3727" s="38"/>
      <c r="AG3727" s="38"/>
      <c r="AH3727" s="38"/>
    </row>
    <row r="3728" spans="3:34" ht="20.100000000000001" customHeight="1">
      <c r="C3728" s="113"/>
      <c r="D3728" s="114"/>
      <c r="P3728" s="82"/>
      <c r="Q3728" s="82"/>
      <c r="R3728" s="38"/>
      <c r="S3728" s="38"/>
      <c r="T3728" s="38"/>
      <c r="U3728" s="38"/>
      <c r="V3728" s="38"/>
      <c r="W3728" s="38"/>
      <c r="X3728" s="38"/>
      <c r="Y3728" s="38"/>
      <c r="Z3728" s="38"/>
      <c r="AA3728" s="38"/>
      <c r="AB3728" s="38"/>
      <c r="AC3728" s="38"/>
      <c r="AD3728" s="38"/>
      <c r="AE3728" s="38"/>
      <c r="AF3728" s="38"/>
      <c r="AG3728" s="38"/>
      <c r="AH3728" s="38"/>
    </row>
    <row r="3729" spans="3:34" ht="20.100000000000001" customHeight="1">
      <c r="C3729" s="113"/>
      <c r="D3729" s="114"/>
      <c r="P3729" s="82"/>
      <c r="Q3729" s="82"/>
      <c r="R3729" s="38"/>
      <c r="S3729" s="38"/>
      <c r="T3729" s="38"/>
      <c r="U3729" s="38"/>
      <c r="V3729" s="38"/>
      <c r="W3729" s="38"/>
      <c r="X3729" s="38"/>
      <c r="Y3729" s="38"/>
      <c r="Z3729" s="38"/>
      <c r="AA3729" s="38"/>
      <c r="AB3729" s="38"/>
      <c r="AC3729" s="38"/>
      <c r="AD3729" s="38"/>
      <c r="AE3729" s="38"/>
      <c r="AF3729" s="38"/>
      <c r="AG3729" s="38"/>
      <c r="AH3729" s="38"/>
    </row>
    <row r="3730" spans="3:34" ht="20.100000000000001" customHeight="1">
      <c r="C3730" s="113"/>
      <c r="D3730" s="114"/>
      <c r="P3730" s="82"/>
      <c r="Q3730" s="82"/>
      <c r="R3730" s="38"/>
      <c r="S3730" s="38"/>
      <c r="T3730" s="38"/>
      <c r="U3730" s="38"/>
      <c r="V3730" s="38"/>
      <c r="W3730" s="38"/>
      <c r="X3730" s="38"/>
      <c r="Y3730" s="38"/>
      <c r="Z3730" s="38"/>
      <c r="AA3730" s="38"/>
      <c r="AB3730" s="38"/>
      <c r="AC3730" s="38"/>
      <c r="AD3730" s="38"/>
      <c r="AE3730" s="38"/>
      <c r="AF3730" s="38"/>
      <c r="AG3730" s="38"/>
      <c r="AH3730" s="38"/>
    </row>
    <row r="3731" spans="3:34" ht="20.100000000000001" customHeight="1">
      <c r="C3731" s="113"/>
      <c r="D3731" s="114"/>
      <c r="P3731" s="82"/>
      <c r="Q3731" s="82"/>
      <c r="R3731" s="38"/>
      <c r="S3731" s="38"/>
      <c r="T3731" s="38"/>
      <c r="U3731" s="38"/>
      <c r="V3731" s="38"/>
      <c r="W3731" s="38"/>
      <c r="X3731" s="38"/>
      <c r="Y3731" s="38"/>
      <c r="Z3731" s="38"/>
      <c r="AA3731" s="38"/>
      <c r="AB3731" s="38"/>
      <c r="AC3731" s="38"/>
      <c r="AD3731" s="38"/>
      <c r="AE3731" s="38"/>
      <c r="AF3731" s="38"/>
      <c r="AG3731" s="38"/>
      <c r="AH3731" s="38"/>
    </row>
    <row r="3732" spans="3:34" ht="20.100000000000001" customHeight="1">
      <c r="C3732" s="113"/>
      <c r="D3732" s="114"/>
      <c r="P3732" s="82"/>
      <c r="Q3732" s="82"/>
      <c r="R3732" s="38"/>
      <c r="S3732" s="38"/>
      <c r="T3732" s="38"/>
      <c r="U3732" s="38"/>
      <c r="V3732" s="38"/>
      <c r="W3732" s="38"/>
      <c r="X3732" s="38"/>
      <c r="Y3732" s="38"/>
      <c r="Z3732" s="38"/>
      <c r="AA3732" s="38"/>
      <c r="AB3732" s="38"/>
      <c r="AC3732" s="38"/>
      <c r="AD3732" s="38"/>
      <c r="AE3732" s="38"/>
      <c r="AF3732" s="38"/>
      <c r="AG3732" s="38"/>
      <c r="AH3732" s="38"/>
    </row>
    <row r="3733" spans="3:34" ht="20.100000000000001" customHeight="1">
      <c r="C3733" s="113"/>
      <c r="D3733" s="114"/>
      <c r="P3733" s="82"/>
      <c r="Q3733" s="82"/>
      <c r="R3733" s="38"/>
      <c r="S3733" s="38"/>
      <c r="T3733" s="38"/>
      <c r="U3733" s="38"/>
      <c r="V3733" s="38"/>
      <c r="W3733" s="38"/>
      <c r="X3733" s="38"/>
      <c r="Y3733" s="38"/>
      <c r="Z3733" s="38"/>
      <c r="AA3733" s="38"/>
      <c r="AB3733" s="38"/>
      <c r="AC3733" s="38"/>
      <c r="AD3733" s="38"/>
      <c r="AE3733" s="38"/>
      <c r="AF3733" s="38"/>
      <c r="AG3733" s="38"/>
      <c r="AH3733" s="38"/>
    </row>
    <row r="3734" spans="3:34" ht="20.100000000000001" customHeight="1">
      <c r="C3734" s="113"/>
      <c r="D3734" s="114"/>
      <c r="P3734" s="82"/>
      <c r="Q3734" s="82"/>
      <c r="R3734" s="38"/>
      <c r="S3734" s="38"/>
      <c r="T3734" s="38"/>
      <c r="U3734" s="38"/>
      <c r="V3734" s="38"/>
      <c r="W3734" s="38"/>
      <c r="X3734" s="38"/>
      <c r="Y3734" s="38"/>
      <c r="Z3734" s="38"/>
      <c r="AA3734" s="38"/>
      <c r="AB3734" s="38"/>
      <c r="AC3734" s="38"/>
      <c r="AD3734" s="38"/>
      <c r="AE3734" s="38"/>
      <c r="AF3734" s="38"/>
      <c r="AG3734" s="38"/>
      <c r="AH3734" s="38"/>
    </row>
    <row r="3735" spans="3:34" ht="20.100000000000001" customHeight="1">
      <c r="C3735" s="113"/>
      <c r="D3735" s="114"/>
      <c r="P3735" s="82"/>
      <c r="Q3735" s="82"/>
      <c r="R3735" s="38"/>
      <c r="S3735" s="38"/>
      <c r="T3735" s="38"/>
      <c r="U3735" s="38"/>
      <c r="V3735" s="38"/>
      <c r="W3735" s="38"/>
      <c r="X3735" s="38"/>
      <c r="Y3735" s="38"/>
      <c r="Z3735" s="38"/>
      <c r="AA3735" s="38"/>
      <c r="AB3735" s="38"/>
      <c r="AC3735" s="38"/>
      <c r="AD3735" s="38"/>
      <c r="AE3735" s="38"/>
      <c r="AF3735" s="38"/>
      <c r="AG3735" s="38"/>
      <c r="AH3735" s="38"/>
    </row>
    <row r="3736" spans="3:34" ht="20.100000000000001" customHeight="1">
      <c r="C3736" s="113"/>
      <c r="D3736" s="114"/>
      <c r="P3736" s="82"/>
      <c r="Q3736" s="82"/>
      <c r="R3736" s="38"/>
      <c r="S3736" s="38"/>
      <c r="T3736" s="38"/>
      <c r="U3736" s="38"/>
      <c r="V3736" s="38"/>
      <c r="W3736" s="38"/>
      <c r="X3736" s="38"/>
      <c r="Y3736" s="38"/>
      <c r="Z3736" s="38"/>
      <c r="AA3736" s="38"/>
      <c r="AB3736" s="38"/>
      <c r="AC3736" s="38"/>
      <c r="AD3736" s="38"/>
      <c r="AE3736" s="38"/>
      <c r="AF3736" s="38"/>
      <c r="AG3736" s="38"/>
      <c r="AH3736" s="38"/>
    </row>
    <row r="3737" spans="3:34" ht="20.100000000000001" customHeight="1">
      <c r="C3737" s="113"/>
      <c r="D3737" s="114"/>
      <c r="P3737" s="82"/>
      <c r="Q3737" s="82"/>
      <c r="R3737" s="38"/>
      <c r="S3737" s="38"/>
      <c r="T3737" s="38"/>
      <c r="U3737" s="38"/>
      <c r="V3737" s="38"/>
      <c r="W3737" s="38"/>
      <c r="X3737" s="38"/>
      <c r="Y3737" s="38"/>
      <c r="Z3737" s="38"/>
      <c r="AA3737" s="38"/>
      <c r="AB3737" s="38"/>
      <c r="AC3737" s="38"/>
      <c r="AD3737" s="38"/>
      <c r="AE3737" s="38"/>
      <c r="AF3737" s="38"/>
      <c r="AG3737" s="38"/>
      <c r="AH3737" s="38"/>
    </row>
    <row r="3738" spans="3:34" ht="20.100000000000001" customHeight="1">
      <c r="C3738" s="113"/>
      <c r="D3738" s="114"/>
      <c r="P3738" s="82"/>
      <c r="Q3738" s="82"/>
      <c r="R3738" s="38"/>
      <c r="S3738" s="38"/>
      <c r="T3738" s="38"/>
      <c r="U3738" s="38"/>
      <c r="V3738" s="38"/>
      <c r="W3738" s="38"/>
      <c r="X3738" s="38"/>
      <c r="Y3738" s="38"/>
      <c r="Z3738" s="38"/>
      <c r="AA3738" s="38"/>
      <c r="AB3738" s="38"/>
      <c r="AC3738" s="38"/>
      <c r="AD3738" s="38"/>
      <c r="AE3738" s="38"/>
      <c r="AF3738" s="38"/>
      <c r="AG3738" s="38"/>
      <c r="AH3738" s="38"/>
    </row>
    <row r="3739" spans="3:34" ht="20.100000000000001" customHeight="1">
      <c r="C3739" s="113"/>
      <c r="D3739" s="114"/>
      <c r="P3739" s="82"/>
      <c r="Q3739" s="82"/>
      <c r="R3739" s="38"/>
      <c r="S3739" s="38"/>
      <c r="T3739" s="38"/>
      <c r="U3739" s="38"/>
      <c r="V3739" s="38"/>
      <c r="W3739" s="38"/>
      <c r="X3739" s="38"/>
      <c r="Y3739" s="38"/>
      <c r="Z3739" s="38"/>
      <c r="AA3739" s="38"/>
      <c r="AB3739" s="38"/>
      <c r="AC3739" s="38"/>
      <c r="AD3739" s="38"/>
      <c r="AE3739" s="38"/>
      <c r="AF3739" s="38"/>
      <c r="AG3739" s="38"/>
      <c r="AH3739" s="38"/>
    </row>
    <row r="3740" spans="3:34" ht="20.100000000000001" customHeight="1">
      <c r="C3740" s="113"/>
      <c r="D3740" s="114"/>
      <c r="P3740" s="82"/>
      <c r="Q3740" s="82"/>
      <c r="R3740" s="38"/>
      <c r="S3740" s="38"/>
      <c r="T3740" s="38"/>
      <c r="U3740" s="38"/>
      <c r="V3740" s="38"/>
      <c r="W3740" s="38"/>
      <c r="X3740" s="38"/>
      <c r="Y3740" s="38"/>
      <c r="Z3740" s="38"/>
      <c r="AA3740" s="38"/>
      <c r="AB3740" s="38"/>
      <c r="AC3740" s="38"/>
      <c r="AD3740" s="38"/>
      <c r="AE3740" s="38"/>
      <c r="AF3740" s="38"/>
      <c r="AG3740" s="38"/>
      <c r="AH3740" s="38"/>
    </row>
    <row r="3741" spans="3:34" ht="20.100000000000001" customHeight="1">
      <c r="C3741" s="113"/>
      <c r="D3741" s="114"/>
      <c r="P3741" s="82"/>
      <c r="Q3741" s="82"/>
      <c r="R3741" s="38"/>
      <c r="S3741" s="38"/>
      <c r="T3741" s="38"/>
      <c r="U3741" s="38"/>
      <c r="V3741" s="38"/>
      <c r="W3741" s="38"/>
      <c r="X3741" s="38"/>
      <c r="Y3741" s="38"/>
      <c r="Z3741" s="38"/>
      <c r="AA3741" s="38"/>
      <c r="AB3741" s="38"/>
      <c r="AC3741" s="38"/>
      <c r="AD3741" s="38"/>
      <c r="AE3741" s="38"/>
      <c r="AF3741" s="38"/>
      <c r="AG3741" s="38"/>
      <c r="AH3741" s="38"/>
    </row>
    <row r="3742" spans="3:34" ht="20.100000000000001" customHeight="1">
      <c r="C3742" s="113"/>
      <c r="D3742" s="114"/>
      <c r="P3742" s="82"/>
      <c r="Q3742" s="82"/>
      <c r="R3742" s="38"/>
      <c r="S3742" s="38"/>
      <c r="T3742" s="38"/>
      <c r="U3742" s="38"/>
      <c r="V3742" s="38"/>
      <c r="W3742" s="38"/>
      <c r="X3742" s="38"/>
      <c r="Y3742" s="38"/>
      <c r="Z3742" s="38"/>
      <c r="AA3742" s="38"/>
      <c r="AB3742" s="38"/>
      <c r="AC3742" s="38"/>
      <c r="AD3742" s="38"/>
      <c r="AE3742" s="38"/>
      <c r="AF3742" s="38"/>
      <c r="AG3742" s="38"/>
      <c r="AH3742" s="38"/>
    </row>
    <row r="3743" spans="3:34" ht="20.100000000000001" customHeight="1">
      <c r="C3743" s="113"/>
      <c r="D3743" s="114"/>
      <c r="P3743" s="82"/>
      <c r="Q3743" s="82"/>
      <c r="R3743" s="38"/>
      <c r="S3743" s="38"/>
      <c r="T3743" s="38"/>
      <c r="U3743" s="38"/>
      <c r="V3743" s="38"/>
      <c r="W3743" s="38"/>
      <c r="X3743" s="38"/>
      <c r="Y3743" s="38"/>
      <c r="Z3743" s="38"/>
      <c r="AA3743" s="38"/>
      <c r="AB3743" s="38"/>
      <c r="AC3743" s="38"/>
      <c r="AD3743" s="38"/>
      <c r="AE3743" s="38"/>
      <c r="AF3743" s="38"/>
      <c r="AG3743" s="38"/>
      <c r="AH3743" s="38"/>
    </row>
    <row r="3744" spans="3:34" ht="20.100000000000001" customHeight="1">
      <c r="C3744" s="113"/>
      <c r="D3744" s="114"/>
      <c r="P3744" s="82"/>
      <c r="Q3744" s="82"/>
      <c r="R3744" s="38"/>
      <c r="S3744" s="38"/>
      <c r="T3744" s="38"/>
      <c r="U3744" s="38"/>
      <c r="V3744" s="38"/>
      <c r="W3744" s="38"/>
      <c r="X3744" s="38"/>
      <c r="Y3744" s="38"/>
      <c r="Z3744" s="38"/>
      <c r="AA3744" s="38"/>
      <c r="AB3744" s="38"/>
      <c r="AC3744" s="38"/>
      <c r="AD3744" s="38"/>
      <c r="AE3744" s="38"/>
      <c r="AF3744" s="38"/>
      <c r="AG3744" s="38"/>
      <c r="AH3744" s="38"/>
    </row>
    <row r="3745" spans="3:34" ht="20.100000000000001" customHeight="1">
      <c r="C3745" s="113"/>
      <c r="D3745" s="114"/>
      <c r="P3745" s="82"/>
      <c r="Q3745" s="82"/>
      <c r="R3745" s="38"/>
      <c r="S3745" s="38"/>
      <c r="T3745" s="38"/>
      <c r="U3745" s="38"/>
      <c r="V3745" s="38"/>
      <c r="W3745" s="38"/>
      <c r="X3745" s="38"/>
      <c r="Y3745" s="38"/>
      <c r="Z3745" s="38"/>
      <c r="AA3745" s="38"/>
      <c r="AB3745" s="38"/>
      <c r="AC3745" s="38"/>
      <c r="AD3745" s="38"/>
      <c r="AE3745" s="38"/>
      <c r="AF3745" s="38"/>
      <c r="AG3745" s="38"/>
      <c r="AH3745" s="38"/>
    </row>
    <row r="3746" spans="3:34" ht="20.100000000000001" customHeight="1">
      <c r="C3746" s="113"/>
      <c r="D3746" s="114"/>
      <c r="P3746" s="82"/>
      <c r="Q3746" s="82"/>
      <c r="R3746" s="38"/>
      <c r="S3746" s="38"/>
      <c r="T3746" s="38"/>
      <c r="U3746" s="38"/>
      <c r="V3746" s="38"/>
      <c r="W3746" s="38"/>
      <c r="X3746" s="38"/>
      <c r="Y3746" s="38"/>
      <c r="Z3746" s="38"/>
      <c r="AA3746" s="38"/>
      <c r="AB3746" s="38"/>
      <c r="AC3746" s="38"/>
      <c r="AD3746" s="38"/>
      <c r="AE3746" s="38"/>
      <c r="AF3746" s="38"/>
      <c r="AG3746" s="38"/>
      <c r="AH3746" s="38"/>
    </row>
    <row r="3747" spans="3:34" ht="20.100000000000001" customHeight="1">
      <c r="C3747" s="113"/>
      <c r="D3747" s="114"/>
      <c r="P3747" s="82"/>
      <c r="Q3747" s="82"/>
      <c r="R3747" s="38"/>
      <c r="S3747" s="38"/>
      <c r="T3747" s="38"/>
      <c r="U3747" s="38"/>
      <c r="V3747" s="38"/>
      <c r="W3747" s="38"/>
      <c r="X3747" s="38"/>
      <c r="Y3747" s="38"/>
      <c r="Z3747" s="38"/>
      <c r="AA3747" s="38"/>
      <c r="AB3747" s="38"/>
      <c r="AC3747" s="38"/>
      <c r="AD3747" s="38"/>
      <c r="AE3747" s="38"/>
      <c r="AF3747" s="38"/>
      <c r="AG3747" s="38"/>
      <c r="AH3747" s="38"/>
    </row>
    <row r="3748" spans="3:34" ht="20.100000000000001" customHeight="1">
      <c r="C3748" s="113"/>
      <c r="D3748" s="114"/>
      <c r="P3748" s="82"/>
      <c r="Q3748" s="82"/>
      <c r="R3748" s="38"/>
      <c r="S3748" s="38"/>
      <c r="T3748" s="38"/>
      <c r="U3748" s="38"/>
      <c r="V3748" s="38"/>
      <c r="W3748" s="38"/>
      <c r="X3748" s="38"/>
      <c r="Y3748" s="38"/>
      <c r="Z3748" s="38"/>
      <c r="AA3748" s="38"/>
      <c r="AB3748" s="38"/>
      <c r="AC3748" s="38"/>
      <c r="AD3748" s="38"/>
      <c r="AE3748" s="38"/>
      <c r="AF3748" s="38"/>
      <c r="AG3748" s="38"/>
      <c r="AH3748" s="38"/>
    </row>
    <row r="3749" spans="3:34" ht="20.100000000000001" customHeight="1">
      <c r="C3749" s="113"/>
      <c r="D3749" s="114"/>
      <c r="P3749" s="82"/>
      <c r="Q3749" s="82"/>
      <c r="R3749" s="38"/>
      <c r="S3749" s="38"/>
      <c r="T3749" s="38"/>
      <c r="U3749" s="38"/>
      <c r="V3749" s="38"/>
      <c r="W3749" s="38"/>
      <c r="X3749" s="38"/>
      <c r="Y3749" s="38"/>
      <c r="Z3749" s="38"/>
      <c r="AA3749" s="38"/>
      <c r="AB3749" s="38"/>
      <c r="AC3749" s="38"/>
      <c r="AD3749" s="38"/>
      <c r="AE3749" s="38"/>
      <c r="AF3749" s="38"/>
      <c r="AG3749" s="38"/>
      <c r="AH3749" s="38"/>
    </row>
    <row r="3750" spans="3:34" ht="20.100000000000001" customHeight="1">
      <c r="C3750" s="113"/>
      <c r="D3750" s="114"/>
      <c r="P3750" s="82"/>
      <c r="Q3750" s="82"/>
      <c r="R3750" s="38"/>
      <c r="S3750" s="38"/>
      <c r="T3750" s="38"/>
      <c r="U3750" s="38"/>
      <c r="V3750" s="38"/>
      <c r="W3750" s="38"/>
      <c r="X3750" s="38"/>
      <c r="Y3750" s="38"/>
      <c r="Z3750" s="38"/>
      <c r="AA3750" s="38"/>
      <c r="AB3750" s="38"/>
      <c r="AC3750" s="38"/>
      <c r="AD3750" s="38"/>
      <c r="AE3750" s="38"/>
      <c r="AF3750" s="38"/>
      <c r="AG3750" s="38"/>
      <c r="AH3750" s="38"/>
    </row>
    <row r="3751" spans="3:34" ht="20.100000000000001" customHeight="1">
      <c r="C3751" s="113"/>
      <c r="D3751" s="114"/>
      <c r="P3751" s="82"/>
      <c r="Q3751" s="82"/>
      <c r="R3751" s="38"/>
      <c r="S3751" s="38"/>
      <c r="T3751" s="38"/>
      <c r="U3751" s="38"/>
      <c r="V3751" s="38"/>
      <c r="W3751" s="38"/>
      <c r="X3751" s="38"/>
      <c r="Y3751" s="38"/>
      <c r="Z3751" s="38"/>
      <c r="AA3751" s="38"/>
      <c r="AB3751" s="38"/>
      <c r="AC3751" s="38"/>
      <c r="AD3751" s="38"/>
      <c r="AE3751" s="38"/>
      <c r="AF3751" s="38"/>
      <c r="AG3751" s="38"/>
      <c r="AH3751" s="38"/>
    </row>
    <row r="3752" spans="3:34" ht="20.100000000000001" customHeight="1">
      <c r="C3752" s="113"/>
      <c r="D3752" s="114"/>
      <c r="P3752" s="82"/>
      <c r="Q3752" s="82"/>
      <c r="R3752" s="38"/>
      <c r="S3752" s="38"/>
      <c r="T3752" s="38"/>
      <c r="U3752" s="38"/>
      <c r="V3752" s="38"/>
      <c r="W3752" s="38"/>
      <c r="X3752" s="38"/>
      <c r="Y3752" s="38"/>
      <c r="Z3752" s="38"/>
      <c r="AA3752" s="38"/>
      <c r="AB3752" s="38"/>
      <c r="AC3752" s="38"/>
      <c r="AD3752" s="38"/>
      <c r="AE3752" s="38"/>
      <c r="AF3752" s="38"/>
      <c r="AG3752" s="38"/>
      <c r="AH3752" s="38"/>
    </row>
    <row r="3753" spans="3:34" ht="20.100000000000001" customHeight="1">
      <c r="C3753" s="113"/>
      <c r="D3753" s="114"/>
      <c r="P3753" s="82"/>
      <c r="Q3753" s="82"/>
      <c r="R3753" s="38"/>
      <c r="S3753" s="38"/>
      <c r="T3753" s="38"/>
      <c r="U3753" s="38"/>
      <c r="V3753" s="38"/>
      <c r="W3753" s="38"/>
      <c r="X3753" s="38"/>
      <c r="Y3753" s="38"/>
      <c r="Z3753" s="38"/>
      <c r="AA3753" s="38"/>
      <c r="AB3753" s="38"/>
      <c r="AC3753" s="38"/>
      <c r="AD3753" s="38"/>
      <c r="AE3753" s="38"/>
      <c r="AF3753" s="38"/>
      <c r="AG3753" s="38"/>
      <c r="AH3753" s="38"/>
    </row>
    <row r="3754" spans="3:34" ht="20.100000000000001" customHeight="1">
      <c r="C3754" s="113"/>
      <c r="D3754" s="114"/>
      <c r="P3754" s="82"/>
      <c r="Q3754" s="82"/>
      <c r="R3754" s="38"/>
      <c r="S3754" s="38"/>
      <c r="T3754" s="38"/>
      <c r="U3754" s="38"/>
      <c r="V3754" s="38"/>
      <c r="W3754" s="38"/>
      <c r="X3754" s="38"/>
      <c r="Y3754" s="38"/>
      <c r="Z3754" s="38"/>
      <c r="AA3754" s="38"/>
      <c r="AB3754" s="38"/>
      <c r="AC3754" s="38"/>
      <c r="AD3754" s="38"/>
      <c r="AE3754" s="38"/>
      <c r="AF3754" s="38"/>
      <c r="AG3754" s="38"/>
      <c r="AH3754" s="38"/>
    </row>
    <row r="3755" spans="3:34" ht="20.100000000000001" customHeight="1">
      <c r="C3755" s="113"/>
      <c r="D3755" s="114"/>
      <c r="P3755" s="82"/>
      <c r="Q3755" s="82"/>
      <c r="R3755" s="38"/>
      <c r="S3755" s="38"/>
      <c r="T3755" s="38"/>
      <c r="U3755" s="38"/>
      <c r="V3755" s="38"/>
      <c r="W3755" s="38"/>
      <c r="X3755" s="38"/>
      <c r="Y3755" s="38"/>
      <c r="Z3755" s="38"/>
      <c r="AA3755" s="38"/>
      <c r="AB3755" s="38"/>
      <c r="AC3755" s="38"/>
      <c r="AD3755" s="38"/>
      <c r="AE3755" s="38"/>
      <c r="AF3755" s="38"/>
      <c r="AG3755" s="38"/>
      <c r="AH3755" s="38"/>
    </row>
    <row r="3756" spans="3:34" ht="20.100000000000001" customHeight="1">
      <c r="C3756" s="113"/>
      <c r="D3756" s="114"/>
      <c r="P3756" s="82"/>
      <c r="Q3756" s="82"/>
      <c r="R3756" s="38"/>
      <c r="S3756" s="38"/>
      <c r="T3756" s="38"/>
      <c r="U3756" s="38"/>
      <c r="V3756" s="38"/>
      <c r="W3756" s="38"/>
      <c r="X3756" s="38"/>
      <c r="Y3756" s="38"/>
      <c r="Z3756" s="38"/>
      <c r="AA3756" s="38"/>
      <c r="AB3756" s="38"/>
      <c r="AC3756" s="38"/>
      <c r="AD3756" s="38"/>
      <c r="AE3756" s="38"/>
      <c r="AF3756" s="38"/>
      <c r="AG3756" s="38"/>
      <c r="AH3756" s="38"/>
    </row>
    <row r="3757" spans="3:34" ht="20.100000000000001" customHeight="1">
      <c r="C3757" s="113"/>
      <c r="D3757" s="114"/>
      <c r="P3757" s="82"/>
      <c r="Q3757" s="82"/>
      <c r="R3757" s="38"/>
      <c r="S3757" s="38"/>
      <c r="T3757" s="38"/>
      <c r="U3757" s="38"/>
      <c r="V3757" s="38"/>
      <c r="W3757" s="38"/>
      <c r="X3757" s="38"/>
      <c r="Y3757" s="38"/>
      <c r="Z3757" s="38"/>
      <c r="AA3757" s="38"/>
      <c r="AB3757" s="38"/>
      <c r="AC3757" s="38"/>
      <c r="AD3757" s="38"/>
      <c r="AE3757" s="38"/>
      <c r="AF3757" s="38"/>
      <c r="AG3757" s="38"/>
      <c r="AH3757" s="38"/>
    </row>
    <row r="3758" spans="3:34" ht="20.100000000000001" customHeight="1">
      <c r="C3758" s="113"/>
      <c r="D3758" s="114"/>
      <c r="P3758" s="82"/>
      <c r="Q3758" s="82"/>
      <c r="R3758" s="38"/>
      <c r="S3758" s="38"/>
      <c r="T3758" s="38"/>
      <c r="U3758" s="38"/>
      <c r="V3758" s="38"/>
      <c r="W3758" s="38"/>
      <c r="X3758" s="38"/>
      <c r="Y3758" s="38"/>
      <c r="Z3758" s="38"/>
      <c r="AA3758" s="38"/>
      <c r="AB3758" s="38"/>
      <c r="AC3758" s="38"/>
      <c r="AD3758" s="38"/>
      <c r="AE3758" s="38"/>
      <c r="AF3758" s="38"/>
      <c r="AG3758" s="38"/>
      <c r="AH3758" s="38"/>
    </row>
    <row r="3759" spans="3:34" ht="20.100000000000001" customHeight="1">
      <c r="C3759" s="113"/>
      <c r="D3759" s="114"/>
      <c r="P3759" s="82"/>
      <c r="Q3759" s="82"/>
      <c r="R3759" s="38"/>
      <c r="S3759" s="38"/>
      <c r="T3759" s="38"/>
      <c r="U3759" s="38"/>
      <c r="V3759" s="38"/>
      <c r="W3759" s="38"/>
      <c r="X3759" s="38"/>
      <c r="Y3759" s="38"/>
      <c r="Z3759" s="38"/>
      <c r="AA3759" s="38"/>
      <c r="AB3759" s="38"/>
      <c r="AC3759" s="38"/>
      <c r="AD3759" s="38"/>
      <c r="AE3759" s="38"/>
      <c r="AF3759" s="38"/>
      <c r="AG3759" s="38"/>
      <c r="AH3759" s="38"/>
    </row>
    <row r="3760" spans="3:34" ht="20.100000000000001" customHeight="1">
      <c r="C3760" s="113"/>
      <c r="D3760" s="114"/>
      <c r="P3760" s="82"/>
      <c r="Q3760" s="82"/>
      <c r="R3760" s="38"/>
      <c r="S3760" s="38"/>
      <c r="T3760" s="38"/>
      <c r="U3760" s="38"/>
      <c r="V3760" s="38"/>
      <c r="W3760" s="38"/>
      <c r="X3760" s="38"/>
      <c r="Y3760" s="38"/>
      <c r="Z3760" s="38"/>
      <c r="AA3760" s="38"/>
      <c r="AB3760" s="38"/>
      <c r="AC3760" s="38"/>
      <c r="AD3760" s="38"/>
      <c r="AE3760" s="38"/>
      <c r="AF3760" s="38"/>
      <c r="AG3760" s="38"/>
      <c r="AH3760" s="38"/>
    </row>
    <row r="3761" spans="3:34" ht="20.100000000000001" customHeight="1">
      <c r="C3761" s="113"/>
      <c r="D3761" s="114"/>
      <c r="P3761" s="82"/>
      <c r="Q3761" s="82"/>
      <c r="R3761" s="38"/>
      <c r="S3761" s="38"/>
      <c r="T3761" s="38"/>
      <c r="U3761" s="38"/>
      <c r="V3761" s="38"/>
      <c r="W3761" s="38"/>
      <c r="X3761" s="38"/>
      <c r="Y3761" s="38"/>
      <c r="Z3761" s="38"/>
      <c r="AA3761" s="38"/>
      <c r="AB3761" s="38"/>
      <c r="AC3761" s="38"/>
      <c r="AD3761" s="38"/>
      <c r="AE3761" s="38"/>
      <c r="AF3761" s="38"/>
      <c r="AG3761" s="38"/>
      <c r="AH3761" s="38"/>
    </row>
    <row r="3762" spans="3:34" ht="20.100000000000001" customHeight="1">
      <c r="C3762" s="113"/>
      <c r="D3762" s="114"/>
      <c r="P3762" s="82"/>
      <c r="Q3762" s="82"/>
      <c r="R3762" s="38"/>
      <c r="S3762" s="38"/>
      <c r="T3762" s="38"/>
      <c r="U3762" s="38"/>
      <c r="V3762" s="38"/>
      <c r="W3762" s="38"/>
      <c r="X3762" s="38"/>
      <c r="Y3762" s="38"/>
      <c r="Z3762" s="38"/>
      <c r="AA3762" s="38"/>
      <c r="AB3762" s="38"/>
      <c r="AC3762" s="38"/>
      <c r="AD3762" s="38"/>
      <c r="AE3762" s="38"/>
      <c r="AF3762" s="38"/>
      <c r="AG3762" s="38"/>
      <c r="AH3762" s="38"/>
    </row>
    <row r="3763" spans="3:34" ht="20.100000000000001" customHeight="1">
      <c r="C3763" s="113"/>
      <c r="D3763" s="114"/>
      <c r="P3763" s="82"/>
      <c r="Q3763" s="82"/>
      <c r="R3763" s="38"/>
      <c r="S3763" s="38"/>
      <c r="T3763" s="38"/>
      <c r="U3763" s="38"/>
      <c r="V3763" s="38"/>
      <c r="W3763" s="38"/>
      <c r="X3763" s="38"/>
      <c r="Y3763" s="38"/>
      <c r="Z3763" s="38"/>
      <c r="AA3763" s="38"/>
      <c r="AB3763" s="38"/>
      <c r="AC3763" s="38"/>
      <c r="AD3763" s="38"/>
      <c r="AE3763" s="38"/>
      <c r="AF3763" s="38"/>
      <c r="AG3763" s="38"/>
      <c r="AH3763" s="38"/>
    </row>
    <row r="3764" spans="3:34" ht="20.100000000000001" customHeight="1">
      <c r="C3764" s="113"/>
      <c r="D3764" s="114"/>
      <c r="P3764" s="82"/>
      <c r="Q3764" s="82"/>
      <c r="R3764" s="38"/>
      <c r="S3764" s="38"/>
      <c r="T3764" s="38"/>
      <c r="U3764" s="38"/>
      <c r="V3764" s="38"/>
      <c r="W3764" s="38"/>
      <c r="X3764" s="38"/>
      <c r="Y3764" s="38"/>
      <c r="Z3764" s="38"/>
      <c r="AA3764" s="38"/>
      <c r="AB3764" s="38"/>
      <c r="AC3764" s="38"/>
      <c r="AD3764" s="38"/>
      <c r="AE3764" s="38"/>
      <c r="AF3764" s="38"/>
      <c r="AG3764" s="38"/>
      <c r="AH3764" s="38"/>
    </row>
    <row r="3765" spans="3:34" ht="20.100000000000001" customHeight="1">
      <c r="C3765" s="113"/>
      <c r="D3765" s="114"/>
      <c r="P3765" s="82"/>
      <c r="Q3765" s="82"/>
      <c r="R3765" s="38"/>
      <c r="S3765" s="38"/>
      <c r="T3765" s="38"/>
      <c r="U3765" s="38"/>
      <c r="V3765" s="38"/>
      <c r="W3765" s="38"/>
      <c r="X3765" s="38"/>
      <c r="Y3765" s="38"/>
      <c r="Z3765" s="38"/>
      <c r="AA3765" s="38"/>
      <c r="AB3765" s="38"/>
      <c r="AC3765" s="38"/>
      <c r="AD3765" s="38"/>
      <c r="AE3765" s="38"/>
      <c r="AF3765" s="38"/>
      <c r="AG3765" s="38"/>
      <c r="AH3765" s="38"/>
    </row>
    <row r="3766" spans="3:34" ht="20.100000000000001" customHeight="1">
      <c r="C3766" s="113"/>
      <c r="D3766" s="114"/>
      <c r="P3766" s="82"/>
      <c r="Q3766" s="82"/>
      <c r="R3766" s="38"/>
      <c r="S3766" s="38"/>
      <c r="T3766" s="38"/>
      <c r="U3766" s="38"/>
      <c r="V3766" s="38"/>
      <c r="W3766" s="38"/>
      <c r="X3766" s="38"/>
      <c r="Y3766" s="38"/>
      <c r="Z3766" s="38"/>
      <c r="AA3766" s="38"/>
      <c r="AB3766" s="38"/>
      <c r="AC3766" s="38"/>
      <c r="AD3766" s="38"/>
      <c r="AE3766" s="38"/>
      <c r="AF3766" s="38"/>
      <c r="AG3766" s="38"/>
      <c r="AH3766" s="38"/>
    </row>
    <row r="3767" spans="3:34" ht="20.100000000000001" customHeight="1">
      <c r="C3767" s="113"/>
      <c r="D3767" s="114"/>
      <c r="P3767" s="82"/>
      <c r="Q3767" s="82"/>
      <c r="R3767" s="38"/>
      <c r="S3767" s="38"/>
      <c r="T3767" s="38"/>
      <c r="U3767" s="38"/>
      <c r="V3767" s="38"/>
      <c r="W3767" s="38"/>
      <c r="X3767" s="38"/>
      <c r="Y3767" s="38"/>
      <c r="Z3767" s="38"/>
      <c r="AA3767" s="38"/>
      <c r="AB3767" s="38"/>
      <c r="AC3767" s="38"/>
      <c r="AD3767" s="38"/>
      <c r="AE3767" s="38"/>
      <c r="AF3767" s="38"/>
      <c r="AG3767" s="38"/>
      <c r="AH3767" s="38"/>
    </row>
    <row r="3768" spans="3:34" ht="20.100000000000001" customHeight="1">
      <c r="C3768" s="113"/>
      <c r="D3768" s="114"/>
      <c r="P3768" s="82"/>
      <c r="Q3768" s="82"/>
      <c r="R3768" s="38"/>
      <c r="S3768" s="38"/>
      <c r="T3768" s="38"/>
      <c r="U3768" s="38"/>
      <c r="V3768" s="38"/>
      <c r="W3768" s="38"/>
      <c r="X3768" s="38"/>
      <c r="Y3768" s="38"/>
      <c r="Z3768" s="38"/>
      <c r="AA3768" s="38"/>
      <c r="AB3768" s="38"/>
      <c r="AC3768" s="38"/>
      <c r="AD3768" s="38"/>
      <c r="AE3768" s="38"/>
      <c r="AF3768" s="38"/>
      <c r="AG3768" s="38"/>
      <c r="AH3768" s="38"/>
    </row>
    <row r="3769" spans="3:34" ht="20.100000000000001" customHeight="1">
      <c r="C3769" s="113"/>
      <c r="D3769" s="114"/>
      <c r="P3769" s="82"/>
      <c r="Q3769" s="82"/>
      <c r="R3769" s="38"/>
      <c r="S3769" s="38"/>
      <c r="T3769" s="38"/>
      <c r="U3769" s="38"/>
      <c r="V3769" s="38"/>
      <c r="W3769" s="38"/>
      <c r="X3769" s="38"/>
      <c r="Y3769" s="38"/>
      <c r="Z3769" s="38"/>
      <c r="AA3769" s="38"/>
      <c r="AB3769" s="38"/>
      <c r="AC3769" s="38"/>
      <c r="AD3769" s="38"/>
      <c r="AE3769" s="38"/>
      <c r="AF3769" s="38"/>
      <c r="AG3769" s="38"/>
      <c r="AH3769" s="38"/>
    </row>
    <row r="3770" spans="3:34" ht="20.100000000000001" customHeight="1">
      <c r="C3770" s="113"/>
      <c r="D3770" s="114"/>
      <c r="P3770" s="82"/>
      <c r="Q3770" s="82"/>
      <c r="R3770" s="38"/>
      <c r="S3770" s="38"/>
      <c r="T3770" s="38"/>
      <c r="U3770" s="38"/>
      <c r="V3770" s="38"/>
      <c r="W3770" s="38"/>
      <c r="X3770" s="38"/>
      <c r="Y3770" s="38"/>
      <c r="Z3770" s="38"/>
      <c r="AA3770" s="38"/>
      <c r="AB3770" s="38"/>
      <c r="AC3770" s="38"/>
      <c r="AD3770" s="38"/>
      <c r="AE3770" s="38"/>
      <c r="AF3770" s="38"/>
      <c r="AG3770" s="38"/>
      <c r="AH3770" s="38"/>
    </row>
    <row r="3771" spans="3:34" ht="20.100000000000001" customHeight="1">
      <c r="C3771" s="113"/>
      <c r="D3771" s="114"/>
      <c r="P3771" s="82"/>
      <c r="Q3771" s="82"/>
      <c r="R3771" s="38"/>
      <c r="S3771" s="38"/>
      <c r="T3771" s="38"/>
      <c r="U3771" s="38"/>
      <c r="V3771" s="38"/>
      <c r="W3771" s="38"/>
      <c r="X3771" s="38"/>
      <c r="Y3771" s="38"/>
      <c r="Z3771" s="38"/>
      <c r="AA3771" s="38"/>
      <c r="AB3771" s="38"/>
      <c r="AC3771" s="38"/>
      <c r="AD3771" s="38"/>
      <c r="AE3771" s="38"/>
      <c r="AF3771" s="38"/>
      <c r="AG3771" s="38"/>
      <c r="AH3771" s="38"/>
    </row>
    <row r="3772" spans="3:34" ht="20.100000000000001" customHeight="1">
      <c r="C3772" s="113"/>
      <c r="D3772" s="114"/>
      <c r="P3772" s="82"/>
      <c r="Q3772" s="82"/>
      <c r="R3772" s="38"/>
      <c r="S3772" s="38"/>
      <c r="T3772" s="38"/>
      <c r="U3772" s="38"/>
      <c r="V3772" s="38"/>
      <c r="W3772" s="38"/>
      <c r="X3772" s="38"/>
      <c r="Y3772" s="38"/>
      <c r="Z3772" s="38"/>
      <c r="AA3772" s="38"/>
      <c r="AB3772" s="38"/>
      <c r="AC3772" s="38"/>
      <c r="AD3772" s="38"/>
      <c r="AE3772" s="38"/>
      <c r="AF3772" s="38"/>
      <c r="AG3772" s="38"/>
      <c r="AH3772" s="38"/>
    </row>
    <row r="3773" spans="3:34" ht="20.100000000000001" customHeight="1">
      <c r="C3773" s="113"/>
      <c r="D3773" s="114"/>
      <c r="P3773" s="82"/>
      <c r="Q3773" s="82"/>
      <c r="R3773" s="38"/>
      <c r="S3773" s="38"/>
      <c r="T3773" s="38"/>
      <c r="U3773" s="38"/>
      <c r="V3773" s="38"/>
      <c r="W3773" s="38"/>
      <c r="X3773" s="38"/>
      <c r="Y3773" s="38"/>
      <c r="Z3773" s="38"/>
      <c r="AA3773" s="38"/>
      <c r="AB3773" s="38"/>
      <c r="AC3773" s="38"/>
      <c r="AD3773" s="38"/>
      <c r="AE3773" s="38"/>
      <c r="AF3773" s="38"/>
      <c r="AG3773" s="38"/>
      <c r="AH3773" s="38"/>
    </row>
    <row r="3774" spans="3:34" ht="20.100000000000001" customHeight="1">
      <c r="C3774" s="113"/>
      <c r="D3774" s="114"/>
      <c r="P3774" s="82"/>
      <c r="Q3774" s="82"/>
      <c r="R3774" s="38"/>
      <c r="S3774" s="38"/>
      <c r="T3774" s="38"/>
      <c r="U3774" s="38"/>
      <c r="V3774" s="38"/>
      <c r="W3774" s="38"/>
      <c r="X3774" s="38"/>
      <c r="Y3774" s="38"/>
      <c r="Z3774" s="38"/>
      <c r="AA3774" s="38"/>
      <c r="AB3774" s="38"/>
      <c r="AC3774" s="38"/>
      <c r="AD3774" s="38"/>
      <c r="AE3774" s="38"/>
      <c r="AF3774" s="38"/>
      <c r="AG3774" s="38"/>
      <c r="AH3774" s="38"/>
    </row>
    <row r="3775" spans="3:34" ht="20.100000000000001" customHeight="1">
      <c r="C3775" s="113"/>
      <c r="D3775" s="114"/>
      <c r="P3775" s="82"/>
      <c r="Q3775" s="82"/>
      <c r="R3775" s="38"/>
      <c r="S3775" s="38"/>
      <c r="T3775" s="38"/>
      <c r="U3775" s="38"/>
      <c r="V3775" s="38"/>
      <c r="W3775" s="38"/>
      <c r="X3775" s="38"/>
      <c r="Y3775" s="38"/>
      <c r="Z3775" s="38"/>
      <c r="AA3775" s="38"/>
      <c r="AB3775" s="38"/>
      <c r="AC3775" s="38"/>
      <c r="AD3775" s="38"/>
      <c r="AE3775" s="38"/>
      <c r="AF3775" s="38"/>
      <c r="AG3775" s="38"/>
      <c r="AH3775" s="38"/>
    </row>
    <row r="3776" spans="3:34" ht="20.100000000000001" customHeight="1">
      <c r="C3776" s="113"/>
      <c r="D3776" s="114"/>
      <c r="P3776" s="82"/>
      <c r="Q3776" s="82"/>
      <c r="R3776" s="38"/>
      <c r="S3776" s="38"/>
      <c r="T3776" s="38"/>
      <c r="U3776" s="38"/>
      <c r="V3776" s="38"/>
      <c r="W3776" s="38"/>
      <c r="X3776" s="38"/>
      <c r="Y3776" s="38"/>
      <c r="Z3776" s="38"/>
      <c r="AA3776" s="38"/>
      <c r="AB3776" s="38"/>
      <c r="AC3776" s="38"/>
      <c r="AD3776" s="38"/>
      <c r="AE3776" s="38"/>
      <c r="AF3776" s="38"/>
      <c r="AG3776" s="38"/>
      <c r="AH3776" s="38"/>
    </row>
    <row r="3777" spans="3:34" ht="20.100000000000001" customHeight="1">
      <c r="C3777" s="113"/>
      <c r="D3777" s="114"/>
      <c r="P3777" s="82"/>
      <c r="Q3777" s="82"/>
      <c r="R3777" s="38"/>
      <c r="S3777" s="38"/>
      <c r="T3777" s="38"/>
      <c r="U3777" s="38"/>
      <c r="V3777" s="38"/>
      <c r="W3777" s="38"/>
      <c r="X3777" s="38"/>
      <c r="Y3777" s="38"/>
      <c r="Z3777" s="38"/>
      <c r="AA3777" s="38"/>
      <c r="AB3777" s="38"/>
      <c r="AC3777" s="38"/>
      <c r="AD3777" s="38"/>
      <c r="AE3777" s="38"/>
      <c r="AF3777" s="38"/>
      <c r="AG3777" s="38"/>
      <c r="AH3777" s="38"/>
    </row>
    <row r="3778" spans="3:34" ht="20.100000000000001" customHeight="1">
      <c r="C3778" s="113"/>
      <c r="D3778" s="114"/>
      <c r="P3778" s="82"/>
      <c r="Q3778" s="82"/>
      <c r="R3778" s="38"/>
      <c r="S3778" s="38"/>
      <c r="T3778" s="38"/>
      <c r="U3778" s="38"/>
      <c r="V3778" s="38"/>
      <c r="W3778" s="38"/>
      <c r="X3778" s="38"/>
      <c r="Y3778" s="38"/>
      <c r="Z3778" s="38"/>
      <c r="AA3778" s="38"/>
      <c r="AB3778" s="38"/>
      <c r="AC3778" s="38"/>
      <c r="AD3778" s="38"/>
      <c r="AE3778" s="38"/>
      <c r="AF3778" s="38"/>
      <c r="AG3778" s="38"/>
      <c r="AH3778" s="38"/>
    </row>
    <row r="3779" spans="3:34" ht="20.100000000000001" customHeight="1">
      <c r="C3779" s="113"/>
      <c r="D3779" s="114"/>
      <c r="P3779" s="82"/>
      <c r="Q3779" s="82"/>
      <c r="R3779" s="38"/>
      <c r="S3779" s="38"/>
      <c r="T3779" s="38"/>
      <c r="U3779" s="38"/>
      <c r="V3779" s="38"/>
      <c r="W3779" s="38"/>
      <c r="X3779" s="38"/>
      <c r="Y3779" s="38"/>
      <c r="Z3779" s="38"/>
      <c r="AA3779" s="38"/>
      <c r="AB3779" s="38"/>
      <c r="AC3779" s="38"/>
      <c r="AD3779" s="38"/>
      <c r="AE3779" s="38"/>
      <c r="AF3779" s="38"/>
      <c r="AG3779" s="38"/>
      <c r="AH3779" s="38"/>
    </row>
    <row r="3780" spans="3:34" ht="20.100000000000001" customHeight="1">
      <c r="C3780" s="113"/>
      <c r="D3780" s="114"/>
      <c r="P3780" s="82"/>
      <c r="Q3780" s="82"/>
      <c r="R3780" s="38"/>
      <c r="S3780" s="38"/>
      <c r="T3780" s="38"/>
      <c r="U3780" s="38"/>
      <c r="V3780" s="38"/>
      <c r="W3780" s="38"/>
      <c r="X3780" s="38"/>
      <c r="Y3780" s="38"/>
      <c r="Z3780" s="38"/>
      <c r="AA3780" s="38"/>
      <c r="AB3780" s="38"/>
      <c r="AC3780" s="38"/>
      <c r="AD3780" s="38"/>
      <c r="AE3780" s="38"/>
      <c r="AF3780" s="38"/>
      <c r="AG3780" s="38"/>
      <c r="AH3780" s="38"/>
    </row>
    <row r="3781" spans="3:34" ht="20.100000000000001" customHeight="1">
      <c r="C3781" s="113"/>
      <c r="D3781" s="114"/>
      <c r="P3781" s="82"/>
      <c r="Q3781" s="82"/>
      <c r="R3781" s="38"/>
      <c r="S3781" s="38"/>
      <c r="T3781" s="38"/>
      <c r="U3781" s="38"/>
      <c r="V3781" s="38"/>
      <c r="W3781" s="38"/>
      <c r="X3781" s="38"/>
      <c r="Y3781" s="38"/>
      <c r="Z3781" s="38"/>
      <c r="AA3781" s="38"/>
      <c r="AB3781" s="38"/>
      <c r="AC3781" s="38"/>
      <c r="AD3781" s="38"/>
      <c r="AE3781" s="38"/>
      <c r="AF3781" s="38"/>
      <c r="AG3781" s="38"/>
      <c r="AH3781" s="38"/>
    </row>
    <row r="3782" spans="3:34" ht="20.100000000000001" customHeight="1">
      <c r="C3782" s="113"/>
      <c r="D3782" s="114"/>
      <c r="P3782" s="82"/>
      <c r="Q3782" s="82"/>
      <c r="R3782" s="38"/>
      <c r="S3782" s="38"/>
      <c r="T3782" s="38"/>
      <c r="U3782" s="38"/>
      <c r="V3782" s="38"/>
      <c r="W3782" s="38"/>
      <c r="X3782" s="38"/>
      <c r="Y3782" s="38"/>
      <c r="Z3782" s="38"/>
      <c r="AA3782" s="38"/>
      <c r="AB3782" s="38"/>
      <c r="AC3782" s="38"/>
      <c r="AD3782" s="38"/>
      <c r="AE3782" s="38"/>
      <c r="AF3782" s="38"/>
      <c r="AG3782" s="38"/>
      <c r="AH3782" s="38"/>
    </row>
    <row r="3783" spans="3:34" ht="20.100000000000001" customHeight="1">
      <c r="C3783" s="113"/>
      <c r="D3783" s="114"/>
      <c r="P3783" s="82"/>
      <c r="Q3783" s="82"/>
      <c r="R3783" s="38"/>
      <c r="S3783" s="38"/>
      <c r="T3783" s="38"/>
      <c r="U3783" s="38"/>
      <c r="V3783" s="38"/>
      <c r="W3783" s="38"/>
      <c r="X3783" s="38"/>
      <c r="Y3783" s="38"/>
      <c r="Z3783" s="38"/>
      <c r="AA3783" s="38"/>
      <c r="AB3783" s="38"/>
      <c r="AC3783" s="38"/>
      <c r="AD3783" s="38"/>
      <c r="AE3783" s="38"/>
      <c r="AF3783" s="38"/>
      <c r="AG3783" s="38"/>
      <c r="AH3783" s="38"/>
    </row>
    <row r="3784" spans="3:34" ht="20.100000000000001" customHeight="1">
      <c r="C3784" s="113"/>
      <c r="D3784" s="114"/>
      <c r="P3784" s="82"/>
      <c r="Q3784" s="82"/>
      <c r="R3784" s="38"/>
      <c r="S3784" s="38"/>
      <c r="T3784" s="38"/>
      <c r="U3784" s="38"/>
      <c r="V3784" s="38"/>
      <c r="W3784" s="38"/>
      <c r="X3784" s="38"/>
      <c r="Y3784" s="38"/>
      <c r="Z3784" s="38"/>
      <c r="AA3784" s="38"/>
      <c r="AB3784" s="38"/>
      <c r="AC3784" s="38"/>
      <c r="AD3784" s="38"/>
      <c r="AE3784" s="38"/>
      <c r="AF3784" s="38"/>
      <c r="AG3784" s="38"/>
      <c r="AH3784" s="38"/>
    </row>
    <row r="3785" spans="3:34" ht="20.100000000000001" customHeight="1">
      <c r="C3785" s="113"/>
      <c r="D3785" s="114"/>
      <c r="P3785" s="82"/>
      <c r="Q3785" s="82"/>
      <c r="R3785" s="38"/>
      <c r="S3785" s="38"/>
      <c r="T3785" s="38"/>
      <c r="U3785" s="38"/>
      <c r="V3785" s="38"/>
      <c r="W3785" s="38"/>
      <c r="X3785" s="38"/>
      <c r="Y3785" s="38"/>
      <c r="Z3785" s="38"/>
      <c r="AA3785" s="38"/>
      <c r="AB3785" s="38"/>
      <c r="AC3785" s="38"/>
      <c r="AD3785" s="38"/>
      <c r="AE3785" s="38"/>
      <c r="AF3785" s="38"/>
      <c r="AG3785" s="38"/>
      <c r="AH3785" s="38"/>
    </row>
    <row r="3786" spans="3:34" ht="20.100000000000001" customHeight="1">
      <c r="C3786" s="113"/>
      <c r="D3786" s="114"/>
      <c r="P3786" s="82"/>
      <c r="Q3786" s="82"/>
      <c r="R3786" s="38"/>
      <c r="S3786" s="38"/>
      <c r="T3786" s="38"/>
      <c r="U3786" s="38"/>
      <c r="V3786" s="38"/>
      <c r="W3786" s="38"/>
      <c r="X3786" s="38"/>
      <c r="Y3786" s="38"/>
      <c r="Z3786" s="38"/>
      <c r="AA3786" s="38"/>
      <c r="AB3786" s="38"/>
      <c r="AC3786" s="38"/>
      <c r="AD3786" s="38"/>
      <c r="AE3786" s="38"/>
      <c r="AF3786" s="38"/>
      <c r="AG3786" s="38"/>
      <c r="AH3786" s="38"/>
    </row>
    <row r="3787" spans="3:34" ht="20.100000000000001" customHeight="1">
      <c r="C3787" s="113"/>
      <c r="D3787" s="114"/>
      <c r="P3787" s="82"/>
      <c r="Q3787" s="82"/>
      <c r="R3787" s="38"/>
      <c r="S3787" s="38"/>
      <c r="T3787" s="38"/>
      <c r="U3787" s="38"/>
      <c r="V3787" s="38"/>
      <c r="W3787" s="38"/>
      <c r="X3787" s="38"/>
      <c r="Y3787" s="38"/>
      <c r="Z3787" s="38"/>
      <c r="AA3787" s="38"/>
      <c r="AB3787" s="38"/>
      <c r="AC3787" s="38"/>
      <c r="AD3787" s="38"/>
      <c r="AE3787" s="38"/>
      <c r="AF3787" s="38"/>
      <c r="AG3787" s="38"/>
      <c r="AH3787" s="38"/>
    </row>
    <row r="3788" spans="3:34" ht="20.100000000000001" customHeight="1">
      <c r="C3788" s="113"/>
      <c r="D3788" s="114"/>
      <c r="P3788" s="82"/>
      <c r="Q3788" s="82"/>
      <c r="R3788" s="38"/>
      <c r="S3788" s="38"/>
      <c r="T3788" s="38"/>
      <c r="U3788" s="38"/>
      <c r="V3788" s="38"/>
      <c r="W3788" s="38"/>
      <c r="X3788" s="38"/>
      <c r="Y3788" s="38"/>
      <c r="Z3788" s="38"/>
      <c r="AA3788" s="38"/>
      <c r="AB3788" s="38"/>
      <c r="AC3788" s="38"/>
      <c r="AD3788" s="38"/>
      <c r="AE3788" s="38"/>
      <c r="AF3788" s="38"/>
      <c r="AG3788" s="38"/>
      <c r="AH3788" s="38"/>
    </row>
    <row r="3789" spans="3:34" ht="20.100000000000001" customHeight="1">
      <c r="C3789" s="113"/>
      <c r="D3789" s="114"/>
      <c r="P3789" s="82"/>
      <c r="Q3789" s="82"/>
      <c r="R3789" s="38"/>
      <c r="S3789" s="38"/>
      <c r="T3789" s="38"/>
      <c r="U3789" s="38"/>
      <c r="V3789" s="38"/>
      <c r="W3789" s="38"/>
      <c r="X3789" s="38"/>
      <c r="Y3789" s="38"/>
      <c r="Z3789" s="38"/>
      <c r="AA3789" s="38"/>
      <c r="AB3789" s="38"/>
      <c r="AC3789" s="38"/>
      <c r="AD3789" s="38"/>
      <c r="AE3789" s="38"/>
      <c r="AF3789" s="38"/>
      <c r="AG3789" s="38"/>
      <c r="AH3789" s="38"/>
    </row>
    <row r="3790" spans="3:34" ht="20.100000000000001" customHeight="1">
      <c r="C3790" s="113"/>
      <c r="D3790" s="114"/>
      <c r="P3790" s="82"/>
      <c r="Q3790" s="82"/>
      <c r="R3790" s="38"/>
      <c r="S3790" s="38"/>
      <c r="T3790" s="38"/>
      <c r="U3790" s="38"/>
      <c r="V3790" s="38"/>
      <c r="W3790" s="38"/>
      <c r="X3790" s="38"/>
      <c r="Y3790" s="38"/>
      <c r="Z3790" s="38"/>
      <c r="AA3790" s="38"/>
      <c r="AB3790" s="38"/>
      <c r="AC3790" s="38"/>
      <c r="AD3790" s="38"/>
      <c r="AE3790" s="38"/>
      <c r="AF3790" s="38"/>
      <c r="AG3790" s="38"/>
      <c r="AH3790" s="38"/>
    </row>
    <row r="3791" spans="3:34" ht="20.100000000000001" customHeight="1">
      <c r="C3791" s="113"/>
      <c r="D3791" s="114"/>
      <c r="P3791" s="82"/>
      <c r="Q3791" s="82"/>
      <c r="R3791" s="38"/>
      <c r="S3791" s="38"/>
      <c r="T3791" s="38"/>
      <c r="U3791" s="38"/>
      <c r="V3791" s="38"/>
      <c r="W3791" s="38"/>
      <c r="X3791" s="38"/>
      <c r="Y3791" s="38"/>
      <c r="Z3791" s="38"/>
      <c r="AA3791" s="38"/>
      <c r="AB3791" s="38"/>
      <c r="AC3791" s="38"/>
      <c r="AD3791" s="38"/>
      <c r="AE3791" s="38"/>
      <c r="AF3791" s="38"/>
      <c r="AG3791" s="38"/>
      <c r="AH3791" s="38"/>
    </row>
    <row r="3792" spans="3:34" ht="20.100000000000001" customHeight="1">
      <c r="C3792" s="113"/>
      <c r="D3792" s="114"/>
      <c r="P3792" s="82"/>
      <c r="Q3792" s="82"/>
      <c r="R3792" s="38"/>
      <c r="S3792" s="38"/>
      <c r="T3792" s="38"/>
      <c r="U3792" s="38"/>
      <c r="V3792" s="38"/>
      <c r="W3792" s="38"/>
      <c r="X3792" s="38"/>
      <c r="Y3792" s="38"/>
      <c r="Z3792" s="38"/>
      <c r="AA3792" s="38"/>
      <c r="AB3792" s="38"/>
      <c r="AC3792" s="38"/>
      <c r="AD3792" s="38"/>
      <c r="AE3792" s="38"/>
      <c r="AF3792" s="38"/>
      <c r="AG3792" s="38"/>
      <c r="AH3792" s="38"/>
    </row>
    <row r="3793" spans="3:34" ht="20.100000000000001" customHeight="1">
      <c r="C3793" s="113"/>
      <c r="D3793" s="114"/>
      <c r="P3793" s="82"/>
      <c r="Q3793" s="82"/>
      <c r="R3793" s="38"/>
      <c r="S3793" s="38"/>
      <c r="T3793" s="38"/>
      <c r="U3793" s="38"/>
      <c r="V3793" s="38"/>
      <c r="W3793" s="38"/>
      <c r="X3793" s="38"/>
      <c r="Y3793" s="38"/>
      <c r="Z3793" s="38"/>
      <c r="AA3793" s="38"/>
      <c r="AB3793" s="38"/>
      <c r="AC3793" s="38"/>
      <c r="AD3793" s="38"/>
      <c r="AE3793" s="38"/>
      <c r="AF3793" s="38"/>
      <c r="AG3793" s="38"/>
      <c r="AH3793" s="38"/>
    </row>
    <row r="3794" spans="3:34" ht="20.100000000000001" customHeight="1">
      <c r="C3794" s="113"/>
      <c r="D3794" s="114"/>
      <c r="P3794" s="82"/>
      <c r="Q3794" s="82"/>
      <c r="R3794" s="38"/>
      <c r="S3794" s="38"/>
      <c r="T3794" s="38"/>
      <c r="U3794" s="38"/>
      <c r="V3794" s="38"/>
      <c r="W3794" s="38"/>
      <c r="X3794" s="38"/>
      <c r="Y3794" s="38"/>
      <c r="Z3794" s="38"/>
      <c r="AA3794" s="38"/>
      <c r="AB3794" s="38"/>
      <c r="AC3794" s="38"/>
      <c r="AD3794" s="38"/>
      <c r="AE3794" s="38"/>
      <c r="AF3794" s="38"/>
      <c r="AG3794" s="38"/>
      <c r="AH3794" s="38"/>
    </row>
    <row r="3795" spans="3:34" ht="20.100000000000001" customHeight="1">
      <c r="C3795" s="113"/>
      <c r="D3795" s="114"/>
      <c r="P3795" s="82"/>
      <c r="Q3795" s="82"/>
      <c r="R3795" s="38"/>
      <c r="S3795" s="38"/>
      <c r="T3795" s="38"/>
      <c r="U3795" s="38"/>
      <c r="V3795" s="38"/>
      <c r="W3795" s="38"/>
      <c r="X3795" s="38"/>
      <c r="Y3795" s="38"/>
      <c r="Z3795" s="38"/>
      <c r="AA3795" s="38"/>
      <c r="AB3795" s="38"/>
      <c r="AC3795" s="38"/>
      <c r="AD3795" s="38"/>
      <c r="AE3795" s="38"/>
      <c r="AF3795" s="38"/>
      <c r="AG3795" s="38"/>
      <c r="AH3795" s="38"/>
    </row>
    <row r="3796" spans="3:34" ht="20.100000000000001" customHeight="1">
      <c r="C3796" s="113"/>
      <c r="D3796" s="114"/>
      <c r="P3796" s="82"/>
      <c r="Q3796" s="82"/>
      <c r="R3796" s="38"/>
      <c r="S3796" s="38"/>
      <c r="T3796" s="38"/>
      <c r="U3796" s="38"/>
      <c r="V3796" s="38"/>
      <c r="W3796" s="38"/>
      <c r="X3796" s="38"/>
      <c r="Y3796" s="38"/>
      <c r="Z3796" s="38"/>
      <c r="AA3796" s="38"/>
      <c r="AB3796" s="38"/>
      <c r="AC3796" s="38"/>
      <c r="AD3796" s="38"/>
      <c r="AE3796" s="38"/>
      <c r="AF3796" s="38"/>
      <c r="AG3796" s="38"/>
      <c r="AH3796" s="38"/>
    </row>
    <row r="3797" spans="3:34" ht="20.100000000000001" customHeight="1">
      <c r="C3797" s="113"/>
      <c r="D3797" s="114"/>
      <c r="P3797" s="82"/>
      <c r="Q3797" s="82"/>
      <c r="R3797" s="38"/>
      <c r="S3797" s="38"/>
      <c r="T3797" s="38"/>
      <c r="U3797" s="38"/>
      <c r="V3797" s="38"/>
      <c r="W3797" s="38"/>
      <c r="X3797" s="38"/>
      <c r="Y3797" s="38"/>
      <c r="Z3797" s="38"/>
      <c r="AA3797" s="38"/>
      <c r="AB3797" s="38"/>
      <c r="AC3797" s="38"/>
      <c r="AD3797" s="38"/>
      <c r="AE3797" s="38"/>
      <c r="AF3797" s="38"/>
      <c r="AG3797" s="38"/>
      <c r="AH3797" s="38"/>
    </row>
    <row r="3798" spans="3:34" ht="20.100000000000001" customHeight="1">
      <c r="C3798" s="113"/>
      <c r="D3798" s="114"/>
      <c r="P3798" s="82"/>
      <c r="Q3798" s="82"/>
      <c r="R3798" s="38"/>
      <c r="S3798" s="38"/>
      <c r="T3798" s="38"/>
      <c r="U3798" s="38"/>
      <c r="V3798" s="38"/>
      <c r="W3798" s="38"/>
      <c r="X3798" s="38"/>
      <c r="Y3798" s="38"/>
      <c r="Z3798" s="38"/>
      <c r="AA3798" s="38"/>
      <c r="AB3798" s="38"/>
      <c r="AC3798" s="38"/>
      <c r="AD3798" s="38"/>
      <c r="AE3798" s="38"/>
      <c r="AF3798" s="38"/>
      <c r="AG3798" s="38"/>
      <c r="AH3798" s="38"/>
    </row>
    <row r="3799" spans="3:34" ht="20.100000000000001" customHeight="1">
      <c r="C3799" s="113"/>
      <c r="D3799" s="114"/>
      <c r="P3799" s="82"/>
      <c r="Q3799" s="82"/>
      <c r="R3799" s="38"/>
      <c r="S3799" s="38"/>
      <c r="T3799" s="38"/>
      <c r="U3799" s="38"/>
      <c r="V3799" s="38"/>
      <c r="W3799" s="38"/>
      <c r="X3799" s="38"/>
      <c r="Y3799" s="38"/>
      <c r="Z3799" s="38"/>
      <c r="AA3799" s="38"/>
      <c r="AB3799" s="38"/>
      <c r="AC3799" s="38"/>
      <c r="AD3799" s="38"/>
      <c r="AE3799" s="38"/>
      <c r="AF3799" s="38"/>
      <c r="AG3799" s="38"/>
      <c r="AH3799" s="38"/>
    </row>
    <row r="3800" spans="3:34" ht="20.100000000000001" customHeight="1">
      <c r="C3800" s="113"/>
      <c r="D3800" s="114"/>
      <c r="P3800" s="82"/>
      <c r="Q3800" s="82"/>
      <c r="R3800" s="38"/>
      <c r="S3800" s="38"/>
      <c r="T3800" s="38"/>
      <c r="U3800" s="38"/>
      <c r="V3800" s="38"/>
      <c r="W3800" s="38"/>
      <c r="X3800" s="38"/>
      <c r="Y3800" s="38"/>
      <c r="Z3800" s="38"/>
      <c r="AA3800" s="38"/>
      <c r="AB3800" s="38"/>
      <c r="AC3800" s="38"/>
      <c r="AD3800" s="38"/>
      <c r="AE3800" s="38"/>
      <c r="AF3800" s="38"/>
      <c r="AG3800" s="38"/>
      <c r="AH3800" s="38"/>
    </row>
    <row r="3801" spans="3:34" ht="20.100000000000001" customHeight="1">
      <c r="C3801" s="113"/>
      <c r="D3801" s="114"/>
      <c r="P3801" s="82"/>
      <c r="Q3801" s="82"/>
      <c r="R3801" s="38"/>
      <c r="S3801" s="38"/>
      <c r="T3801" s="38"/>
      <c r="U3801" s="38"/>
      <c r="V3801" s="38"/>
      <c r="W3801" s="38"/>
      <c r="X3801" s="38"/>
      <c r="Y3801" s="38"/>
      <c r="Z3801" s="38"/>
      <c r="AA3801" s="38"/>
      <c r="AB3801" s="38"/>
      <c r="AC3801" s="38"/>
      <c r="AD3801" s="38"/>
      <c r="AE3801" s="38"/>
      <c r="AF3801" s="38"/>
      <c r="AG3801" s="38"/>
      <c r="AH3801" s="38"/>
    </row>
    <row r="3802" spans="3:34" ht="20.100000000000001" customHeight="1">
      <c r="C3802" s="113"/>
      <c r="D3802" s="114"/>
      <c r="P3802" s="82"/>
      <c r="Q3802" s="82"/>
      <c r="R3802" s="38"/>
      <c r="S3802" s="38"/>
      <c r="T3802" s="38"/>
      <c r="U3802" s="38"/>
      <c r="V3802" s="38"/>
      <c r="W3802" s="38"/>
      <c r="X3802" s="38"/>
      <c r="Y3802" s="38"/>
      <c r="Z3802" s="38"/>
      <c r="AA3802" s="38"/>
      <c r="AB3802" s="38"/>
      <c r="AC3802" s="38"/>
      <c r="AD3802" s="38"/>
      <c r="AE3802" s="38"/>
      <c r="AF3802" s="38"/>
      <c r="AG3802" s="38"/>
      <c r="AH3802" s="38"/>
    </row>
    <row r="3803" spans="3:34" ht="20.100000000000001" customHeight="1">
      <c r="C3803" s="113"/>
      <c r="D3803" s="114"/>
      <c r="P3803" s="82"/>
      <c r="Q3803" s="82"/>
      <c r="R3803" s="38"/>
      <c r="S3803" s="38"/>
      <c r="T3803" s="38"/>
      <c r="U3803" s="38"/>
      <c r="V3803" s="38"/>
      <c r="W3803" s="38"/>
      <c r="X3803" s="38"/>
      <c r="Y3803" s="38"/>
      <c r="Z3803" s="38"/>
      <c r="AA3803" s="38"/>
      <c r="AB3803" s="38"/>
      <c r="AC3803" s="38"/>
      <c r="AD3803" s="38"/>
      <c r="AE3803" s="38"/>
      <c r="AF3803" s="38"/>
      <c r="AG3803" s="38"/>
      <c r="AH3803" s="38"/>
    </row>
    <row r="3804" spans="3:34" ht="20.100000000000001" customHeight="1">
      <c r="C3804" s="113"/>
      <c r="D3804" s="114"/>
      <c r="P3804" s="82"/>
      <c r="Q3804" s="82"/>
      <c r="R3804" s="38"/>
      <c r="S3804" s="38"/>
      <c r="T3804" s="38"/>
      <c r="U3804" s="38"/>
      <c r="V3804" s="38"/>
      <c r="W3804" s="38"/>
      <c r="X3804" s="38"/>
      <c r="Y3804" s="38"/>
      <c r="Z3804" s="38"/>
      <c r="AA3804" s="38"/>
      <c r="AB3804" s="38"/>
      <c r="AC3804" s="38"/>
      <c r="AD3804" s="38"/>
      <c r="AE3804" s="38"/>
      <c r="AF3804" s="38"/>
      <c r="AG3804" s="38"/>
      <c r="AH3804" s="38"/>
    </row>
    <row r="3805" spans="3:34" ht="20.100000000000001" customHeight="1">
      <c r="C3805" s="113"/>
      <c r="D3805" s="114"/>
      <c r="P3805" s="82"/>
      <c r="Q3805" s="82"/>
      <c r="R3805" s="38"/>
      <c r="S3805" s="38"/>
      <c r="T3805" s="38"/>
      <c r="U3805" s="38"/>
      <c r="V3805" s="38"/>
      <c r="W3805" s="38"/>
      <c r="X3805" s="38"/>
      <c r="Y3805" s="38"/>
      <c r="Z3805" s="38"/>
      <c r="AA3805" s="38"/>
      <c r="AB3805" s="38"/>
      <c r="AC3805" s="38"/>
      <c r="AD3805" s="38"/>
      <c r="AE3805" s="38"/>
      <c r="AF3805" s="38"/>
      <c r="AG3805" s="38"/>
      <c r="AH3805" s="38"/>
    </row>
    <row r="3806" spans="3:34" ht="20.100000000000001" customHeight="1">
      <c r="C3806" s="113"/>
      <c r="D3806" s="114"/>
      <c r="P3806" s="82"/>
      <c r="Q3806" s="82"/>
      <c r="R3806" s="38"/>
      <c r="S3806" s="38"/>
      <c r="T3806" s="38"/>
      <c r="U3806" s="38"/>
      <c r="V3806" s="38"/>
      <c r="W3806" s="38"/>
      <c r="X3806" s="38"/>
      <c r="Y3806" s="38"/>
      <c r="Z3806" s="38"/>
      <c r="AA3806" s="38"/>
      <c r="AB3806" s="38"/>
      <c r="AC3806" s="38"/>
      <c r="AD3806" s="38"/>
      <c r="AE3806" s="38"/>
      <c r="AF3806" s="38"/>
      <c r="AG3806" s="38"/>
      <c r="AH3806" s="38"/>
    </row>
    <row r="3807" spans="3:34" ht="20.100000000000001" customHeight="1">
      <c r="C3807" s="113"/>
      <c r="D3807" s="114"/>
      <c r="P3807" s="82"/>
      <c r="Q3807" s="82"/>
      <c r="R3807" s="38"/>
      <c r="S3807" s="38"/>
      <c r="T3807" s="38"/>
      <c r="U3807" s="38"/>
      <c r="V3807" s="38"/>
      <c r="W3807" s="38"/>
      <c r="X3807" s="38"/>
      <c r="Y3807" s="38"/>
      <c r="Z3807" s="38"/>
      <c r="AA3807" s="38"/>
      <c r="AB3807" s="38"/>
      <c r="AC3807" s="38"/>
      <c r="AD3807" s="38"/>
      <c r="AE3807" s="38"/>
      <c r="AF3807" s="38"/>
      <c r="AG3807" s="38"/>
      <c r="AH3807" s="38"/>
    </row>
    <row r="3808" spans="3:34" ht="20.100000000000001" customHeight="1">
      <c r="C3808" s="113"/>
      <c r="D3808" s="114"/>
      <c r="P3808" s="82"/>
      <c r="Q3808" s="82"/>
      <c r="R3808" s="38"/>
      <c r="S3808" s="38"/>
      <c r="T3808" s="38"/>
      <c r="U3808" s="38"/>
      <c r="V3808" s="38"/>
      <c r="W3808" s="38"/>
      <c r="X3808" s="38"/>
      <c r="Y3808" s="38"/>
      <c r="Z3808" s="38"/>
      <c r="AA3808" s="38"/>
      <c r="AB3808" s="38"/>
      <c r="AC3808" s="38"/>
      <c r="AD3808" s="38"/>
      <c r="AE3808" s="38"/>
      <c r="AF3808" s="38"/>
      <c r="AG3808" s="38"/>
      <c r="AH3808" s="38"/>
    </row>
    <row r="3809" spans="3:34" ht="20.100000000000001" customHeight="1">
      <c r="C3809" s="113"/>
      <c r="D3809" s="114"/>
      <c r="P3809" s="82"/>
      <c r="Q3809" s="82"/>
      <c r="R3809" s="38"/>
      <c r="S3809" s="38"/>
      <c r="T3809" s="38"/>
      <c r="U3809" s="38"/>
      <c r="V3809" s="38"/>
      <c r="W3809" s="38"/>
      <c r="X3809" s="38"/>
      <c r="Y3809" s="38"/>
      <c r="Z3809" s="38"/>
      <c r="AA3809" s="38"/>
      <c r="AB3809" s="38"/>
      <c r="AC3809" s="38"/>
      <c r="AD3809" s="38"/>
      <c r="AE3809" s="38"/>
      <c r="AF3809" s="38"/>
      <c r="AG3809" s="38"/>
      <c r="AH3809" s="38"/>
    </row>
    <row r="3810" spans="3:34" ht="20.100000000000001" customHeight="1">
      <c r="C3810" s="113"/>
      <c r="D3810" s="114"/>
      <c r="P3810" s="82"/>
      <c r="Q3810" s="82"/>
      <c r="R3810" s="38"/>
      <c r="S3810" s="38"/>
      <c r="T3810" s="38"/>
      <c r="U3810" s="38"/>
      <c r="V3810" s="38"/>
      <c r="W3810" s="38"/>
      <c r="X3810" s="38"/>
      <c r="Y3810" s="38"/>
      <c r="Z3810" s="38"/>
      <c r="AA3810" s="38"/>
      <c r="AB3810" s="38"/>
      <c r="AC3810" s="38"/>
      <c r="AD3810" s="38"/>
      <c r="AE3810" s="38"/>
      <c r="AF3810" s="38"/>
      <c r="AG3810" s="38"/>
      <c r="AH3810" s="38"/>
    </row>
    <row r="3811" spans="3:34" ht="20.100000000000001" customHeight="1">
      <c r="C3811" s="113"/>
      <c r="D3811" s="114"/>
      <c r="P3811" s="82"/>
      <c r="Q3811" s="82"/>
      <c r="R3811" s="38"/>
      <c r="S3811" s="38"/>
      <c r="T3811" s="38"/>
      <c r="U3811" s="38"/>
      <c r="V3811" s="38"/>
      <c r="W3811" s="38"/>
      <c r="X3811" s="38"/>
      <c r="Y3811" s="38"/>
      <c r="Z3811" s="38"/>
      <c r="AA3811" s="38"/>
      <c r="AB3811" s="38"/>
      <c r="AC3811" s="38"/>
      <c r="AD3811" s="38"/>
      <c r="AE3811" s="38"/>
      <c r="AF3811" s="38"/>
      <c r="AG3811" s="38"/>
      <c r="AH3811" s="38"/>
    </row>
    <row r="3812" spans="3:34" ht="20.100000000000001" customHeight="1">
      <c r="C3812" s="113"/>
      <c r="D3812" s="114"/>
      <c r="P3812" s="82"/>
      <c r="Q3812" s="82"/>
      <c r="R3812" s="38"/>
      <c r="S3812" s="38"/>
      <c r="T3812" s="38"/>
      <c r="U3812" s="38"/>
      <c r="V3812" s="38"/>
      <c r="W3812" s="38"/>
      <c r="X3812" s="38"/>
      <c r="Y3812" s="38"/>
      <c r="Z3812" s="38"/>
      <c r="AA3812" s="38"/>
      <c r="AB3812" s="38"/>
      <c r="AC3812" s="38"/>
      <c r="AD3812" s="38"/>
      <c r="AE3812" s="38"/>
      <c r="AF3812" s="38"/>
      <c r="AG3812" s="38"/>
      <c r="AH3812" s="38"/>
    </row>
    <row r="3813" spans="3:34" ht="20.100000000000001" customHeight="1">
      <c r="C3813" s="113"/>
      <c r="D3813" s="114"/>
      <c r="P3813" s="82"/>
      <c r="Q3813" s="82"/>
      <c r="R3813" s="38"/>
      <c r="S3813" s="38"/>
      <c r="T3813" s="38"/>
      <c r="U3813" s="38"/>
      <c r="V3813" s="38"/>
      <c r="W3813" s="38"/>
      <c r="X3813" s="38"/>
      <c r="Y3813" s="38"/>
      <c r="Z3813" s="38"/>
      <c r="AA3813" s="38"/>
      <c r="AB3813" s="38"/>
      <c r="AC3813" s="38"/>
      <c r="AD3813" s="38"/>
      <c r="AE3813" s="38"/>
      <c r="AF3813" s="38"/>
      <c r="AG3813" s="38"/>
      <c r="AH3813" s="38"/>
    </row>
    <row r="3814" spans="3:34" ht="20.100000000000001" customHeight="1">
      <c r="C3814" s="113"/>
      <c r="D3814" s="114"/>
      <c r="P3814" s="82"/>
      <c r="Q3814" s="82"/>
      <c r="R3814" s="38"/>
      <c r="S3814" s="38"/>
      <c r="T3814" s="38"/>
      <c r="U3814" s="38"/>
      <c r="V3814" s="38"/>
      <c r="W3814" s="38"/>
      <c r="X3814" s="38"/>
      <c r="Y3814" s="38"/>
      <c r="Z3814" s="38"/>
      <c r="AA3814" s="38"/>
      <c r="AB3814" s="38"/>
      <c r="AC3814" s="38"/>
      <c r="AD3814" s="38"/>
      <c r="AE3814" s="38"/>
      <c r="AF3814" s="38"/>
      <c r="AG3814" s="38"/>
      <c r="AH3814" s="38"/>
    </row>
    <row r="3815" spans="3:34" ht="20.100000000000001" customHeight="1">
      <c r="C3815" s="113"/>
      <c r="D3815" s="114"/>
      <c r="P3815" s="82"/>
      <c r="Q3815" s="82"/>
      <c r="R3815" s="38"/>
      <c r="S3815" s="38"/>
      <c r="T3815" s="38"/>
      <c r="U3815" s="38"/>
      <c r="V3815" s="38"/>
      <c r="W3815" s="38"/>
      <c r="X3815" s="38"/>
      <c r="Y3815" s="38"/>
      <c r="Z3815" s="38"/>
      <c r="AA3815" s="38"/>
      <c r="AB3815" s="38"/>
      <c r="AC3815" s="38"/>
      <c r="AD3815" s="38"/>
      <c r="AE3815" s="38"/>
      <c r="AF3815" s="38"/>
      <c r="AG3815" s="38"/>
      <c r="AH3815" s="38"/>
    </row>
    <row r="3816" spans="3:34" ht="20.100000000000001" customHeight="1">
      <c r="C3816" s="113"/>
      <c r="D3816" s="114"/>
      <c r="P3816" s="82"/>
      <c r="Q3816" s="82"/>
      <c r="R3816" s="38"/>
      <c r="S3816" s="38"/>
      <c r="T3816" s="38"/>
      <c r="U3816" s="38"/>
      <c r="V3816" s="38"/>
      <c r="W3816" s="38"/>
      <c r="X3816" s="38"/>
      <c r="Y3816" s="38"/>
      <c r="Z3816" s="38"/>
      <c r="AA3816" s="38"/>
      <c r="AB3816" s="38"/>
      <c r="AC3816" s="38"/>
      <c r="AD3816" s="38"/>
      <c r="AE3816" s="38"/>
      <c r="AF3816" s="38"/>
      <c r="AG3816" s="38"/>
      <c r="AH3816" s="38"/>
    </row>
    <row r="3817" spans="3:34" ht="20.100000000000001" customHeight="1">
      <c r="C3817" s="113"/>
      <c r="D3817" s="114"/>
      <c r="P3817" s="82"/>
      <c r="Q3817" s="82"/>
      <c r="R3817" s="38"/>
      <c r="S3817" s="38"/>
      <c r="T3817" s="38"/>
      <c r="U3817" s="38"/>
      <c r="V3817" s="38"/>
      <c r="W3817" s="38"/>
      <c r="X3817" s="38"/>
      <c r="Y3817" s="38"/>
      <c r="Z3817" s="38"/>
      <c r="AA3817" s="38"/>
      <c r="AB3817" s="38"/>
      <c r="AC3817" s="38"/>
      <c r="AD3817" s="38"/>
      <c r="AE3817" s="38"/>
      <c r="AF3817" s="38"/>
      <c r="AG3817" s="38"/>
      <c r="AH3817" s="38"/>
    </row>
    <row r="3818" spans="3:34" ht="20.100000000000001" customHeight="1">
      <c r="C3818" s="113"/>
      <c r="D3818" s="114"/>
      <c r="P3818" s="82"/>
      <c r="Q3818" s="82"/>
      <c r="R3818" s="38"/>
      <c r="S3818" s="38"/>
      <c r="T3818" s="38"/>
      <c r="U3818" s="38"/>
      <c r="V3818" s="38"/>
      <c r="W3818" s="38"/>
      <c r="X3818" s="38"/>
      <c r="Y3818" s="38"/>
      <c r="Z3818" s="38"/>
      <c r="AA3818" s="38"/>
      <c r="AB3818" s="38"/>
      <c r="AC3818" s="38"/>
      <c r="AD3818" s="38"/>
      <c r="AE3818" s="38"/>
      <c r="AF3818" s="38"/>
      <c r="AG3818" s="38"/>
      <c r="AH3818" s="38"/>
    </row>
    <row r="3819" spans="3:34" ht="20.100000000000001" customHeight="1">
      <c r="C3819" s="113"/>
      <c r="D3819" s="114"/>
      <c r="P3819" s="82"/>
      <c r="Q3819" s="82"/>
      <c r="R3819" s="38"/>
      <c r="S3819" s="38"/>
      <c r="T3819" s="38"/>
      <c r="U3819" s="38"/>
      <c r="V3819" s="38"/>
      <c r="W3819" s="38"/>
      <c r="X3819" s="38"/>
      <c r="Y3819" s="38"/>
      <c r="Z3819" s="38"/>
      <c r="AA3819" s="38"/>
      <c r="AB3819" s="38"/>
      <c r="AC3819" s="38"/>
      <c r="AD3819" s="38"/>
      <c r="AE3819" s="38"/>
      <c r="AF3819" s="38"/>
      <c r="AG3819" s="38"/>
      <c r="AH3819" s="38"/>
    </row>
    <row r="3820" spans="3:34" ht="20.100000000000001" customHeight="1">
      <c r="C3820" s="113"/>
      <c r="D3820" s="114"/>
      <c r="P3820" s="82"/>
      <c r="Q3820" s="82"/>
      <c r="R3820" s="38"/>
      <c r="S3820" s="38"/>
      <c r="T3820" s="38"/>
      <c r="U3820" s="38"/>
      <c r="V3820" s="38"/>
      <c r="W3820" s="38"/>
      <c r="X3820" s="38"/>
      <c r="Y3820" s="38"/>
      <c r="Z3820" s="38"/>
      <c r="AA3820" s="38"/>
      <c r="AB3820" s="38"/>
      <c r="AC3820" s="38"/>
      <c r="AD3820" s="38"/>
      <c r="AE3820" s="38"/>
      <c r="AF3820" s="38"/>
      <c r="AG3820" s="38"/>
      <c r="AH3820" s="38"/>
    </row>
    <row r="3821" spans="3:34" ht="20.100000000000001" customHeight="1">
      <c r="C3821" s="113"/>
      <c r="D3821" s="114"/>
      <c r="P3821" s="82"/>
      <c r="Q3821" s="82"/>
      <c r="R3821" s="38"/>
      <c r="S3821" s="38"/>
      <c r="T3821" s="38"/>
      <c r="U3821" s="38"/>
      <c r="V3821" s="38"/>
      <c r="W3821" s="38"/>
      <c r="X3821" s="38"/>
      <c r="Y3821" s="38"/>
      <c r="Z3821" s="38"/>
      <c r="AA3821" s="38"/>
      <c r="AB3821" s="38"/>
      <c r="AC3821" s="38"/>
      <c r="AD3821" s="38"/>
      <c r="AE3821" s="38"/>
      <c r="AF3821" s="38"/>
      <c r="AG3821" s="38"/>
      <c r="AH3821" s="38"/>
    </row>
    <row r="3822" spans="3:34" ht="20.100000000000001" customHeight="1">
      <c r="C3822" s="113"/>
      <c r="D3822" s="114"/>
      <c r="P3822" s="82"/>
      <c r="Q3822" s="82"/>
      <c r="R3822" s="38"/>
      <c r="S3822" s="38"/>
      <c r="T3822" s="38"/>
      <c r="U3822" s="38"/>
      <c r="V3822" s="38"/>
      <c r="W3822" s="38"/>
      <c r="X3822" s="38"/>
      <c r="Y3822" s="38"/>
      <c r="Z3822" s="38"/>
      <c r="AA3822" s="38"/>
      <c r="AB3822" s="38"/>
      <c r="AC3822" s="38"/>
      <c r="AD3822" s="38"/>
      <c r="AE3822" s="38"/>
      <c r="AF3822" s="38"/>
      <c r="AG3822" s="38"/>
      <c r="AH3822" s="38"/>
    </row>
    <row r="3823" spans="3:34" ht="20.100000000000001" customHeight="1">
      <c r="C3823" s="113"/>
      <c r="D3823" s="114"/>
      <c r="P3823" s="82"/>
      <c r="Q3823" s="82"/>
      <c r="R3823" s="38"/>
      <c r="S3823" s="38"/>
      <c r="T3823" s="38"/>
      <c r="U3823" s="38"/>
      <c r="V3823" s="38"/>
      <c r="W3823" s="38"/>
      <c r="X3823" s="38"/>
      <c r="Y3823" s="38"/>
      <c r="Z3823" s="38"/>
      <c r="AA3823" s="38"/>
      <c r="AB3823" s="38"/>
      <c r="AC3823" s="38"/>
      <c r="AD3823" s="38"/>
      <c r="AE3823" s="38"/>
      <c r="AF3823" s="38"/>
      <c r="AG3823" s="38"/>
      <c r="AH3823" s="38"/>
    </row>
    <row r="3824" spans="3:34" ht="20.100000000000001" customHeight="1">
      <c r="C3824" s="113"/>
      <c r="D3824" s="114"/>
      <c r="P3824" s="82"/>
      <c r="Q3824" s="82"/>
      <c r="R3824" s="38"/>
      <c r="S3824" s="38"/>
      <c r="T3824" s="38"/>
      <c r="U3824" s="38"/>
      <c r="V3824" s="38"/>
      <c r="W3824" s="38"/>
      <c r="X3824" s="38"/>
      <c r="Y3824" s="38"/>
      <c r="Z3824" s="38"/>
      <c r="AA3824" s="38"/>
      <c r="AB3824" s="38"/>
      <c r="AC3824" s="38"/>
      <c r="AD3824" s="38"/>
      <c r="AE3824" s="38"/>
      <c r="AF3824" s="38"/>
      <c r="AG3824" s="38"/>
      <c r="AH3824" s="38"/>
    </row>
    <row r="3825" spans="3:34" ht="20.100000000000001" customHeight="1">
      <c r="C3825" s="113"/>
      <c r="D3825" s="114"/>
      <c r="P3825" s="82"/>
      <c r="Q3825" s="82"/>
      <c r="R3825" s="38"/>
      <c r="S3825" s="38"/>
      <c r="T3825" s="38"/>
      <c r="U3825" s="38"/>
      <c r="V3825" s="38"/>
      <c r="W3825" s="38"/>
      <c r="X3825" s="38"/>
      <c r="Y3825" s="38"/>
      <c r="Z3825" s="38"/>
      <c r="AA3825" s="38"/>
      <c r="AB3825" s="38"/>
      <c r="AC3825" s="38"/>
      <c r="AD3825" s="38"/>
      <c r="AE3825" s="38"/>
      <c r="AF3825" s="38"/>
      <c r="AG3825" s="38"/>
      <c r="AH3825" s="38"/>
    </row>
    <row r="3826" spans="3:34" ht="20.100000000000001" customHeight="1">
      <c r="C3826" s="113"/>
      <c r="D3826" s="114"/>
      <c r="P3826" s="82"/>
      <c r="Q3826" s="82"/>
      <c r="R3826" s="38"/>
      <c r="S3826" s="38"/>
      <c r="T3826" s="38"/>
      <c r="U3826" s="38"/>
      <c r="V3826" s="38"/>
      <c r="W3826" s="38"/>
      <c r="X3826" s="38"/>
      <c r="Y3826" s="38"/>
      <c r="Z3826" s="38"/>
      <c r="AA3826" s="38"/>
      <c r="AB3826" s="38"/>
      <c r="AC3826" s="38"/>
      <c r="AD3826" s="38"/>
      <c r="AE3826" s="38"/>
      <c r="AF3826" s="38"/>
      <c r="AG3826" s="38"/>
      <c r="AH3826" s="38"/>
    </row>
    <row r="3827" spans="3:34" ht="20.100000000000001" customHeight="1">
      <c r="C3827" s="113"/>
      <c r="D3827" s="114"/>
      <c r="P3827" s="82"/>
      <c r="Q3827" s="82"/>
      <c r="R3827" s="38"/>
      <c r="S3827" s="38"/>
      <c r="T3827" s="38"/>
      <c r="U3827" s="38"/>
      <c r="V3827" s="38"/>
      <c r="W3827" s="38"/>
      <c r="X3827" s="38"/>
      <c r="Y3827" s="38"/>
      <c r="Z3827" s="38"/>
      <c r="AA3827" s="38"/>
      <c r="AB3827" s="38"/>
      <c r="AC3827" s="38"/>
      <c r="AD3827" s="38"/>
      <c r="AE3827" s="38"/>
      <c r="AF3827" s="38"/>
      <c r="AG3827" s="38"/>
      <c r="AH3827" s="38"/>
    </row>
    <row r="3828" spans="3:34" ht="20.100000000000001" customHeight="1">
      <c r="C3828" s="113"/>
      <c r="D3828" s="114"/>
      <c r="P3828" s="82"/>
      <c r="Q3828" s="82"/>
      <c r="R3828" s="38"/>
      <c r="S3828" s="38"/>
      <c r="T3828" s="38"/>
      <c r="U3828" s="38"/>
      <c r="V3828" s="38"/>
      <c r="W3828" s="38"/>
      <c r="X3828" s="38"/>
      <c r="Y3828" s="38"/>
      <c r="Z3828" s="38"/>
      <c r="AA3828" s="38"/>
      <c r="AB3828" s="38"/>
      <c r="AC3828" s="38"/>
      <c r="AD3828" s="38"/>
      <c r="AE3828" s="38"/>
      <c r="AF3828" s="38"/>
      <c r="AG3828" s="38"/>
      <c r="AH3828" s="38"/>
    </row>
    <row r="3829" spans="3:34" ht="20.100000000000001" customHeight="1">
      <c r="C3829" s="113"/>
      <c r="D3829" s="114"/>
      <c r="P3829" s="82"/>
      <c r="Q3829" s="82"/>
      <c r="R3829" s="38"/>
      <c r="S3829" s="38"/>
      <c r="T3829" s="38"/>
      <c r="U3829" s="38"/>
      <c r="V3829" s="38"/>
      <c r="W3829" s="38"/>
      <c r="X3829" s="38"/>
      <c r="Y3829" s="38"/>
      <c r="Z3829" s="38"/>
      <c r="AA3829" s="38"/>
      <c r="AB3829" s="38"/>
      <c r="AC3829" s="38"/>
      <c r="AD3829" s="38"/>
      <c r="AE3829" s="38"/>
      <c r="AF3829" s="38"/>
      <c r="AG3829" s="38"/>
      <c r="AH3829" s="38"/>
    </row>
    <row r="3830" spans="3:34" ht="20.100000000000001" customHeight="1">
      <c r="C3830" s="113"/>
      <c r="D3830" s="114"/>
      <c r="P3830" s="82"/>
      <c r="Q3830" s="82"/>
      <c r="R3830" s="38"/>
      <c r="S3830" s="38"/>
      <c r="T3830" s="38"/>
      <c r="U3830" s="38"/>
      <c r="V3830" s="38"/>
      <c r="W3830" s="38"/>
      <c r="X3830" s="38"/>
      <c r="Y3830" s="38"/>
      <c r="Z3830" s="38"/>
      <c r="AA3830" s="38"/>
      <c r="AB3830" s="38"/>
      <c r="AC3830" s="38"/>
      <c r="AD3830" s="38"/>
      <c r="AE3830" s="38"/>
      <c r="AF3830" s="38"/>
      <c r="AG3830" s="38"/>
      <c r="AH3830" s="38"/>
    </row>
    <row r="3831" spans="3:34" ht="20.100000000000001" customHeight="1">
      <c r="C3831" s="113"/>
      <c r="D3831" s="114"/>
      <c r="P3831" s="82"/>
      <c r="Q3831" s="82"/>
      <c r="R3831" s="38"/>
      <c r="S3831" s="38"/>
      <c r="T3831" s="38"/>
      <c r="U3831" s="38"/>
      <c r="V3831" s="38"/>
      <c r="W3831" s="38"/>
      <c r="X3831" s="38"/>
      <c r="Y3831" s="38"/>
      <c r="Z3831" s="38"/>
      <c r="AA3831" s="38"/>
      <c r="AB3831" s="38"/>
      <c r="AC3831" s="38"/>
      <c r="AD3831" s="38"/>
      <c r="AE3831" s="38"/>
      <c r="AF3831" s="38"/>
      <c r="AG3831" s="38"/>
      <c r="AH3831" s="38"/>
    </row>
    <row r="3832" spans="3:34" ht="20.100000000000001" customHeight="1">
      <c r="C3832" s="113"/>
      <c r="D3832" s="114"/>
      <c r="P3832" s="82"/>
      <c r="Q3832" s="82"/>
      <c r="R3832" s="38"/>
      <c r="S3832" s="38"/>
      <c r="T3832" s="38"/>
      <c r="U3832" s="38"/>
      <c r="V3832" s="38"/>
      <c r="W3832" s="38"/>
      <c r="X3832" s="38"/>
      <c r="Y3832" s="38"/>
      <c r="Z3832" s="38"/>
      <c r="AA3832" s="38"/>
      <c r="AB3832" s="38"/>
      <c r="AC3832" s="38"/>
      <c r="AD3832" s="38"/>
      <c r="AE3832" s="38"/>
      <c r="AF3832" s="38"/>
      <c r="AG3832" s="38"/>
      <c r="AH3832" s="38"/>
    </row>
    <row r="3833" spans="3:34" ht="20.100000000000001" customHeight="1">
      <c r="C3833" s="113"/>
      <c r="D3833" s="114"/>
      <c r="P3833" s="82"/>
      <c r="Q3833" s="82"/>
      <c r="R3833" s="38"/>
      <c r="S3833" s="38"/>
      <c r="T3833" s="38"/>
      <c r="U3833" s="38"/>
      <c r="V3833" s="38"/>
      <c r="W3833" s="38"/>
      <c r="X3833" s="38"/>
      <c r="Y3833" s="38"/>
      <c r="Z3833" s="38"/>
      <c r="AA3833" s="38"/>
      <c r="AB3833" s="38"/>
      <c r="AC3833" s="38"/>
      <c r="AD3833" s="38"/>
      <c r="AE3833" s="38"/>
      <c r="AF3833" s="38"/>
      <c r="AG3833" s="38"/>
      <c r="AH3833" s="38"/>
    </row>
    <row r="3834" spans="3:34" ht="20.100000000000001" customHeight="1">
      <c r="C3834" s="113"/>
      <c r="D3834" s="114"/>
      <c r="P3834" s="82"/>
      <c r="Q3834" s="82"/>
      <c r="R3834" s="38"/>
      <c r="S3834" s="38"/>
      <c r="T3834" s="38"/>
      <c r="U3834" s="38"/>
      <c r="V3834" s="38"/>
      <c r="W3834" s="38"/>
      <c r="X3834" s="38"/>
      <c r="Y3834" s="38"/>
      <c r="Z3834" s="38"/>
      <c r="AA3834" s="38"/>
      <c r="AB3834" s="38"/>
      <c r="AC3834" s="38"/>
      <c r="AD3834" s="38"/>
      <c r="AE3834" s="38"/>
      <c r="AF3834" s="38"/>
      <c r="AG3834" s="38"/>
      <c r="AH3834" s="38"/>
    </row>
    <row r="3835" spans="3:34" ht="20.100000000000001" customHeight="1">
      <c r="C3835" s="113"/>
      <c r="D3835" s="114"/>
      <c r="P3835" s="82"/>
      <c r="Q3835" s="82"/>
      <c r="R3835" s="38"/>
      <c r="S3835" s="38"/>
      <c r="T3835" s="38"/>
      <c r="U3835" s="38"/>
      <c r="V3835" s="38"/>
      <c r="W3835" s="38"/>
      <c r="X3835" s="38"/>
      <c r="Y3835" s="38"/>
      <c r="Z3835" s="38"/>
      <c r="AA3835" s="38"/>
      <c r="AB3835" s="38"/>
      <c r="AC3835" s="38"/>
      <c r="AD3835" s="38"/>
      <c r="AE3835" s="38"/>
      <c r="AF3835" s="38"/>
      <c r="AG3835" s="38"/>
      <c r="AH3835" s="38"/>
    </row>
    <row r="3836" spans="3:34" ht="20.100000000000001" customHeight="1">
      <c r="C3836" s="113"/>
      <c r="D3836" s="114"/>
      <c r="P3836" s="82"/>
      <c r="Q3836" s="82"/>
      <c r="R3836" s="38"/>
      <c r="S3836" s="38"/>
      <c r="T3836" s="38"/>
      <c r="U3836" s="38"/>
      <c r="V3836" s="38"/>
      <c r="W3836" s="38"/>
      <c r="X3836" s="38"/>
      <c r="Y3836" s="38"/>
      <c r="Z3836" s="38"/>
      <c r="AA3836" s="38"/>
      <c r="AB3836" s="38"/>
      <c r="AC3836" s="38"/>
      <c r="AD3836" s="38"/>
      <c r="AE3836" s="38"/>
      <c r="AF3836" s="38"/>
      <c r="AG3836" s="38"/>
      <c r="AH3836" s="38"/>
    </row>
    <row r="3837" spans="3:34" ht="20.100000000000001" customHeight="1">
      <c r="C3837" s="113"/>
      <c r="D3837" s="114"/>
      <c r="P3837" s="82"/>
      <c r="Q3837" s="82"/>
      <c r="R3837" s="38"/>
      <c r="S3837" s="38"/>
      <c r="T3837" s="38"/>
      <c r="U3837" s="38"/>
      <c r="V3837" s="38"/>
      <c r="W3837" s="38"/>
      <c r="X3837" s="38"/>
      <c r="Y3837" s="38"/>
      <c r="Z3837" s="38"/>
      <c r="AA3837" s="38"/>
      <c r="AB3837" s="38"/>
      <c r="AC3837" s="38"/>
      <c r="AD3837" s="38"/>
      <c r="AE3837" s="38"/>
      <c r="AF3837" s="38"/>
      <c r="AG3837" s="38"/>
      <c r="AH3837" s="38"/>
    </row>
    <row r="3838" spans="3:34" ht="20.100000000000001" customHeight="1">
      <c r="C3838" s="113"/>
      <c r="D3838" s="114"/>
      <c r="P3838" s="82"/>
      <c r="Q3838" s="82"/>
      <c r="R3838" s="38"/>
      <c r="S3838" s="38"/>
      <c r="T3838" s="38"/>
      <c r="U3838" s="38"/>
      <c r="V3838" s="38"/>
      <c r="W3838" s="38"/>
      <c r="X3838" s="38"/>
      <c r="Y3838" s="38"/>
      <c r="Z3838" s="38"/>
      <c r="AA3838" s="38"/>
      <c r="AB3838" s="38"/>
      <c r="AC3838" s="38"/>
      <c r="AD3838" s="38"/>
      <c r="AE3838" s="38"/>
      <c r="AF3838" s="38"/>
      <c r="AG3838" s="38"/>
      <c r="AH3838" s="38"/>
    </row>
    <row r="3839" spans="3:34" ht="20.100000000000001" customHeight="1">
      <c r="C3839" s="113"/>
      <c r="D3839" s="114"/>
      <c r="P3839" s="82"/>
      <c r="Q3839" s="82"/>
      <c r="R3839" s="38"/>
      <c r="S3839" s="38"/>
      <c r="T3839" s="38"/>
      <c r="U3839" s="38"/>
      <c r="V3839" s="38"/>
      <c r="W3839" s="38"/>
      <c r="X3839" s="38"/>
      <c r="Y3839" s="38"/>
      <c r="Z3839" s="38"/>
      <c r="AA3839" s="38"/>
      <c r="AB3839" s="38"/>
      <c r="AC3839" s="38"/>
      <c r="AD3839" s="38"/>
      <c r="AE3839" s="38"/>
      <c r="AF3839" s="38"/>
      <c r="AG3839" s="38"/>
      <c r="AH3839" s="38"/>
    </row>
    <row r="3840" spans="3:34" ht="20.100000000000001" customHeight="1">
      <c r="C3840" s="113"/>
      <c r="D3840" s="114"/>
      <c r="P3840" s="82"/>
      <c r="Q3840" s="82"/>
      <c r="R3840" s="38"/>
      <c r="S3840" s="38"/>
      <c r="T3840" s="38"/>
      <c r="U3840" s="38"/>
      <c r="V3840" s="38"/>
      <c r="W3840" s="38"/>
      <c r="X3840" s="38"/>
      <c r="Y3840" s="38"/>
      <c r="Z3840" s="38"/>
      <c r="AA3840" s="38"/>
      <c r="AB3840" s="38"/>
      <c r="AC3840" s="38"/>
      <c r="AD3840" s="38"/>
      <c r="AE3840" s="38"/>
      <c r="AF3840" s="38"/>
      <c r="AG3840" s="38"/>
      <c r="AH3840" s="38"/>
    </row>
    <row r="3841" spans="3:34" ht="20.100000000000001" customHeight="1">
      <c r="C3841" s="113"/>
      <c r="D3841" s="114"/>
      <c r="P3841" s="82"/>
      <c r="Q3841" s="82"/>
      <c r="R3841" s="38"/>
      <c r="S3841" s="38"/>
      <c r="T3841" s="38"/>
      <c r="U3841" s="38"/>
      <c r="V3841" s="38"/>
      <c r="W3841" s="38"/>
      <c r="X3841" s="38"/>
      <c r="Y3841" s="38"/>
      <c r="Z3841" s="38"/>
      <c r="AA3841" s="38"/>
      <c r="AB3841" s="38"/>
      <c r="AC3841" s="38"/>
      <c r="AD3841" s="38"/>
      <c r="AE3841" s="38"/>
      <c r="AF3841" s="38"/>
      <c r="AG3841" s="38"/>
      <c r="AH3841" s="38"/>
    </row>
    <row r="3842" spans="3:34" ht="20.100000000000001" customHeight="1">
      <c r="C3842" s="113"/>
      <c r="D3842" s="114"/>
      <c r="P3842" s="82"/>
      <c r="Q3842" s="82"/>
      <c r="R3842" s="38"/>
      <c r="S3842" s="38"/>
      <c r="T3842" s="38"/>
      <c r="U3842" s="38"/>
      <c r="V3842" s="38"/>
      <c r="W3842" s="38"/>
      <c r="X3842" s="38"/>
      <c r="Y3842" s="38"/>
      <c r="Z3842" s="38"/>
      <c r="AA3842" s="38"/>
      <c r="AB3842" s="38"/>
      <c r="AC3842" s="38"/>
      <c r="AD3842" s="38"/>
      <c r="AE3842" s="38"/>
      <c r="AF3842" s="38"/>
      <c r="AG3842" s="38"/>
      <c r="AH3842" s="38"/>
    </row>
    <row r="3843" spans="3:34" ht="20.100000000000001" customHeight="1">
      <c r="C3843" s="113"/>
      <c r="D3843" s="114"/>
      <c r="P3843" s="82"/>
      <c r="Q3843" s="82"/>
      <c r="R3843" s="38"/>
      <c r="S3843" s="38"/>
      <c r="T3843" s="38"/>
      <c r="U3843" s="38"/>
      <c r="V3843" s="38"/>
      <c r="W3843" s="38"/>
      <c r="X3843" s="38"/>
      <c r="Y3843" s="38"/>
      <c r="Z3843" s="38"/>
      <c r="AA3843" s="38"/>
      <c r="AB3843" s="38"/>
      <c r="AC3843" s="38"/>
      <c r="AD3843" s="38"/>
      <c r="AE3843" s="38"/>
      <c r="AF3843" s="38"/>
      <c r="AG3843" s="38"/>
      <c r="AH3843" s="38"/>
    </row>
    <row r="3844" spans="3:34" ht="20.100000000000001" customHeight="1">
      <c r="C3844" s="113"/>
      <c r="D3844" s="114"/>
      <c r="P3844" s="82"/>
      <c r="Q3844" s="82"/>
      <c r="R3844" s="38"/>
      <c r="S3844" s="38"/>
      <c r="T3844" s="38"/>
      <c r="U3844" s="38"/>
      <c r="V3844" s="38"/>
      <c r="W3844" s="38"/>
      <c r="X3844" s="38"/>
      <c r="Y3844" s="38"/>
      <c r="Z3844" s="38"/>
      <c r="AA3844" s="38"/>
      <c r="AB3844" s="38"/>
      <c r="AC3844" s="38"/>
      <c r="AD3844" s="38"/>
      <c r="AE3844" s="38"/>
      <c r="AF3844" s="38"/>
      <c r="AG3844" s="38"/>
      <c r="AH3844" s="38"/>
    </row>
    <row r="3845" spans="3:34" ht="20.100000000000001" customHeight="1">
      <c r="C3845" s="113"/>
      <c r="D3845" s="114"/>
      <c r="P3845" s="82"/>
      <c r="Q3845" s="82"/>
      <c r="R3845" s="38"/>
      <c r="S3845" s="38"/>
      <c r="T3845" s="38"/>
      <c r="U3845" s="38"/>
      <c r="V3845" s="38"/>
      <c r="W3845" s="38"/>
      <c r="X3845" s="38"/>
      <c r="Y3845" s="38"/>
      <c r="Z3845" s="38"/>
      <c r="AA3845" s="38"/>
      <c r="AB3845" s="38"/>
      <c r="AC3845" s="38"/>
      <c r="AD3845" s="38"/>
      <c r="AE3845" s="38"/>
      <c r="AF3845" s="38"/>
      <c r="AG3845" s="38"/>
      <c r="AH3845" s="38"/>
    </row>
    <row r="3846" spans="3:34" ht="20.100000000000001" customHeight="1">
      <c r="C3846" s="113"/>
      <c r="D3846" s="114"/>
      <c r="P3846" s="82"/>
      <c r="Q3846" s="82"/>
      <c r="R3846" s="38"/>
      <c r="S3846" s="38"/>
      <c r="T3846" s="38"/>
      <c r="U3846" s="38"/>
      <c r="V3846" s="38"/>
      <c r="W3846" s="38"/>
      <c r="X3846" s="38"/>
      <c r="Y3846" s="38"/>
      <c r="Z3846" s="38"/>
      <c r="AA3846" s="38"/>
      <c r="AB3846" s="38"/>
      <c r="AC3846" s="38"/>
      <c r="AD3846" s="38"/>
      <c r="AE3846" s="38"/>
      <c r="AF3846" s="38"/>
      <c r="AG3846" s="38"/>
      <c r="AH3846" s="38"/>
    </row>
    <row r="3847" spans="3:34" ht="20.100000000000001" customHeight="1">
      <c r="C3847" s="113"/>
      <c r="D3847" s="114"/>
      <c r="P3847" s="82"/>
      <c r="Q3847" s="82"/>
      <c r="R3847" s="38"/>
      <c r="S3847" s="38"/>
      <c r="T3847" s="38"/>
      <c r="U3847" s="38"/>
      <c r="V3847" s="38"/>
      <c r="W3847" s="38"/>
      <c r="X3847" s="38"/>
      <c r="Y3847" s="38"/>
      <c r="Z3847" s="38"/>
      <c r="AA3847" s="38"/>
      <c r="AB3847" s="38"/>
      <c r="AC3847" s="38"/>
      <c r="AD3847" s="38"/>
      <c r="AE3847" s="38"/>
      <c r="AF3847" s="38"/>
      <c r="AG3847" s="38"/>
      <c r="AH3847" s="38"/>
    </row>
    <row r="3848" spans="3:34" ht="20.100000000000001" customHeight="1">
      <c r="C3848" s="113"/>
      <c r="D3848" s="114"/>
      <c r="P3848" s="82"/>
      <c r="Q3848" s="82"/>
      <c r="R3848" s="38"/>
      <c r="S3848" s="38"/>
      <c r="T3848" s="38"/>
      <c r="U3848" s="38"/>
      <c r="V3848" s="38"/>
      <c r="W3848" s="38"/>
      <c r="X3848" s="38"/>
      <c r="Y3848" s="38"/>
      <c r="Z3848" s="38"/>
      <c r="AA3848" s="38"/>
      <c r="AB3848" s="38"/>
      <c r="AC3848" s="38"/>
      <c r="AD3848" s="38"/>
      <c r="AE3848" s="38"/>
      <c r="AF3848" s="38"/>
      <c r="AG3848" s="38"/>
      <c r="AH3848" s="38"/>
    </row>
    <row r="3849" spans="3:34" ht="20.100000000000001" customHeight="1">
      <c r="C3849" s="113"/>
      <c r="D3849" s="114"/>
      <c r="P3849" s="82"/>
      <c r="Q3849" s="82"/>
      <c r="R3849" s="38"/>
      <c r="S3849" s="38"/>
      <c r="T3849" s="38"/>
      <c r="U3849" s="38"/>
      <c r="V3849" s="38"/>
      <c r="W3849" s="38"/>
      <c r="X3849" s="38"/>
      <c r="Y3849" s="38"/>
      <c r="Z3849" s="38"/>
      <c r="AA3849" s="38"/>
      <c r="AB3849" s="38"/>
      <c r="AC3849" s="38"/>
      <c r="AD3849" s="38"/>
      <c r="AE3849" s="38"/>
      <c r="AF3849" s="38"/>
      <c r="AG3849" s="38"/>
      <c r="AH3849" s="38"/>
    </row>
    <row r="3850" spans="3:34" ht="20.100000000000001" customHeight="1">
      <c r="C3850" s="113"/>
      <c r="D3850" s="114"/>
      <c r="P3850" s="82"/>
      <c r="Q3850" s="82"/>
      <c r="R3850" s="38"/>
      <c r="S3850" s="38"/>
      <c r="T3850" s="38"/>
      <c r="U3850" s="38"/>
      <c r="V3850" s="38"/>
      <c r="W3850" s="38"/>
      <c r="X3850" s="38"/>
      <c r="Y3850" s="38"/>
      <c r="Z3850" s="38"/>
      <c r="AA3850" s="38"/>
      <c r="AB3850" s="38"/>
      <c r="AC3850" s="38"/>
      <c r="AD3850" s="38"/>
      <c r="AE3850" s="38"/>
      <c r="AF3850" s="38"/>
      <c r="AG3850" s="38"/>
      <c r="AH3850" s="38"/>
    </row>
    <row r="3851" spans="3:34" ht="20.100000000000001" customHeight="1">
      <c r="C3851" s="113"/>
      <c r="D3851" s="114"/>
      <c r="P3851" s="82"/>
      <c r="Q3851" s="82"/>
      <c r="R3851" s="38"/>
      <c r="S3851" s="38"/>
      <c r="T3851" s="38"/>
      <c r="U3851" s="38"/>
      <c r="V3851" s="38"/>
      <c r="W3851" s="38"/>
      <c r="X3851" s="38"/>
      <c r="Y3851" s="38"/>
      <c r="Z3851" s="38"/>
      <c r="AA3851" s="38"/>
      <c r="AB3851" s="38"/>
      <c r="AC3851" s="38"/>
      <c r="AD3851" s="38"/>
      <c r="AE3851" s="38"/>
      <c r="AF3851" s="38"/>
      <c r="AG3851" s="38"/>
      <c r="AH3851" s="38"/>
    </row>
    <row r="3852" spans="3:34" ht="20.100000000000001" customHeight="1">
      <c r="C3852" s="113"/>
      <c r="D3852" s="114"/>
      <c r="P3852" s="82"/>
      <c r="Q3852" s="82"/>
      <c r="R3852" s="38"/>
      <c r="S3852" s="38"/>
      <c r="T3852" s="38"/>
      <c r="U3852" s="38"/>
      <c r="V3852" s="38"/>
      <c r="W3852" s="38"/>
      <c r="X3852" s="38"/>
      <c r="Y3852" s="38"/>
      <c r="Z3852" s="38"/>
      <c r="AA3852" s="38"/>
      <c r="AB3852" s="38"/>
      <c r="AC3852" s="38"/>
      <c r="AD3852" s="38"/>
      <c r="AE3852" s="38"/>
      <c r="AF3852" s="38"/>
      <c r="AG3852" s="38"/>
      <c r="AH3852" s="38"/>
    </row>
    <row r="3853" spans="3:34" ht="20.100000000000001" customHeight="1">
      <c r="C3853" s="113"/>
      <c r="D3853" s="114"/>
      <c r="P3853" s="82"/>
      <c r="Q3853" s="82"/>
      <c r="R3853" s="38"/>
      <c r="S3853" s="38"/>
      <c r="T3853" s="38"/>
      <c r="U3853" s="38"/>
      <c r="V3853" s="38"/>
      <c r="W3853" s="38"/>
      <c r="X3853" s="38"/>
      <c r="Y3853" s="38"/>
      <c r="Z3853" s="38"/>
      <c r="AA3853" s="38"/>
      <c r="AB3853" s="38"/>
      <c r="AC3853" s="38"/>
      <c r="AD3853" s="38"/>
      <c r="AE3853" s="38"/>
      <c r="AF3853" s="38"/>
      <c r="AG3853" s="38"/>
      <c r="AH3853" s="38"/>
    </row>
    <row r="3854" spans="3:34" ht="20.100000000000001" customHeight="1">
      <c r="C3854" s="113"/>
      <c r="D3854" s="114"/>
      <c r="P3854" s="82"/>
      <c r="Q3854" s="82"/>
      <c r="R3854" s="38"/>
      <c r="S3854" s="38"/>
      <c r="T3854" s="38"/>
      <c r="U3854" s="38"/>
      <c r="V3854" s="38"/>
      <c r="W3854" s="38"/>
      <c r="X3854" s="38"/>
      <c r="Y3854" s="38"/>
      <c r="Z3854" s="38"/>
      <c r="AA3854" s="38"/>
      <c r="AB3854" s="38"/>
      <c r="AC3854" s="38"/>
      <c r="AD3854" s="38"/>
      <c r="AE3854" s="38"/>
      <c r="AF3854" s="38"/>
      <c r="AG3854" s="38"/>
      <c r="AH3854" s="38"/>
    </row>
    <row r="3855" spans="3:34" ht="20.100000000000001" customHeight="1">
      <c r="C3855" s="113"/>
      <c r="D3855" s="114"/>
      <c r="P3855" s="82"/>
      <c r="Q3855" s="82"/>
      <c r="R3855" s="38"/>
      <c r="S3855" s="38"/>
      <c r="T3855" s="38"/>
      <c r="U3855" s="38"/>
      <c r="V3855" s="38"/>
      <c r="W3855" s="38"/>
      <c r="X3855" s="38"/>
      <c r="Y3855" s="38"/>
      <c r="Z3855" s="38"/>
      <c r="AA3855" s="38"/>
      <c r="AB3855" s="38"/>
      <c r="AC3855" s="38"/>
      <c r="AD3855" s="38"/>
      <c r="AE3855" s="38"/>
      <c r="AF3855" s="38"/>
      <c r="AG3855" s="38"/>
      <c r="AH3855" s="38"/>
    </row>
    <row r="3856" spans="3:34" ht="20.100000000000001" customHeight="1">
      <c r="C3856" s="113"/>
      <c r="D3856" s="114"/>
      <c r="P3856" s="82"/>
      <c r="Q3856" s="82"/>
      <c r="R3856" s="38"/>
      <c r="S3856" s="38"/>
      <c r="T3856" s="38"/>
      <c r="U3856" s="38"/>
      <c r="V3856" s="38"/>
      <c r="W3856" s="38"/>
      <c r="X3856" s="38"/>
      <c r="Y3856" s="38"/>
      <c r="Z3856" s="38"/>
      <c r="AA3856" s="38"/>
      <c r="AB3856" s="38"/>
      <c r="AC3856" s="38"/>
      <c r="AD3856" s="38"/>
      <c r="AE3856" s="38"/>
      <c r="AF3856" s="38"/>
      <c r="AG3856" s="38"/>
      <c r="AH3856" s="38"/>
    </row>
    <row r="3857" spans="3:34" ht="20.100000000000001" customHeight="1">
      <c r="C3857" s="113"/>
      <c r="D3857" s="114"/>
      <c r="P3857" s="82"/>
      <c r="Q3857" s="82"/>
      <c r="R3857" s="38"/>
      <c r="S3857" s="38"/>
      <c r="T3857" s="38"/>
      <c r="U3857" s="38"/>
      <c r="V3857" s="38"/>
      <c r="W3857" s="38"/>
      <c r="X3857" s="38"/>
      <c r="Y3857" s="38"/>
      <c r="Z3857" s="38"/>
      <c r="AA3857" s="38"/>
      <c r="AB3857" s="38"/>
      <c r="AC3857" s="38"/>
      <c r="AD3857" s="38"/>
      <c r="AE3857" s="38"/>
      <c r="AF3857" s="38"/>
      <c r="AG3857" s="38"/>
      <c r="AH3857" s="38"/>
    </row>
    <row r="3858" spans="3:34" ht="20.100000000000001" customHeight="1">
      <c r="C3858" s="113"/>
      <c r="D3858" s="114"/>
      <c r="P3858" s="82"/>
      <c r="Q3858" s="82"/>
      <c r="R3858" s="38"/>
      <c r="S3858" s="38"/>
      <c r="T3858" s="38"/>
      <c r="U3858" s="38"/>
      <c r="V3858" s="38"/>
      <c r="W3858" s="38"/>
      <c r="X3858" s="38"/>
      <c r="Y3858" s="38"/>
      <c r="Z3858" s="38"/>
      <c r="AA3858" s="38"/>
      <c r="AB3858" s="38"/>
      <c r="AC3858" s="38"/>
      <c r="AD3858" s="38"/>
      <c r="AE3858" s="38"/>
      <c r="AF3858" s="38"/>
      <c r="AG3858" s="38"/>
      <c r="AH3858" s="38"/>
    </row>
    <row r="3859" spans="3:34" ht="20.100000000000001" customHeight="1">
      <c r="C3859" s="113"/>
      <c r="D3859" s="114"/>
      <c r="P3859" s="82"/>
      <c r="Q3859" s="82"/>
      <c r="R3859" s="38"/>
      <c r="S3859" s="38"/>
      <c r="T3859" s="38"/>
      <c r="U3859" s="38"/>
      <c r="V3859" s="38"/>
      <c r="W3859" s="38"/>
      <c r="X3859" s="38"/>
      <c r="Y3859" s="38"/>
      <c r="Z3859" s="38"/>
      <c r="AA3859" s="38"/>
      <c r="AB3859" s="38"/>
      <c r="AC3859" s="38"/>
      <c r="AD3859" s="38"/>
      <c r="AE3859" s="38"/>
      <c r="AF3859" s="38"/>
      <c r="AG3859" s="38"/>
      <c r="AH3859" s="38"/>
    </row>
    <row r="3860" spans="3:34" ht="20.100000000000001" customHeight="1">
      <c r="C3860" s="113"/>
      <c r="D3860" s="114"/>
      <c r="P3860" s="82"/>
      <c r="Q3860" s="82"/>
      <c r="R3860" s="38"/>
      <c r="S3860" s="38"/>
      <c r="T3860" s="38"/>
      <c r="U3860" s="38"/>
      <c r="V3860" s="38"/>
      <c r="W3860" s="38"/>
      <c r="X3860" s="38"/>
      <c r="Y3860" s="38"/>
      <c r="Z3860" s="38"/>
      <c r="AA3860" s="38"/>
      <c r="AB3860" s="38"/>
      <c r="AC3860" s="38"/>
      <c r="AD3860" s="38"/>
      <c r="AE3860" s="38"/>
      <c r="AF3860" s="38"/>
      <c r="AG3860" s="38"/>
      <c r="AH3860" s="38"/>
    </row>
    <row r="3861" spans="3:34" ht="20.100000000000001" customHeight="1">
      <c r="C3861" s="113"/>
      <c r="D3861" s="114"/>
      <c r="P3861" s="82"/>
      <c r="Q3861" s="82"/>
      <c r="R3861" s="38"/>
      <c r="S3861" s="38"/>
      <c r="T3861" s="38"/>
      <c r="U3861" s="38"/>
      <c r="V3861" s="38"/>
      <c r="W3861" s="38"/>
      <c r="X3861" s="38"/>
      <c r="Y3861" s="38"/>
      <c r="Z3861" s="38"/>
      <c r="AA3861" s="38"/>
      <c r="AB3861" s="38"/>
      <c r="AC3861" s="38"/>
      <c r="AD3861" s="38"/>
      <c r="AE3861" s="38"/>
      <c r="AF3861" s="38"/>
      <c r="AG3861" s="38"/>
      <c r="AH3861" s="38"/>
    </row>
    <row r="3862" spans="3:34" ht="20.100000000000001" customHeight="1">
      <c r="C3862" s="113"/>
      <c r="D3862" s="114"/>
      <c r="P3862" s="82"/>
      <c r="Q3862" s="82"/>
      <c r="R3862" s="38"/>
      <c r="S3862" s="38"/>
      <c r="T3862" s="38"/>
      <c r="U3862" s="38"/>
      <c r="V3862" s="38"/>
      <c r="W3862" s="38"/>
      <c r="X3862" s="38"/>
      <c r="Y3862" s="38"/>
      <c r="Z3862" s="38"/>
      <c r="AA3862" s="38"/>
      <c r="AB3862" s="38"/>
      <c r="AC3862" s="38"/>
      <c r="AD3862" s="38"/>
      <c r="AE3862" s="38"/>
      <c r="AF3862" s="38"/>
      <c r="AG3862" s="38"/>
      <c r="AH3862" s="38"/>
    </row>
    <row r="3863" spans="3:34" ht="20.100000000000001" customHeight="1">
      <c r="C3863" s="113"/>
      <c r="D3863" s="114"/>
      <c r="P3863" s="82"/>
      <c r="Q3863" s="82"/>
      <c r="R3863" s="38"/>
      <c r="S3863" s="38"/>
      <c r="T3863" s="38"/>
      <c r="U3863" s="38"/>
      <c r="V3863" s="38"/>
      <c r="W3863" s="38"/>
      <c r="X3863" s="38"/>
      <c r="Y3863" s="38"/>
      <c r="Z3863" s="38"/>
      <c r="AA3863" s="38"/>
      <c r="AB3863" s="38"/>
      <c r="AC3863" s="38"/>
      <c r="AD3863" s="38"/>
      <c r="AE3863" s="38"/>
      <c r="AF3863" s="38"/>
      <c r="AG3863" s="38"/>
      <c r="AH3863" s="38"/>
    </row>
    <row r="3864" spans="3:34" ht="20.100000000000001" customHeight="1">
      <c r="C3864" s="113"/>
      <c r="D3864" s="114"/>
      <c r="P3864" s="82"/>
      <c r="Q3864" s="82"/>
      <c r="R3864" s="38"/>
      <c r="S3864" s="38"/>
      <c r="T3864" s="38"/>
      <c r="U3864" s="38"/>
      <c r="V3864" s="38"/>
      <c r="W3864" s="38"/>
      <c r="X3864" s="38"/>
      <c r="Y3864" s="38"/>
      <c r="Z3864" s="38"/>
      <c r="AA3864" s="38"/>
      <c r="AB3864" s="38"/>
      <c r="AC3864" s="38"/>
      <c r="AD3864" s="38"/>
      <c r="AE3864" s="38"/>
      <c r="AF3864" s="38"/>
      <c r="AG3864" s="38"/>
      <c r="AH3864" s="38"/>
    </row>
    <row r="3865" spans="3:34" ht="20.100000000000001" customHeight="1">
      <c r="C3865" s="113"/>
      <c r="D3865" s="114"/>
      <c r="P3865" s="82"/>
      <c r="Q3865" s="82"/>
      <c r="R3865" s="38"/>
      <c r="S3865" s="38"/>
      <c r="T3865" s="38"/>
      <c r="U3865" s="38"/>
      <c r="V3865" s="38"/>
      <c r="W3865" s="38"/>
      <c r="X3865" s="38"/>
      <c r="Y3865" s="38"/>
      <c r="Z3865" s="38"/>
      <c r="AA3865" s="38"/>
      <c r="AB3865" s="38"/>
      <c r="AC3865" s="38"/>
      <c r="AD3865" s="38"/>
      <c r="AE3865" s="38"/>
      <c r="AF3865" s="38"/>
      <c r="AG3865" s="38"/>
      <c r="AH3865" s="38"/>
    </row>
    <row r="3866" spans="3:34" ht="20.100000000000001" customHeight="1">
      <c r="C3866" s="113"/>
      <c r="D3866" s="114"/>
      <c r="P3866" s="82"/>
      <c r="Q3866" s="82"/>
      <c r="R3866" s="38"/>
      <c r="S3866" s="38"/>
      <c r="T3866" s="38"/>
      <c r="U3866" s="38"/>
      <c r="V3866" s="38"/>
      <c r="W3866" s="38"/>
      <c r="X3866" s="38"/>
      <c r="Y3866" s="38"/>
      <c r="Z3866" s="38"/>
      <c r="AA3866" s="38"/>
      <c r="AB3866" s="38"/>
      <c r="AC3866" s="38"/>
      <c r="AD3866" s="38"/>
      <c r="AE3866" s="38"/>
      <c r="AF3866" s="38"/>
      <c r="AG3866" s="38"/>
      <c r="AH3866" s="38"/>
    </row>
    <row r="3867" spans="3:34" ht="20.100000000000001" customHeight="1">
      <c r="C3867" s="113"/>
      <c r="D3867" s="114"/>
      <c r="P3867" s="82"/>
      <c r="Q3867" s="82"/>
      <c r="R3867" s="38"/>
      <c r="S3867" s="38"/>
      <c r="T3867" s="38"/>
      <c r="U3867" s="38"/>
      <c r="V3867" s="38"/>
      <c r="W3867" s="38"/>
      <c r="X3867" s="38"/>
      <c r="Y3867" s="38"/>
      <c r="Z3867" s="38"/>
      <c r="AA3867" s="38"/>
      <c r="AB3867" s="38"/>
      <c r="AC3867" s="38"/>
      <c r="AD3867" s="38"/>
      <c r="AE3867" s="38"/>
      <c r="AF3867" s="38"/>
      <c r="AG3867" s="38"/>
      <c r="AH3867" s="38"/>
    </row>
    <row r="3868" spans="3:34" ht="20.100000000000001" customHeight="1">
      <c r="C3868" s="113"/>
      <c r="D3868" s="114"/>
      <c r="P3868" s="82"/>
      <c r="Q3868" s="82"/>
      <c r="R3868" s="38"/>
      <c r="S3868" s="38"/>
      <c r="T3868" s="38"/>
      <c r="U3868" s="38"/>
      <c r="V3868" s="38"/>
      <c r="W3868" s="38"/>
      <c r="X3868" s="38"/>
      <c r="Y3868" s="38"/>
      <c r="Z3868" s="38"/>
      <c r="AA3868" s="38"/>
      <c r="AB3868" s="38"/>
      <c r="AC3868" s="38"/>
      <c r="AD3868" s="38"/>
      <c r="AE3868" s="38"/>
      <c r="AF3868" s="38"/>
      <c r="AG3868" s="38"/>
      <c r="AH3868" s="38"/>
    </row>
    <row r="3869" spans="3:34" ht="20.100000000000001" customHeight="1">
      <c r="C3869" s="113"/>
      <c r="D3869" s="114"/>
      <c r="P3869" s="82"/>
      <c r="Q3869" s="82"/>
      <c r="R3869" s="38"/>
      <c r="S3869" s="38"/>
      <c r="T3869" s="38"/>
      <c r="U3869" s="38"/>
      <c r="V3869" s="38"/>
      <c r="W3869" s="38"/>
      <c r="X3869" s="38"/>
      <c r="Y3869" s="38"/>
      <c r="Z3869" s="38"/>
      <c r="AA3869" s="38"/>
      <c r="AB3869" s="38"/>
      <c r="AC3869" s="38"/>
      <c r="AD3869" s="38"/>
      <c r="AE3869" s="38"/>
      <c r="AF3869" s="38"/>
      <c r="AG3869" s="38"/>
      <c r="AH3869" s="38"/>
    </row>
    <row r="3870" spans="3:34" ht="20.100000000000001" customHeight="1">
      <c r="C3870" s="113"/>
      <c r="D3870" s="114"/>
      <c r="P3870" s="82"/>
      <c r="Q3870" s="82"/>
      <c r="R3870" s="38"/>
      <c r="S3870" s="38"/>
      <c r="T3870" s="38"/>
      <c r="U3870" s="38"/>
      <c r="V3870" s="38"/>
      <c r="W3870" s="38"/>
      <c r="X3870" s="38"/>
      <c r="Y3870" s="38"/>
      <c r="Z3870" s="38"/>
      <c r="AA3870" s="38"/>
      <c r="AB3870" s="38"/>
      <c r="AC3870" s="38"/>
      <c r="AD3870" s="38"/>
      <c r="AE3870" s="38"/>
      <c r="AF3870" s="38"/>
      <c r="AG3870" s="38"/>
      <c r="AH3870" s="38"/>
    </row>
    <row r="3871" spans="3:34" ht="20.100000000000001" customHeight="1">
      <c r="C3871" s="113"/>
      <c r="D3871" s="114"/>
      <c r="P3871" s="82"/>
      <c r="Q3871" s="82"/>
      <c r="R3871" s="38"/>
      <c r="S3871" s="38"/>
      <c r="T3871" s="38"/>
      <c r="U3871" s="38"/>
      <c r="V3871" s="38"/>
      <c r="W3871" s="38"/>
      <c r="X3871" s="38"/>
      <c r="Y3871" s="38"/>
      <c r="Z3871" s="38"/>
      <c r="AA3871" s="38"/>
      <c r="AB3871" s="38"/>
      <c r="AC3871" s="38"/>
      <c r="AD3871" s="38"/>
      <c r="AE3871" s="38"/>
      <c r="AF3871" s="38"/>
      <c r="AG3871" s="38"/>
      <c r="AH3871" s="38"/>
    </row>
    <row r="3872" spans="3:34" ht="20.100000000000001" customHeight="1">
      <c r="C3872" s="113"/>
      <c r="D3872" s="114"/>
      <c r="P3872" s="82"/>
      <c r="Q3872" s="82"/>
      <c r="R3872" s="38"/>
      <c r="S3872" s="38"/>
      <c r="T3872" s="38"/>
      <c r="U3872" s="38"/>
      <c r="V3872" s="38"/>
      <c r="W3872" s="38"/>
      <c r="X3872" s="38"/>
      <c r="Y3872" s="38"/>
      <c r="Z3872" s="38"/>
      <c r="AA3872" s="38"/>
      <c r="AB3872" s="38"/>
      <c r="AC3872" s="38"/>
      <c r="AD3872" s="38"/>
      <c r="AE3872" s="38"/>
      <c r="AF3872" s="38"/>
      <c r="AG3872" s="38"/>
      <c r="AH3872" s="38"/>
    </row>
    <row r="3873" spans="3:34" ht="20.100000000000001" customHeight="1">
      <c r="C3873" s="113"/>
      <c r="D3873" s="114"/>
      <c r="P3873" s="82"/>
      <c r="Q3873" s="82"/>
      <c r="R3873" s="38"/>
      <c r="S3873" s="38"/>
      <c r="T3873" s="38"/>
      <c r="U3873" s="38"/>
      <c r="V3873" s="38"/>
      <c r="W3873" s="38"/>
      <c r="X3873" s="38"/>
      <c r="Y3873" s="38"/>
      <c r="Z3873" s="38"/>
      <c r="AA3873" s="38"/>
      <c r="AB3873" s="38"/>
      <c r="AC3873" s="38"/>
      <c r="AD3873" s="38"/>
      <c r="AE3873" s="38"/>
      <c r="AF3873" s="38"/>
      <c r="AG3873" s="38"/>
      <c r="AH3873" s="38"/>
    </row>
    <row r="3874" spans="3:34" ht="20.100000000000001" customHeight="1">
      <c r="C3874" s="113"/>
      <c r="D3874" s="114"/>
      <c r="P3874" s="82"/>
      <c r="Q3874" s="82"/>
      <c r="R3874" s="38"/>
      <c r="S3874" s="38"/>
      <c r="T3874" s="38"/>
      <c r="U3874" s="38"/>
      <c r="V3874" s="38"/>
      <c r="W3874" s="38"/>
      <c r="X3874" s="38"/>
      <c r="Y3874" s="38"/>
      <c r="Z3874" s="38"/>
      <c r="AA3874" s="38"/>
      <c r="AB3874" s="38"/>
      <c r="AC3874" s="38"/>
      <c r="AD3874" s="38"/>
      <c r="AE3874" s="38"/>
      <c r="AF3874" s="38"/>
      <c r="AG3874" s="38"/>
      <c r="AH3874" s="38"/>
    </row>
    <row r="3875" spans="3:34" ht="20.100000000000001" customHeight="1">
      <c r="C3875" s="113"/>
      <c r="D3875" s="114"/>
      <c r="P3875" s="82"/>
      <c r="Q3875" s="82"/>
      <c r="R3875" s="38"/>
      <c r="S3875" s="38"/>
      <c r="T3875" s="38"/>
      <c r="U3875" s="38"/>
      <c r="V3875" s="38"/>
      <c r="W3875" s="38"/>
      <c r="X3875" s="38"/>
      <c r="Y3875" s="38"/>
      <c r="Z3875" s="38"/>
      <c r="AA3875" s="38"/>
      <c r="AB3875" s="38"/>
      <c r="AC3875" s="38"/>
      <c r="AD3875" s="38"/>
      <c r="AE3875" s="38"/>
      <c r="AF3875" s="38"/>
      <c r="AG3875" s="38"/>
      <c r="AH3875" s="38"/>
    </row>
    <row r="3876" spans="3:34" ht="20.100000000000001" customHeight="1">
      <c r="C3876" s="113"/>
      <c r="D3876" s="114"/>
      <c r="P3876" s="82"/>
      <c r="Q3876" s="82"/>
      <c r="R3876" s="38"/>
      <c r="S3876" s="38"/>
      <c r="T3876" s="38"/>
      <c r="U3876" s="38"/>
      <c r="V3876" s="38"/>
      <c r="W3876" s="38"/>
      <c r="X3876" s="38"/>
      <c r="Y3876" s="38"/>
      <c r="Z3876" s="38"/>
      <c r="AA3876" s="38"/>
      <c r="AB3876" s="38"/>
      <c r="AC3876" s="38"/>
      <c r="AD3876" s="38"/>
      <c r="AE3876" s="38"/>
      <c r="AF3876" s="38"/>
      <c r="AG3876" s="38"/>
      <c r="AH3876" s="38"/>
    </row>
    <row r="3877" spans="3:34" ht="20.100000000000001" customHeight="1">
      <c r="C3877" s="113"/>
      <c r="D3877" s="114"/>
      <c r="P3877" s="82"/>
      <c r="Q3877" s="82"/>
      <c r="R3877" s="38"/>
      <c r="S3877" s="38"/>
      <c r="T3877" s="38"/>
      <c r="U3877" s="38"/>
      <c r="V3877" s="38"/>
      <c r="W3877" s="38"/>
      <c r="X3877" s="38"/>
      <c r="Y3877" s="38"/>
      <c r="Z3877" s="38"/>
      <c r="AA3877" s="38"/>
      <c r="AB3877" s="38"/>
      <c r="AC3877" s="38"/>
      <c r="AD3877" s="38"/>
      <c r="AE3877" s="38"/>
      <c r="AF3877" s="38"/>
      <c r="AG3877" s="38"/>
      <c r="AH3877" s="38"/>
    </row>
    <row r="3878" spans="3:34" ht="20.100000000000001" customHeight="1">
      <c r="C3878" s="113"/>
      <c r="D3878" s="114"/>
      <c r="P3878" s="82"/>
      <c r="Q3878" s="82"/>
      <c r="R3878" s="38"/>
      <c r="S3878" s="38"/>
      <c r="T3878" s="38"/>
      <c r="U3878" s="38"/>
      <c r="V3878" s="38"/>
      <c r="W3878" s="38"/>
      <c r="X3878" s="38"/>
      <c r="Y3878" s="38"/>
      <c r="Z3878" s="38"/>
      <c r="AA3878" s="38"/>
      <c r="AB3878" s="38"/>
      <c r="AC3878" s="38"/>
      <c r="AD3878" s="38"/>
      <c r="AE3878" s="38"/>
      <c r="AF3878" s="38"/>
      <c r="AG3878" s="38"/>
      <c r="AH3878" s="38"/>
    </row>
    <row r="3879" spans="3:34" ht="20.100000000000001" customHeight="1">
      <c r="C3879" s="113"/>
      <c r="D3879" s="114"/>
      <c r="P3879" s="82"/>
      <c r="Q3879" s="82"/>
      <c r="R3879" s="38"/>
      <c r="S3879" s="38"/>
      <c r="T3879" s="38"/>
      <c r="U3879" s="38"/>
      <c r="V3879" s="38"/>
      <c r="W3879" s="38"/>
      <c r="X3879" s="38"/>
      <c r="Y3879" s="38"/>
      <c r="Z3879" s="38"/>
      <c r="AA3879" s="38"/>
      <c r="AB3879" s="38"/>
      <c r="AC3879" s="38"/>
      <c r="AD3879" s="38"/>
      <c r="AE3879" s="38"/>
      <c r="AF3879" s="38"/>
      <c r="AG3879" s="38"/>
      <c r="AH3879" s="38"/>
    </row>
    <row r="3880" spans="3:34" ht="20.100000000000001" customHeight="1">
      <c r="C3880" s="113"/>
      <c r="D3880" s="114"/>
      <c r="P3880" s="82"/>
      <c r="Q3880" s="82"/>
      <c r="R3880" s="38"/>
      <c r="S3880" s="38"/>
      <c r="T3880" s="38"/>
      <c r="U3880" s="38"/>
      <c r="V3880" s="38"/>
      <c r="W3880" s="38"/>
      <c r="X3880" s="38"/>
      <c r="Y3880" s="38"/>
      <c r="Z3880" s="38"/>
      <c r="AA3880" s="38"/>
      <c r="AB3880" s="38"/>
      <c r="AC3880" s="38"/>
      <c r="AD3880" s="38"/>
      <c r="AE3880" s="38"/>
      <c r="AF3880" s="38"/>
      <c r="AG3880" s="38"/>
      <c r="AH3880" s="38"/>
    </row>
    <row r="3881" spans="3:34" ht="20.100000000000001" customHeight="1">
      <c r="C3881" s="113"/>
      <c r="D3881" s="114"/>
      <c r="P3881" s="82"/>
      <c r="Q3881" s="82"/>
      <c r="R3881" s="38"/>
      <c r="S3881" s="38"/>
      <c r="T3881" s="38"/>
      <c r="U3881" s="38"/>
      <c r="V3881" s="38"/>
      <c r="W3881" s="38"/>
      <c r="X3881" s="38"/>
      <c r="Y3881" s="38"/>
      <c r="Z3881" s="38"/>
      <c r="AA3881" s="38"/>
      <c r="AB3881" s="38"/>
      <c r="AC3881" s="38"/>
      <c r="AD3881" s="38"/>
      <c r="AE3881" s="38"/>
      <c r="AF3881" s="38"/>
      <c r="AG3881" s="38"/>
      <c r="AH3881" s="38"/>
    </row>
    <row r="3882" spans="3:34" ht="20.100000000000001" customHeight="1">
      <c r="C3882" s="113"/>
      <c r="D3882" s="114"/>
      <c r="P3882" s="82"/>
      <c r="Q3882" s="82"/>
      <c r="R3882" s="38"/>
      <c r="S3882" s="38"/>
      <c r="T3882" s="38"/>
      <c r="U3882" s="38"/>
      <c r="V3882" s="38"/>
      <c r="W3882" s="38"/>
      <c r="X3882" s="38"/>
      <c r="Y3882" s="38"/>
      <c r="Z3882" s="38"/>
      <c r="AA3882" s="38"/>
      <c r="AB3882" s="38"/>
      <c r="AC3882" s="38"/>
      <c r="AD3882" s="38"/>
      <c r="AE3882" s="38"/>
      <c r="AF3882" s="38"/>
      <c r="AG3882" s="38"/>
      <c r="AH3882" s="38"/>
    </row>
    <row r="3883" spans="3:34" ht="20.100000000000001" customHeight="1">
      <c r="C3883" s="113"/>
      <c r="D3883" s="114"/>
      <c r="P3883" s="82"/>
      <c r="Q3883" s="82"/>
      <c r="R3883" s="38"/>
      <c r="S3883" s="38"/>
      <c r="T3883" s="38"/>
      <c r="U3883" s="38"/>
      <c r="V3883" s="38"/>
      <c r="W3883" s="38"/>
      <c r="X3883" s="38"/>
      <c r="Y3883" s="38"/>
      <c r="Z3883" s="38"/>
      <c r="AA3883" s="38"/>
      <c r="AB3883" s="38"/>
      <c r="AC3883" s="38"/>
      <c r="AD3883" s="38"/>
      <c r="AE3883" s="38"/>
      <c r="AF3883" s="38"/>
      <c r="AG3883" s="38"/>
      <c r="AH3883" s="38"/>
    </row>
    <row r="3884" spans="3:34" ht="20.100000000000001" customHeight="1">
      <c r="C3884" s="113"/>
      <c r="D3884" s="114"/>
      <c r="P3884" s="82"/>
      <c r="Q3884" s="82"/>
      <c r="R3884" s="38"/>
      <c r="S3884" s="38"/>
      <c r="T3884" s="38"/>
      <c r="U3884" s="38"/>
      <c r="V3884" s="38"/>
      <c r="W3884" s="38"/>
      <c r="X3884" s="38"/>
      <c r="Y3884" s="38"/>
      <c r="Z3884" s="38"/>
      <c r="AA3884" s="38"/>
      <c r="AB3884" s="38"/>
      <c r="AC3884" s="38"/>
      <c r="AD3884" s="38"/>
      <c r="AE3884" s="38"/>
      <c r="AF3884" s="38"/>
      <c r="AG3884" s="38"/>
      <c r="AH3884" s="38"/>
    </row>
    <row r="3885" spans="3:34" ht="20.100000000000001" customHeight="1">
      <c r="C3885" s="113"/>
      <c r="D3885" s="114"/>
      <c r="P3885" s="82"/>
      <c r="Q3885" s="82"/>
      <c r="R3885" s="38"/>
      <c r="S3885" s="38"/>
      <c r="T3885" s="38"/>
      <c r="U3885" s="38"/>
      <c r="V3885" s="38"/>
      <c r="W3885" s="38"/>
      <c r="X3885" s="38"/>
      <c r="Y3885" s="38"/>
      <c r="Z3885" s="38"/>
      <c r="AA3885" s="38"/>
      <c r="AB3885" s="38"/>
      <c r="AC3885" s="38"/>
      <c r="AD3885" s="38"/>
      <c r="AE3885" s="38"/>
      <c r="AF3885" s="38"/>
      <c r="AG3885" s="38"/>
      <c r="AH3885" s="38"/>
    </row>
    <row r="3886" spans="3:34" ht="20.100000000000001" customHeight="1">
      <c r="C3886" s="113"/>
      <c r="D3886" s="114"/>
      <c r="P3886" s="82"/>
      <c r="Q3886" s="82"/>
      <c r="R3886" s="38"/>
      <c r="S3886" s="38"/>
      <c r="T3886" s="38"/>
      <c r="U3886" s="38"/>
      <c r="V3886" s="38"/>
      <c r="W3886" s="38"/>
      <c r="X3886" s="38"/>
      <c r="Y3886" s="38"/>
      <c r="Z3886" s="38"/>
      <c r="AA3886" s="38"/>
      <c r="AB3886" s="38"/>
      <c r="AC3886" s="38"/>
      <c r="AD3886" s="38"/>
      <c r="AE3886" s="38"/>
      <c r="AF3886" s="38"/>
      <c r="AG3886" s="38"/>
      <c r="AH3886" s="38"/>
    </row>
    <row r="3887" spans="3:34" ht="20.100000000000001" customHeight="1">
      <c r="C3887" s="113"/>
      <c r="D3887" s="114"/>
      <c r="P3887" s="82"/>
      <c r="Q3887" s="82"/>
      <c r="R3887" s="38"/>
      <c r="S3887" s="38"/>
      <c r="T3887" s="38"/>
      <c r="U3887" s="38"/>
      <c r="V3887" s="38"/>
      <c r="W3887" s="38"/>
      <c r="X3887" s="38"/>
      <c r="Y3887" s="38"/>
      <c r="Z3887" s="38"/>
      <c r="AA3887" s="38"/>
      <c r="AB3887" s="38"/>
      <c r="AC3887" s="38"/>
      <c r="AD3887" s="38"/>
      <c r="AE3887" s="38"/>
      <c r="AF3887" s="38"/>
      <c r="AG3887" s="38"/>
      <c r="AH3887" s="38"/>
    </row>
    <row r="3888" spans="3:34" ht="20.100000000000001" customHeight="1">
      <c r="C3888" s="113"/>
      <c r="D3888" s="114"/>
      <c r="P3888" s="82"/>
      <c r="Q3888" s="82"/>
      <c r="R3888" s="38"/>
      <c r="S3888" s="38"/>
      <c r="T3888" s="38"/>
      <c r="U3888" s="38"/>
      <c r="V3888" s="38"/>
      <c r="W3888" s="38"/>
      <c r="X3888" s="38"/>
      <c r="Y3888" s="38"/>
      <c r="Z3888" s="38"/>
      <c r="AA3888" s="38"/>
      <c r="AB3888" s="38"/>
      <c r="AC3888" s="38"/>
      <c r="AD3888" s="38"/>
      <c r="AE3888" s="38"/>
      <c r="AF3888" s="38"/>
      <c r="AG3888" s="38"/>
      <c r="AH3888" s="38"/>
    </row>
    <row r="3889" spans="3:34" ht="20.100000000000001" customHeight="1">
      <c r="C3889" s="113"/>
      <c r="D3889" s="114"/>
      <c r="P3889" s="82"/>
      <c r="Q3889" s="82"/>
      <c r="R3889" s="38"/>
      <c r="S3889" s="38"/>
      <c r="T3889" s="38"/>
      <c r="U3889" s="38"/>
      <c r="V3889" s="38"/>
      <c r="W3889" s="38"/>
      <c r="X3889" s="38"/>
      <c r="Y3889" s="38"/>
      <c r="Z3889" s="38"/>
      <c r="AA3889" s="38"/>
      <c r="AB3889" s="38"/>
      <c r="AC3889" s="38"/>
      <c r="AD3889" s="38"/>
      <c r="AE3889" s="38"/>
      <c r="AF3889" s="38"/>
      <c r="AG3889" s="38"/>
      <c r="AH3889" s="38"/>
    </row>
    <row r="3890" spans="3:34" ht="20.100000000000001" customHeight="1">
      <c r="C3890" s="113"/>
      <c r="D3890" s="114"/>
      <c r="P3890" s="82"/>
      <c r="Q3890" s="82"/>
      <c r="R3890" s="38"/>
      <c r="S3890" s="38"/>
      <c r="T3890" s="38"/>
      <c r="U3890" s="38"/>
      <c r="V3890" s="38"/>
      <c r="W3890" s="38"/>
      <c r="X3890" s="38"/>
      <c r="Y3890" s="38"/>
      <c r="Z3890" s="38"/>
      <c r="AA3890" s="38"/>
      <c r="AB3890" s="38"/>
      <c r="AC3890" s="38"/>
      <c r="AD3890" s="38"/>
      <c r="AE3890" s="38"/>
      <c r="AF3890" s="38"/>
      <c r="AG3890" s="38"/>
      <c r="AH3890" s="38"/>
    </row>
    <row r="3891" spans="3:34" ht="20.100000000000001" customHeight="1">
      <c r="C3891" s="113"/>
      <c r="D3891" s="114"/>
      <c r="P3891" s="82"/>
      <c r="Q3891" s="82"/>
      <c r="R3891" s="38"/>
      <c r="S3891" s="38"/>
      <c r="T3891" s="38"/>
      <c r="U3891" s="38"/>
      <c r="V3891" s="38"/>
      <c r="W3891" s="38"/>
      <c r="X3891" s="38"/>
      <c r="Y3891" s="38"/>
      <c r="Z3891" s="38"/>
      <c r="AA3891" s="38"/>
      <c r="AB3891" s="38"/>
      <c r="AC3891" s="38"/>
      <c r="AD3891" s="38"/>
      <c r="AE3891" s="38"/>
      <c r="AF3891" s="38"/>
      <c r="AG3891" s="38"/>
      <c r="AH3891" s="38"/>
    </row>
    <row r="3892" spans="3:34" ht="20.100000000000001" customHeight="1">
      <c r="C3892" s="113"/>
      <c r="D3892" s="114"/>
      <c r="P3892" s="82"/>
      <c r="Q3892" s="82"/>
      <c r="R3892" s="38"/>
      <c r="S3892" s="38"/>
      <c r="T3892" s="38"/>
      <c r="U3892" s="38"/>
      <c r="V3892" s="38"/>
      <c r="W3892" s="38"/>
      <c r="X3892" s="38"/>
      <c r="Y3892" s="38"/>
      <c r="Z3892" s="38"/>
      <c r="AA3892" s="38"/>
      <c r="AB3892" s="38"/>
      <c r="AC3892" s="38"/>
      <c r="AD3892" s="38"/>
      <c r="AE3892" s="38"/>
      <c r="AF3892" s="38"/>
      <c r="AG3892" s="38"/>
      <c r="AH3892" s="38"/>
    </row>
    <row r="3893" spans="3:34" ht="20.100000000000001" customHeight="1">
      <c r="C3893" s="113"/>
      <c r="D3893" s="114"/>
      <c r="P3893" s="82"/>
      <c r="Q3893" s="82"/>
      <c r="R3893" s="38"/>
      <c r="S3893" s="38"/>
      <c r="T3893" s="38"/>
      <c r="U3893" s="38"/>
      <c r="V3893" s="38"/>
      <c r="W3893" s="38"/>
      <c r="X3893" s="38"/>
      <c r="Y3893" s="38"/>
      <c r="Z3893" s="38"/>
      <c r="AA3893" s="38"/>
      <c r="AB3893" s="38"/>
      <c r="AC3893" s="38"/>
      <c r="AD3893" s="38"/>
      <c r="AE3893" s="38"/>
      <c r="AF3893" s="38"/>
      <c r="AG3893" s="38"/>
      <c r="AH3893" s="38"/>
    </row>
    <row r="3894" spans="3:34" ht="20.100000000000001" customHeight="1">
      <c r="C3894" s="113"/>
      <c r="D3894" s="114"/>
      <c r="P3894" s="82"/>
      <c r="Q3894" s="82"/>
      <c r="R3894" s="38"/>
      <c r="S3894" s="38"/>
      <c r="T3894" s="38"/>
      <c r="U3894" s="38"/>
      <c r="V3894" s="38"/>
      <c r="W3894" s="38"/>
      <c r="X3894" s="38"/>
      <c r="Y3894" s="38"/>
      <c r="Z3894" s="38"/>
      <c r="AA3894" s="38"/>
      <c r="AB3894" s="38"/>
      <c r="AC3894" s="38"/>
      <c r="AD3894" s="38"/>
      <c r="AE3894" s="38"/>
      <c r="AF3894" s="38"/>
      <c r="AG3894" s="38"/>
      <c r="AH3894" s="38"/>
    </row>
    <row r="3895" spans="3:34" ht="20.100000000000001" customHeight="1">
      <c r="C3895" s="113"/>
      <c r="D3895" s="114"/>
      <c r="P3895" s="82"/>
      <c r="Q3895" s="82"/>
      <c r="R3895" s="38"/>
      <c r="S3895" s="38"/>
      <c r="T3895" s="38"/>
      <c r="U3895" s="38"/>
      <c r="V3895" s="38"/>
      <c r="W3895" s="38"/>
      <c r="X3895" s="38"/>
      <c r="Y3895" s="38"/>
      <c r="Z3895" s="38"/>
      <c r="AA3895" s="38"/>
      <c r="AB3895" s="38"/>
      <c r="AC3895" s="38"/>
      <c r="AD3895" s="38"/>
      <c r="AE3895" s="38"/>
      <c r="AF3895" s="38"/>
      <c r="AG3895" s="38"/>
      <c r="AH3895" s="38"/>
    </row>
    <row r="3896" spans="3:34" ht="20.100000000000001" customHeight="1">
      <c r="C3896" s="113"/>
      <c r="D3896" s="114"/>
      <c r="P3896" s="82"/>
      <c r="Q3896" s="82"/>
      <c r="R3896" s="38"/>
      <c r="S3896" s="38"/>
      <c r="T3896" s="38"/>
      <c r="U3896" s="38"/>
      <c r="V3896" s="38"/>
      <c r="W3896" s="38"/>
      <c r="X3896" s="38"/>
      <c r="Y3896" s="38"/>
      <c r="Z3896" s="38"/>
      <c r="AA3896" s="38"/>
      <c r="AB3896" s="38"/>
      <c r="AC3896" s="38"/>
      <c r="AD3896" s="38"/>
      <c r="AE3896" s="38"/>
      <c r="AF3896" s="38"/>
      <c r="AG3896" s="38"/>
      <c r="AH3896" s="38"/>
    </row>
    <row r="3897" spans="3:34" ht="20.100000000000001" customHeight="1">
      <c r="C3897" s="113"/>
      <c r="D3897" s="114"/>
      <c r="P3897" s="82"/>
      <c r="Q3897" s="82"/>
      <c r="R3897" s="38"/>
      <c r="S3897" s="38"/>
      <c r="T3897" s="38"/>
      <c r="U3897" s="38"/>
      <c r="V3897" s="38"/>
      <c r="W3897" s="38"/>
      <c r="X3897" s="38"/>
      <c r="Y3897" s="38"/>
      <c r="Z3897" s="38"/>
      <c r="AA3897" s="38"/>
      <c r="AB3897" s="38"/>
      <c r="AC3897" s="38"/>
      <c r="AD3897" s="38"/>
      <c r="AE3897" s="38"/>
      <c r="AF3897" s="38"/>
      <c r="AG3897" s="38"/>
      <c r="AH3897" s="38"/>
    </row>
    <row r="3898" spans="3:34" ht="20.100000000000001" customHeight="1">
      <c r="C3898" s="113"/>
      <c r="D3898" s="114"/>
      <c r="P3898" s="82"/>
      <c r="Q3898" s="82"/>
      <c r="R3898" s="38"/>
      <c r="S3898" s="38"/>
      <c r="T3898" s="38"/>
      <c r="U3898" s="38"/>
      <c r="V3898" s="38"/>
      <c r="W3898" s="38"/>
      <c r="X3898" s="38"/>
      <c r="Y3898" s="38"/>
      <c r="Z3898" s="38"/>
      <c r="AA3898" s="38"/>
      <c r="AB3898" s="38"/>
      <c r="AC3898" s="38"/>
      <c r="AD3898" s="38"/>
      <c r="AE3898" s="38"/>
      <c r="AF3898" s="38"/>
      <c r="AG3898" s="38"/>
      <c r="AH3898" s="38"/>
    </row>
    <row r="3899" spans="3:34" ht="20.100000000000001" customHeight="1">
      <c r="C3899" s="113"/>
      <c r="D3899" s="114"/>
      <c r="P3899" s="82"/>
      <c r="Q3899" s="82"/>
      <c r="R3899" s="38"/>
      <c r="S3899" s="38"/>
      <c r="T3899" s="38"/>
      <c r="U3899" s="38"/>
      <c r="V3899" s="38"/>
      <c r="W3899" s="38"/>
      <c r="X3899" s="38"/>
      <c r="Y3899" s="38"/>
      <c r="Z3899" s="38"/>
      <c r="AA3899" s="38"/>
      <c r="AB3899" s="38"/>
      <c r="AC3899" s="38"/>
      <c r="AD3899" s="38"/>
      <c r="AE3899" s="38"/>
      <c r="AF3899" s="38"/>
      <c r="AG3899" s="38"/>
      <c r="AH3899" s="38"/>
    </row>
    <row r="3900" spans="3:34" ht="20.100000000000001" customHeight="1">
      <c r="C3900" s="113"/>
      <c r="D3900" s="114"/>
      <c r="P3900" s="82"/>
      <c r="Q3900" s="82"/>
      <c r="R3900" s="38"/>
      <c r="S3900" s="38"/>
      <c r="T3900" s="38"/>
      <c r="U3900" s="38"/>
      <c r="V3900" s="38"/>
      <c r="W3900" s="38"/>
      <c r="X3900" s="38"/>
      <c r="Y3900" s="38"/>
      <c r="Z3900" s="38"/>
      <c r="AA3900" s="38"/>
      <c r="AB3900" s="38"/>
      <c r="AC3900" s="38"/>
      <c r="AD3900" s="38"/>
      <c r="AE3900" s="38"/>
      <c r="AF3900" s="38"/>
      <c r="AG3900" s="38"/>
      <c r="AH3900" s="38"/>
    </row>
    <row r="3901" spans="3:34" ht="20.100000000000001" customHeight="1">
      <c r="C3901" s="113"/>
      <c r="D3901" s="114"/>
      <c r="P3901" s="82"/>
      <c r="Q3901" s="82"/>
      <c r="R3901" s="38"/>
      <c r="S3901" s="38"/>
      <c r="T3901" s="38"/>
      <c r="U3901" s="38"/>
      <c r="V3901" s="38"/>
      <c r="W3901" s="38"/>
      <c r="X3901" s="38"/>
      <c r="Y3901" s="38"/>
      <c r="Z3901" s="38"/>
      <c r="AA3901" s="38"/>
      <c r="AB3901" s="38"/>
      <c r="AC3901" s="38"/>
      <c r="AD3901" s="38"/>
      <c r="AE3901" s="38"/>
      <c r="AF3901" s="38"/>
      <c r="AG3901" s="38"/>
      <c r="AH3901" s="38"/>
    </row>
    <row r="3902" spans="3:34" ht="20.100000000000001" customHeight="1">
      <c r="C3902" s="113"/>
      <c r="D3902" s="114"/>
      <c r="P3902" s="82"/>
      <c r="Q3902" s="82"/>
      <c r="R3902" s="38"/>
      <c r="S3902" s="38"/>
      <c r="T3902" s="38"/>
      <c r="U3902" s="38"/>
      <c r="V3902" s="38"/>
      <c r="W3902" s="38"/>
      <c r="X3902" s="38"/>
      <c r="Y3902" s="38"/>
      <c r="Z3902" s="38"/>
      <c r="AA3902" s="38"/>
      <c r="AB3902" s="38"/>
      <c r="AC3902" s="38"/>
      <c r="AD3902" s="38"/>
      <c r="AE3902" s="38"/>
      <c r="AF3902" s="38"/>
      <c r="AG3902" s="38"/>
      <c r="AH3902" s="38"/>
    </row>
    <row r="3903" spans="3:34" ht="20.100000000000001" customHeight="1">
      <c r="C3903" s="113"/>
      <c r="D3903" s="114"/>
      <c r="P3903" s="82"/>
      <c r="Q3903" s="82"/>
      <c r="R3903" s="38"/>
      <c r="S3903" s="38"/>
      <c r="T3903" s="38"/>
      <c r="U3903" s="38"/>
      <c r="V3903" s="38"/>
      <c r="W3903" s="38"/>
      <c r="X3903" s="38"/>
      <c r="Y3903" s="38"/>
      <c r="Z3903" s="38"/>
      <c r="AA3903" s="38"/>
      <c r="AB3903" s="38"/>
      <c r="AC3903" s="38"/>
      <c r="AD3903" s="38"/>
      <c r="AE3903" s="38"/>
      <c r="AF3903" s="38"/>
      <c r="AG3903" s="38"/>
      <c r="AH3903" s="38"/>
    </row>
    <row r="3904" spans="3:34" ht="20.100000000000001" customHeight="1">
      <c r="C3904" s="113"/>
      <c r="D3904" s="114"/>
      <c r="P3904" s="82"/>
      <c r="Q3904" s="82"/>
      <c r="R3904" s="38"/>
      <c r="S3904" s="38"/>
      <c r="T3904" s="38"/>
      <c r="U3904" s="38"/>
      <c r="V3904" s="38"/>
      <c r="W3904" s="38"/>
      <c r="X3904" s="38"/>
      <c r="Y3904" s="38"/>
      <c r="Z3904" s="38"/>
      <c r="AA3904" s="38"/>
      <c r="AB3904" s="38"/>
      <c r="AC3904" s="38"/>
      <c r="AD3904" s="38"/>
      <c r="AE3904" s="38"/>
      <c r="AF3904" s="38"/>
      <c r="AG3904" s="38"/>
      <c r="AH3904" s="38"/>
    </row>
    <row r="3905" spans="3:34" ht="20.100000000000001" customHeight="1">
      <c r="C3905" s="113"/>
      <c r="D3905" s="114"/>
      <c r="P3905" s="82"/>
      <c r="Q3905" s="82"/>
      <c r="R3905" s="38"/>
      <c r="S3905" s="38"/>
      <c r="T3905" s="38"/>
      <c r="U3905" s="38"/>
      <c r="V3905" s="38"/>
      <c r="W3905" s="38"/>
      <c r="X3905" s="38"/>
      <c r="Y3905" s="38"/>
      <c r="Z3905" s="38"/>
      <c r="AA3905" s="38"/>
      <c r="AB3905" s="38"/>
      <c r="AC3905" s="38"/>
      <c r="AD3905" s="38"/>
      <c r="AE3905" s="38"/>
      <c r="AF3905" s="38"/>
      <c r="AG3905" s="38"/>
      <c r="AH3905" s="38"/>
    </row>
    <row r="3906" spans="3:34" ht="20.100000000000001" customHeight="1">
      <c r="C3906" s="113"/>
      <c r="D3906" s="114"/>
      <c r="P3906" s="82"/>
      <c r="Q3906" s="82"/>
      <c r="R3906" s="38"/>
      <c r="S3906" s="38"/>
      <c r="T3906" s="38"/>
      <c r="U3906" s="38"/>
      <c r="V3906" s="38"/>
      <c r="W3906" s="38"/>
      <c r="X3906" s="38"/>
      <c r="Y3906" s="38"/>
      <c r="Z3906" s="38"/>
      <c r="AA3906" s="38"/>
      <c r="AB3906" s="38"/>
      <c r="AC3906" s="38"/>
      <c r="AD3906" s="38"/>
      <c r="AE3906" s="38"/>
      <c r="AF3906" s="38"/>
      <c r="AG3906" s="38"/>
      <c r="AH3906" s="38"/>
    </row>
    <row r="3907" spans="3:34" ht="20.100000000000001" customHeight="1">
      <c r="C3907" s="113"/>
      <c r="D3907" s="114"/>
      <c r="P3907" s="82"/>
      <c r="Q3907" s="82"/>
      <c r="R3907" s="38"/>
      <c r="S3907" s="38"/>
      <c r="T3907" s="38"/>
      <c r="U3907" s="38"/>
      <c r="V3907" s="38"/>
      <c r="W3907" s="38"/>
      <c r="X3907" s="38"/>
      <c r="Y3907" s="38"/>
      <c r="Z3907" s="38"/>
      <c r="AA3907" s="38"/>
      <c r="AB3907" s="38"/>
      <c r="AC3907" s="38"/>
      <c r="AD3907" s="38"/>
      <c r="AE3907" s="38"/>
      <c r="AF3907" s="38"/>
      <c r="AG3907" s="38"/>
      <c r="AH3907" s="38"/>
    </row>
    <row r="3908" spans="3:34" ht="20.100000000000001" customHeight="1">
      <c r="C3908" s="113"/>
      <c r="D3908" s="114"/>
      <c r="P3908" s="82"/>
      <c r="Q3908" s="82"/>
      <c r="R3908" s="38"/>
      <c r="S3908" s="38"/>
      <c r="T3908" s="38"/>
      <c r="U3908" s="38"/>
      <c r="V3908" s="38"/>
      <c r="W3908" s="38"/>
      <c r="X3908" s="38"/>
      <c r="Y3908" s="38"/>
      <c r="Z3908" s="38"/>
      <c r="AA3908" s="38"/>
      <c r="AB3908" s="38"/>
      <c r="AC3908" s="38"/>
      <c r="AD3908" s="38"/>
      <c r="AE3908" s="38"/>
      <c r="AF3908" s="38"/>
      <c r="AG3908" s="38"/>
      <c r="AH3908" s="38"/>
    </row>
    <row r="3909" spans="3:34" ht="20.100000000000001" customHeight="1">
      <c r="C3909" s="113"/>
      <c r="D3909" s="114"/>
      <c r="P3909" s="82"/>
      <c r="Q3909" s="82"/>
      <c r="R3909" s="38"/>
      <c r="S3909" s="38"/>
      <c r="T3909" s="38"/>
      <c r="U3909" s="38"/>
      <c r="V3909" s="38"/>
      <c r="W3909" s="38"/>
      <c r="X3909" s="38"/>
      <c r="Y3909" s="38"/>
      <c r="Z3909" s="38"/>
      <c r="AA3909" s="38"/>
      <c r="AB3909" s="38"/>
      <c r="AC3909" s="38"/>
      <c r="AD3909" s="38"/>
      <c r="AE3909" s="38"/>
      <c r="AF3909" s="38"/>
      <c r="AG3909" s="38"/>
      <c r="AH3909" s="38"/>
    </row>
    <row r="3910" spans="3:34" ht="20.100000000000001" customHeight="1">
      <c r="C3910" s="113"/>
      <c r="D3910" s="114"/>
      <c r="P3910" s="82"/>
      <c r="Q3910" s="82"/>
      <c r="R3910" s="38"/>
      <c r="S3910" s="38"/>
      <c r="T3910" s="38"/>
      <c r="U3910" s="38"/>
      <c r="V3910" s="38"/>
      <c r="W3910" s="38"/>
      <c r="X3910" s="38"/>
      <c r="Y3910" s="38"/>
      <c r="Z3910" s="38"/>
      <c r="AA3910" s="38"/>
      <c r="AB3910" s="38"/>
      <c r="AC3910" s="38"/>
      <c r="AD3910" s="38"/>
      <c r="AE3910" s="38"/>
      <c r="AF3910" s="38"/>
      <c r="AG3910" s="38"/>
      <c r="AH3910" s="38"/>
    </row>
    <row r="3911" spans="3:34" ht="20.100000000000001" customHeight="1">
      <c r="C3911" s="113"/>
      <c r="D3911" s="114"/>
      <c r="P3911" s="82"/>
      <c r="Q3911" s="82"/>
      <c r="R3911" s="38"/>
      <c r="S3911" s="38"/>
      <c r="T3911" s="38"/>
      <c r="U3911" s="38"/>
      <c r="V3911" s="38"/>
      <c r="W3911" s="38"/>
      <c r="X3911" s="38"/>
      <c r="Y3911" s="38"/>
      <c r="Z3911" s="38"/>
      <c r="AA3911" s="38"/>
      <c r="AB3911" s="38"/>
      <c r="AC3911" s="38"/>
      <c r="AD3911" s="38"/>
      <c r="AE3911" s="38"/>
      <c r="AF3911" s="38"/>
      <c r="AG3911" s="38"/>
      <c r="AH3911" s="38"/>
    </row>
    <row r="3912" spans="3:34" ht="20.100000000000001" customHeight="1">
      <c r="C3912" s="113"/>
      <c r="D3912" s="114"/>
      <c r="P3912" s="82"/>
      <c r="Q3912" s="82"/>
      <c r="R3912" s="38"/>
      <c r="S3912" s="38"/>
      <c r="T3912" s="38"/>
      <c r="U3912" s="38"/>
      <c r="V3912" s="38"/>
      <c r="W3912" s="38"/>
      <c r="X3912" s="38"/>
      <c r="Y3912" s="38"/>
      <c r="Z3912" s="38"/>
      <c r="AA3912" s="38"/>
      <c r="AB3912" s="38"/>
      <c r="AC3912" s="38"/>
      <c r="AD3912" s="38"/>
      <c r="AE3912" s="38"/>
      <c r="AF3912" s="38"/>
      <c r="AG3912" s="38"/>
      <c r="AH3912" s="38"/>
    </row>
    <row r="3913" spans="3:34" ht="20.100000000000001" customHeight="1">
      <c r="C3913" s="113"/>
      <c r="D3913" s="114"/>
      <c r="P3913" s="82"/>
      <c r="Q3913" s="82"/>
      <c r="R3913" s="38"/>
      <c r="S3913" s="38"/>
      <c r="T3913" s="38"/>
      <c r="U3913" s="38"/>
      <c r="V3913" s="38"/>
      <c r="W3913" s="38"/>
      <c r="X3913" s="38"/>
      <c r="Y3913" s="38"/>
      <c r="Z3913" s="38"/>
      <c r="AA3913" s="38"/>
      <c r="AB3913" s="38"/>
      <c r="AC3913" s="38"/>
      <c r="AD3913" s="38"/>
      <c r="AE3913" s="38"/>
      <c r="AF3913" s="38"/>
      <c r="AG3913" s="38"/>
      <c r="AH3913" s="38"/>
    </row>
    <row r="3914" spans="3:34" ht="20.100000000000001" customHeight="1">
      <c r="C3914" s="113"/>
      <c r="D3914" s="114"/>
      <c r="P3914" s="82"/>
      <c r="Q3914" s="82"/>
      <c r="R3914" s="38"/>
      <c r="S3914" s="38"/>
      <c r="T3914" s="38"/>
      <c r="U3914" s="38"/>
      <c r="V3914" s="38"/>
      <c r="W3914" s="38"/>
      <c r="X3914" s="38"/>
      <c r="Y3914" s="38"/>
      <c r="Z3914" s="38"/>
      <c r="AA3914" s="38"/>
      <c r="AB3914" s="38"/>
      <c r="AC3914" s="38"/>
      <c r="AD3914" s="38"/>
      <c r="AE3914" s="38"/>
      <c r="AF3914" s="38"/>
      <c r="AG3914" s="38"/>
      <c r="AH3914" s="38"/>
    </row>
    <row r="3915" spans="3:34" ht="20.100000000000001" customHeight="1">
      <c r="C3915" s="113"/>
      <c r="D3915" s="114"/>
      <c r="P3915" s="82"/>
      <c r="Q3915" s="82"/>
      <c r="R3915" s="38"/>
      <c r="S3915" s="38"/>
      <c r="T3915" s="38"/>
      <c r="U3915" s="38"/>
      <c r="V3915" s="38"/>
      <c r="W3915" s="38"/>
      <c r="X3915" s="38"/>
      <c r="Y3915" s="38"/>
      <c r="Z3915" s="38"/>
      <c r="AA3915" s="38"/>
      <c r="AB3915" s="38"/>
      <c r="AC3915" s="38"/>
      <c r="AD3915" s="38"/>
      <c r="AE3915" s="38"/>
      <c r="AF3915" s="38"/>
      <c r="AG3915" s="38"/>
      <c r="AH3915" s="38"/>
    </row>
    <row r="3916" spans="3:34" ht="20.100000000000001" customHeight="1">
      <c r="C3916" s="113"/>
      <c r="D3916" s="114"/>
      <c r="P3916" s="82"/>
      <c r="Q3916" s="82"/>
      <c r="R3916" s="38"/>
      <c r="S3916" s="38"/>
      <c r="T3916" s="38"/>
      <c r="U3916" s="38"/>
      <c r="V3916" s="38"/>
      <c r="W3916" s="38"/>
      <c r="X3916" s="38"/>
      <c r="Y3916" s="38"/>
      <c r="Z3916" s="38"/>
      <c r="AA3916" s="38"/>
      <c r="AB3916" s="38"/>
      <c r="AC3916" s="38"/>
      <c r="AD3916" s="38"/>
      <c r="AE3916" s="38"/>
      <c r="AF3916" s="38"/>
      <c r="AG3916" s="38"/>
      <c r="AH3916" s="38"/>
    </row>
    <row r="3917" spans="3:34" ht="20.100000000000001" customHeight="1">
      <c r="C3917" s="113"/>
      <c r="D3917" s="114"/>
      <c r="P3917" s="82"/>
      <c r="Q3917" s="82"/>
      <c r="R3917" s="38"/>
      <c r="S3917" s="38"/>
      <c r="T3917" s="38"/>
      <c r="U3917" s="38"/>
      <c r="V3917" s="38"/>
      <c r="W3917" s="38"/>
      <c r="X3917" s="38"/>
      <c r="Y3917" s="38"/>
      <c r="Z3917" s="38"/>
      <c r="AA3917" s="38"/>
      <c r="AB3917" s="38"/>
      <c r="AC3917" s="38"/>
      <c r="AD3917" s="38"/>
      <c r="AE3917" s="38"/>
      <c r="AF3917" s="38"/>
      <c r="AG3917" s="38"/>
      <c r="AH3917" s="38"/>
    </row>
    <row r="3918" spans="3:34" ht="20.100000000000001" customHeight="1">
      <c r="C3918" s="113"/>
      <c r="D3918" s="114"/>
      <c r="P3918" s="82"/>
      <c r="Q3918" s="82"/>
      <c r="R3918" s="38"/>
      <c r="S3918" s="38"/>
      <c r="T3918" s="38"/>
      <c r="U3918" s="38"/>
      <c r="V3918" s="38"/>
      <c r="W3918" s="38"/>
      <c r="X3918" s="38"/>
      <c r="Y3918" s="38"/>
      <c r="Z3918" s="38"/>
      <c r="AA3918" s="38"/>
      <c r="AB3918" s="38"/>
      <c r="AC3918" s="38"/>
      <c r="AD3918" s="38"/>
      <c r="AE3918" s="38"/>
      <c r="AF3918" s="38"/>
      <c r="AG3918" s="38"/>
      <c r="AH3918" s="38"/>
    </row>
    <row r="3919" spans="3:34" ht="20.100000000000001" customHeight="1">
      <c r="C3919" s="113"/>
      <c r="D3919" s="114"/>
      <c r="P3919" s="82"/>
      <c r="Q3919" s="82"/>
      <c r="R3919" s="38"/>
      <c r="S3919" s="38"/>
      <c r="T3919" s="38"/>
      <c r="U3919" s="38"/>
      <c r="V3919" s="38"/>
      <c r="W3919" s="38"/>
      <c r="X3919" s="38"/>
      <c r="Y3919" s="38"/>
      <c r="Z3919" s="38"/>
      <c r="AA3919" s="38"/>
      <c r="AB3919" s="38"/>
      <c r="AC3919" s="38"/>
      <c r="AD3919" s="38"/>
      <c r="AE3919" s="38"/>
      <c r="AF3919" s="38"/>
      <c r="AG3919" s="38"/>
      <c r="AH3919" s="38"/>
    </row>
    <row r="3920" spans="3:34" ht="20.100000000000001" customHeight="1">
      <c r="C3920" s="113"/>
      <c r="D3920" s="114"/>
      <c r="P3920" s="82"/>
      <c r="Q3920" s="82"/>
      <c r="R3920" s="38"/>
      <c r="S3920" s="38"/>
      <c r="T3920" s="38"/>
      <c r="U3920" s="38"/>
      <c r="V3920" s="38"/>
      <c r="W3920" s="38"/>
      <c r="X3920" s="38"/>
      <c r="Y3920" s="38"/>
      <c r="Z3920" s="38"/>
      <c r="AA3920" s="38"/>
      <c r="AB3920" s="38"/>
      <c r="AC3920" s="38"/>
      <c r="AD3920" s="38"/>
      <c r="AE3920" s="38"/>
      <c r="AF3920" s="38"/>
      <c r="AG3920" s="38"/>
      <c r="AH3920" s="38"/>
    </row>
    <row r="3921" spans="3:34" ht="20.100000000000001" customHeight="1">
      <c r="C3921" s="113"/>
      <c r="D3921" s="114"/>
      <c r="P3921" s="82"/>
      <c r="Q3921" s="82"/>
      <c r="R3921" s="38"/>
      <c r="S3921" s="38"/>
      <c r="T3921" s="38"/>
      <c r="U3921" s="38"/>
      <c r="V3921" s="38"/>
      <c r="W3921" s="38"/>
      <c r="X3921" s="38"/>
      <c r="Y3921" s="38"/>
      <c r="Z3921" s="38"/>
      <c r="AA3921" s="38"/>
      <c r="AB3921" s="38"/>
      <c r="AC3921" s="38"/>
      <c r="AD3921" s="38"/>
      <c r="AE3921" s="38"/>
      <c r="AF3921" s="38"/>
      <c r="AG3921" s="38"/>
      <c r="AH3921" s="38"/>
    </row>
    <row r="3922" spans="3:34" ht="20.100000000000001" customHeight="1">
      <c r="C3922" s="113"/>
      <c r="D3922" s="114"/>
      <c r="P3922" s="82"/>
      <c r="Q3922" s="82"/>
      <c r="R3922" s="38"/>
      <c r="S3922" s="38"/>
      <c r="T3922" s="38"/>
      <c r="U3922" s="38"/>
      <c r="V3922" s="38"/>
      <c r="W3922" s="38"/>
      <c r="X3922" s="38"/>
      <c r="Y3922" s="38"/>
      <c r="Z3922" s="38"/>
      <c r="AA3922" s="38"/>
      <c r="AB3922" s="38"/>
      <c r="AC3922" s="38"/>
      <c r="AD3922" s="38"/>
      <c r="AE3922" s="38"/>
      <c r="AF3922" s="38"/>
      <c r="AG3922" s="38"/>
      <c r="AH3922" s="38"/>
    </row>
    <row r="3923" spans="3:34" ht="20.100000000000001" customHeight="1">
      <c r="C3923" s="113"/>
      <c r="D3923" s="114"/>
      <c r="P3923" s="82"/>
      <c r="Q3923" s="82"/>
      <c r="R3923" s="38"/>
      <c r="S3923" s="38"/>
      <c r="T3923" s="38"/>
      <c r="U3923" s="38"/>
      <c r="V3923" s="38"/>
      <c r="W3923" s="38"/>
      <c r="X3923" s="38"/>
      <c r="Y3923" s="38"/>
      <c r="Z3923" s="38"/>
      <c r="AA3923" s="38"/>
      <c r="AB3923" s="38"/>
      <c r="AC3923" s="38"/>
      <c r="AD3923" s="38"/>
      <c r="AE3923" s="38"/>
      <c r="AF3923" s="38"/>
      <c r="AG3923" s="38"/>
      <c r="AH3923" s="38"/>
    </row>
    <row r="3924" spans="3:34" ht="20.100000000000001" customHeight="1">
      <c r="C3924" s="113"/>
      <c r="D3924" s="114"/>
      <c r="P3924" s="82"/>
      <c r="Q3924" s="82"/>
      <c r="R3924" s="38"/>
      <c r="S3924" s="38"/>
      <c r="T3924" s="38"/>
      <c r="U3924" s="38"/>
      <c r="V3924" s="38"/>
      <c r="W3924" s="38"/>
      <c r="X3924" s="38"/>
      <c r="Y3924" s="38"/>
      <c r="Z3924" s="38"/>
      <c r="AA3924" s="38"/>
      <c r="AB3924" s="38"/>
      <c r="AC3924" s="38"/>
      <c r="AD3924" s="38"/>
      <c r="AE3924" s="38"/>
      <c r="AF3924" s="38"/>
      <c r="AG3924" s="38"/>
      <c r="AH3924" s="38"/>
    </row>
    <row r="3925" spans="3:34" ht="20.100000000000001" customHeight="1">
      <c r="C3925" s="113"/>
      <c r="D3925" s="114"/>
      <c r="P3925" s="82"/>
      <c r="Q3925" s="82"/>
      <c r="R3925" s="38"/>
      <c r="S3925" s="38"/>
      <c r="T3925" s="38"/>
      <c r="U3925" s="38"/>
      <c r="V3925" s="38"/>
      <c r="W3925" s="38"/>
      <c r="X3925" s="38"/>
      <c r="Y3925" s="38"/>
      <c r="Z3925" s="38"/>
      <c r="AA3925" s="38"/>
      <c r="AB3925" s="38"/>
      <c r="AC3925" s="38"/>
      <c r="AD3925" s="38"/>
      <c r="AE3925" s="38"/>
      <c r="AF3925" s="38"/>
      <c r="AG3925" s="38"/>
      <c r="AH3925" s="38"/>
    </row>
    <row r="3926" spans="3:34" ht="20.100000000000001" customHeight="1">
      <c r="C3926" s="113"/>
      <c r="D3926" s="114"/>
      <c r="P3926" s="82"/>
      <c r="Q3926" s="82"/>
      <c r="R3926" s="38"/>
      <c r="S3926" s="38"/>
      <c r="T3926" s="38"/>
      <c r="U3926" s="38"/>
      <c r="V3926" s="38"/>
      <c r="W3926" s="38"/>
      <c r="X3926" s="38"/>
      <c r="Y3926" s="38"/>
      <c r="Z3926" s="38"/>
      <c r="AA3926" s="38"/>
      <c r="AB3926" s="38"/>
      <c r="AC3926" s="38"/>
      <c r="AD3926" s="38"/>
      <c r="AE3926" s="38"/>
      <c r="AF3926" s="38"/>
      <c r="AG3926" s="38"/>
      <c r="AH3926" s="38"/>
    </row>
    <row r="3927" spans="3:34" ht="20.100000000000001" customHeight="1">
      <c r="C3927" s="113"/>
      <c r="D3927" s="114"/>
      <c r="P3927" s="82"/>
      <c r="Q3927" s="82"/>
      <c r="R3927" s="38"/>
      <c r="S3927" s="38"/>
      <c r="T3927" s="38"/>
      <c r="U3927" s="38"/>
      <c r="V3927" s="38"/>
      <c r="W3927" s="38"/>
      <c r="X3927" s="38"/>
      <c r="Y3927" s="38"/>
      <c r="Z3927" s="38"/>
      <c r="AA3927" s="38"/>
      <c r="AB3927" s="38"/>
      <c r="AC3927" s="38"/>
      <c r="AD3927" s="38"/>
      <c r="AE3927" s="38"/>
      <c r="AF3927" s="38"/>
      <c r="AG3927" s="38"/>
      <c r="AH3927" s="38"/>
    </row>
    <row r="3928" spans="3:34" ht="20.100000000000001" customHeight="1">
      <c r="C3928" s="113"/>
      <c r="D3928" s="114"/>
      <c r="P3928" s="82"/>
      <c r="Q3928" s="82"/>
      <c r="R3928" s="38"/>
      <c r="S3928" s="38"/>
      <c r="T3928" s="38"/>
      <c r="U3928" s="38"/>
      <c r="V3928" s="38"/>
      <c r="W3928" s="38"/>
      <c r="X3928" s="38"/>
      <c r="Y3928" s="38"/>
      <c r="Z3928" s="38"/>
      <c r="AA3928" s="38"/>
      <c r="AB3928" s="38"/>
      <c r="AC3928" s="38"/>
      <c r="AD3928" s="38"/>
      <c r="AE3928" s="38"/>
      <c r="AF3928" s="38"/>
      <c r="AG3928" s="38"/>
      <c r="AH3928" s="38"/>
    </row>
    <row r="3929" spans="3:34" ht="20.100000000000001" customHeight="1">
      <c r="C3929" s="113"/>
      <c r="D3929" s="114"/>
      <c r="P3929" s="82"/>
      <c r="Q3929" s="82"/>
      <c r="R3929" s="38"/>
      <c r="S3929" s="38"/>
      <c r="T3929" s="38"/>
      <c r="U3929" s="38"/>
      <c r="V3929" s="38"/>
      <c r="W3929" s="38"/>
      <c r="X3929" s="38"/>
      <c r="Y3929" s="38"/>
      <c r="Z3929" s="38"/>
      <c r="AA3929" s="38"/>
      <c r="AB3929" s="38"/>
      <c r="AC3929" s="38"/>
      <c r="AD3929" s="38"/>
      <c r="AE3929" s="38"/>
      <c r="AF3929" s="38"/>
      <c r="AG3929" s="38"/>
      <c r="AH3929" s="38"/>
    </row>
    <row r="3930" spans="3:34" ht="20.100000000000001" customHeight="1">
      <c r="C3930" s="113"/>
      <c r="D3930" s="114"/>
      <c r="P3930" s="82"/>
      <c r="Q3930" s="82"/>
      <c r="R3930" s="38"/>
      <c r="S3930" s="38"/>
      <c r="T3930" s="38"/>
      <c r="U3930" s="38"/>
      <c r="V3930" s="38"/>
      <c r="W3930" s="38"/>
      <c r="X3930" s="38"/>
      <c r="Y3930" s="38"/>
      <c r="Z3930" s="38"/>
      <c r="AA3930" s="38"/>
      <c r="AB3930" s="38"/>
      <c r="AC3930" s="38"/>
      <c r="AD3930" s="38"/>
      <c r="AE3930" s="38"/>
      <c r="AF3930" s="38"/>
      <c r="AG3930" s="38"/>
      <c r="AH3930" s="38"/>
    </row>
    <row r="3931" spans="3:34" ht="20.100000000000001" customHeight="1">
      <c r="C3931" s="113"/>
      <c r="D3931" s="114"/>
      <c r="P3931" s="82"/>
      <c r="Q3931" s="82"/>
      <c r="R3931" s="38"/>
      <c r="S3931" s="38"/>
      <c r="T3931" s="38"/>
      <c r="U3931" s="38"/>
      <c r="V3931" s="38"/>
      <c r="W3931" s="38"/>
      <c r="X3931" s="38"/>
      <c r="Y3931" s="38"/>
      <c r="Z3931" s="38"/>
      <c r="AA3931" s="38"/>
      <c r="AB3931" s="38"/>
      <c r="AC3931" s="38"/>
      <c r="AD3931" s="38"/>
      <c r="AE3931" s="38"/>
      <c r="AF3931" s="38"/>
      <c r="AG3931" s="38"/>
      <c r="AH3931" s="38"/>
    </row>
    <row r="3932" spans="3:34" ht="20.100000000000001" customHeight="1">
      <c r="C3932" s="113"/>
      <c r="D3932" s="114"/>
      <c r="P3932" s="82"/>
      <c r="Q3932" s="82"/>
      <c r="R3932" s="38"/>
      <c r="S3932" s="38"/>
      <c r="T3932" s="38"/>
      <c r="U3932" s="38"/>
      <c r="V3932" s="38"/>
      <c r="W3932" s="38"/>
      <c r="X3932" s="38"/>
      <c r="Y3932" s="38"/>
      <c r="Z3932" s="38"/>
      <c r="AA3932" s="38"/>
      <c r="AB3932" s="38"/>
      <c r="AC3932" s="38"/>
      <c r="AD3932" s="38"/>
      <c r="AE3932" s="38"/>
      <c r="AF3932" s="38"/>
      <c r="AG3932" s="38"/>
      <c r="AH3932" s="38"/>
    </row>
    <row r="3933" spans="3:34" ht="20.100000000000001" customHeight="1">
      <c r="C3933" s="113"/>
      <c r="D3933" s="114"/>
      <c r="P3933" s="82"/>
      <c r="Q3933" s="82"/>
      <c r="R3933" s="38"/>
      <c r="S3933" s="38"/>
      <c r="T3933" s="38"/>
      <c r="U3933" s="38"/>
      <c r="V3933" s="38"/>
      <c r="W3933" s="38"/>
      <c r="X3933" s="38"/>
      <c r="Y3933" s="38"/>
      <c r="Z3933" s="38"/>
      <c r="AA3933" s="38"/>
      <c r="AB3933" s="38"/>
      <c r="AC3933" s="38"/>
      <c r="AD3933" s="38"/>
      <c r="AE3933" s="38"/>
      <c r="AF3933" s="38"/>
      <c r="AG3933" s="38"/>
      <c r="AH3933" s="38"/>
    </row>
    <row r="3934" spans="3:34" ht="20.100000000000001" customHeight="1">
      <c r="C3934" s="113"/>
      <c r="D3934" s="114"/>
      <c r="P3934" s="82"/>
      <c r="Q3934" s="82"/>
      <c r="R3934" s="38"/>
      <c r="S3934" s="38"/>
      <c r="T3934" s="38"/>
      <c r="U3934" s="38"/>
      <c r="V3934" s="38"/>
      <c r="W3934" s="38"/>
      <c r="X3934" s="38"/>
      <c r="Y3934" s="38"/>
      <c r="Z3934" s="38"/>
      <c r="AA3934" s="38"/>
      <c r="AB3934" s="38"/>
      <c r="AC3934" s="38"/>
      <c r="AD3934" s="38"/>
      <c r="AE3934" s="38"/>
      <c r="AF3934" s="38"/>
      <c r="AG3934" s="38"/>
      <c r="AH3934" s="38"/>
    </row>
    <row r="3935" spans="3:34" ht="20.100000000000001" customHeight="1">
      <c r="C3935" s="113"/>
      <c r="D3935" s="114"/>
      <c r="P3935" s="82"/>
      <c r="Q3935" s="82"/>
      <c r="R3935" s="38"/>
      <c r="S3935" s="38"/>
      <c r="T3935" s="38"/>
      <c r="U3935" s="38"/>
      <c r="V3935" s="38"/>
      <c r="W3935" s="38"/>
      <c r="X3935" s="38"/>
      <c r="Y3935" s="38"/>
      <c r="Z3935" s="38"/>
      <c r="AA3935" s="38"/>
      <c r="AB3935" s="38"/>
      <c r="AC3935" s="38"/>
      <c r="AD3935" s="38"/>
      <c r="AE3935" s="38"/>
      <c r="AF3935" s="38"/>
      <c r="AG3935" s="38"/>
      <c r="AH3935" s="38"/>
    </row>
    <row r="3936" spans="3:34" ht="20.100000000000001" customHeight="1">
      <c r="C3936" s="113"/>
      <c r="D3936" s="114"/>
      <c r="P3936" s="82"/>
      <c r="Q3936" s="82"/>
      <c r="R3936" s="38"/>
      <c r="S3936" s="38"/>
      <c r="T3936" s="38"/>
      <c r="U3936" s="38"/>
      <c r="V3936" s="38"/>
      <c r="W3936" s="38"/>
      <c r="X3936" s="38"/>
      <c r="Y3936" s="38"/>
      <c r="Z3936" s="38"/>
      <c r="AA3936" s="38"/>
      <c r="AB3936" s="38"/>
      <c r="AC3936" s="38"/>
      <c r="AD3936" s="38"/>
      <c r="AE3936" s="38"/>
      <c r="AF3936" s="38"/>
      <c r="AG3936" s="38"/>
      <c r="AH3936" s="38"/>
    </row>
    <row r="3937" spans="3:34" ht="20.100000000000001" customHeight="1">
      <c r="C3937" s="113"/>
      <c r="D3937" s="114"/>
      <c r="P3937" s="82"/>
      <c r="Q3937" s="82"/>
      <c r="R3937" s="38"/>
      <c r="S3937" s="38"/>
      <c r="T3937" s="38"/>
      <c r="U3937" s="38"/>
      <c r="V3937" s="38"/>
      <c r="W3937" s="38"/>
      <c r="X3937" s="38"/>
      <c r="Y3937" s="38"/>
      <c r="Z3937" s="38"/>
      <c r="AA3937" s="38"/>
      <c r="AB3937" s="38"/>
      <c r="AC3937" s="38"/>
      <c r="AD3937" s="38"/>
      <c r="AE3937" s="38"/>
      <c r="AF3937" s="38"/>
      <c r="AG3937" s="38"/>
      <c r="AH3937" s="38"/>
    </row>
    <row r="3938" spans="3:34" ht="20.100000000000001" customHeight="1">
      <c r="C3938" s="113"/>
      <c r="D3938" s="114"/>
      <c r="P3938" s="82"/>
      <c r="Q3938" s="82"/>
      <c r="R3938" s="38"/>
      <c r="S3938" s="38"/>
      <c r="T3938" s="38"/>
      <c r="U3938" s="38"/>
      <c r="V3938" s="38"/>
      <c r="W3938" s="38"/>
      <c r="X3938" s="38"/>
      <c r="Y3938" s="38"/>
      <c r="Z3938" s="38"/>
      <c r="AA3938" s="38"/>
      <c r="AB3938" s="38"/>
      <c r="AC3938" s="38"/>
      <c r="AD3938" s="38"/>
      <c r="AE3938" s="38"/>
      <c r="AF3938" s="38"/>
      <c r="AG3938" s="38"/>
      <c r="AH3938" s="38"/>
    </row>
    <row r="3939" spans="3:34" ht="20.100000000000001" customHeight="1">
      <c r="C3939" s="113"/>
      <c r="D3939" s="114"/>
      <c r="P3939" s="82"/>
      <c r="Q3939" s="82"/>
      <c r="R3939" s="38"/>
      <c r="S3939" s="38"/>
      <c r="T3939" s="38"/>
      <c r="U3939" s="38"/>
      <c r="V3939" s="38"/>
      <c r="W3939" s="38"/>
      <c r="X3939" s="38"/>
      <c r="Y3939" s="38"/>
      <c r="Z3939" s="38"/>
      <c r="AA3939" s="38"/>
      <c r="AB3939" s="38"/>
      <c r="AC3939" s="38"/>
      <c r="AD3939" s="38"/>
      <c r="AE3939" s="38"/>
      <c r="AF3939" s="38"/>
      <c r="AG3939" s="38"/>
      <c r="AH3939" s="38"/>
    </row>
    <row r="3940" spans="3:34" ht="20.100000000000001" customHeight="1">
      <c r="C3940" s="113"/>
      <c r="D3940" s="114"/>
      <c r="P3940" s="82"/>
      <c r="Q3940" s="82"/>
      <c r="R3940" s="38"/>
      <c r="S3940" s="38"/>
      <c r="T3940" s="38"/>
      <c r="U3940" s="38"/>
      <c r="V3940" s="38"/>
      <c r="W3940" s="38"/>
      <c r="X3940" s="38"/>
      <c r="Y3940" s="38"/>
      <c r="Z3940" s="38"/>
      <c r="AA3940" s="38"/>
      <c r="AB3940" s="38"/>
      <c r="AC3940" s="38"/>
      <c r="AD3940" s="38"/>
      <c r="AE3940" s="38"/>
      <c r="AF3940" s="38"/>
      <c r="AG3940" s="38"/>
      <c r="AH3940" s="38"/>
    </row>
    <row r="3941" spans="3:34" ht="20.100000000000001" customHeight="1">
      <c r="C3941" s="113"/>
      <c r="D3941" s="114"/>
      <c r="P3941" s="82"/>
      <c r="Q3941" s="82"/>
      <c r="R3941" s="38"/>
      <c r="S3941" s="38"/>
      <c r="T3941" s="38"/>
      <c r="U3941" s="38"/>
      <c r="V3941" s="38"/>
      <c r="W3941" s="38"/>
      <c r="X3941" s="38"/>
      <c r="Y3941" s="38"/>
      <c r="Z3941" s="38"/>
      <c r="AA3941" s="38"/>
      <c r="AB3941" s="38"/>
      <c r="AC3941" s="38"/>
      <c r="AD3941" s="38"/>
      <c r="AE3941" s="38"/>
      <c r="AF3941" s="38"/>
      <c r="AG3941" s="38"/>
      <c r="AH3941" s="38"/>
    </row>
    <row r="3942" spans="3:34" ht="20.100000000000001" customHeight="1">
      <c r="C3942" s="113"/>
      <c r="D3942" s="114"/>
      <c r="P3942" s="82"/>
      <c r="Q3942" s="82"/>
      <c r="R3942" s="38"/>
      <c r="S3942" s="38"/>
      <c r="T3942" s="38"/>
      <c r="U3942" s="38"/>
      <c r="V3942" s="38"/>
      <c r="W3942" s="38"/>
      <c r="X3942" s="38"/>
      <c r="Y3942" s="38"/>
      <c r="Z3942" s="38"/>
      <c r="AA3942" s="38"/>
      <c r="AB3942" s="38"/>
      <c r="AC3942" s="38"/>
      <c r="AD3942" s="38"/>
      <c r="AE3942" s="38"/>
      <c r="AF3942" s="38"/>
      <c r="AG3942" s="38"/>
      <c r="AH3942" s="38"/>
    </row>
    <row r="3943" spans="3:34" ht="20.100000000000001" customHeight="1">
      <c r="C3943" s="113"/>
      <c r="D3943" s="114"/>
      <c r="P3943" s="82"/>
      <c r="Q3943" s="82"/>
      <c r="R3943" s="38"/>
      <c r="S3943" s="38"/>
      <c r="T3943" s="38"/>
      <c r="U3943" s="38"/>
      <c r="V3943" s="38"/>
      <c r="W3943" s="38"/>
      <c r="X3943" s="38"/>
      <c r="Y3943" s="38"/>
      <c r="Z3943" s="38"/>
      <c r="AA3943" s="38"/>
      <c r="AB3943" s="38"/>
      <c r="AC3943" s="38"/>
      <c r="AD3943" s="38"/>
      <c r="AE3943" s="38"/>
      <c r="AF3943" s="38"/>
      <c r="AG3943" s="38"/>
      <c r="AH3943" s="38"/>
    </row>
    <row r="3944" spans="3:34" ht="20.100000000000001" customHeight="1">
      <c r="C3944" s="113"/>
      <c r="D3944" s="114"/>
      <c r="P3944" s="82"/>
      <c r="Q3944" s="82"/>
      <c r="R3944" s="38"/>
      <c r="S3944" s="38"/>
      <c r="T3944" s="38"/>
      <c r="U3944" s="38"/>
      <c r="V3944" s="38"/>
      <c r="W3944" s="38"/>
      <c r="X3944" s="38"/>
      <c r="Y3944" s="38"/>
      <c r="Z3944" s="38"/>
      <c r="AA3944" s="38"/>
      <c r="AB3944" s="38"/>
      <c r="AC3944" s="38"/>
      <c r="AD3944" s="38"/>
      <c r="AE3944" s="38"/>
      <c r="AF3944" s="38"/>
      <c r="AG3944" s="38"/>
      <c r="AH3944" s="38"/>
    </row>
    <row r="3945" spans="3:34" ht="20.100000000000001" customHeight="1">
      <c r="C3945" s="113"/>
      <c r="D3945" s="114"/>
      <c r="P3945" s="82"/>
      <c r="Q3945" s="82"/>
      <c r="R3945" s="38"/>
      <c r="S3945" s="38"/>
      <c r="T3945" s="38"/>
      <c r="U3945" s="38"/>
      <c r="V3945" s="38"/>
      <c r="W3945" s="38"/>
      <c r="X3945" s="38"/>
      <c r="Y3945" s="38"/>
      <c r="Z3945" s="38"/>
      <c r="AA3945" s="38"/>
      <c r="AB3945" s="38"/>
      <c r="AC3945" s="38"/>
      <c r="AD3945" s="38"/>
      <c r="AE3945" s="38"/>
      <c r="AF3945" s="38"/>
      <c r="AG3945" s="38"/>
      <c r="AH3945" s="38"/>
    </row>
    <row r="3946" spans="3:34" ht="20.100000000000001" customHeight="1">
      <c r="C3946" s="113"/>
      <c r="D3946" s="114"/>
      <c r="P3946" s="82"/>
      <c r="Q3946" s="82"/>
      <c r="R3946" s="38"/>
      <c r="S3946" s="38"/>
      <c r="T3946" s="38"/>
      <c r="U3946" s="38"/>
      <c r="V3946" s="38"/>
      <c r="W3946" s="38"/>
      <c r="X3946" s="38"/>
      <c r="Y3946" s="38"/>
      <c r="Z3946" s="38"/>
      <c r="AA3946" s="38"/>
      <c r="AB3946" s="38"/>
      <c r="AC3946" s="38"/>
      <c r="AD3946" s="38"/>
      <c r="AE3946" s="38"/>
      <c r="AF3946" s="38"/>
      <c r="AG3946" s="38"/>
      <c r="AH3946" s="38"/>
    </row>
    <row r="3947" spans="3:34" ht="20.100000000000001" customHeight="1">
      <c r="C3947" s="113"/>
      <c r="D3947" s="114"/>
      <c r="P3947" s="82"/>
      <c r="Q3947" s="82"/>
      <c r="R3947" s="38"/>
      <c r="S3947" s="38"/>
      <c r="T3947" s="38"/>
      <c r="U3947" s="38"/>
      <c r="V3947" s="38"/>
      <c r="W3947" s="38"/>
      <c r="X3947" s="38"/>
      <c r="Y3947" s="38"/>
      <c r="Z3947" s="38"/>
      <c r="AA3947" s="38"/>
      <c r="AB3947" s="38"/>
      <c r="AC3947" s="38"/>
      <c r="AD3947" s="38"/>
      <c r="AE3947" s="38"/>
      <c r="AF3947" s="38"/>
      <c r="AG3947" s="38"/>
      <c r="AH3947" s="38"/>
    </row>
    <row r="3948" spans="3:34" ht="20.100000000000001" customHeight="1">
      <c r="C3948" s="113"/>
      <c r="D3948" s="114"/>
      <c r="P3948" s="82"/>
      <c r="Q3948" s="82"/>
      <c r="R3948" s="38"/>
      <c r="S3948" s="38"/>
      <c r="T3948" s="38"/>
      <c r="U3948" s="38"/>
      <c r="V3948" s="38"/>
      <c r="W3948" s="38"/>
      <c r="X3948" s="38"/>
      <c r="Y3948" s="38"/>
      <c r="Z3948" s="38"/>
      <c r="AA3948" s="38"/>
      <c r="AB3948" s="38"/>
      <c r="AC3948" s="38"/>
      <c r="AD3948" s="38"/>
      <c r="AE3948" s="38"/>
      <c r="AF3948" s="38"/>
      <c r="AG3948" s="38"/>
      <c r="AH3948" s="38"/>
    </row>
    <row r="3949" spans="3:34" ht="20.100000000000001" customHeight="1">
      <c r="C3949" s="113"/>
      <c r="D3949" s="114"/>
      <c r="P3949" s="82"/>
      <c r="Q3949" s="82"/>
      <c r="R3949" s="38"/>
      <c r="S3949" s="38"/>
      <c r="T3949" s="38"/>
      <c r="U3949" s="38"/>
      <c r="V3949" s="38"/>
      <c r="W3949" s="38"/>
      <c r="X3949" s="38"/>
      <c r="Y3949" s="38"/>
      <c r="Z3949" s="38"/>
      <c r="AA3949" s="38"/>
      <c r="AB3949" s="38"/>
      <c r="AC3949" s="38"/>
      <c r="AD3949" s="38"/>
      <c r="AE3949" s="38"/>
      <c r="AF3949" s="38"/>
      <c r="AG3949" s="38"/>
      <c r="AH3949" s="38"/>
    </row>
    <row r="3950" spans="3:34" ht="20.100000000000001" customHeight="1">
      <c r="C3950" s="113"/>
      <c r="D3950" s="114"/>
      <c r="P3950" s="82"/>
      <c r="Q3950" s="82"/>
      <c r="R3950" s="38"/>
      <c r="S3950" s="38"/>
      <c r="T3950" s="38"/>
      <c r="U3950" s="38"/>
      <c r="V3950" s="38"/>
      <c r="W3950" s="38"/>
      <c r="X3950" s="38"/>
      <c r="Y3950" s="38"/>
      <c r="Z3950" s="38"/>
      <c r="AA3950" s="38"/>
      <c r="AB3950" s="38"/>
      <c r="AC3950" s="38"/>
      <c r="AD3950" s="38"/>
      <c r="AE3950" s="38"/>
      <c r="AF3950" s="38"/>
      <c r="AG3950" s="38"/>
      <c r="AH3950" s="38"/>
    </row>
    <row r="3951" spans="3:34" ht="20.100000000000001" customHeight="1">
      <c r="C3951" s="113"/>
      <c r="D3951" s="114"/>
      <c r="P3951" s="82"/>
      <c r="Q3951" s="82"/>
      <c r="R3951" s="38"/>
      <c r="S3951" s="38"/>
      <c r="T3951" s="38"/>
      <c r="U3951" s="38"/>
      <c r="V3951" s="38"/>
      <c r="W3951" s="38"/>
      <c r="X3951" s="38"/>
      <c r="Y3951" s="38"/>
      <c r="Z3951" s="38"/>
      <c r="AA3951" s="38"/>
      <c r="AB3951" s="38"/>
      <c r="AC3951" s="38"/>
      <c r="AD3951" s="38"/>
      <c r="AE3951" s="38"/>
      <c r="AF3951" s="38"/>
      <c r="AG3951" s="38"/>
      <c r="AH3951" s="38"/>
    </row>
    <row r="3952" spans="3:34" ht="20.100000000000001" customHeight="1">
      <c r="C3952" s="113"/>
      <c r="D3952" s="114"/>
      <c r="P3952" s="82"/>
      <c r="Q3952" s="82"/>
      <c r="R3952" s="38"/>
      <c r="S3952" s="38"/>
      <c r="T3952" s="38"/>
      <c r="U3952" s="38"/>
      <c r="V3952" s="38"/>
      <c r="W3952" s="38"/>
      <c r="X3952" s="38"/>
      <c r="Y3952" s="38"/>
      <c r="Z3952" s="38"/>
      <c r="AA3952" s="38"/>
      <c r="AB3952" s="38"/>
      <c r="AC3952" s="38"/>
      <c r="AD3952" s="38"/>
      <c r="AE3952" s="38"/>
      <c r="AF3952" s="38"/>
      <c r="AG3952" s="38"/>
      <c r="AH3952" s="38"/>
    </row>
    <row r="3953" spans="3:34" ht="20.100000000000001" customHeight="1">
      <c r="C3953" s="113"/>
      <c r="D3953" s="114"/>
      <c r="P3953" s="82"/>
      <c r="Q3953" s="82"/>
      <c r="R3953" s="38"/>
      <c r="S3953" s="38"/>
      <c r="T3953" s="38"/>
      <c r="U3953" s="38"/>
      <c r="V3953" s="38"/>
      <c r="W3953" s="38"/>
      <c r="X3953" s="38"/>
      <c r="Y3953" s="38"/>
      <c r="Z3953" s="38"/>
      <c r="AA3953" s="38"/>
      <c r="AB3953" s="38"/>
      <c r="AC3953" s="38"/>
      <c r="AD3953" s="38"/>
      <c r="AE3953" s="38"/>
      <c r="AF3953" s="38"/>
      <c r="AG3953" s="38"/>
      <c r="AH3953" s="38"/>
    </row>
    <row r="3954" spans="3:34" ht="20.100000000000001" customHeight="1">
      <c r="C3954" s="113"/>
      <c r="D3954" s="114"/>
      <c r="P3954" s="82"/>
      <c r="Q3954" s="82"/>
      <c r="R3954" s="38"/>
      <c r="S3954" s="38"/>
      <c r="T3954" s="38"/>
      <c r="U3954" s="38"/>
      <c r="V3954" s="38"/>
      <c r="W3954" s="38"/>
      <c r="X3954" s="38"/>
      <c r="Y3954" s="38"/>
      <c r="Z3954" s="38"/>
      <c r="AA3954" s="38"/>
      <c r="AB3954" s="38"/>
      <c r="AC3954" s="38"/>
      <c r="AD3954" s="38"/>
      <c r="AE3954" s="38"/>
      <c r="AF3954" s="38"/>
      <c r="AG3954" s="38"/>
      <c r="AH3954" s="38"/>
    </row>
    <row r="3955" spans="3:34" ht="20.100000000000001" customHeight="1">
      <c r="C3955" s="113"/>
      <c r="D3955" s="114"/>
      <c r="P3955" s="82"/>
      <c r="Q3955" s="82"/>
      <c r="R3955" s="38"/>
      <c r="S3955" s="38"/>
      <c r="T3955" s="38"/>
      <c r="U3955" s="38"/>
      <c r="V3955" s="38"/>
      <c r="W3955" s="38"/>
      <c r="X3955" s="38"/>
      <c r="Y3955" s="38"/>
      <c r="Z3955" s="38"/>
      <c r="AA3955" s="38"/>
      <c r="AB3955" s="38"/>
      <c r="AC3955" s="38"/>
      <c r="AD3955" s="38"/>
      <c r="AE3955" s="38"/>
      <c r="AF3955" s="38"/>
      <c r="AG3955" s="38"/>
      <c r="AH3955" s="38"/>
    </row>
    <row r="3956" spans="3:34" ht="20.100000000000001" customHeight="1">
      <c r="C3956" s="113"/>
      <c r="D3956" s="114"/>
      <c r="P3956" s="82"/>
      <c r="Q3956" s="82"/>
      <c r="R3956" s="38"/>
      <c r="S3956" s="38"/>
      <c r="T3956" s="38"/>
      <c r="U3956" s="38"/>
      <c r="V3956" s="38"/>
      <c r="W3956" s="38"/>
      <c r="X3956" s="38"/>
      <c r="Y3956" s="38"/>
      <c r="Z3956" s="38"/>
      <c r="AA3956" s="38"/>
      <c r="AB3956" s="38"/>
      <c r="AC3956" s="38"/>
      <c r="AD3956" s="38"/>
      <c r="AE3956" s="38"/>
      <c r="AF3956" s="38"/>
      <c r="AG3956" s="38"/>
      <c r="AH3956" s="38"/>
    </row>
    <row r="3957" spans="3:34" ht="20.100000000000001" customHeight="1">
      <c r="C3957" s="113"/>
      <c r="D3957" s="114"/>
      <c r="P3957" s="82"/>
      <c r="Q3957" s="82"/>
      <c r="R3957" s="38"/>
      <c r="S3957" s="38"/>
      <c r="T3957" s="38"/>
      <c r="U3957" s="38"/>
      <c r="V3957" s="38"/>
      <c r="W3957" s="38"/>
      <c r="X3957" s="38"/>
      <c r="Y3957" s="38"/>
      <c r="Z3957" s="38"/>
      <c r="AA3957" s="38"/>
      <c r="AB3957" s="38"/>
      <c r="AC3957" s="38"/>
      <c r="AD3957" s="38"/>
      <c r="AE3957" s="38"/>
      <c r="AF3957" s="38"/>
      <c r="AG3957" s="38"/>
      <c r="AH3957" s="38"/>
    </row>
    <row r="3958" spans="3:34" ht="20.100000000000001" customHeight="1">
      <c r="C3958" s="113"/>
      <c r="D3958" s="114"/>
      <c r="P3958" s="82"/>
      <c r="Q3958" s="82"/>
      <c r="R3958" s="38"/>
      <c r="S3958" s="38"/>
      <c r="T3958" s="38"/>
      <c r="U3958" s="38"/>
      <c r="V3958" s="38"/>
      <c r="W3958" s="38"/>
      <c r="X3958" s="38"/>
      <c r="Y3958" s="38"/>
      <c r="Z3958" s="38"/>
      <c r="AA3958" s="38"/>
      <c r="AB3958" s="38"/>
      <c r="AC3958" s="38"/>
      <c r="AD3958" s="38"/>
      <c r="AE3958" s="38"/>
      <c r="AF3958" s="38"/>
      <c r="AG3958" s="38"/>
      <c r="AH3958" s="38"/>
    </row>
    <row r="3959" spans="3:34" ht="20.100000000000001" customHeight="1">
      <c r="C3959" s="113"/>
      <c r="D3959" s="114"/>
      <c r="P3959" s="82"/>
      <c r="Q3959" s="82"/>
      <c r="R3959" s="38"/>
      <c r="S3959" s="38"/>
      <c r="T3959" s="38"/>
      <c r="U3959" s="38"/>
      <c r="V3959" s="38"/>
      <c r="W3959" s="38"/>
      <c r="X3959" s="38"/>
      <c r="Y3959" s="38"/>
      <c r="Z3959" s="38"/>
      <c r="AA3959" s="38"/>
      <c r="AB3959" s="38"/>
      <c r="AC3959" s="38"/>
      <c r="AD3959" s="38"/>
      <c r="AE3959" s="38"/>
      <c r="AF3959" s="38"/>
      <c r="AG3959" s="38"/>
      <c r="AH3959" s="38"/>
    </row>
    <row r="3960" spans="3:34" ht="20.100000000000001" customHeight="1">
      <c r="C3960" s="113"/>
      <c r="D3960" s="114"/>
      <c r="P3960" s="82"/>
      <c r="Q3960" s="82"/>
      <c r="R3960" s="38"/>
      <c r="S3960" s="38"/>
      <c r="T3960" s="38"/>
      <c r="U3960" s="38"/>
      <c r="V3960" s="38"/>
      <c r="W3960" s="38"/>
      <c r="X3960" s="38"/>
      <c r="Y3960" s="38"/>
      <c r="Z3960" s="38"/>
      <c r="AA3960" s="38"/>
      <c r="AB3960" s="38"/>
      <c r="AC3960" s="38"/>
      <c r="AD3960" s="38"/>
      <c r="AE3960" s="38"/>
      <c r="AF3960" s="38"/>
      <c r="AG3960" s="38"/>
      <c r="AH3960" s="38"/>
    </row>
    <row r="3961" spans="3:34" ht="20.100000000000001" customHeight="1">
      <c r="C3961" s="113"/>
      <c r="D3961" s="114"/>
      <c r="P3961" s="82"/>
      <c r="Q3961" s="82"/>
      <c r="R3961" s="38"/>
      <c r="S3961" s="38"/>
      <c r="T3961" s="38"/>
      <c r="U3961" s="38"/>
      <c r="V3961" s="38"/>
      <c r="W3961" s="38"/>
      <c r="X3961" s="38"/>
      <c r="Y3961" s="38"/>
      <c r="Z3961" s="38"/>
      <c r="AA3961" s="38"/>
      <c r="AB3961" s="38"/>
      <c r="AC3961" s="38"/>
      <c r="AD3961" s="38"/>
      <c r="AE3961" s="38"/>
      <c r="AF3961" s="38"/>
      <c r="AG3961" s="38"/>
      <c r="AH3961" s="38"/>
    </row>
    <row r="3962" spans="3:34" ht="20.100000000000001" customHeight="1">
      <c r="C3962" s="113"/>
      <c r="D3962" s="114"/>
      <c r="P3962" s="82"/>
      <c r="Q3962" s="82"/>
      <c r="R3962" s="38"/>
      <c r="S3962" s="38"/>
      <c r="T3962" s="38"/>
      <c r="U3962" s="38"/>
      <c r="V3962" s="38"/>
      <c r="W3962" s="38"/>
      <c r="X3962" s="38"/>
      <c r="Y3962" s="38"/>
      <c r="Z3962" s="38"/>
      <c r="AA3962" s="38"/>
      <c r="AB3962" s="38"/>
      <c r="AC3962" s="38"/>
      <c r="AD3962" s="38"/>
      <c r="AE3962" s="38"/>
      <c r="AF3962" s="38"/>
      <c r="AG3962" s="38"/>
      <c r="AH3962" s="38"/>
    </row>
    <row r="3963" spans="3:34" ht="20.100000000000001" customHeight="1">
      <c r="C3963" s="113"/>
      <c r="D3963" s="114"/>
      <c r="P3963" s="82"/>
      <c r="Q3963" s="82"/>
      <c r="R3963" s="38"/>
      <c r="S3963" s="38"/>
      <c r="T3963" s="38"/>
      <c r="U3963" s="38"/>
      <c r="V3963" s="38"/>
      <c r="W3963" s="38"/>
      <c r="X3963" s="38"/>
      <c r="Y3963" s="38"/>
      <c r="Z3963" s="38"/>
      <c r="AA3963" s="38"/>
      <c r="AB3963" s="38"/>
      <c r="AC3963" s="38"/>
      <c r="AD3963" s="38"/>
      <c r="AE3963" s="38"/>
      <c r="AF3963" s="38"/>
      <c r="AG3963" s="38"/>
      <c r="AH3963" s="38"/>
    </row>
    <row r="3964" spans="3:34" ht="20.100000000000001" customHeight="1">
      <c r="C3964" s="113"/>
      <c r="D3964" s="114"/>
      <c r="P3964" s="82"/>
      <c r="Q3964" s="82"/>
      <c r="R3964" s="38"/>
      <c r="S3964" s="38"/>
      <c r="T3964" s="38"/>
      <c r="U3964" s="38"/>
      <c r="V3964" s="38"/>
      <c r="W3964" s="38"/>
      <c r="X3964" s="38"/>
      <c r="Y3964" s="38"/>
      <c r="Z3964" s="38"/>
      <c r="AA3964" s="38"/>
      <c r="AB3964" s="38"/>
      <c r="AC3964" s="38"/>
      <c r="AD3964" s="38"/>
      <c r="AE3964" s="38"/>
      <c r="AF3964" s="38"/>
      <c r="AG3964" s="38"/>
      <c r="AH3964" s="38"/>
    </row>
    <row r="3965" spans="3:34" ht="20.100000000000001" customHeight="1">
      <c r="C3965" s="113"/>
      <c r="D3965" s="114"/>
      <c r="P3965" s="82"/>
      <c r="Q3965" s="82"/>
      <c r="R3965" s="38"/>
      <c r="S3965" s="38"/>
      <c r="T3965" s="38"/>
      <c r="U3965" s="38"/>
      <c r="V3965" s="38"/>
      <c r="W3965" s="38"/>
      <c r="X3965" s="38"/>
      <c r="Y3965" s="38"/>
      <c r="Z3965" s="38"/>
      <c r="AA3965" s="38"/>
      <c r="AB3965" s="38"/>
      <c r="AC3965" s="38"/>
      <c r="AD3965" s="38"/>
      <c r="AE3965" s="38"/>
      <c r="AF3965" s="38"/>
      <c r="AG3965" s="38"/>
      <c r="AH3965" s="38"/>
    </row>
    <row r="3966" spans="3:34" ht="20.100000000000001" customHeight="1">
      <c r="C3966" s="113"/>
      <c r="D3966" s="114"/>
      <c r="P3966" s="82"/>
      <c r="Q3966" s="82"/>
      <c r="R3966" s="38"/>
      <c r="S3966" s="38"/>
      <c r="T3966" s="38"/>
      <c r="U3966" s="38"/>
      <c r="V3966" s="38"/>
      <c r="W3966" s="38"/>
      <c r="X3966" s="38"/>
      <c r="Y3966" s="38"/>
      <c r="Z3966" s="38"/>
      <c r="AA3966" s="38"/>
      <c r="AB3966" s="38"/>
      <c r="AC3966" s="38"/>
      <c r="AD3966" s="38"/>
      <c r="AE3966" s="38"/>
      <c r="AF3966" s="38"/>
      <c r="AG3966" s="38"/>
      <c r="AH3966" s="38"/>
    </row>
    <row r="3967" spans="3:34" ht="20.100000000000001" customHeight="1">
      <c r="C3967" s="113"/>
      <c r="D3967" s="114"/>
      <c r="P3967" s="82"/>
      <c r="Q3967" s="82"/>
      <c r="R3967" s="38"/>
      <c r="S3967" s="38"/>
      <c r="T3967" s="38"/>
      <c r="U3967" s="38"/>
      <c r="V3967" s="38"/>
      <c r="W3967" s="38"/>
      <c r="X3967" s="38"/>
      <c r="Y3967" s="38"/>
      <c r="Z3967" s="38"/>
      <c r="AA3967" s="38"/>
      <c r="AB3967" s="38"/>
      <c r="AC3967" s="38"/>
      <c r="AD3967" s="38"/>
      <c r="AE3967" s="38"/>
      <c r="AF3967" s="38"/>
      <c r="AG3967" s="38"/>
      <c r="AH3967" s="38"/>
    </row>
    <row r="3968" spans="3:34" ht="20.100000000000001" customHeight="1">
      <c r="C3968" s="113"/>
      <c r="D3968" s="114"/>
      <c r="P3968" s="82"/>
      <c r="Q3968" s="82"/>
      <c r="R3968" s="38"/>
      <c r="S3968" s="38"/>
      <c r="T3968" s="38"/>
      <c r="U3968" s="38"/>
      <c r="V3968" s="38"/>
      <c r="W3968" s="38"/>
      <c r="X3968" s="38"/>
      <c r="Y3968" s="38"/>
      <c r="Z3968" s="38"/>
      <c r="AA3968" s="38"/>
      <c r="AB3968" s="38"/>
      <c r="AC3968" s="38"/>
      <c r="AD3968" s="38"/>
      <c r="AE3968" s="38"/>
      <c r="AF3968" s="38"/>
      <c r="AG3968" s="38"/>
      <c r="AH3968" s="38"/>
    </row>
    <row r="3969" spans="3:34" ht="20.100000000000001" customHeight="1">
      <c r="C3969" s="113"/>
      <c r="D3969" s="114"/>
      <c r="P3969" s="82"/>
      <c r="Q3969" s="82"/>
      <c r="R3969" s="38"/>
      <c r="S3969" s="38"/>
      <c r="T3969" s="38"/>
      <c r="U3969" s="38"/>
      <c r="V3969" s="38"/>
      <c r="W3969" s="38"/>
      <c r="X3969" s="38"/>
      <c r="Y3969" s="38"/>
      <c r="Z3969" s="38"/>
      <c r="AA3969" s="38"/>
      <c r="AB3969" s="38"/>
      <c r="AC3969" s="38"/>
      <c r="AD3969" s="38"/>
      <c r="AE3969" s="38"/>
      <c r="AF3969" s="38"/>
      <c r="AG3969" s="38"/>
      <c r="AH3969" s="38"/>
    </row>
    <row r="3970" spans="3:34" ht="20.100000000000001" customHeight="1">
      <c r="C3970" s="113"/>
      <c r="D3970" s="114"/>
      <c r="P3970" s="82"/>
      <c r="Q3970" s="82"/>
      <c r="R3970" s="38"/>
      <c r="S3970" s="38"/>
      <c r="T3970" s="38"/>
      <c r="U3970" s="38"/>
      <c r="V3970" s="38"/>
      <c r="W3970" s="38"/>
      <c r="X3970" s="38"/>
      <c r="Y3970" s="38"/>
      <c r="Z3970" s="38"/>
      <c r="AA3970" s="38"/>
      <c r="AB3970" s="38"/>
      <c r="AC3970" s="38"/>
      <c r="AD3970" s="38"/>
      <c r="AE3970" s="38"/>
      <c r="AF3970" s="38"/>
      <c r="AG3970" s="38"/>
      <c r="AH3970" s="38"/>
    </row>
    <row r="3971" spans="3:34" ht="20.100000000000001" customHeight="1">
      <c r="C3971" s="113"/>
      <c r="D3971" s="114"/>
      <c r="P3971" s="82"/>
      <c r="Q3971" s="82"/>
      <c r="R3971" s="38"/>
      <c r="S3971" s="38"/>
      <c r="T3971" s="38"/>
      <c r="U3971" s="38"/>
      <c r="V3971" s="38"/>
      <c r="W3971" s="38"/>
      <c r="X3971" s="38"/>
      <c r="Y3971" s="38"/>
      <c r="Z3971" s="38"/>
      <c r="AA3971" s="38"/>
      <c r="AB3971" s="38"/>
      <c r="AC3971" s="38"/>
      <c r="AD3971" s="38"/>
      <c r="AE3971" s="38"/>
      <c r="AF3971" s="38"/>
      <c r="AG3971" s="38"/>
      <c r="AH3971" s="38"/>
    </row>
    <row r="3972" spans="3:34" ht="20.100000000000001" customHeight="1">
      <c r="C3972" s="113"/>
      <c r="D3972" s="114"/>
      <c r="P3972" s="82"/>
      <c r="Q3972" s="82"/>
      <c r="R3972" s="38"/>
      <c r="S3972" s="38"/>
      <c r="T3972" s="38"/>
      <c r="U3972" s="38"/>
      <c r="V3972" s="38"/>
      <c r="W3972" s="38"/>
      <c r="X3972" s="38"/>
      <c r="Y3972" s="38"/>
      <c r="Z3972" s="38"/>
      <c r="AA3972" s="38"/>
      <c r="AB3972" s="38"/>
      <c r="AC3972" s="38"/>
      <c r="AD3972" s="38"/>
      <c r="AE3972" s="38"/>
      <c r="AF3972" s="38"/>
      <c r="AG3972" s="38"/>
      <c r="AH3972" s="38"/>
    </row>
    <row r="3973" spans="3:34" ht="20.100000000000001" customHeight="1">
      <c r="C3973" s="113"/>
      <c r="D3973" s="114"/>
      <c r="P3973" s="82"/>
      <c r="Q3973" s="82"/>
      <c r="R3973" s="38"/>
      <c r="S3973" s="38"/>
      <c r="T3973" s="38"/>
      <c r="U3973" s="38"/>
      <c r="V3973" s="38"/>
      <c r="W3973" s="38"/>
      <c r="X3973" s="38"/>
      <c r="Y3973" s="38"/>
      <c r="Z3973" s="38"/>
      <c r="AA3973" s="38"/>
      <c r="AB3973" s="38"/>
      <c r="AC3973" s="38"/>
      <c r="AD3973" s="38"/>
      <c r="AE3973" s="38"/>
      <c r="AF3973" s="38"/>
      <c r="AG3973" s="38"/>
      <c r="AH3973" s="38"/>
    </row>
    <row r="3974" spans="3:34" ht="20.100000000000001" customHeight="1">
      <c r="C3974" s="113"/>
      <c r="D3974" s="114"/>
      <c r="P3974" s="82"/>
      <c r="Q3974" s="82"/>
      <c r="R3974" s="38"/>
      <c r="S3974" s="38"/>
      <c r="T3974" s="38"/>
      <c r="U3974" s="38"/>
      <c r="V3974" s="38"/>
      <c r="W3974" s="38"/>
      <c r="X3974" s="38"/>
      <c r="Y3974" s="38"/>
      <c r="Z3974" s="38"/>
      <c r="AA3974" s="38"/>
      <c r="AB3974" s="38"/>
      <c r="AC3974" s="38"/>
      <c r="AD3974" s="38"/>
      <c r="AE3974" s="38"/>
      <c r="AF3974" s="38"/>
      <c r="AG3974" s="38"/>
      <c r="AH3974" s="38"/>
    </row>
    <row r="3975" spans="3:34" ht="20.100000000000001" customHeight="1">
      <c r="C3975" s="113"/>
      <c r="D3975" s="114"/>
      <c r="P3975" s="82"/>
      <c r="Q3975" s="82"/>
      <c r="R3975" s="38"/>
      <c r="S3975" s="38"/>
      <c r="T3975" s="38"/>
      <c r="U3975" s="38"/>
      <c r="V3975" s="38"/>
      <c r="W3975" s="38"/>
      <c r="X3975" s="38"/>
      <c r="Y3975" s="38"/>
      <c r="Z3975" s="38"/>
      <c r="AA3975" s="38"/>
      <c r="AB3975" s="38"/>
      <c r="AC3975" s="38"/>
      <c r="AD3975" s="38"/>
      <c r="AE3975" s="38"/>
      <c r="AF3975" s="38"/>
      <c r="AG3975" s="38"/>
      <c r="AH3975" s="38"/>
    </row>
    <row r="3976" spans="3:34" ht="20.100000000000001" customHeight="1">
      <c r="C3976" s="113"/>
      <c r="D3976" s="114"/>
      <c r="P3976" s="82"/>
      <c r="Q3976" s="82"/>
      <c r="R3976" s="38"/>
      <c r="S3976" s="38"/>
      <c r="T3976" s="38"/>
      <c r="U3976" s="38"/>
      <c r="V3976" s="38"/>
      <c r="W3976" s="38"/>
      <c r="X3976" s="38"/>
      <c r="Y3976" s="38"/>
      <c r="Z3976" s="38"/>
      <c r="AA3976" s="38"/>
      <c r="AB3976" s="38"/>
      <c r="AC3976" s="38"/>
      <c r="AD3976" s="38"/>
      <c r="AE3976" s="38"/>
      <c r="AF3976" s="38"/>
      <c r="AG3976" s="38"/>
      <c r="AH3976" s="38"/>
    </row>
    <row r="3977" spans="3:34" ht="20.100000000000001" customHeight="1">
      <c r="C3977" s="113"/>
      <c r="D3977" s="114"/>
      <c r="P3977" s="82"/>
      <c r="Q3977" s="82"/>
      <c r="R3977" s="38"/>
      <c r="S3977" s="38"/>
      <c r="T3977" s="38"/>
      <c r="U3977" s="38"/>
      <c r="V3977" s="38"/>
      <c r="W3977" s="38"/>
      <c r="X3977" s="38"/>
      <c r="Y3977" s="38"/>
      <c r="Z3977" s="38"/>
      <c r="AA3977" s="38"/>
      <c r="AB3977" s="38"/>
      <c r="AC3977" s="38"/>
      <c r="AD3977" s="38"/>
      <c r="AE3977" s="38"/>
      <c r="AF3977" s="38"/>
      <c r="AG3977" s="38"/>
      <c r="AH3977" s="38"/>
    </row>
    <row r="3978" spans="3:34" ht="20.100000000000001" customHeight="1">
      <c r="C3978" s="113"/>
      <c r="D3978" s="114"/>
      <c r="P3978" s="82"/>
      <c r="Q3978" s="82"/>
      <c r="R3978" s="38"/>
      <c r="S3978" s="38"/>
      <c r="T3978" s="38"/>
      <c r="U3978" s="38"/>
      <c r="V3978" s="38"/>
      <c r="W3978" s="38"/>
      <c r="X3978" s="38"/>
      <c r="Y3978" s="38"/>
      <c r="Z3978" s="38"/>
      <c r="AA3978" s="38"/>
      <c r="AB3978" s="38"/>
      <c r="AC3978" s="38"/>
      <c r="AD3978" s="38"/>
      <c r="AE3978" s="38"/>
      <c r="AF3978" s="38"/>
      <c r="AG3978" s="38"/>
      <c r="AH3978" s="38"/>
    </row>
    <row r="3979" spans="3:34" ht="20.100000000000001" customHeight="1">
      <c r="C3979" s="113"/>
      <c r="D3979" s="114"/>
      <c r="P3979" s="82"/>
      <c r="Q3979" s="82"/>
      <c r="R3979" s="38"/>
      <c r="S3979" s="38"/>
      <c r="T3979" s="38"/>
      <c r="U3979" s="38"/>
      <c r="V3979" s="38"/>
      <c r="W3979" s="38"/>
      <c r="X3979" s="38"/>
      <c r="Y3979" s="38"/>
      <c r="Z3979" s="38"/>
      <c r="AA3979" s="38"/>
      <c r="AB3979" s="38"/>
      <c r="AC3979" s="38"/>
      <c r="AD3979" s="38"/>
      <c r="AE3979" s="38"/>
      <c r="AF3979" s="38"/>
      <c r="AG3979" s="38"/>
      <c r="AH3979" s="38"/>
    </row>
    <row r="3980" spans="3:34" ht="20.100000000000001" customHeight="1">
      <c r="C3980" s="113"/>
      <c r="D3980" s="114"/>
      <c r="P3980" s="82"/>
      <c r="Q3980" s="82"/>
      <c r="R3980" s="38"/>
      <c r="S3980" s="38"/>
      <c r="T3980" s="38"/>
      <c r="U3980" s="38"/>
      <c r="V3980" s="38"/>
      <c r="W3980" s="38"/>
      <c r="X3980" s="38"/>
      <c r="Y3980" s="38"/>
      <c r="Z3980" s="38"/>
      <c r="AA3980" s="38"/>
      <c r="AB3980" s="38"/>
      <c r="AC3980" s="38"/>
      <c r="AD3980" s="38"/>
      <c r="AE3980" s="38"/>
      <c r="AF3980" s="38"/>
      <c r="AG3980" s="38"/>
      <c r="AH3980" s="38"/>
    </row>
    <row r="3981" spans="3:34" ht="20.100000000000001" customHeight="1">
      <c r="C3981" s="113"/>
      <c r="D3981" s="114"/>
      <c r="P3981" s="82"/>
      <c r="Q3981" s="82"/>
      <c r="R3981" s="38"/>
      <c r="S3981" s="38"/>
      <c r="T3981" s="38"/>
      <c r="U3981" s="38"/>
      <c r="V3981" s="38"/>
      <c r="W3981" s="38"/>
      <c r="X3981" s="38"/>
      <c r="Y3981" s="38"/>
      <c r="Z3981" s="38"/>
      <c r="AA3981" s="38"/>
      <c r="AB3981" s="38"/>
      <c r="AC3981" s="38"/>
      <c r="AD3981" s="38"/>
      <c r="AE3981" s="38"/>
      <c r="AF3981" s="38"/>
      <c r="AG3981" s="38"/>
      <c r="AH3981" s="38"/>
    </row>
    <row r="3982" spans="3:34" ht="20.100000000000001" customHeight="1">
      <c r="C3982" s="113"/>
      <c r="D3982" s="114"/>
      <c r="P3982" s="82"/>
      <c r="Q3982" s="82"/>
      <c r="R3982" s="38"/>
      <c r="S3982" s="38"/>
      <c r="T3982" s="38"/>
      <c r="U3982" s="38"/>
      <c r="V3982" s="38"/>
      <c r="W3982" s="38"/>
      <c r="X3982" s="38"/>
      <c r="Y3982" s="38"/>
      <c r="Z3982" s="38"/>
      <c r="AA3982" s="38"/>
      <c r="AB3982" s="38"/>
      <c r="AC3982" s="38"/>
      <c r="AD3982" s="38"/>
      <c r="AE3982" s="38"/>
      <c r="AF3982" s="38"/>
      <c r="AG3982" s="38"/>
      <c r="AH3982" s="38"/>
    </row>
    <row r="3983" spans="3:34" ht="20.100000000000001" customHeight="1">
      <c r="C3983" s="113"/>
      <c r="D3983" s="114"/>
      <c r="P3983" s="82"/>
      <c r="Q3983" s="82"/>
      <c r="R3983" s="38"/>
      <c r="S3983" s="38"/>
      <c r="T3983" s="38"/>
      <c r="U3983" s="38"/>
      <c r="V3983" s="38"/>
      <c r="W3983" s="38"/>
      <c r="X3983" s="38"/>
      <c r="Y3983" s="38"/>
      <c r="Z3983" s="38"/>
      <c r="AA3983" s="38"/>
      <c r="AB3983" s="38"/>
      <c r="AC3983" s="38"/>
      <c r="AD3983" s="38"/>
      <c r="AE3983" s="38"/>
      <c r="AF3983" s="38"/>
      <c r="AG3983" s="38"/>
      <c r="AH3983" s="38"/>
    </row>
    <row r="3984" spans="3:34" ht="20.100000000000001" customHeight="1">
      <c r="C3984" s="113"/>
      <c r="D3984" s="114"/>
      <c r="P3984" s="82"/>
      <c r="Q3984" s="82"/>
      <c r="R3984" s="38"/>
      <c r="S3984" s="38"/>
      <c r="T3984" s="38"/>
      <c r="U3984" s="38"/>
      <c r="V3984" s="38"/>
      <c r="W3984" s="38"/>
      <c r="X3984" s="38"/>
      <c r="Y3984" s="38"/>
      <c r="Z3984" s="38"/>
      <c r="AA3984" s="38"/>
      <c r="AB3984" s="38"/>
      <c r="AC3984" s="38"/>
      <c r="AD3984" s="38"/>
      <c r="AE3984" s="38"/>
      <c r="AF3984" s="38"/>
      <c r="AG3984" s="38"/>
      <c r="AH3984" s="38"/>
    </row>
    <row r="3985" spans="3:34" ht="20.100000000000001" customHeight="1">
      <c r="C3985" s="113"/>
      <c r="D3985" s="114"/>
      <c r="P3985" s="82"/>
      <c r="Q3985" s="82"/>
      <c r="R3985" s="38"/>
      <c r="S3985" s="38"/>
      <c r="T3985" s="38"/>
      <c r="U3985" s="38"/>
      <c r="V3985" s="38"/>
      <c r="W3985" s="38"/>
      <c r="X3985" s="38"/>
      <c r="Y3985" s="38"/>
      <c r="Z3985" s="38"/>
      <c r="AA3985" s="38"/>
      <c r="AB3985" s="38"/>
      <c r="AC3985" s="38"/>
      <c r="AD3985" s="38"/>
      <c r="AE3985" s="38"/>
      <c r="AF3985" s="38"/>
      <c r="AG3985" s="38"/>
      <c r="AH3985" s="38"/>
    </row>
    <row r="3986" spans="3:34" ht="20.100000000000001" customHeight="1">
      <c r="C3986" s="113"/>
      <c r="D3986" s="114"/>
      <c r="P3986" s="82"/>
      <c r="Q3986" s="82"/>
      <c r="R3986" s="38"/>
      <c r="S3986" s="38"/>
      <c r="T3986" s="38"/>
      <c r="U3986" s="38"/>
      <c r="V3986" s="38"/>
      <c r="W3986" s="38"/>
      <c r="X3986" s="38"/>
      <c r="Y3986" s="38"/>
      <c r="Z3986" s="38"/>
      <c r="AA3986" s="38"/>
      <c r="AB3986" s="38"/>
      <c r="AC3986" s="38"/>
      <c r="AD3986" s="38"/>
      <c r="AE3986" s="38"/>
      <c r="AF3986" s="38"/>
      <c r="AG3986" s="38"/>
      <c r="AH3986" s="38"/>
    </row>
    <row r="3987" spans="3:34" ht="20.100000000000001" customHeight="1">
      <c r="C3987" s="113"/>
      <c r="D3987" s="114"/>
      <c r="P3987" s="82"/>
      <c r="Q3987" s="82"/>
      <c r="R3987" s="38"/>
      <c r="S3987" s="38"/>
      <c r="T3987" s="38"/>
      <c r="U3987" s="38"/>
      <c r="V3987" s="38"/>
      <c r="W3987" s="38"/>
      <c r="X3987" s="38"/>
      <c r="Y3987" s="38"/>
      <c r="Z3987" s="38"/>
      <c r="AA3987" s="38"/>
      <c r="AB3987" s="38"/>
      <c r="AC3987" s="38"/>
      <c r="AD3987" s="38"/>
      <c r="AE3987" s="38"/>
      <c r="AF3987" s="38"/>
      <c r="AG3987" s="38"/>
      <c r="AH3987" s="38"/>
    </row>
    <row r="3988" spans="3:34" ht="20.100000000000001" customHeight="1">
      <c r="C3988" s="113"/>
      <c r="D3988" s="114"/>
      <c r="P3988" s="82"/>
      <c r="Q3988" s="82"/>
      <c r="R3988" s="38"/>
      <c r="S3988" s="38"/>
      <c r="T3988" s="38"/>
      <c r="U3988" s="38"/>
      <c r="V3988" s="38"/>
      <c r="W3988" s="38"/>
      <c r="X3988" s="38"/>
      <c r="Y3988" s="38"/>
      <c r="Z3988" s="38"/>
      <c r="AA3988" s="38"/>
      <c r="AB3988" s="38"/>
      <c r="AC3988" s="38"/>
      <c r="AD3988" s="38"/>
      <c r="AE3988" s="38"/>
      <c r="AF3988" s="38"/>
      <c r="AG3988" s="38"/>
      <c r="AH3988" s="38"/>
    </row>
    <row r="3989" spans="3:34" ht="20.100000000000001" customHeight="1">
      <c r="C3989" s="113"/>
      <c r="D3989" s="114"/>
      <c r="P3989" s="82"/>
      <c r="Q3989" s="82"/>
      <c r="R3989" s="38"/>
      <c r="S3989" s="38"/>
      <c r="T3989" s="38"/>
      <c r="U3989" s="38"/>
      <c r="V3989" s="38"/>
      <c r="W3989" s="38"/>
      <c r="X3989" s="38"/>
      <c r="Y3989" s="38"/>
      <c r="Z3989" s="38"/>
      <c r="AA3989" s="38"/>
      <c r="AB3989" s="38"/>
      <c r="AC3989" s="38"/>
      <c r="AD3989" s="38"/>
      <c r="AE3989" s="38"/>
      <c r="AF3989" s="38"/>
      <c r="AG3989" s="38"/>
      <c r="AH3989" s="38"/>
    </row>
    <row r="3990" spans="3:34" ht="20.100000000000001" customHeight="1">
      <c r="C3990" s="113"/>
      <c r="D3990" s="114"/>
      <c r="P3990" s="82"/>
      <c r="Q3990" s="82"/>
      <c r="R3990" s="38"/>
      <c r="S3990" s="38"/>
      <c r="T3990" s="38"/>
      <c r="U3990" s="38"/>
      <c r="V3990" s="38"/>
      <c r="W3990" s="38"/>
      <c r="X3990" s="38"/>
      <c r="Y3990" s="38"/>
      <c r="Z3990" s="38"/>
      <c r="AA3990" s="38"/>
      <c r="AB3990" s="38"/>
      <c r="AC3990" s="38"/>
      <c r="AD3990" s="38"/>
      <c r="AE3990" s="38"/>
      <c r="AF3990" s="38"/>
      <c r="AG3990" s="38"/>
      <c r="AH3990" s="38"/>
    </row>
    <row r="3991" spans="3:34" ht="20.100000000000001" customHeight="1">
      <c r="C3991" s="113"/>
      <c r="D3991" s="114"/>
      <c r="P3991" s="82"/>
      <c r="Q3991" s="82"/>
      <c r="R3991" s="38"/>
      <c r="S3991" s="38"/>
      <c r="T3991" s="38"/>
      <c r="U3991" s="38"/>
      <c r="V3991" s="38"/>
      <c r="W3991" s="38"/>
      <c r="X3991" s="38"/>
      <c r="Y3991" s="38"/>
      <c r="Z3991" s="38"/>
      <c r="AA3991" s="38"/>
      <c r="AB3991" s="38"/>
      <c r="AC3991" s="38"/>
      <c r="AD3991" s="38"/>
      <c r="AE3991" s="38"/>
      <c r="AF3991" s="38"/>
      <c r="AG3991" s="38"/>
      <c r="AH3991" s="38"/>
    </row>
    <row r="3992" spans="3:34" ht="20.100000000000001" customHeight="1">
      <c r="C3992" s="113"/>
      <c r="D3992" s="114"/>
      <c r="P3992" s="82"/>
      <c r="Q3992" s="82"/>
      <c r="R3992" s="38"/>
      <c r="S3992" s="38"/>
      <c r="T3992" s="38"/>
      <c r="U3992" s="38"/>
      <c r="V3992" s="38"/>
      <c r="W3992" s="38"/>
      <c r="X3992" s="38"/>
      <c r="Y3992" s="38"/>
      <c r="Z3992" s="38"/>
      <c r="AA3992" s="38"/>
      <c r="AB3992" s="38"/>
      <c r="AC3992" s="38"/>
      <c r="AD3992" s="38"/>
      <c r="AE3992" s="38"/>
      <c r="AF3992" s="38"/>
      <c r="AG3992" s="38"/>
      <c r="AH3992" s="38"/>
    </row>
    <row r="3993" spans="3:34" ht="20.100000000000001" customHeight="1">
      <c r="C3993" s="113"/>
      <c r="D3993" s="114"/>
      <c r="P3993" s="82"/>
      <c r="Q3993" s="82"/>
      <c r="R3993" s="38"/>
      <c r="S3993" s="38"/>
      <c r="T3993" s="38"/>
      <c r="U3993" s="38"/>
      <c r="V3993" s="38"/>
      <c r="W3993" s="38"/>
      <c r="X3993" s="38"/>
      <c r="Y3993" s="38"/>
      <c r="Z3993" s="38"/>
      <c r="AA3993" s="38"/>
      <c r="AB3993" s="38"/>
      <c r="AC3993" s="38"/>
      <c r="AD3993" s="38"/>
      <c r="AE3993" s="38"/>
      <c r="AF3993" s="38"/>
      <c r="AG3993" s="38"/>
      <c r="AH3993" s="38"/>
    </row>
    <row r="3994" spans="3:34" ht="20.100000000000001" customHeight="1">
      <c r="C3994" s="113"/>
      <c r="D3994" s="114"/>
      <c r="P3994" s="82"/>
      <c r="Q3994" s="82"/>
      <c r="R3994" s="38"/>
      <c r="S3994" s="38"/>
      <c r="T3994" s="38"/>
      <c r="U3994" s="38"/>
      <c r="V3994" s="38"/>
      <c r="W3994" s="38"/>
      <c r="X3994" s="38"/>
      <c r="Y3994" s="38"/>
      <c r="Z3994" s="38"/>
      <c r="AA3994" s="38"/>
      <c r="AB3994" s="38"/>
      <c r="AC3994" s="38"/>
      <c r="AD3994" s="38"/>
      <c r="AE3994" s="38"/>
      <c r="AF3994" s="38"/>
      <c r="AG3994" s="38"/>
      <c r="AH3994" s="38"/>
    </row>
    <row r="3995" spans="3:34" ht="20.100000000000001" customHeight="1">
      <c r="C3995" s="113"/>
      <c r="D3995" s="114"/>
      <c r="P3995" s="82"/>
      <c r="Q3995" s="82"/>
      <c r="R3995" s="38"/>
      <c r="S3995" s="38"/>
      <c r="T3995" s="38"/>
      <c r="U3995" s="38"/>
      <c r="V3995" s="38"/>
      <c r="W3995" s="38"/>
      <c r="X3995" s="38"/>
      <c r="Y3995" s="38"/>
      <c r="Z3995" s="38"/>
      <c r="AA3995" s="38"/>
      <c r="AB3995" s="38"/>
      <c r="AC3995" s="38"/>
      <c r="AD3995" s="38"/>
      <c r="AE3995" s="38"/>
      <c r="AF3995" s="38"/>
      <c r="AG3995" s="38"/>
      <c r="AH3995" s="38"/>
    </row>
    <row r="3996" spans="3:34" ht="20.100000000000001" customHeight="1">
      <c r="C3996" s="113"/>
      <c r="D3996" s="114"/>
      <c r="P3996" s="82"/>
      <c r="Q3996" s="82"/>
      <c r="R3996" s="38"/>
      <c r="S3996" s="38"/>
      <c r="T3996" s="38"/>
      <c r="U3996" s="38"/>
      <c r="V3996" s="38"/>
      <c r="W3996" s="38"/>
      <c r="X3996" s="38"/>
      <c r="Y3996" s="38"/>
      <c r="Z3996" s="38"/>
      <c r="AA3996" s="38"/>
      <c r="AB3996" s="38"/>
      <c r="AC3996" s="38"/>
      <c r="AD3996" s="38"/>
      <c r="AE3996" s="38"/>
      <c r="AF3996" s="38"/>
      <c r="AG3996" s="38"/>
      <c r="AH3996" s="38"/>
    </row>
    <row r="3997" spans="3:34" ht="20.100000000000001" customHeight="1">
      <c r="C3997" s="113"/>
      <c r="D3997" s="114"/>
      <c r="P3997" s="82"/>
      <c r="Q3997" s="82"/>
      <c r="R3997" s="38"/>
      <c r="S3997" s="38"/>
      <c r="T3997" s="38"/>
      <c r="U3997" s="38"/>
      <c r="V3997" s="38"/>
      <c r="W3997" s="38"/>
      <c r="X3997" s="38"/>
      <c r="Y3997" s="38"/>
      <c r="Z3997" s="38"/>
      <c r="AA3997" s="38"/>
      <c r="AB3997" s="38"/>
      <c r="AC3997" s="38"/>
      <c r="AD3997" s="38"/>
      <c r="AE3997" s="38"/>
      <c r="AF3997" s="38"/>
      <c r="AG3997" s="38"/>
      <c r="AH3997" s="38"/>
    </row>
    <row r="3998" spans="3:34" ht="20.100000000000001" customHeight="1">
      <c r="C3998" s="113"/>
      <c r="D3998" s="114"/>
      <c r="P3998" s="82"/>
      <c r="Q3998" s="82"/>
      <c r="R3998" s="38"/>
      <c r="S3998" s="38"/>
      <c r="T3998" s="38"/>
      <c r="U3998" s="38"/>
      <c r="V3998" s="38"/>
      <c r="W3998" s="38"/>
      <c r="X3998" s="38"/>
      <c r="Y3998" s="38"/>
      <c r="Z3998" s="38"/>
      <c r="AA3998" s="38"/>
      <c r="AB3998" s="38"/>
      <c r="AC3998" s="38"/>
      <c r="AD3998" s="38"/>
      <c r="AE3998" s="38"/>
      <c r="AF3998" s="38"/>
      <c r="AG3998" s="38"/>
      <c r="AH3998" s="38"/>
    </row>
    <row r="3999" spans="3:34" ht="20.100000000000001" customHeight="1">
      <c r="C3999" s="113"/>
      <c r="D3999" s="114"/>
      <c r="P3999" s="82"/>
      <c r="Q3999" s="82"/>
      <c r="R3999" s="38"/>
      <c r="S3999" s="38"/>
      <c r="T3999" s="38"/>
      <c r="U3999" s="38"/>
      <c r="V3999" s="38"/>
      <c r="W3999" s="38"/>
      <c r="X3999" s="38"/>
      <c r="Y3999" s="38"/>
      <c r="Z3999" s="38"/>
      <c r="AA3999" s="38"/>
      <c r="AB3999" s="38"/>
      <c r="AC3999" s="38"/>
      <c r="AD3999" s="38"/>
      <c r="AE3999" s="38"/>
      <c r="AF3999" s="38"/>
      <c r="AG3999" s="38"/>
      <c r="AH3999" s="38"/>
    </row>
    <row r="4000" spans="3:34" ht="20.100000000000001" customHeight="1">
      <c r="C4000" s="113"/>
      <c r="D4000" s="114"/>
      <c r="P4000" s="82"/>
      <c r="Q4000" s="82"/>
      <c r="R4000" s="38"/>
      <c r="S4000" s="38"/>
      <c r="T4000" s="38"/>
      <c r="U4000" s="38"/>
      <c r="V4000" s="38"/>
      <c r="W4000" s="38"/>
      <c r="X4000" s="38"/>
      <c r="Y4000" s="38"/>
      <c r="Z4000" s="38"/>
      <c r="AA4000" s="38"/>
      <c r="AB4000" s="38"/>
      <c r="AC4000" s="38"/>
      <c r="AD4000" s="38"/>
      <c r="AE4000" s="38"/>
      <c r="AF4000" s="38"/>
      <c r="AG4000" s="38"/>
      <c r="AH4000" s="38"/>
    </row>
    <row r="4001" spans="3:34" ht="20.100000000000001" customHeight="1">
      <c r="C4001" s="113"/>
      <c r="D4001" s="114"/>
      <c r="P4001" s="82"/>
      <c r="Q4001" s="82"/>
      <c r="R4001" s="38"/>
      <c r="S4001" s="38"/>
      <c r="T4001" s="38"/>
      <c r="U4001" s="38"/>
      <c r="V4001" s="38"/>
      <c r="W4001" s="38"/>
      <c r="X4001" s="38"/>
      <c r="Y4001" s="38"/>
      <c r="Z4001" s="38"/>
      <c r="AA4001" s="38"/>
      <c r="AB4001" s="38"/>
      <c r="AC4001" s="38"/>
      <c r="AD4001" s="38"/>
      <c r="AE4001" s="38"/>
      <c r="AF4001" s="38"/>
      <c r="AG4001" s="38"/>
      <c r="AH4001" s="38"/>
    </row>
    <row r="4002" spans="3:34" ht="20.100000000000001" customHeight="1">
      <c r="C4002" s="113"/>
      <c r="D4002" s="114"/>
      <c r="P4002" s="82"/>
      <c r="Q4002" s="82"/>
      <c r="R4002" s="38"/>
      <c r="S4002" s="38"/>
      <c r="T4002" s="38"/>
      <c r="U4002" s="38"/>
      <c r="V4002" s="38"/>
      <c r="W4002" s="38"/>
      <c r="X4002" s="38"/>
      <c r="Y4002" s="38"/>
      <c r="Z4002" s="38"/>
      <c r="AA4002" s="38"/>
      <c r="AB4002" s="38"/>
      <c r="AC4002" s="38"/>
      <c r="AD4002" s="38"/>
      <c r="AE4002" s="38"/>
      <c r="AF4002" s="38"/>
      <c r="AG4002" s="38"/>
      <c r="AH4002" s="38"/>
    </row>
    <row r="4003" spans="3:34" ht="20.100000000000001" customHeight="1">
      <c r="C4003" s="113"/>
      <c r="D4003" s="114"/>
      <c r="P4003" s="82"/>
      <c r="Q4003" s="82"/>
      <c r="R4003" s="38"/>
      <c r="S4003" s="38"/>
      <c r="T4003" s="38"/>
      <c r="U4003" s="38"/>
      <c r="V4003" s="38"/>
      <c r="W4003" s="38"/>
      <c r="X4003" s="38"/>
      <c r="Y4003" s="38"/>
      <c r="Z4003" s="38"/>
      <c r="AA4003" s="38"/>
      <c r="AB4003" s="38"/>
      <c r="AC4003" s="38"/>
      <c r="AD4003" s="38"/>
      <c r="AE4003" s="38"/>
      <c r="AF4003" s="38"/>
      <c r="AG4003" s="38"/>
      <c r="AH4003" s="38"/>
    </row>
    <row r="4004" spans="3:34" ht="20.100000000000001" customHeight="1">
      <c r="C4004" s="113"/>
      <c r="D4004" s="114"/>
      <c r="P4004" s="82"/>
      <c r="Q4004" s="82"/>
      <c r="R4004" s="38"/>
      <c r="S4004" s="38"/>
      <c r="T4004" s="38"/>
      <c r="U4004" s="38"/>
      <c r="V4004" s="38"/>
      <c r="W4004" s="38"/>
      <c r="X4004" s="38"/>
      <c r="Y4004" s="38"/>
      <c r="Z4004" s="38"/>
      <c r="AA4004" s="38"/>
      <c r="AB4004" s="38"/>
      <c r="AC4004" s="38"/>
      <c r="AD4004" s="38"/>
      <c r="AE4004" s="38"/>
      <c r="AF4004" s="38"/>
      <c r="AG4004" s="38"/>
      <c r="AH4004" s="38"/>
    </row>
    <row r="4005" spans="3:34" ht="20.100000000000001" customHeight="1">
      <c r="C4005" s="113"/>
      <c r="D4005" s="114"/>
      <c r="P4005" s="82"/>
      <c r="Q4005" s="82"/>
      <c r="R4005" s="38"/>
      <c r="S4005" s="38"/>
      <c r="T4005" s="38"/>
      <c r="U4005" s="38"/>
      <c r="V4005" s="38"/>
      <c r="W4005" s="38"/>
      <c r="X4005" s="38"/>
      <c r="Y4005" s="38"/>
      <c r="Z4005" s="38"/>
      <c r="AA4005" s="38"/>
      <c r="AB4005" s="38"/>
      <c r="AC4005" s="38"/>
      <c r="AD4005" s="38"/>
      <c r="AE4005" s="38"/>
      <c r="AF4005" s="38"/>
      <c r="AG4005" s="38"/>
      <c r="AH4005" s="38"/>
    </row>
    <row r="4006" spans="3:34" ht="20.100000000000001" customHeight="1">
      <c r="C4006" s="113"/>
      <c r="D4006" s="114"/>
      <c r="P4006" s="82"/>
      <c r="Q4006" s="82"/>
      <c r="R4006" s="38"/>
      <c r="S4006" s="38"/>
      <c r="T4006" s="38"/>
      <c r="U4006" s="38"/>
      <c r="V4006" s="38"/>
      <c r="W4006" s="38"/>
      <c r="X4006" s="38"/>
      <c r="Y4006" s="38"/>
      <c r="Z4006" s="38"/>
      <c r="AA4006" s="38"/>
      <c r="AB4006" s="38"/>
      <c r="AC4006" s="38"/>
      <c r="AD4006" s="38"/>
      <c r="AE4006" s="38"/>
      <c r="AF4006" s="38"/>
      <c r="AG4006" s="38"/>
      <c r="AH4006" s="38"/>
    </row>
    <row r="4007" spans="3:34" ht="20.100000000000001" customHeight="1">
      <c r="C4007" s="113"/>
      <c r="D4007" s="114"/>
      <c r="P4007" s="82"/>
      <c r="Q4007" s="82"/>
      <c r="R4007" s="38"/>
      <c r="S4007" s="38"/>
      <c r="T4007" s="38"/>
      <c r="U4007" s="38"/>
      <c r="V4007" s="38"/>
      <c r="W4007" s="38"/>
      <c r="X4007" s="38"/>
      <c r="Y4007" s="38"/>
      <c r="Z4007" s="38"/>
      <c r="AA4007" s="38"/>
      <c r="AB4007" s="38"/>
      <c r="AC4007" s="38"/>
      <c r="AD4007" s="38"/>
      <c r="AE4007" s="38"/>
      <c r="AF4007" s="38"/>
      <c r="AG4007" s="38"/>
      <c r="AH4007" s="38"/>
    </row>
    <row r="4008" spans="3:34" ht="20.100000000000001" customHeight="1">
      <c r="C4008" s="113"/>
      <c r="D4008" s="114"/>
      <c r="P4008" s="82"/>
      <c r="Q4008" s="82"/>
      <c r="R4008" s="38"/>
      <c r="S4008" s="38"/>
      <c r="T4008" s="38"/>
      <c r="U4008" s="38"/>
      <c r="V4008" s="38"/>
      <c r="W4008" s="38"/>
      <c r="X4008" s="38"/>
      <c r="Y4008" s="38"/>
      <c r="Z4008" s="38"/>
      <c r="AA4008" s="38"/>
      <c r="AB4008" s="38"/>
      <c r="AC4008" s="38"/>
      <c r="AD4008" s="38"/>
      <c r="AE4008" s="38"/>
      <c r="AF4008" s="38"/>
      <c r="AG4008" s="38"/>
      <c r="AH4008" s="38"/>
    </row>
    <row r="4009" spans="3:34" ht="20.100000000000001" customHeight="1">
      <c r="C4009" s="113"/>
      <c r="D4009" s="114"/>
      <c r="P4009" s="82"/>
      <c r="Q4009" s="82"/>
      <c r="R4009" s="38"/>
      <c r="S4009" s="38"/>
      <c r="T4009" s="38"/>
      <c r="U4009" s="38"/>
      <c r="V4009" s="38"/>
      <c r="W4009" s="38"/>
      <c r="X4009" s="38"/>
      <c r="Y4009" s="38"/>
      <c r="Z4009" s="38"/>
      <c r="AA4009" s="38"/>
      <c r="AB4009" s="38"/>
      <c r="AC4009" s="38"/>
      <c r="AD4009" s="38"/>
      <c r="AE4009" s="38"/>
      <c r="AF4009" s="38"/>
      <c r="AG4009" s="38"/>
      <c r="AH4009" s="38"/>
    </row>
    <row r="4010" spans="3:34" ht="20.100000000000001" customHeight="1">
      <c r="C4010" s="113"/>
      <c r="D4010" s="114"/>
      <c r="P4010" s="82"/>
      <c r="Q4010" s="82"/>
      <c r="R4010" s="38"/>
      <c r="S4010" s="38"/>
      <c r="T4010" s="38"/>
      <c r="U4010" s="38"/>
      <c r="V4010" s="38"/>
      <c r="W4010" s="38"/>
      <c r="X4010" s="38"/>
      <c r="Y4010" s="38"/>
      <c r="Z4010" s="38"/>
      <c r="AA4010" s="38"/>
      <c r="AB4010" s="38"/>
      <c r="AC4010" s="38"/>
      <c r="AD4010" s="38"/>
      <c r="AE4010" s="38"/>
      <c r="AF4010" s="38"/>
      <c r="AG4010" s="38"/>
      <c r="AH4010" s="38"/>
    </row>
    <row r="4011" spans="3:34" ht="20.100000000000001" customHeight="1">
      <c r="C4011" s="113"/>
      <c r="D4011" s="114"/>
      <c r="P4011" s="82"/>
      <c r="Q4011" s="82"/>
      <c r="R4011" s="38"/>
      <c r="S4011" s="38"/>
      <c r="T4011" s="38"/>
      <c r="U4011" s="38"/>
      <c r="V4011" s="38"/>
      <c r="W4011" s="38"/>
      <c r="X4011" s="38"/>
      <c r="Y4011" s="38"/>
      <c r="Z4011" s="38"/>
      <c r="AA4011" s="38"/>
      <c r="AB4011" s="38"/>
      <c r="AC4011" s="38"/>
      <c r="AD4011" s="38"/>
      <c r="AE4011" s="38"/>
      <c r="AF4011" s="38"/>
      <c r="AG4011" s="38"/>
      <c r="AH4011" s="38"/>
    </row>
    <row r="4012" spans="3:34" ht="20.100000000000001" customHeight="1">
      <c r="C4012" s="113"/>
      <c r="D4012" s="114"/>
      <c r="P4012" s="82"/>
      <c r="Q4012" s="82"/>
      <c r="R4012" s="38"/>
      <c r="S4012" s="38"/>
      <c r="T4012" s="38"/>
      <c r="U4012" s="38"/>
      <c r="V4012" s="38"/>
      <c r="W4012" s="38"/>
      <c r="X4012" s="38"/>
      <c r="Y4012" s="38"/>
      <c r="Z4012" s="38"/>
      <c r="AA4012" s="38"/>
      <c r="AB4012" s="38"/>
      <c r="AC4012" s="38"/>
      <c r="AD4012" s="38"/>
      <c r="AE4012" s="38"/>
      <c r="AF4012" s="38"/>
      <c r="AG4012" s="38"/>
      <c r="AH4012" s="38"/>
    </row>
    <row r="4013" spans="3:34" ht="20.100000000000001" customHeight="1">
      <c r="C4013" s="113"/>
      <c r="D4013" s="114"/>
      <c r="P4013" s="82"/>
      <c r="Q4013" s="82"/>
      <c r="R4013" s="38"/>
      <c r="S4013" s="38"/>
      <c r="T4013" s="38"/>
      <c r="U4013" s="38"/>
      <c r="V4013" s="38"/>
      <c r="W4013" s="38"/>
      <c r="X4013" s="38"/>
      <c r="Y4013" s="38"/>
      <c r="Z4013" s="38"/>
      <c r="AA4013" s="38"/>
      <c r="AB4013" s="38"/>
      <c r="AC4013" s="38"/>
      <c r="AD4013" s="38"/>
      <c r="AE4013" s="38"/>
      <c r="AF4013" s="38"/>
      <c r="AG4013" s="38"/>
      <c r="AH4013" s="38"/>
    </row>
    <row r="4014" spans="3:34" ht="20.100000000000001" customHeight="1">
      <c r="C4014" s="113"/>
      <c r="D4014" s="114"/>
      <c r="P4014" s="82"/>
      <c r="Q4014" s="82"/>
      <c r="R4014" s="38"/>
      <c r="S4014" s="38"/>
      <c r="T4014" s="38"/>
      <c r="U4014" s="38"/>
      <c r="V4014" s="38"/>
      <c r="W4014" s="38"/>
      <c r="X4014" s="38"/>
      <c r="Y4014" s="38"/>
      <c r="Z4014" s="38"/>
      <c r="AA4014" s="38"/>
      <c r="AB4014" s="38"/>
      <c r="AC4014" s="38"/>
      <c r="AD4014" s="38"/>
      <c r="AE4014" s="38"/>
      <c r="AF4014" s="38"/>
      <c r="AG4014" s="38"/>
      <c r="AH4014" s="38"/>
    </row>
    <row r="4015" spans="3:34" ht="20.100000000000001" customHeight="1">
      <c r="C4015" s="113"/>
      <c r="D4015" s="114"/>
      <c r="P4015" s="82"/>
      <c r="Q4015" s="82"/>
      <c r="R4015" s="38"/>
      <c r="S4015" s="38"/>
      <c r="T4015" s="38"/>
      <c r="U4015" s="38"/>
      <c r="V4015" s="38"/>
      <c r="W4015" s="38"/>
      <c r="X4015" s="38"/>
      <c r="Y4015" s="38"/>
      <c r="Z4015" s="38"/>
      <c r="AA4015" s="38"/>
      <c r="AB4015" s="38"/>
      <c r="AC4015" s="38"/>
      <c r="AD4015" s="38"/>
      <c r="AE4015" s="38"/>
      <c r="AF4015" s="38"/>
      <c r="AG4015" s="38"/>
      <c r="AH4015" s="38"/>
    </row>
    <row r="4016" spans="3:34" ht="20.100000000000001" customHeight="1">
      <c r="C4016" s="113"/>
      <c r="D4016" s="114"/>
      <c r="P4016" s="82"/>
      <c r="Q4016" s="82"/>
      <c r="R4016" s="38"/>
      <c r="S4016" s="38"/>
      <c r="T4016" s="38"/>
      <c r="U4016" s="38"/>
      <c r="V4016" s="38"/>
      <c r="W4016" s="38"/>
      <c r="X4016" s="38"/>
      <c r="Y4016" s="38"/>
      <c r="Z4016" s="38"/>
      <c r="AA4016" s="38"/>
      <c r="AB4016" s="38"/>
      <c r="AC4016" s="38"/>
      <c r="AD4016" s="38"/>
      <c r="AE4016" s="38"/>
      <c r="AF4016" s="38"/>
      <c r="AG4016" s="38"/>
      <c r="AH4016" s="38"/>
    </row>
    <row r="4017" spans="3:34" ht="20.100000000000001" customHeight="1">
      <c r="C4017" s="113"/>
      <c r="D4017" s="114"/>
      <c r="P4017" s="82"/>
      <c r="Q4017" s="82"/>
      <c r="R4017" s="38"/>
      <c r="S4017" s="38"/>
      <c r="T4017" s="38"/>
      <c r="U4017" s="38"/>
      <c r="V4017" s="38"/>
      <c r="W4017" s="38"/>
      <c r="X4017" s="38"/>
      <c r="Y4017" s="38"/>
      <c r="Z4017" s="38"/>
      <c r="AA4017" s="38"/>
      <c r="AB4017" s="38"/>
      <c r="AC4017" s="38"/>
      <c r="AD4017" s="38"/>
      <c r="AE4017" s="38"/>
      <c r="AF4017" s="38"/>
      <c r="AG4017" s="38"/>
      <c r="AH4017" s="38"/>
    </row>
    <row r="4018" spans="3:34" ht="20.100000000000001" customHeight="1">
      <c r="C4018" s="113"/>
      <c r="D4018" s="114"/>
      <c r="P4018" s="82"/>
      <c r="Q4018" s="82"/>
      <c r="R4018" s="38"/>
      <c r="S4018" s="38"/>
      <c r="T4018" s="38"/>
      <c r="U4018" s="38"/>
      <c r="V4018" s="38"/>
      <c r="W4018" s="38"/>
      <c r="X4018" s="38"/>
      <c r="Y4018" s="38"/>
      <c r="Z4018" s="38"/>
      <c r="AA4018" s="38"/>
      <c r="AB4018" s="38"/>
      <c r="AC4018" s="38"/>
      <c r="AD4018" s="38"/>
      <c r="AE4018" s="38"/>
      <c r="AF4018" s="38"/>
      <c r="AG4018" s="38"/>
      <c r="AH4018" s="38"/>
    </row>
    <row r="4019" spans="3:34" ht="20.100000000000001" customHeight="1">
      <c r="C4019" s="113"/>
      <c r="D4019" s="114"/>
      <c r="P4019" s="82"/>
      <c r="Q4019" s="82"/>
      <c r="R4019" s="38"/>
      <c r="S4019" s="38"/>
      <c r="T4019" s="38"/>
      <c r="U4019" s="38"/>
      <c r="V4019" s="38"/>
      <c r="W4019" s="38"/>
      <c r="X4019" s="38"/>
      <c r="Y4019" s="38"/>
      <c r="Z4019" s="38"/>
      <c r="AA4019" s="38"/>
      <c r="AB4019" s="38"/>
      <c r="AC4019" s="38"/>
      <c r="AD4019" s="38"/>
      <c r="AE4019" s="38"/>
      <c r="AF4019" s="38"/>
      <c r="AG4019" s="38"/>
      <c r="AH4019" s="38"/>
    </row>
    <row r="4020" spans="3:34" ht="20.100000000000001" customHeight="1">
      <c r="C4020" s="113"/>
      <c r="D4020" s="114"/>
      <c r="P4020" s="82"/>
      <c r="Q4020" s="82"/>
      <c r="R4020" s="38"/>
      <c r="S4020" s="38"/>
      <c r="T4020" s="38"/>
      <c r="U4020" s="38"/>
      <c r="V4020" s="38"/>
      <c r="W4020" s="38"/>
      <c r="X4020" s="38"/>
      <c r="Y4020" s="38"/>
      <c r="Z4020" s="38"/>
      <c r="AA4020" s="38"/>
      <c r="AB4020" s="38"/>
      <c r="AC4020" s="38"/>
      <c r="AD4020" s="38"/>
      <c r="AE4020" s="38"/>
      <c r="AF4020" s="38"/>
      <c r="AG4020" s="38"/>
      <c r="AH4020" s="38"/>
    </row>
    <row r="4021" spans="3:34" ht="20.100000000000001" customHeight="1">
      <c r="C4021" s="113"/>
      <c r="D4021" s="114"/>
      <c r="P4021" s="82"/>
      <c r="Q4021" s="82"/>
      <c r="R4021" s="38"/>
      <c r="S4021" s="38"/>
      <c r="T4021" s="38"/>
      <c r="U4021" s="38"/>
      <c r="V4021" s="38"/>
      <c r="W4021" s="38"/>
      <c r="X4021" s="38"/>
      <c r="Y4021" s="38"/>
      <c r="Z4021" s="38"/>
      <c r="AA4021" s="38"/>
      <c r="AB4021" s="38"/>
      <c r="AC4021" s="38"/>
      <c r="AD4021" s="38"/>
      <c r="AE4021" s="38"/>
      <c r="AF4021" s="38"/>
      <c r="AG4021" s="38"/>
      <c r="AH4021" s="38"/>
    </row>
    <row r="4022" spans="3:34" ht="20.100000000000001" customHeight="1">
      <c r="C4022" s="113"/>
      <c r="D4022" s="114"/>
      <c r="P4022" s="82"/>
      <c r="Q4022" s="82"/>
      <c r="R4022" s="38"/>
      <c r="S4022" s="38"/>
      <c r="T4022" s="38"/>
      <c r="U4022" s="38"/>
      <c r="V4022" s="38"/>
      <c r="W4022" s="38"/>
      <c r="X4022" s="38"/>
      <c r="Y4022" s="38"/>
      <c r="Z4022" s="38"/>
      <c r="AA4022" s="38"/>
      <c r="AB4022" s="38"/>
      <c r="AC4022" s="38"/>
      <c r="AD4022" s="38"/>
      <c r="AE4022" s="38"/>
      <c r="AF4022" s="38"/>
      <c r="AG4022" s="38"/>
      <c r="AH4022" s="38"/>
    </row>
    <row r="4023" spans="3:34" ht="20.100000000000001" customHeight="1">
      <c r="C4023" s="113"/>
      <c r="D4023" s="114"/>
      <c r="P4023" s="82"/>
      <c r="Q4023" s="82"/>
      <c r="R4023" s="38"/>
      <c r="S4023" s="38"/>
      <c r="T4023" s="38"/>
      <c r="U4023" s="38"/>
      <c r="V4023" s="38"/>
      <c r="W4023" s="38"/>
      <c r="X4023" s="38"/>
      <c r="Y4023" s="38"/>
      <c r="Z4023" s="38"/>
      <c r="AA4023" s="38"/>
      <c r="AB4023" s="38"/>
      <c r="AC4023" s="38"/>
      <c r="AD4023" s="38"/>
      <c r="AE4023" s="38"/>
      <c r="AF4023" s="38"/>
      <c r="AG4023" s="38"/>
      <c r="AH4023" s="38"/>
    </row>
    <row r="4024" spans="3:34" ht="20.100000000000001" customHeight="1">
      <c r="C4024" s="113"/>
      <c r="D4024" s="114"/>
      <c r="P4024" s="82"/>
      <c r="Q4024" s="82"/>
      <c r="R4024" s="38"/>
      <c r="S4024" s="38"/>
      <c r="T4024" s="38"/>
      <c r="U4024" s="38"/>
      <c r="V4024" s="38"/>
      <c r="W4024" s="38"/>
      <c r="X4024" s="38"/>
      <c r="Y4024" s="38"/>
      <c r="Z4024" s="38"/>
      <c r="AA4024" s="38"/>
      <c r="AB4024" s="38"/>
      <c r="AC4024" s="38"/>
      <c r="AD4024" s="38"/>
      <c r="AE4024" s="38"/>
      <c r="AF4024" s="38"/>
      <c r="AG4024" s="38"/>
      <c r="AH4024" s="38"/>
    </row>
    <row r="4025" spans="3:34" ht="20.100000000000001" customHeight="1">
      <c r="C4025" s="113"/>
      <c r="D4025" s="114"/>
      <c r="P4025" s="82"/>
      <c r="Q4025" s="82"/>
      <c r="R4025" s="38"/>
      <c r="S4025" s="38"/>
      <c r="T4025" s="38"/>
      <c r="U4025" s="38"/>
      <c r="V4025" s="38"/>
      <c r="W4025" s="38"/>
      <c r="X4025" s="38"/>
      <c r="Y4025" s="38"/>
      <c r="Z4025" s="38"/>
      <c r="AA4025" s="38"/>
      <c r="AB4025" s="38"/>
      <c r="AC4025" s="38"/>
      <c r="AD4025" s="38"/>
      <c r="AE4025" s="38"/>
      <c r="AF4025" s="38"/>
      <c r="AG4025" s="38"/>
      <c r="AH4025" s="38"/>
    </row>
    <row r="4026" spans="3:34" ht="20.100000000000001" customHeight="1">
      <c r="C4026" s="113"/>
      <c r="D4026" s="114"/>
      <c r="P4026" s="82"/>
      <c r="Q4026" s="82"/>
      <c r="R4026" s="38"/>
      <c r="S4026" s="38"/>
      <c r="T4026" s="38"/>
      <c r="U4026" s="38"/>
      <c r="V4026" s="38"/>
      <c r="W4026" s="38"/>
      <c r="X4026" s="38"/>
      <c r="Y4026" s="38"/>
      <c r="Z4026" s="38"/>
      <c r="AA4026" s="38"/>
      <c r="AB4026" s="38"/>
      <c r="AC4026" s="38"/>
      <c r="AD4026" s="38"/>
      <c r="AE4026" s="38"/>
      <c r="AF4026" s="38"/>
      <c r="AG4026" s="38"/>
      <c r="AH4026" s="38"/>
    </row>
    <row r="4027" spans="3:34" ht="20.100000000000001" customHeight="1">
      <c r="C4027" s="113"/>
      <c r="D4027" s="114"/>
      <c r="P4027" s="82"/>
      <c r="Q4027" s="82"/>
      <c r="R4027" s="38"/>
      <c r="S4027" s="38"/>
      <c r="T4027" s="38"/>
      <c r="U4027" s="38"/>
      <c r="V4027" s="38"/>
      <c r="W4027" s="38"/>
      <c r="X4027" s="38"/>
      <c r="Y4027" s="38"/>
      <c r="Z4027" s="38"/>
      <c r="AA4027" s="38"/>
      <c r="AB4027" s="38"/>
      <c r="AC4027" s="38"/>
      <c r="AD4027" s="38"/>
      <c r="AE4027" s="38"/>
      <c r="AF4027" s="38"/>
      <c r="AG4027" s="38"/>
      <c r="AH4027" s="38"/>
    </row>
    <row r="4028" spans="3:34" ht="20.100000000000001" customHeight="1">
      <c r="C4028" s="113"/>
      <c r="D4028" s="114"/>
      <c r="P4028" s="82"/>
      <c r="Q4028" s="82"/>
      <c r="R4028" s="38"/>
      <c r="S4028" s="38"/>
      <c r="T4028" s="38"/>
      <c r="U4028" s="38"/>
      <c r="V4028" s="38"/>
      <c r="W4028" s="38"/>
      <c r="X4028" s="38"/>
      <c r="Y4028" s="38"/>
      <c r="Z4028" s="38"/>
      <c r="AA4028" s="38"/>
      <c r="AB4028" s="38"/>
      <c r="AC4028" s="38"/>
      <c r="AD4028" s="38"/>
      <c r="AE4028" s="38"/>
      <c r="AF4028" s="38"/>
      <c r="AG4028" s="38"/>
      <c r="AH4028" s="38"/>
    </row>
    <row r="4029" spans="3:34" ht="20.100000000000001" customHeight="1">
      <c r="C4029" s="113"/>
      <c r="D4029" s="114"/>
      <c r="P4029" s="82"/>
      <c r="Q4029" s="82"/>
      <c r="R4029" s="38"/>
      <c r="S4029" s="38"/>
      <c r="T4029" s="38"/>
      <c r="U4029" s="38"/>
      <c r="V4029" s="38"/>
      <c r="W4029" s="38"/>
      <c r="X4029" s="38"/>
      <c r="Y4029" s="38"/>
      <c r="Z4029" s="38"/>
      <c r="AA4029" s="38"/>
      <c r="AB4029" s="38"/>
      <c r="AC4029" s="38"/>
      <c r="AD4029" s="38"/>
      <c r="AE4029" s="38"/>
      <c r="AF4029" s="38"/>
      <c r="AG4029" s="38"/>
      <c r="AH4029" s="38"/>
    </row>
    <row r="4030" spans="3:34" ht="20.100000000000001" customHeight="1">
      <c r="C4030" s="113"/>
      <c r="D4030" s="114"/>
      <c r="P4030" s="82"/>
      <c r="Q4030" s="82"/>
      <c r="R4030" s="38"/>
      <c r="S4030" s="38"/>
      <c r="T4030" s="38"/>
      <c r="U4030" s="38"/>
      <c r="V4030" s="38"/>
      <c r="W4030" s="38"/>
      <c r="X4030" s="38"/>
      <c r="Y4030" s="38"/>
      <c r="Z4030" s="38"/>
      <c r="AA4030" s="38"/>
      <c r="AB4030" s="38"/>
      <c r="AC4030" s="38"/>
      <c r="AD4030" s="38"/>
      <c r="AE4030" s="38"/>
      <c r="AF4030" s="38"/>
      <c r="AG4030" s="38"/>
      <c r="AH4030" s="38"/>
    </row>
    <row r="4031" spans="3:34" ht="20.100000000000001" customHeight="1">
      <c r="C4031" s="113"/>
      <c r="D4031" s="114"/>
      <c r="P4031" s="82"/>
      <c r="Q4031" s="82"/>
      <c r="R4031" s="38"/>
      <c r="S4031" s="38"/>
      <c r="T4031" s="38"/>
      <c r="U4031" s="38"/>
      <c r="V4031" s="38"/>
      <c r="W4031" s="38"/>
      <c r="X4031" s="38"/>
      <c r="Y4031" s="38"/>
      <c r="Z4031" s="38"/>
      <c r="AA4031" s="38"/>
      <c r="AB4031" s="38"/>
      <c r="AC4031" s="38"/>
      <c r="AD4031" s="38"/>
      <c r="AE4031" s="38"/>
      <c r="AF4031" s="38"/>
      <c r="AG4031" s="38"/>
      <c r="AH4031" s="38"/>
    </row>
    <row r="4032" spans="3:34" ht="20.100000000000001" customHeight="1">
      <c r="C4032" s="113"/>
      <c r="D4032" s="114"/>
      <c r="P4032" s="82"/>
      <c r="Q4032" s="82"/>
      <c r="R4032" s="38"/>
      <c r="S4032" s="38"/>
      <c r="T4032" s="38"/>
      <c r="U4032" s="38"/>
      <c r="V4032" s="38"/>
      <c r="W4032" s="38"/>
      <c r="X4032" s="38"/>
      <c r="Y4032" s="38"/>
      <c r="Z4032" s="38"/>
      <c r="AA4032" s="38"/>
      <c r="AB4032" s="38"/>
      <c r="AC4032" s="38"/>
      <c r="AD4032" s="38"/>
      <c r="AE4032" s="38"/>
      <c r="AF4032" s="38"/>
      <c r="AG4032" s="38"/>
      <c r="AH4032" s="38"/>
    </row>
    <row r="4033" spans="3:34" ht="20.100000000000001" customHeight="1">
      <c r="C4033" s="113"/>
      <c r="D4033" s="114"/>
      <c r="P4033" s="82"/>
      <c r="Q4033" s="82"/>
      <c r="R4033" s="38"/>
      <c r="S4033" s="38"/>
      <c r="T4033" s="38"/>
      <c r="U4033" s="38"/>
      <c r="V4033" s="38"/>
      <c r="W4033" s="38"/>
      <c r="X4033" s="38"/>
      <c r="Y4033" s="38"/>
      <c r="Z4033" s="38"/>
      <c r="AA4033" s="38"/>
      <c r="AB4033" s="38"/>
      <c r="AC4033" s="38"/>
      <c r="AD4033" s="38"/>
      <c r="AE4033" s="38"/>
      <c r="AF4033" s="38"/>
      <c r="AG4033" s="38"/>
      <c r="AH4033" s="38"/>
    </row>
    <row r="4034" spans="3:34" ht="20.100000000000001" customHeight="1">
      <c r="C4034" s="113"/>
      <c r="D4034" s="114"/>
      <c r="P4034" s="82"/>
      <c r="Q4034" s="82"/>
      <c r="R4034" s="38"/>
      <c r="S4034" s="38"/>
      <c r="T4034" s="38"/>
      <c r="U4034" s="38"/>
      <c r="V4034" s="38"/>
      <c r="W4034" s="38"/>
      <c r="X4034" s="38"/>
      <c r="Y4034" s="38"/>
      <c r="Z4034" s="38"/>
      <c r="AA4034" s="38"/>
      <c r="AB4034" s="38"/>
      <c r="AC4034" s="38"/>
      <c r="AD4034" s="38"/>
      <c r="AE4034" s="38"/>
      <c r="AF4034" s="38"/>
      <c r="AG4034" s="38"/>
      <c r="AH4034" s="38"/>
    </row>
    <row r="4035" spans="3:34" ht="20.100000000000001" customHeight="1">
      <c r="C4035" s="113"/>
      <c r="D4035" s="114"/>
      <c r="P4035" s="82"/>
      <c r="Q4035" s="82"/>
      <c r="R4035" s="38"/>
      <c r="S4035" s="38"/>
      <c r="T4035" s="38"/>
      <c r="U4035" s="38"/>
      <c r="V4035" s="38"/>
      <c r="W4035" s="38"/>
      <c r="X4035" s="38"/>
      <c r="Y4035" s="38"/>
      <c r="Z4035" s="38"/>
      <c r="AA4035" s="38"/>
      <c r="AB4035" s="38"/>
      <c r="AC4035" s="38"/>
      <c r="AD4035" s="38"/>
      <c r="AE4035" s="38"/>
      <c r="AF4035" s="38"/>
      <c r="AG4035" s="38"/>
      <c r="AH4035" s="38"/>
    </row>
    <row r="4036" spans="3:34" ht="20.100000000000001" customHeight="1">
      <c r="C4036" s="113"/>
      <c r="D4036" s="114"/>
      <c r="P4036" s="82"/>
      <c r="Q4036" s="82"/>
      <c r="R4036" s="38"/>
      <c r="S4036" s="38"/>
      <c r="T4036" s="38"/>
      <c r="U4036" s="38"/>
      <c r="V4036" s="38"/>
      <c r="W4036" s="38"/>
      <c r="X4036" s="38"/>
      <c r="Y4036" s="38"/>
      <c r="Z4036" s="38"/>
      <c r="AA4036" s="38"/>
      <c r="AB4036" s="38"/>
      <c r="AC4036" s="38"/>
      <c r="AD4036" s="38"/>
      <c r="AE4036" s="38"/>
      <c r="AF4036" s="38"/>
      <c r="AG4036" s="38"/>
      <c r="AH4036" s="38"/>
    </row>
    <row r="4037" spans="3:34" ht="20.100000000000001" customHeight="1">
      <c r="C4037" s="113"/>
      <c r="D4037" s="114"/>
      <c r="P4037" s="82"/>
      <c r="Q4037" s="82"/>
      <c r="R4037" s="38"/>
      <c r="S4037" s="38"/>
      <c r="T4037" s="38"/>
      <c r="U4037" s="38"/>
      <c r="V4037" s="38"/>
      <c r="W4037" s="38"/>
      <c r="X4037" s="38"/>
      <c r="Y4037" s="38"/>
      <c r="Z4037" s="38"/>
      <c r="AA4037" s="38"/>
      <c r="AB4037" s="38"/>
      <c r="AC4037" s="38"/>
      <c r="AD4037" s="38"/>
      <c r="AE4037" s="38"/>
      <c r="AF4037" s="38"/>
      <c r="AG4037" s="38"/>
      <c r="AH4037" s="38"/>
    </row>
    <row r="4038" spans="3:34" ht="20.100000000000001" customHeight="1">
      <c r="C4038" s="113"/>
      <c r="D4038" s="114"/>
      <c r="P4038" s="82"/>
      <c r="Q4038" s="82"/>
      <c r="R4038" s="38"/>
      <c r="S4038" s="38"/>
      <c r="T4038" s="38"/>
      <c r="U4038" s="38"/>
      <c r="V4038" s="38"/>
      <c r="W4038" s="38"/>
      <c r="X4038" s="38"/>
      <c r="Y4038" s="38"/>
      <c r="Z4038" s="38"/>
      <c r="AA4038" s="38"/>
      <c r="AB4038" s="38"/>
      <c r="AC4038" s="38"/>
      <c r="AD4038" s="38"/>
      <c r="AE4038" s="38"/>
      <c r="AF4038" s="38"/>
      <c r="AG4038" s="38"/>
      <c r="AH4038" s="38"/>
    </row>
    <row r="4039" spans="3:34" ht="20.100000000000001" customHeight="1">
      <c r="C4039" s="113"/>
      <c r="D4039" s="114"/>
      <c r="P4039" s="82"/>
      <c r="Q4039" s="82"/>
      <c r="R4039" s="38"/>
      <c r="S4039" s="38"/>
      <c r="T4039" s="38"/>
      <c r="U4039" s="38"/>
      <c r="V4039" s="38"/>
      <c r="W4039" s="38"/>
      <c r="X4039" s="38"/>
      <c r="Y4039" s="38"/>
      <c r="Z4039" s="38"/>
      <c r="AA4039" s="38"/>
      <c r="AB4039" s="38"/>
      <c r="AC4039" s="38"/>
      <c r="AD4039" s="38"/>
      <c r="AE4039" s="38"/>
      <c r="AF4039" s="38"/>
      <c r="AG4039" s="38"/>
      <c r="AH4039" s="38"/>
    </row>
    <row r="4040" spans="3:34" ht="20.100000000000001" customHeight="1">
      <c r="C4040" s="113"/>
      <c r="D4040" s="114"/>
      <c r="P4040" s="82"/>
      <c r="Q4040" s="82"/>
      <c r="R4040" s="38"/>
      <c r="S4040" s="38"/>
      <c r="T4040" s="38"/>
      <c r="U4040" s="38"/>
      <c r="V4040" s="38"/>
      <c r="W4040" s="38"/>
      <c r="X4040" s="38"/>
      <c r="Y4040" s="38"/>
      <c r="Z4040" s="38"/>
      <c r="AA4040" s="38"/>
      <c r="AB4040" s="38"/>
      <c r="AC4040" s="38"/>
      <c r="AD4040" s="38"/>
      <c r="AE4040" s="38"/>
      <c r="AF4040" s="38"/>
      <c r="AG4040" s="38"/>
      <c r="AH4040" s="38"/>
    </row>
    <row r="4041" spans="3:34" ht="20.100000000000001" customHeight="1">
      <c r="C4041" s="113"/>
      <c r="D4041" s="114"/>
      <c r="P4041" s="82"/>
      <c r="Q4041" s="82"/>
      <c r="R4041" s="38"/>
      <c r="S4041" s="38"/>
      <c r="T4041" s="38"/>
      <c r="U4041" s="38"/>
      <c r="V4041" s="38"/>
      <c r="W4041" s="38"/>
      <c r="X4041" s="38"/>
      <c r="Y4041" s="38"/>
      <c r="Z4041" s="38"/>
      <c r="AA4041" s="38"/>
      <c r="AB4041" s="38"/>
      <c r="AC4041" s="38"/>
      <c r="AD4041" s="38"/>
      <c r="AE4041" s="38"/>
      <c r="AF4041" s="38"/>
      <c r="AG4041" s="38"/>
      <c r="AH4041" s="38"/>
    </row>
    <row r="4042" spans="3:34" ht="20.100000000000001" customHeight="1">
      <c r="C4042" s="113"/>
      <c r="D4042" s="114"/>
      <c r="P4042" s="82"/>
      <c r="Q4042" s="82"/>
      <c r="R4042" s="38"/>
      <c r="S4042" s="38"/>
      <c r="T4042" s="38"/>
      <c r="U4042" s="38"/>
      <c r="V4042" s="38"/>
      <c r="W4042" s="38"/>
      <c r="X4042" s="38"/>
      <c r="Y4042" s="38"/>
      <c r="Z4042" s="38"/>
      <c r="AA4042" s="38"/>
      <c r="AB4042" s="38"/>
      <c r="AC4042" s="38"/>
      <c r="AD4042" s="38"/>
      <c r="AE4042" s="38"/>
      <c r="AF4042" s="38"/>
      <c r="AG4042" s="38"/>
      <c r="AH4042" s="38"/>
    </row>
    <row r="4043" spans="3:34" ht="20.100000000000001" customHeight="1">
      <c r="C4043" s="113"/>
      <c r="D4043" s="114"/>
      <c r="P4043" s="82"/>
      <c r="Q4043" s="82"/>
      <c r="R4043" s="38"/>
      <c r="S4043" s="38"/>
      <c r="T4043" s="38"/>
      <c r="U4043" s="38"/>
      <c r="V4043" s="38"/>
      <c r="W4043" s="38"/>
      <c r="X4043" s="38"/>
      <c r="Y4043" s="38"/>
      <c r="Z4043" s="38"/>
      <c r="AA4043" s="38"/>
      <c r="AB4043" s="38"/>
      <c r="AC4043" s="38"/>
      <c r="AD4043" s="38"/>
      <c r="AE4043" s="38"/>
      <c r="AF4043" s="38"/>
      <c r="AG4043" s="38"/>
      <c r="AH4043" s="38"/>
    </row>
    <row r="4044" spans="3:34" ht="20.100000000000001" customHeight="1">
      <c r="C4044" s="113"/>
      <c r="D4044" s="114"/>
      <c r="P4044" s="82"/>
      <c r="Q4044" s="82"/>
      <c r="R4044" s="38"/>
      <c r="S4044" s="38"/>
      <c r="T4044" s="38"/>
      <c r="U4044" s="38"/>
      <c r="V4044" s="38"/>
      <c r="W4044" s="38"/>
      <c r="X4044" s="38"/>
      <c r="Y4044" s="38"/>
      <c r="Z4044" s="38"/>
      <c r="AA4044" s="38"/>
      <c r="AB4044" s="38"/>
      <c r="AC4044" s="38"/>
      <c r="AD4044" s="38"/>
      <c r="AE4044" s="38"/>
      <c r="AF4044" s="38"/>
      <c r="AG4044" s="38"/>
      <c r="AH4044" s="38"/>
    </row>
    <row r="4045" spans="3:34" ht="20.100000000000001" customHeight="1">
      <c r="C4045" s="113"/>
      <c r="D4045" s="114"/>
      <c r="P4045" s="82"/>
      <c r="Q4045" s="82"/>
      <c r="R4045" s="38"/>
      <c r="S4045" s="38"/>
      <c r="T4045" s="38"/>
      <c r="U4045" s="38"/>
      <c r="V4045" s="38"/>
      <c r="W4045" s="38"/>
      <c r="X4045" s="38"/>
      <c r="Y4045" s="38"/>
      <c r="Z4045" s="38"/>
      <c r="AA4045" s="38"/>
      <c r="AB4045" s="38"/>
      <c r="AC4045" s="38"/>
      <c r="AD4045" s="38"/>
      <c r="AE4045" s="38"/>
      <c r="AF4045" s="38"/>
      <c r="AG4045" s="38"/>
      <c r="AH4045" s="38"/>
    </row>
    <row r="4046" spans="3:34" ht="20.100000000000001" customHeight="1">
      <c r="C4046" s="113"/>
      <c r="D4046" s="114"/>
      <c r="P4046" s="82"/>
      <c r="Q4046" s="82"/>
      <c r="R4046" s="38"/>
      <c r="S4046" s="38"/>
      <c r="T4046" s="38"/>
      <c r="U4046" s="38"/>
      <c r="V4046" s="38"/>
      <c r="W4046" s="38"/>
      <c r="X4046" s="38"/>
      <c r="Y4046" s="38"/>
      <c r="Z4046" s="38"/>
      <c r="AA4046" s="38"/>
      <c r="AB4046" s="38"/>
      <c r="AC4046" s="38"/>
      <c r="AD4046" s="38"/>
      <c r="AE4046" s="38"/>
      <c r="AF4046" s="38"/>
      <c r="AG4046" s="38"/>
      <c r="AH4046" s="38"/>
    </row>
    <row r="4047" spans="3:34" ht="20.100000000000001" customHeight="1">
      <c r="C4047" s="113"/>
      <c r="D4047" s="114"/>
      <c r="P4047" s="82"/>
      <c r="Q4047" s="82"/>
      <c r="R4047" s="38"/>
      <c r="S4047" s="38"/>
      <c r="T4047" s="38"/>
      <c r="U4047" s="38"/>
      <c r="V4047" s="38"/>
      <c r="W4047" s="38"/>
      <c r="X4047" s="38"/>
      <c r="Y4047" s="38"/>
      <c r="Z4047" s="38"/>
      <c r="AA4047" s="38"/>
      <c r="AB4047" s="38"/>
      <c r="AC4047" s="38"/>
      <c r="AD4047" s="38"/>
      <c r="AE4047" s="38"/>
      <c r="AF4047" s="38"/>
      <c r="AG4047" s="38"/>
      <c r="AH4047" s="38"/>
    </row>
    <row r="4048" spans="3:34" ht="20.100000000000001" customHeight="1">
      <c r="C4048" s="113"/>
      <c r="D4048" s="114"/>
      <c r="P4048" s="82"/>
      <c r="Q4048" s="82"/>
      <c r="R4048" s="38"/>
      <c r="S4048" s="38"/>
      <c r="T4048" s="38"/>
      <c r="U4048" s="38"/>
      <c r="V4048" s="38"/>
      <c r="W4048" s="38"/>
      <c r="X4048" s="38"/>
      <c r="Y4048" s="38"/>
      <c r="Z4048" s="38"/>
      <c r="AA4048" s="38"/>
      <c r="AB4048" s="38"/>
      <c r="AC4048" s="38"/>
      <c r="AD4048" s="38"/>
      <c r="AE4048" s="38"/>
      <c r="AF4048" s="38"/>
      <c r="AG4048" s="38"/>
      <c r="AH4048" s="38"/>
    </row>
    <row r="4049" spans="3:34" ht="20.100000000000001" customHeight="1">
      <c r="C4049" s="113"/>
      <c r="D4049" s="114"/>
      <c r="P4049" s="82"/>
      <c r="Q4049" s="82"/>
      <c r="R4049" s="38"/>
      <c r="S4049" s="38"/>
      <c r="T4049" s="38"/>
      <c r="U4049" s="38"/>
      <c r="V4049" s="38"/>
      <c r="W4049" s="38"/>
      <c r="X4049" s="38"/>
      <c r="Y4049" s="38"/>
      <c r="Z4049" s="38"/>
      <c r="AA4049" s="38"/>
      <c r="AB4049" s="38"/>
      <c r="AC4049" s="38"/>
      <c r="AD4049" s="38"/>
      <c r="AE4049" s="38"/>
      <c r="AF4049" s="38"/>
      <c r="AG4049" s="38"/>
      <c r="AH4049" s="38"/>
    </row>
    <row r="4050" spans="3:34" ht="20.100000000000001" customHeight="1">
      <c r="C4050" s="113"/>
      <c r="D4050" s="114"/>
      <c r="P4050" s="82"/>
      <c r="Q4050" s="82"/>
      <c r="R4050" s="38"/>
      <c r="S4050" s="38"/>
      <c r="T4050" s="38"/>
      <c r="U4050" s="38"/>
      <c r="V4050" s="38"/>
      <c r="W4050" s="38"/>
      <c r="X4050" s="38"/>
      <c r="Y4050" s="38"/>
      <c r="Z4050" s="38"/>
      <c r="AA4050" s="38"/>
      <c r="AB4050" s="38"/>
      <c r="AC4050" s="38"/>
      <c r="AD4050" s="38"/>
      <c r="AE4050" s="38"/>
      <c r="AF4050" s="38"/>
      <c r="AG4050" s="38"/>
      <c r="AH4050" s="38"/>
    </row>
    <row r="4051" spans="3:34" ht="20.100000000000001" customHeight="1">
      <c r="C4051" s="113"/>
      <c r="D4051" s="114"/>
      <c r="P4051" s="82"/>
      <c r="Q4051" s="82"/>
      <c r="R4051" s="38"/>
      <c r="S4051" s="38"/>
      <c r="T4051" s="38"/>
      <c r="U4051" s="38"/>
      <c r="V4051" s="38"/>
      <c r="W4051" s="38"/>
      <c r="X4051" s="38"/>
      <c r="Y4051" s="38"/>
      <c r="Z4051" s="38"/>
      <c r="AA4051" s="38"/>
      <c r="AB4051" s="38"/>
      <c r="AC4051" s="38"/>
      <c r="AD4051" s="38"/>
      <c r="AE4051" s="38"/>
      <c r="AF4051" s="38"/>
      <c r="AG4051" s="38"/>
      <c r="AH4051" s="38"/>
    </row>
    <row r="4052" spans="3:34" ht="20.100000000000001" customHeight="1">
      <c r="C4052" s="113"/>
      <c r="D4052" s="114"/>
      <c r="P4052" s="82"/>
      <c r="Q4052" s="82"/>
      <c r="R4052" s="38"/>
      <c r="S4052" s="38"/>
      <c r="T4052" s="38"/>
      <c r="U4052" s="38"/>
      <c r="V4052" s="38"/>
      <c r="W4052" s="38"/>
      <c r="X4052" s="38"/>
      <c r="Y4052" s="38"/>
      <c r="Z4052" s="38"/>
      <c r="AA4052" s="38"/>
      <c r="AB4052" s="38"/>
      <c r="AC4052" s="38"/>
      <c r="AD4052" s="38"/>
      <c r="AE4052" s="38"/>
      <c r="AF4052" s="38"/>
      <c r="AG4052" s="38"/>
      <c r="AH4052" s="38"/>
    </row>
    <row r="4053" spans="3:34" ht="20.100000000000001" customHeight="1">
      <c r="C4053" s="113"/>
      <c r="D4053" s="114"/>
      <c r="P4053" s="82"/>
      <c r="Q4053" s="82"/>
      <c r="R4053" s="38"/>
      <c r="S4053" s="38"/>
      <c r="T4053" s="38"/>
      <c r="U4053" s="38"/>
      <c r="V4053" s="38"/>
      <c r="W4053" s="38"/>
      <c r="X4053" s="38"/>
      <c r="Y4053" s="38"/>
      <c r="Z4053" s="38"/>
      <c r="AA4053" s="38"/>
      <c r="AB4053" s="38"/>
      <c r="AC4053" s="38"/>
      <c r="AD4053" s="38"/>
      <c r="AE4053" s="38"/>
      <c r="AF4053" s="38"/>
      <c r="AG4053" s="38"/>
      <c r="AH4053" s="38"/>
    </row>
    <row r="4054" spans="3:34" ht="20.100000000000001" customHeight="1">
      <c r="C4054" s="113"/>
      <c r="D4054" s="114"/>
      <c r="P4054" s="82"/>
      <c r="Q4054" s="82"/>
      <c r="R4054" s="38"/>
      <c r="S4054" s="38"/>
      <c r="T4054" s="38"/>
      <c r="U4054" s="38"/>
      <c r="V4054" s="38"/>
      <c r="W4054" s="38"/>
      <c r="X4054" s="38"/>
      <c r="Y4054" s="38"/>
      <c r="Z4054" s="38"/>
      <c r="AA4054" s="38"/>
      <c r="AB4054" s="38"/>
      <c r="AC4054" s="38"/>
      <c r="AD4054" s="38"/>
      <c r="AE4054" s="38"/>
      <c r="AF4054" s="38"/>
      <c r="AG4054" s="38"/>
      <c r="AH4054" s="38"/>
    </row>
    <row r="4055" spans="3:34" ht="20.100000000000001" customHeight="1">
      <c r="C4055" s="113"/>
      <c r="D4055" s="114"/>
      <c r="P4055" s="82"/>
      <c r="Q4055" s="82"/>
      <c r="R4055" s="38"/>
      <c r="S4055" s="38"/>
      <c r="T4055" s="38"/>
      <c r="U4055" s="38"/>
      <c r="V4055" s="38"/>
      <c r="W4055" s="38"/>
      <c r="X4055" s="38"/>
      <c r="Y4055" s="38"/>
      <c r="Z4055" s="38"/>
      <c r="AA4055" s="38"/>
      <c r="AB4055" s="38"/>
      <c r="AC4055" s="38"/>
      <c r="AD4055" s="38"/>
      <c r="AE4055" s="38"/>
      <c r="AF4055" s="38"/>
      <c r="AG4055" s="38"/>
      <c r="AH4055" s="38"/>
    </row>
    <row r="4056" spans="3:34" ht="20.100000000000001" customHeight="1">
      <c r="C4056" s="113"/>
      <c r="D4056" s="114"/>
      <c r="P4056" s="82"/>
      <c r="Q4056" s="82"/>
      <c r="R4056" s="38"/>
      <c r="S4056" s="38"/>
      <c r="T4056" s="38"/>
      <c r="U4056" s="38"/>
      <c r="V4056" s="38"/>
      <c r="W4056" s="38"/>
      <c r="X4056" s="38"/>
      <c r="Y4056" s="38"/>
      <c r="Z4056" s="38"/>
      <c r="AA4056" s="38"/>
      <c r="AB4056" s="38"/>
      <c r="AC4056" s="38"/>
      <c r="AD4056" s="38"/>
      <c r="AE4056" s="38"/>
      <c r="AF4056" s="38"/>
      <c r="AG4056" s="38"/>
      <c r="AH4056" s="38"/>
    </row>
    <row r="4057" spans="3:34" ht="20.100000000000001" customHeight="1">
      <c r="C4057" s="113"/>
      <c r="D4057" s="114"/>
      <c r="P4057" s="82"/>
      <c r="Q4057" s="82"/>
      <c r="R4057" s="38"/>
      <c r="S4057" s="38"/>
      <c r="T4057" s="38"/>
      <c r="U4057" s="38"/>
      <c r="V4057" s="38"/>
      <c r="W4057" s="38"/>
      <c r="X4057" s="38"/>
      <c r="Y4057" s="38"/>
      <c r="Z4057" s="38"/>
      <c r="AA4057" s="38"/>
      <c r="AB4057" s="38"/>
      <c r="AC4057" s="38"/>
      <c r="AD4057" s="38"/>
      <c r="AE4057" s="38"/>
      <c r="AF4057" s="38"/>
      <c r="AG4057" s="38"/>
      <c r="AH4057" s="38"/>
    </row>
    <row r="4058" spans="3:34" ht="20.100000000000001" customHeight="1">
      <c r="C4058" s="113"/>
      <c r="D4058" s="114"/>
      <c r="P4058" s="82"/>
      <c r="Q4058" s="82"/>
      <c r="R4058" s="38"/>
      <c r="S4058" s="38"/>
      <c r="T4058" s="38"/>
      <c r="U4058" s="38"/>
      <c r="V4058" s="38"/>
      <c r="W4058" s="38"/>
      <c r="X4058" s="38"/>
      <c r="Y4058" s="38"/>
      <c r="Z4058" s="38"/>
      <c r="AA4058" s="38"/>
      <c r="AB4058" s="38"/>
      <c r="AC4058" s="38"/>
      <c r="AD4058" s="38"/>
      <c r="AE4058" s="38"/>
      <c r="AF4058" s="38"/>
      <c r="AG4058" s="38"/>
      <c r="AH4058" s="38"/>
    </row>
    <row r="4059" spans="3:34" ht="20.100000000000001" customHeight="1">
      <c r="C4059" s="113"/>
      <c r="D4059" s="114"/>
      <c r="P4059" s="82"/>
      <c r="Q4059" s="82"/>
      <c r="R4059" s="38"/>
      <c r="S4059" s="38"/>
      <c r="T4059" s="38"/>
      <c r="U4059" s="38"/>
      <c r="V4059" s="38"/>
      <c r="W4059" s="38"/>
      <c r="X4059" s="38"/>
      <c r="Y4059" s="38"/>
      <c r="Z4059" s="38"/>
      <c r="AA4059" s="38"/>
      <c r="AB4059" s="38"/>
      <c r="AC4059" s="38"/>
      <c r="AD4059" s="38"/>
      <c r="AE4059" s="38"/>
      <c r="AF4059" s="38"/>
      <c r="AG4059" s="38"/>
      <c r="AH4059" s="38"/>
    </row>
    <row r="4060" spans="3:34" ht="20.100000000000001" customHeight="1">
      <c r="C4060" s="113"/>
      <c r="D4060" s="114"/>
      <c r="P4060" s="82"/>
      <c r="Q4060" s="82"/>
      <c r="R4060" s="38"/>
      <c r="S4060" s="38"/>
      <c r="T4060" s="38"/>
      <c r="U4060" s="38"/>
      <c r="V4060" s="38"/>
      <c r="W4060" s="38"/>
      <c r="X4060" s="38"/>
      <c r="Y4060" s="38"/>
      <c r="Z4060" s="38"/>
      <c r="AA4060" s="38"/>
      <c r="AB4060" s="38"/>
      <c r="AC4060" s="38"/>
      <c r="AD4060" s="38"/>
      <c r="AE4060" s="38"/>
      <c r="AF4060" s="38"/>
      <c r="AG4060" s="38"/>
      <c r="AH4060" s="38"/>
    </row>
    <row r="4061" spans="3:34" ht="20.100000000000001" customHeight="1">
      <c r="C4061" s="113"/>
      <c r="D4061" s="114"/>
      <c r="P4061" s="82"/>
      <c r="Q4061" s="82"/>
      <c r="R4061" s="38"/>
      <c r="S4061" s="38"/>
      <c r="T4061" s="38"/>
      <c r="U4061" s="38"/>
      <c r="V4061" s="38"/>
      <c r="W4061" s="38"/>
      <c r="X4061" s="38"/>
      <c r="Y4061" s="38"/>
      <c r="Z4061" s="38"/>
      <c r="AA4061" s="38"/>
      <c r="AB4061" s="38"/>
      <c r="AC4061" s="38"/>
      <c r="AD4061" s="38"/>
      <c r="AE4061" s="38"/>
      <c r="AF4061" s="38"/>
      <c r="AG4061" s="38"/>
      <c r="AH4061" s="38"/>
    </row>
    <row r="4062" spans="3:34" ht="20.100000000000001" customHeight="1">
      <c r="C4062" s="113"/>
      <c r="D4062" s="114"/>
      <c r="P4062" s="82"/>
      <c r="Q4062" s="82"/>
      <c r="R4062" s="38"/>
      <c r="S4062" s="38"/>
      <c r="T4062" s="38"/>
      <c r="U4062" s="38"/>
      <c r="V4062" s="38"/>
      <c r="W4062" s="38"/>
      <c r="X4062" s="38"/>
      <c r="Y4062" s="38"/>
      <c r="Z4062" s="38"/>
      <c r="AA4062" s="38"/>
      <c r="AB4062" s="38"/>
      <c r="AC4062" s="38"/>
      <c r="AD4062" s="38"/>
      <c r="AE4062" s="38"/>
      <c r="AF4062" s="38"/>
      <c r="AG4062" s="38"/>
      <c r="AH4062" s="38"/>
    </row>
    <row r="4063" spans="3:34" ht="20.100000000000001" customHeight="1">
      <c r="C4063" s="113"/>
      <c r="D4063" s="114"/>
      <c r="P4063" s="82"/>
      <c r="Q4063" s="82"/>
      <c r="R4063" s="38"/>
      <c r="S4063" s="38"/>
      <c r="T4063" s="38"/>
      <c r="U4063" s="38"/>
      <c r="V4063" s="38"/>
      <c r="W4063" s="38"/>
      <c r="X4063" s="38"/>
      <c r="Y4063" s="38"/>
      <c r="Z4063" s="38"/>
      <c r="AA4063" s="38"/>
      <c r="AB4063" s="38"/>
      <c r="AC4063" s="38"/>
      <c r="AD4063" s="38"/>
      <c r="AE4063" s="38"/>
      <c r="AF4063" s="38"/>
      <c r="AG4063" s="38"/>
      <c r="AH4063" s="38"/>
    </row>
    <row r="4064" spans="3:34" ht="20.100000000000001" customHeight="1">
      <c r="C4064" s="113"/>
      <c r="D4064" s="114"/>
      <c r="P4064" s="82"/>
      <c r="Q4064" s="82"/>
      <c r="R4064" s="38"/>
      <c r="S4064" s="38"/>
      <c r="T4064" s="38"/>
      <c r="U4064" s="38"/>
      <c r="V4064" s="38"/>
      <c r="W4064" s="38"/>
      <c r="X4064" s="38"/>
      <c r="Y4064" s="38"/>
      <c r="Z4064" s="38"/>
      <c r="AA4064" s="38"/>
      <c r="AB4064" s="38"/>
      <c r="AC4064" s="38"/>
      <c r="AD4064" s="38"/>
      <c r="AE4064" s="38"/>
      <c r="AF4064" s="38"/>
      <c r="AG4064" s="38"/>
      <c r="AH4064" s="38"/>
    </row>
    <row r="4065" spans="3:34" ht="20.100000000000001" customHeight="1">
      <c r="C4065" s="113"/>
      <c r="D4065" s="114"/>
      <c r="P4065" s="82"/>
      <c r="Q4065" s="82"/>
      <c r="R4065" s="38"/>
      <c r="S4065" s="38"/>
      <c r="T4065" s="38"/>
      <c r="U4065" s="38"/>
      <c r="V4065" s="38"/>
      <c r="W4065" s="38"/>
      <c r="X4065" s="38"/>
      <c r="Y4065" s="38"/>
      <c r="Z4065" s="38"/>
      <c r="AA4065" s="38"/>
      <c r="AB4065" s="38"/>
      <c r="AC4065" s="38"/>
      <c r="AD4065" s="38"/>
      <c r="AE4065" s="38"/>
      <c r="AF4065" s="38"/>
      <c r="AG4065" s="38"/>
      <c r="AH4065" s="38"/>
    </row>
    <row r="4066" spans="3:34" ht="20.100000000000001" customHeight="1">
      <c r="C4066" s="113"/>
      <c r="D4066" s="114"/>
      <c r="P4066" s="82"/>
      <c r="Q4066" s="82"/>
      <c r="R4066" s="38"/>
      <c r="S4066" s="38"/>
      <c r="T4066" s="38"/>
      <c r="U4066" s="38"/>
      <c r="V4066" s="38"/>
      <c r="W4066" s="38"/>
      <c r="X4066" s="38"/>
      <c r="Y4066" s="38"/>
      <c r="Z4066" s="38"/>
      <c r="AA4066" s="38"/>
      <c r="AB4066" s="38"/>
      <c r="AC4066" s="38"/>
      <c r="AD4066" s="38"/>
      <c r="AE4066" s="38"/>
      <c r="AF4066" s="38"/>
      <c r="AG4066" s="38"/>
      <c r="AH4066" s="38"/>
    </row>
    <row r="4067" spans="3:34" ht="20.100000000000001" customHeight="1">
      <c r="C4067" s="113"/>
      <c r="D4067" s="114"/>
      <c r="P4067" s="82"/>
      <c r="Q4067" s="82"/>
      <c r="R4067" s="38"/>
      <c r="S4067" s="38"/>
      <c r="T4067" s="38"/>
      <c r="U4067" s="38"/>
      <c r="V4067" s="38"/>
      <c r="W4067" s="38"/>
      <c r="X4067" s="38"/>
      <c r="Y4067" s="38"/>
      <c r="Z4067" s="38"/>
      <c r="AA4067" s="38"/>
      <c r="AB4067" s="38"/>
      <c r="AC4067" s="38"/>
      <c r="AD4067" s="38"/>
      <c r="AE4067" s="38"/>
      <c r="AF4067" s="38"/>
      <c r="AG4067" s="38"/>
      <c r="AH4067" s="38"/>
    </row>
    <row r="4068" spans="3:34" ht="20.100000000000001" customHeight="1">
      <c r="C4068" s="113"/>
      <c r="D4068" s="114"/>
      <c r="P4068" s="82"/>
      <c r="Q4068" s="82"/>
      <c r="R4068" s="38"/>
      <c r="S4068" s="38"/>
      <c r="T4068" s="38"/>
      <c r="U4068" s="38"/>
      <c r="V4068" s="38"/>
      <c r="W4068" s="38"/>
      <c r="X4068" s="38"/>
      <c r="Y4068" s="38"/>
      <c r="Z4068" s="38"/>
      <c r="AA4068" s="38"/>
      <c r="AB4068" s="38"/>
      <c r="AC4068" s="38"/>
      <c r="AD4068" s="38"/>
      <c r="AE4068" s="38"/>
      <c r="AF4068" s="38"/>
      <c r="AG4068" s="38"/>
      <c r="AH4068" s="38"/>
    </row>
    <row r="4069" spans="3:34" ht="20.100000000000001" customHeight="1">
      <c r="C4069" s="113"/>
      <c r="D4069" s="114"/>
      <c r="P4069" s="82"/>
      <c r="Q4069" s="82"/>
      <c r="R4069" s="38"/>
      <c r="S4069" s="38"/>
      <c r="T4069" s="38"/>
      <c r="U4069" s="38"/>
      <c r="V4069" s="38"/>
      <c r="W4069" s="38"/>
      <c r="X4069" s="38"/>
      <c r="Y4069" s="38"/>
      <c r="Z4069" s="38"/>
      <c r="AA4069" s="38"/>
      <c r="AB4069" s="38"/>
      <c r="AC4069" s="38"/>
      <c r="AD4069" s="38"/>
      <c r="AE4069" s="38"/>
      <c r="AF4069" s="38"/>
      <c r="AG4069" s="38"/>
      <c r="AH4069" s="38"/>
    </row>
    <row r="4070" spans="3:34" ht="20.100000000000001" customHeight="1">
      <c r="C4070" s="113"/>
      <c r="D4070" s="114"/>
      <c r="P4070" s="82"/>
      <c r="Q4070" s="82"/>
      <c r="R4070" s="38"/>
      <c r="S4070" s="38"/>
      <c r="T4070" s="38"/>
      <c r="U4070" s="38"/>
      <c r="V4070" s="38"/>
      <c r="W4070" s="38"/>
      <c r="X4070" s="38"/>
      <c r="Y4070" s="38"/>
      <c r="Z4070" s="38"/>
      <c r="AA4070" s="38"/>
      <c r="AB4070" s="38"/>
      <c r="AC4070" s="38"/>
      <c r="AD4070" s="38"/>
      <c r="AE4070" s="38"/>
      <c r="AF4070" s="38"/>
      <c r="AG4070" s="38"/>
      <c r="AH4070" s="38"/>
    </row>
    <row r="4071" spans="3:34" ht="20.100000000000001" customHeight="1">
      <c r="C4071" s="113"/>
      <c r="D4071" s="114"/>
      <c r="P4071" s="82"/>
      <c r="Q4071" s="82"/>
      <c r="R4071" s="38"/>
      <c r="S4071" s="38"/>
      <c r="T4071" s="38"/>
      <c r="U4071" s="38"/>
      <c r="V4071" s="38"/>
      <c r="W4071" s="38"/>
      <c r="X4071" s="38"/>
      <c r="Y4071" s="38"/>
      <c r="Z4071" s="38"/>
      <c r="AA4071" s="38"/>
      <c r="AB4071" s="38"/>
      <c r="AC4071" s="38"/>
      <c r="AD4071" s="38"/>
      <c r="AE4071" s="38"/>
      <c r="AF4071" s="38"/>
      <c r="AG4071" s="38"/>
      <c r="AH4071" s="38"/>
    </row>
    <row r="4072" spans="3:34" ht="20.100000000000001" customHeight="1">
      <c r="C4072" s="113"/>
      <c r="D4072" s="114"/>
      <c r="P4072" s="82"/>
      <c r="Q4072" s="82"/>
      <c r="R4072" s="38"/>
      <c r="S4072" s="38"/>
      <c r="T4072" s="38"/>
      <c r="U4072" s="38"/>
      <c r="V4072" s="38"/>
      <c r="W4072" s="38"/>
      <c r="X4072" s="38"/>
      <c r="Y4072" s="38"/>
      <c r="Z4072" s="38"/>
      <c r="AA4072" s="38"/>
      <c r="AB4072" s="38"/>
      <c r="AC4072" s="38"/>
      <c r="AD4072" s="38"/>
      <c r="AE4072" s="38"/>
      <c r="AF4072" s="38"/>
      <c r="AG4072" s="38"/>
      <c r="AH4072" s="38"/>
    </row>
    <row r="4073" spans="3:34" ht="20.100000000000001" customHeight="1">
      <c r="C4073" s="113"/>
      <c r="D4073" s="114"/>
      <c r="P4073" s="82"/>
      <c r="Q4073" s="82"/>
      <c r="R4073" s="38"/>
      <c r="S4073" s="38"/>
      <c r="T4073" s="38"/>
      <c r="U4073" s="38"/>
      <c r="V4073" s="38"/>
      <c r="W4073" s="38"/>
      <c r="X4073" s="38"/>
      <c r="Y4073" s="38"/>
      <c r="Z4073" s="38"/>
      <c r="AA4073" s="38"/>
      <c r="AB4073" s="38"/>
      <c r="AC4073" s="38"/>
      <c r="AD4073" s="38"/>
      <c r="AE4073" s="38"/>
      <c r="AF4073" s="38"/>
      <c r="AG4073" s="38"/>
      <c r="AH4073" s="38"/>
    </row>
    <row r="4074" spans="3:34" ht="20.100000000000001" customHeight="1">
      <c r="C4074" s="113"/>
      <c r="D4074" s="114"/>
      <c r="P4074" s="82"/>
      <c r="Q4074" s="82"/>
      <c r="R4074" s="38"/>
      <c r="S4074" s="38"/>
      <c r="T4074" s="38"/>
      <c r="U4074" s="38"/>
      <c r="V4074" s="38"/>
      <c r="W4074" s="38"/>
      <c r="X4074" s="38"/>
      <c r="Y4074" s="38"/>
      <c r="Z4074" s="38"/>
      <c r="AA4074" s="38"/>
      <c r="AB4074" s="38"/>
      <c r="AC4074" s="38"/>
      <c r="AD4074" s="38"/>
      <c r="AE4074" s="38"/>
      <c r="AF4074" s="38"/>
      <c r="AG4074" s="38"/>
      <c r="AH4074" s="38"/>
    </row>
    <row r="4075" spans="3:34" ht="20.100000000000001" customHeight="1">
      <c r="C4075" s="113"/>
      <c r="D4075" s="114"/>
      <c r="P4075" s="82"/>
      <c r="Q4075" s="82"/>
      <c r="R4075" s="38"/>
      <c r="S4075" s="38"/>
      <c r="T4075" s="38"/>
      <c r="U4075" s="38"/>
      <c r="V4075" s="38"/>
      <c r="W4075" s="38"/>
      <c r="X4075" s="38"/>
      <c r="Y4075" s="38"/>
      <c r="Z4075" s="38"/>
      <c r="AA4075" s="38"/>
      <c r="AB4075" s="38"/>
      <c r="AC4075" s="38"/>
      <c r="AD4075" s="38"/>
      <c r="AE4075" s="38"/>
      <c r="AF4075" s="38"/>
      <c r="AG4075" s="38"/>
      <c r="AH4075" s="38"/>
    </row>
    <row r="4076" spans="3:34" ht="20.100000000000001" customHeight="1">
      <c r="C4076" s="113"/>
      <c r="D4076" s="114"/>
      <c r="P4076" s="82"/>
      <c r="Q4076" s="82"/>
      <c r="R4076" s="38"/>
      <c r="S4076" s="38"/>
      <c r="T4076" s="38"/>
      <c r="U4076" s="38"/>
      <c r="V4076" s="38"/>
      <c r="W4076" s="38"/>
      <c r="X4076" s="38"/>
      <c r="Y4076" s="38"/>
      <c r="Z4076" s="38"/>
      <c r="AA4076" s="38"/>
      <c r="AB4076" s="38"/>
      <c r="AC4076" s="38"/>
      <c r="AD4076" s="38"/>
      <c r="AE4076" s="38"/>
      <c r="AF4076" s="38"/>
      <c r="AG4076" s="38"/>
      <c r="AH4076" s="38"/>
    </row>
    <row r="4077" spans="3:34" ht="20.100000000000001" customHeight="1">
      <c r="C4077" s="113"/>
      <c r="D4077" s="114"/>
      <c r="P4077" s="82"/>
      <c r="Q4077" s="82"/>
      <c r="R4077" s="38"/>
      <c r="S4077" s="38"/>
      <c r="T4077" s="38"/>
      <c r="U4077" s="38"/>
      <c r="V4077" s="38"/>
      <c r="W4077" s="38"/>
      <c r="X4077" s="38"/>
      <c r="Y4077" s="38"/>
      <c r="Z4077" s="38"/>
      <c r="AA4077" s="38"/>
      <c r="AB4077" s="38"/>
      <c r="AC4077" s="38"/>
      <c r="AD4077" s="38"/>
      <c r="AE4077" s="38"/>
      <c r="AF4077" s="38"/>
      <c r="AG4077" s="38"/>
      <c r="AH4077" s="38"/>
    </row>
    <row r="4078" spans="3:34" ht="20.100000000000001" customHeight="1">
      <c r="C4078" s="113"/>
      <c r="D4078" s="114"/>
      <c r="P4078" s="82"/>
      <c r="Q4078" s="82"/>
      <c r="R4078" s="38"/>
      <c r="S4078" s="38"/>
      <c r="T4078" s="38"/>
      <c r="U4078" s="38"/>
      <c r="V4078" s="38"/>
      <c r="W4078" s="38"/>
      <c r="X4078" s="38"/>
      <c r="Y4078" s="38"/>
      <c r="Z4078" s="38"/>
      <c r="AA4078" s="38"/>
      <c r="AB4078" s="38"/>
      <c r="AC4078" s="38"/>
      <c r="AD4078" s="38"/>
      <c r="AE4078" s="38"/>
      <c r="AF4078" s="38"/>
      <c r="AG4078" s="38"/>
      <c r="AH4078" s="38"/>
    </row>
    <row r="4079" spans="3:34" ht="20.100000000000001" customHeight="1">
      <c r="C4079" s="113"/>
      <c r="D4079" s="114"/>
      <c r="P4079" s="82"/>
      <c r="Q4079" s="82"/>
      <c r="R4079" s="38"/>
      <c r="S4079" s="38"/>
      <c r="T4079" s="38"/>
      <c r="U4079" s="38"/>
      <c r="V4079" s="38"/>
      <c r="W4079" s="38"/>
      <c r="X4079" s="38"/>
      <c r="Y4079" s="38"/>
      <c r="Z4079" s="38"/>
      <c r="AA4079" s="38"/>
      <c r="AB4079" s="38"/>
      <c r="AC4079" s="38"/>
      <c r="AD4079" s="38"/>
      <c r="AE4079" s="38"/>
      <c r="AF4079" s="38"/>
      <c r="AG4079" s="38"/>
      <c r="AH4079" s="38"/>
    </row>
    <row r="4080" spans="3:34" ht="20.100000000000001" customHeight="1">
      <c r="C4080" s="113"/>
      <c r="D4080" s="114"/>
      <c r="P4080" s="82"/>
      <c r="Q4080" s="82"/>
      <c r="R4080" s="38"/>
      <c r="S4080" s="38"/>
      <c r="T4080" s="38"/>
      <c r="U4080" s="38"/>
      <c r="V4080" s="38"/>
      <c r="W4080" s="38"/>
      <c r="X4080" s="38"/>
      <c r="Y4080" s="38"/>
      <c r="Z4080" s="38"/>
      <c r="AA4080" s="38"/>
      <c r="AB4080" s="38"/>
      <c r="AC4080" s="38"/>
      <c r="AD4080" s="38"/>
      <c r="AE4080" s="38"/>
      <c r="AF4080" s="38"/>
      <c r="AG4080" s="38"/>
      <c r="AH4080" s="38"/>
    </row>
    <row r="4081" spans="3:34" ht="20.100000000000001" customHeight="1">
      <c r="C4081" s="113"/>
      <c r="D4081" s="114"/>
      <c r="P4081" s="82"/>
      <c r="Q4081" s="82"/>
      <c r="R4081" s="38"/>
      <c r="S4081" s="38"/>
      <c r="T4081" s="38"/>
      <c r="U4081" s="38"/>
      <c r="V4081" s="38"/>
      <c r="W4081" s="38"/>
      <c r="X4081" s="38"/>
      <c r="Y4081" s="38"/>
      <c r="Z4081" s="38"/>
      <c r="AA4081" s="38"/>
      <c r="AB4081" s="38"/>
      <c r="AC4081" s="38"/>
      <c r="AD4081" s="38"/>
      <c r="AE4081" s="38"/>
      <c r="AF4081" s="38"/>
      <c r="AG4081" s="38"/>
      <c r="AH4081" s="38"/>
    </row>
    <row r="4082" spans="3:34" ht="20.100000000000001" customHeight="1">
      <c r="C4082" s="113"/>
      <c r="D4082" s="114"/>
      <c r="P4082" s="82"/>
      <c r="Q4082" s="82"/>
      <c r="R4082" s="38"/>
      <c r="S4082" s="38"/>
      <c r="T4082" s="38"/>
      <c r="U4082" s="38"/>
      <c r="V4082" s="38"/>
      <c r="W4082" s="38"/>
      <c r="X4082" s="38"/>
      <c r="Y4082" s="38"/>
      <c r="Z4082" s="38"/>
      <c r="AA4082" s="38"/>
      <c r="AB4082" s="38"/>
      <c r="AC4082" s="38"/>
      <c r="AD4082" s="38"/>
      <c r="AE4082" s="38"/>
      <c r="AF4082" s="38"/>
      <c r="AG4082" s="38"/>
      <c r="AH4082" s="38"/>
    </row>
    <row r="4083" spans="3:34" ht="20.100000000000001" customHeight="1">
      <c r="C4083" s="113"/>
      <c r="D4083" s="114"/>
      <c r="P4083" s="82"/>
      <c r="Q4083" s="82"/>
      <c r="R4083" s="38"/>
      <c r="S4083" s="38"/>
      <c r="T4083" s="38"/>
      <c r="U4083" s="38"/>
      <c r="V4083" s="38"/>
      <c r="W4083" s="38"/>
      <c r="X4083" s="38"/>
      <c r="Y4083" s="38"/>
      <c r="Z4083" s="38"/>
      <c r="AA4083" s="38"/>
      <c r="AB4083" s="38"/>
      <c r="AC4083" s="38"/>
      <c r="AD4083" s="38"/>
      <c r="AE4083" s="38"/>
      <c r="AF4083" s="38"/>
      <c r="AG4083" s="38"/>
      <c r="AH4083" s="38"/>
    </row>
    <row r="4084" spans="3:34" ht="20.100000000000001" customHeight="1">
      <c r="C4084" s="113"/>
      <c r="D4084" s="114"/>
      <c r="P4084" s="82"/>
      <c r="Q4084" s="82"/>
      <c r="R4084" s="38"/>
      <c r="S4084" s="38"/>
      <c r="T4084" s="38"/>
      <c r="U4084" s="38"/>
      <c r="V4084" s="38"/>
      <c r="W4084" s="38"/>
      <c r="X4084" s="38"/>
      <c r="Y4084" s="38"/>
      <c r="Z4084" s="38"/>
      <c r="AA4084" s="38"/>
      <c r="AB4084" s="38"/>
      <c r="AC4084" s="38"/>
      <c r="AD4084" s="38"/>
      <c r="AE4084" s="38"/>
      <c r="AF4084" s="38"/>
      <c r="AG4084" s="38"/>
      <c r="AH4084" s="38"/>
    </row>
    <row r="4085" spans="3:34" ht="20.100000000000001" customHeight="1">
      <c r="C4085" s="113"/>
      <c r="D4085" s="114"/>
      <c r="P4085" s="82"/>
      <c r="Q4085" s="82"/>
      <c r="R4085" s="38"/>
      <c r="S4085" s="38"/>
      <c r="T4085" s="38"/>
      <c r="U4085" s="38"/>
      <c r="V4085" s="38"/>
      <c r="W4085" s="38"/>
      <c r="X4085" s="38"/>
      <c r="Y4085" s="38"/>
      <c r="Z4085" s="38"/>
      <c r="AA4085" s="38"/>
      <c r="AB4085" s="38"/>
      <c r="AC4085" s="38"/>
      <c r="AD4085" s="38"/>
      <c r="AE4085" s="38"/>
      <c r="AF4085" s="38"/>
      <c r="AG4085" s="38"/>
      <c r="AH4085" s="38"/>
    </row>
    <row r="4086" spans="3:34" ht="20.100000000000001" customHeight="1">
      <c r="C4086" s="113"/>
      <c r="D4086" s="114"/>
      <c r="P4086" s="82"/>
      <c r="Q4086" s="82"/>
      <c r="R4086" s="38"/>
      <c r="S4086" s="38"/>
      <c r="T4086" s="38"/>
      <c r="U4086" s="38"/>
      <c r="V4086" s="38"/>
      <c r="W4086" s="38"/>
      <c r="X4086" s="38"/>
      <c r="Y4086" s="38"/>
      <c r="Z4086" s="38"/>
      <c r="AA4086" s="38"/>
      <c r="AB4086" s="38"/>
      <c r="AC4086" s="38"/>
      <c r="AD4086" s="38"/>
      <c r="AE4086" s="38"/>
      <c r="AF4086" s="38"/>
      <c r="AG4086" s="38"/>
      <c r="AH4086" s="38"/>
    </row>
    <row r="4087" spans="3:34" ht="20.100000000000001" customHeight="1">
      <c r="C4087" s="113"/>
      <c r="D4087" s="114"/>
      <c r="P4087" s="82"/>
      <c r="Q4087" s="82"/>
      <c r="R4087" s="38"/>
      <c r="S4087" s="38"/>
      <c r="T4087" s="38"/>
      <c r="U4087" s="38"/>
      <c r="V4087" s="38"/>
      <c r="W4087" s="38"/>
      <c r="X4087" s="38"/>
      <c r="Y4087" s="38"/>
      <c r="Z4087" s="38"/>
      <c r="AA4087" s="38"/>
      <c r="AB4087" s="38"/>
      <c r="AC4087" s="38"/>
      <c r="AD4087" s="38"/>
      <c r="AE4087" s="38"/>
      <c r="AF4087" s="38"/>
      <c r="AG4087" s="38"/>
      <c r="AH4087" s="38"/>
    </row>
    <row r="4088" spans="3:34" ht="20.100000000000001" customHeight="1">
      <c r="C4088" s="113"/>
      <c r="D4088" s="114"/>
      <c r="P4088" s="82"/>
      <c r="Q4088" s="82"/>
      <c r="R4088" s="38"/>
      <c r="S4088" s="38"/>
      <c r="T4088" s="38"/>
      <c r="U4088" s="38"/>
      <c r="V4088" s="38"/>
      <c r="W4088" s="38"/>
      <c r="X4088" s="38"/>
      <c r="Y4088" s="38"/>
      <c r="Z4088" s="38"/>
      <c r="AA4088" s="38"/>
      <c r="AB4088" s="38"/>
      <c r="AC4088" s="38"/>
      <c r="AD4088" s="38"/>
      <c r="AE4088" s="38"/>
      <c r="AF4088" s="38"/>
      <c r="AG4088" s="38"/>
      <c r="AH4088" s="38"/>
    </row>
    <row r="4089" spans="3:34" ht="20.100000000000001" customHeight="1">
      <c r="C4089" s="113"/>
      <c r="D4089" s="114"/>
      <c r="P4089" s="82"/>
      <c r="Q4089" s="82"/>
      <c r="R4089" s="38"/>
      <c r="S4089" s="38"/>
      <c r="T4089" s="38"/>
      <c r="U4089" s="38"/>
      <c r="V4089" s="38"/>
      <c r="W4089" s="38"/>
      <c r="X4089" s="38"/>
      <c r="Y4089" s="38"/>
      <c r="Z4089" s="38"/>
      <c r="AA4089" s="38"/>
      <c r="AB4089" s="38"/>
      <c r="AC4089" s="38"/>
      <c r="AD4089" s="38"/>
      <c r="AE4089" s="38"/>
      <c r="AF4089" s="38"/>
      <c r="AG4089" s="38"/>
      <c r="AH4089" s="38"/>
    </row>
    <row r="4090" spans="3:34" ht="20.100000000000001" customHeight="1">
      <c r="C4090" s="113"/>
      <c r="D4090" s="114"/>
      <c r="P4090" s="82"/>
      <c r="Q4090" s="82"/>
      <c r="R4090" s="38"/>
      <c r="S4090" s="38"/>
      <c r="T4090" s="38"/>
      <c r="U4090" s="38"/>
      <c r="V4090" s="38"/>
      <c r="W4090" s="38"/>
      <c r="X4090" s="38"/>
      <c r="Y4090" s="38"/>
      <c r="Z4090" s="38"/>
      <c r="AA4090" s="38"/>
      <c r="AB4090" s="38"/>
      <c r="AC4090" s="38"/>
      <c r="AD4090" s="38"/>
      <c r="AE4090" s="38"/>
      <c r="AF4090" s="38"/>
      <c r="AG4090" s="38"/>
      <c r="AH4090" s="38"/>
    </row>
    <row r="4091" spans="3:34" ht="20.100000000000001" customHeight="1">
      <c r="C4091" s="113"/>
      <c r="D4091" s="114"/>
      <c r="P4091" s="82"/>
      <c r="Q4091" s="82"/>
      <c r="R4091" s="38"/>
      <c r="S4091" s="38"/>
      <c r="T4091" s="38"/>
      <c r="U4091" s="38"/>
      <c r="V4091" s="38"/>
      <c r="W4091" s="38"/>
      <c r="X4091" s="38"/>
      <c r="Y4091" s="38"/>
      <c r="Z4091" s="38"/>
      <c r="AA4091" s="38"/>
      <c r="AB4091" s="38"/>
      <c r="AC4091" s="38"/>
      <c r="AD4091" s="38"/>
      <c r="AE4091" s="38"/>
      <c r="AF4091" s="38"/>
      <c r="AG4091" s="38"/>
      <c r="AH4091" s="38"/>
    </row>
    <row r="4092" spans="3:34" ht="20.100000000000001" customHeight="1">
      <c r="C4092" s="113"/>
      <c r="D4092" s="114"/>
      <c r="P4092" s="82"/>
      <c r="Q4092" s="82"/>
      <c r="R4092" s="38"/>
      <c r="S4092" s="38"/>
      <c r="T4092" s="38"/>
      <c r="U4092" s="38"/>
      <c r="V4092" s="38"/>
      <c r="W4092" s="38"/>
      <c r="X4092" s="38"/>
      <c r="Y4092" s="38"/>
      <c r="Z4092" s="38"/>
      <c r="AA4092" s="38"/>
      <c r="AB4092" s="38"/>
      <c r="AC4092" s="38"/>
      <c r="AD4092" s="38"/>
      <c r="AE4092" s="38"/>
      <c r="AF4092" s="38"/>
      <c r="AG4092" s="38"/>
      <c r="AH4092" s="38"/>
    </row>
    <row r="4093" spans="3:34" ht="20.100000000000001" customHeight="1">
      <c r="C4093" s="113"/>
      <c r="D4093" s="114"/>
      <c r="P4093" s="82"/>
      <c r="Q4093" s="82"/>
      <c r="R4093" s="38"/>
      <c r="S4093" s="38"/>
      <c r="T4093" s="38"/>
      <c r="U4093" s="38"/>
      <c r="V4093" s="38"/>
      <c r="W4093" s="38"/>
      <c r="X4093" s="38"/>
      <c r="Y4093" s="38"/>
      <c r="Z4093" s="38"/>
      <c r="AA4093" s="38"/>
      <c r="AB4093" s="38"/>
      <c r="AC4093" s="38"/>
      <c r="AD4093" s="38"/>
      <c r="AE4093" s="38"/>
      <c r="AF4093" s="38"/>
      <c r="AG4093" s="38"/>
      <c r="AH4093" s="38"/>
    </row>
    <row r="4094" spans="3:34" ht="20.100000000000001" customHeight="1">
      <c r="C4094" s="113"/>
      <c r="D4094" s="114"/>
      <c r="P4094" s="82"/>
      <c r="Q4094" s="82"/>
      <c r="R4094" s="38"/>
      <c r="S4094" s="38"/>
      <c r="T4094" s="38"/>
      <c r="U4094" s="38"/>
      <c r="V4094" s="38"/>
      <c r="W4094" s="38"/>
      <c r="X4094" s="38"/>
      <c r="Y4094" s="38"/>
      <c r="Z4094" s="38"/>
      <c r="AA4094" s="38"/>
      <c r="AB4094" s="38"/>
      <c r="AC4094" s="38"/>
      <c r="AD4094" s="38"/>
      <c r="AE4094" s="38"/>
      <c r="AF4094" s="38"/>
      <c r="AG4094" s="38"/>
      <c r="AH4094" s="38"/>
    </row>
    <row r="4095" spans="3:34" ht="20.100000000000001" customHeight="1">
      <c r="C4095" s="113"/>
      <c r="D4095" s="114"/>
      <c r="P4095" s="82"/>
      <c r="Q4095" s="82"/>
      <c r="R4095" s="38"/>
      <c r="S4095" s="38"/>
      <c r="T4095" s="38"/>
      <c r="U4095" s="38"/>
      <c r="V4095" s="38"/>
      <c r="W4095" s="38"/>
      <c r="X4095" s="38"/>
      <c r="Y4095" s="38"/>
      <c r="Z4095" s="38"/>
      <c r="AA4095" s="38"/>
      <c r="AB4095" s="38"/>
      <c r="AC4095" s="38"/>
      <c r="AD4095" s="38"/>
      <c r="AE4095" s="38"/>
      <c r="AF4095" s="38"/>
      <c r="AG4095" s="38"/>
      <c r="AH4095" s="38"/>
    </row>
    <row r="4096" spans="3:34" ht="20.100000000000001" customHeight="1">
      <c r="C4096" s="113"/>
      <c r="D4096" s="114"/>
      <c r="P4096" s="82"/>
      <c r="Q4096" s="82"/>
      <c r="R4096" s="38"/>
      <c r="S4096" s="38"/>
      <c r="T4096" s="38"/>
      <c r="U4096" s="38"/>
      <c r="V4096" s="38"/>
      <c r="W4096" s="38"/>
      <c r="X4096" s="38"/>
      <c r="Y4096" s="38"/>
      <c r="Z4096" s="38"/>
      <c r="AA4096" s="38"/>
      <c r="AB4096" s="38"/>
      <c r="AC4096" s="38"/>
      <c r="AD4096" s="38"/>
      <c r="AE4096" s="38"/>
      <c r="AF4096" s="38"/>
      <c r="AG4096" s="38"/>
      <c r="AH4096" s="38"/>
    </row>
    <row r="4097" spans="3:34" ht="20.100000000000001" customHeight="1">
      <c r="C4097" s="113"/>
      <c r="D4097" s="114"/>
      <c r="P4097" s="82"/>
      <c r="Q4097" s="82"/>
      <c r="R4097" s="38"/>
      <c r="S4097" s="38"/>
      <c r="T4097" s="38"/>
      <c r="U4097" s="38"/>
      <c r="V4097" s="38"/>
      <c r="W4097" s="38"/>
      <c r="X4097" s="38"/>
      <c r="Y4097" s="38"/>
      <c r="Z4097" s="38"/>
      <c r="AA4097" s="38"/>
      <c r="AB4097" s="38"/>
      <c r="AC4097" s="38"/>
      <c r="AD4097" s="38"/>
      <c r="AE4097" s="38"/>
      <c r="AF4097" s="38"/>
      <c r="AG4097" s="38"/>
      <c r="AH4097" s="38"/>
    </row>
    <row r="4098" spans="3:34" ht="20.100000000000001" customHeight="1">
      <c r="C4098" s="113"/>
      <c r="D4098" s="114"/>
      <c r="P4098" s="82"/>
      <c r="Q4098" s="82"/>
      <c r="R4098" s="38"/>
      <c r="S4098" s="38"/>
      <c r="T4098" s="38"/>
      <c r="U4098" s="38"/>
      <c r="V4098" s="38"/>
      <c r="W4098" s="38"/>
      <c r="X4098" s="38"/>
      <c r="Y4098" s="38"/>
      <c r="Z4098" s="38"/>
      <c r="AA4098" s="38"/>
      <c r="AB4098" s="38"/>
      <c r="AC4098" s="38"/>
      <c r="AD4098" s="38"/>
      <c r="AE4098" s="38"/>
      <c r="AF4098" s="38"/>
      <c r="AG4098" s="38"/>
      <c r="AH4098" s="38"/>
    </row>
    <row r="4099" spans="3:34" ht="20.100000000000001" customHeight="1">
      <c r="C4099" s="113"/>
      <c r="D4099" s="114"/>
      <c r="P4099" s="82"/>
      <c r="Q4099" s="82"/>
      <c r="R4099" s="38"/>
      <c r="S4099" s="38"/>
      <c r="T4099" s="38"/>
      <c r="U4099" s="38"/>
      <c r="V4099" s="38"/>
      <c r="W4099" s="38"/>
      <c r="X4099" s="38"/>
      <c r="Y4099" s="38"/>
      <c r="Z4099" s="38"/>
      <c r="AA4099" s="38"/>
      <c r="AB4099" s="38"/>
      <c r="AC4099" s="38"/>
      <c r="AD4099" s="38"/>
      <c r="AE4099" s="38"/>
      <c r="AF4099" s="38"/>
      <c r="AG4099" s="38"/>
      <c r="AH4099" s="38"/>
    </row>
    <row r="4100" spans="3:34" ht="20.100000000000001" customHeight="1">
      <c r="C4100" s="113"/>
      <c r="D4100" s="114"/>
      <c r="P4100" s="82"/>
      <c r="Q4100" s="82"/>
      <c r="R4100" s="38"/>
      <c r="S4100" s="38"/>
      <c r="T4100" s="38"/>
      <c r="U4100" s="38"/>
      <c r="V4100" s="38"/>
      <c r="W4100" s="38"/>
      <c r="X4100" s="38"/>
      <c r="Y4100" s="38"/>
      <c r="Z4100" s="38"/>
      <c r="AA4100" s="38"/>
      <c r="AB4100" s="38"/>
      <c r="AC4100" s="38"/>
      <c r="AD4100" s="38"/>
      <c r="AE4100" s="38"/>
      <c r="AF4100" s="38"/>
      <c r="AG4100" s="38"/>
      <c r="AH4100" s="38"/>
    </row>
    <row r="4101" spans="3:34" ht="20.100000000000001" customHeight="1">
      <c r="C4101" s="113"/>
      <c r="D4101" s="114"/>
      <c r="P4101" s="82"/>
      <c r="Q4101" s="82"/>
      <c r="R4101" s="38"/>
      <c r="S4101" s="38"/>
      <c r="T4101" s="38"/>
      <c r="U4101" s="38"/>
      <c r="V4101" s="38"/>
      <c r="W4101" s="38"/>
      <c r="X4101" s="38"/>
      <c r="Y4101" s="38"/>
      <c r="Z4101" s="38"/>
      <c r="AA4101" s="38"/>
      <c r="AB4101" s="38"/>
      <c r="AC4101" s="38"/>
      <c r="AD4101" s="38"/>
      <c r="AE4101" s="38"/>
      <c r="AF4101" s="38"/>
      <c r="AG4101" s="38"/>
      <c r="AH4101" s="38"/>
    </row>
    <row r="4102" spans="3:34" ht="20.100000000000001" customHeight="1">
      <c r="C4102" s="113"/>
      <c r="D4102" s="114"/>
      <c r="P4102" s="82"/>
      <c r="Q4102" s="82"/>
      <c r="R4102" s="38"/>
      <c r="S4102" s="38"/>
      <c r="T4102" s="38"/>
      <c r="U4102" s="38"/>
      <c r="V4102" s="38"/>
      <c r="W4102" s="38"/>
      <c r="X4102" s="38"/>
      <c r="Y4102" s="38"/>
      <c r="Z4102" s="38"/>
      <c r="AA4102" s="38"/>
      <c r="AB4102" s="38"/>
      <c r="AC4102" s="38"/>
      <c r="AD4102" s="38"/>
      <c r="AE4102" s="38"/>
      <c r="AF4102" s="38"/>
      <c r="AG4102" s="38"/>
      <c r="AH4102" s="38"/>
    </row>
    <row r="4103" spans="3:34" ht="20.100000000000001" customHeight="1">
      <c r="C4103" s="113"/>
      <c r="D4103" s="114"/>
      <c r="P4103" s="82"/>
      <c r="Q4103" s="82"/>
      <c r="R4103" s="38"/>
      <c r="S4103" s="38"/>
      <c r="T4103" s="38"/>
      <c r="U4103" s="38"/>
      <c r="V4103" s="38"/>
      <c r="W4103" s="38"/>
      <c r="X4103" s="38"/>
      <c r="Y4103" s="38"/>
      <c r="Z4103" s="38"/>
      <c r="AA4103" s="38"/>
      <c r="AB4103" s="38"/>
      <c r="AC4103" s="38"/>
      <c r="AD4103" s="38"/>
      <c r="AE4103" s="38"/>
      <c r="AF4103" s="38"/>
      <c r="AG4103" s="38"/>
      <c r="AH4103" s="38"/>
    </row>
    <row r="4104" spans="3:34" ht="20.100000000000001" customHeight="1">
      <c r="C4104" s="113"/>
      <c r="D4104" s="114"/>
      <c r="P4104" s="82"/>
      <c r="Q4104" s="82"/>
      <c r="R4104" s="38"/>
      <c r="S4104" s="38"/>
      <c r="T4104" s="38"/>
      <c r="U4104" s="38"/>
      <c r="V4104" s="38"/>
      <c r="W4104" s="38"/>
      <c r="X4104" s="38"/>
      <c r="Y4104" s="38"/>
      <c r="Z4104" s="38"/>
      <c r="AA4104" s="38"/>
      <c r="AB4104" s="38"/>
      <c r="AC4104" s="38"/>
      <c r="AD4104" s="38"/>
      <c r="AE4104" s="38"/>
      <c r="AF4104" s="38"/>
      <c r="AG4104" s="38"/>
      <c r="AH4104" s="38"/>
    </row>
    <row r="4105" spans="3:34" ht="20.100000000000001" customHeight="1">
      <c r="C4105" s="113"/>
      <c r="D4105" s="114"/>
      <c r="P4105" s="82"/>
      <c r="Q4105" s="82"/>
      <c r="R4105" s="38"/>
      <c r="S4105" s="38"/>
      <c r="T4105" s="38"/>
      <c r="U4105" s="38"/>
      <c r="V4105" s="38"/>
      <c r="W4105" s="38"/>
      <c r="X4105" s="38"/>
      <c r="Y4105" s="38"/>
      <c r="Z4105" s="38"/>
      <c r="AA4105" s="38"/>
      <c r="AB4105" s="38"/>
      <c r="AC4105" s="38"/>
      <c r="AD4105" s="38"/>
      <c r="AE4105" s="38"/>
      <c r="AF4105" s="38"/>
      <c r="AG4105" s="38"/>
      <c r="AH4105" s="38"/>
    </row>
    <row r="4106" spans="3:34" ht="20.100000000000001" customHeight="1">
      <c r="C4106" s="113"/>
      <c r="D4106" s="114"/>
      <c r="P4106" s="82"/>
      <c r="Q4106" s="82"/>
      <c r="R4106" s="38"/>
      <c r="S4106" s="38"/>
      <c r="T4106" s="38"/>
      <c r="U4106" s="38"/>
      <c r="V4106" s="38"/>
      <c r="W4106" s="38"/>
      <c r="X4106" s="38"/>
      <c r="Y4106" s="38"/>
      <c r="Z4106" s="38"/>
      <c r="AA4106" s="38"/>
      <c r="AB4106" s="38"/>
      <c r="AC4106" s="38"/>
      <c r="AD4106" s="38"/>
      <c r="AE4106" s="38"/>
      <c r="AF4106" s="38"/>
      <c r="AG4106" s="38"/>
      <c r="AH4106" s="38"/>
    </row>
    <row r="4107" spans="3:34" ht="20.100000000000001" customHeight="1">
      <c r="C4107" s="113"/>
      <c r="D4107" s="114"/>
      <c r="P4107" s="82"/>
      <c r="Q4107" s="82"/>
      <c r="R4107" s="38"/>
      <c r="S4107" s="38"/>
      <c r="T4107" s="38"/>
      <c r="U4107" s="38"/>
      <c r="V4107" s="38"/>
      <c r="W4107" s="38"/>
      <c r="X4107" s="38"/>
      <c r="Y4107" s="38"/>
      <c r="Z4107" s="38"/>
      <c r="AA4107" s="38"/>
      <c r="AB4107" s="38"/>
      <c r="AC4107" s="38"/>
      <c r="AD4107" s="38"/>
      <c r="AE4107" s="38"/>
      <c r="AF4107" s="38"/>
      <c r="AG4107" s="38"/>
      <c r="AH4107" s="38"/>
    </row>
    <row r="4108" spans="3:34" ht="20.100000000000001" customHeight="1">
      <c r="C4108" s="113"/>
      <c r="D4108" s="114"/>
      <c r="P4108" s="82"/>
      <c r="Q4108" s="82"/>
      <c r="R4108" s="38"/>
      <c r="S4108" s="38"/>
      <c r="T4108" s="38"/>
      <c r="U4108" s="38"/>
      <c r="V4108" s="38"/>
      <c r="W4108" s="38"/>
      <c r="X4108" s="38"/>
      <c r="Y4108" s="38"/>
      <c r="Z4108" s="38"/>
      <c r="AA4108" s="38"/>
      <c r="AB4108" s="38"/>
      <c r="AC4108" s="38"/>
      <c r="AD4108" s="38"/>
      <c r="AE4108" s="38"/>
      <c r="AF4108" s="38"/>
      <c r="AG4108" s="38"/>
      <c r="AH4108" s="38"/>
    </row>
    <row r="4109" spans="3:34" ht="20.100000000000001" customHeight="1">
      <c r="C4109" s="113"/>
      <c r="D4109" s="114"/>
      <c r="P4109" s="82"/>
      <c r="Q4109" s="82"/>
      <c r="R4109" s="38"/>
      <c r="S4109" s="38"/>
      <c r="T4109" s="38"/>
      <c r="U4109" s="38"/>
      <c r="V4109" s="38"/>
      <c r="W4109" s="38"/>
      <c r="X4109" s="38"/>
      <c r="Y4109" s="38"/>
      <c r="Z4109" s="38"/>
      <c r="AA4109" s="38"/>
      <c r="AB4109" s="38"/>
      <c r="AC4109" s="38"/>
      <c r="AD4109" s="38"/>
      <c r="AE4109" s="38"/>
      <c r="AF4109" s="38"/>
      <c r="AG4109" s="38"/>
      <c r="AH4109" s="38"/>
    </row>
    <row r="4110" spans="3:34" ht="20.100000000000001" customHeight="1">
      <c r="C4110" s="113"/>
      <c r="D4110" s="114"/>
      <c r="P4110" s="82"/>
      <c r="Q4110" s="82"/>
      <c r="R4110" s="38"/>
      <c r="S4110" s="38"/>
      <c r="T4110" s="38"/>
      <c r="U4110" s="38"/>
      <c r="V4110" s="38"/>
      <c r="W4110" s="38"/>
      <c r="X4110" s="38"/>
      <c r="Y4110" s="38"/>
      <c r="Z4110" s="38"/>
      <c r="AA4110" s="38"/>
      <c r="AB4110" s="38"/>
      <c r="AC4110" s="38"/>
      <c r="AD4110" s="38"/>
      <c r="AE4110" s="38"/>
      <c r="AF4110" s="38"/>
      <c r="AG4110" s="38"/>
      <c r="AH4110" s="38"/>
    </row>
    <row r="4111" spans="3:34" ht="20.100000000000001" customHeight="1">
      <c r="C4111" s="113"/>
      <c r="D4111" s="114"/>
      <c r="P4111" s="82"/>
      <c r="Q4111" s="82"/>
      <c r="R4111" s="38"/>
      <c r="S4111" s="38"/>
      <c r="T4111" s="38"/>
      <c r="U4111" s="38"/>
      <c r="V4111" s="38"/>
      <c r="W4111" s="38"/>
      <c r="X4111" s="38"/>
      <c r="Y4111" s="38"/>
      <c r="Z4111" s="38"/>
      <c r="AA4111" s="38"/>
      <c r="AB4111" s="38"/>
      <c r="AC4111" s="38"/>
      <c r="AD4111" s="38"/>
      <c r="AE4111" s="38"/>
      <c r="AF4111" s="38"/>
      <c r="AG4111" s="38"/>
      <c r="AH4111" s="38"/>
    </row>
    <row r="4112" spans="3:34" ht="20.100000000000001" customHeight="1">
      <c r="C4112" s="113"/>
      <c r="D4112" s="114"/>
      <c r="P4112" s="82"/>
      <c r="Q4112" s="82"/>
      <c r="R4112" s="38"/>
      <c r="S4112" s="38"/>
      <c r="T4112" s="38"/>
      <c r="U4112" s="38"/>
      <c r="V4112" s="38"/>
      <c r="W4112" s="38"/>
      <c r="X4112" s="38"/>
      <c r="Y4112" s="38"/>
      <c r="Z4112" s="38"/>
      <c r="AA4112" s="38"/>
      <c r="AB4112" s="38"/>
      <c r="AC4112" s="38"/>
      <c r="AD4112" s="38"/>
      <c r="AE4112" s="38"/>
      <c r="AF4112" s="38"/>
      <c r="AG4112" s="38"/>
      <c r="AH4112" s="38"/>
    </row>
    <row r="4113" spans="3:34" ht="20.100000000000001" customHeight="1">
      <c r="C4113" s="113"/>
      <c r="D4113" s="114"/>
      <c r="P4113" s="82"/>
      <c r="Q4113" s="82"/>
      <c r="R4113" s="38"/>
      <c r="S4113" s="38"/>
      <c r="T4113" s="38"/>
      <c r="U4113" s="38"/>
      <c r="V4113" s="38"/>
      <c r="W4113" s="38"/>
      <c r="X4113" s="38"/>
      <c r="Y4113" s="38"/>
      <c r="Z4113" s="38"/>
      <c r="AA4113" s="38"/>
      <c r="AB4113" s="38"/>
      <c r="AC4113" s="38"/>
      <c r="AD4113" s="38"/>
      <c r="AE4113" s="38"/>
      <c r="AF4113" s="38"/>
      <c r="AG4113" s="38"/>
      <c r="AH4113" s="38"/>
    </row>
    <row r="4114" spans="3:34" ht="20.100000000000001" customHeight="1">
      <c r="C4114" s="113"/>
      <c r="D4114" s="114"/>
      <c r="P4114" s="82"/>
      <c r="Q4114" s="82"/>
      <c r="R4114" s="38"/>
      <c r="S4114" s="38"/>
      <c r="T4114" s="38"/>
      <c r="U4114" s="38"/>
      <c r="V4114" s="38"/>
      <c r="W4114" s="38"/>
      <c r="X4114" s="38"/>
      <c r="Y4114" s="38"/>
      <c r="Z4114" s="38"/>
      <c r="AA4114" s="38"/>
      <c r="AB4114" s="38"/>
      <c r="AC4114" s="38"/>
      <c r="AD4114" s="38"/>
      <c r="AE4114" s="38"/>
      <c r="AF4114" s="38"/>
      <c r="AG4114" s="38"/>
      <c r="AH4114" s="38"/>
    </row>
    <row r="4115" spans="3:34" ht="20.100000000000001" customHeight="1">
      <c r="C4115" s="113"/>
      <c r="D4115" s="114"/>
      <c r="P4115" s="82"/>
      <c r="Q4115" s="82"/>
      <c r="R4115" s="38"/>
      <c r="S4115" s="38"/>
      <c r="T4115" s="38"/>
      <c r="U4115" s="38"/>
      <c r="V4115" s="38"/>
      <c r="W4115" s="38"/>
      <c r="X4115" s="38"/>
      <c r="Y4115" s="38"/>
      <c r="Z4115" s="38"/>
      <c r="AA4115" s="38"/>
      <c r="AB4115" s="38"/>
      <c r="AC4115" s="38"/>
      <c r="AD4115" s="38"/>
      <c r="AE4115" s="38"/>
      <c r="AF4115" s="38"/>
      <c r="AG4115" s="38"/>
      <c r="AH4115" s="38"/>
    </row>
    <row r="4116" spans="3:34" ht="20.100000000000001" customHeight="1">
      <c r="C4116" s="113"/>
      <c r="D4116" s="114"/>
      <c r="P4116" s="82"/>
      <c r="Q4116" s="82"/>
      <c r="R4116" s="38"/>
      <c r="S4116" s="38"/>
      <c r="T4116" s="38"/>
      <c r="U4116" s="38"/>
      <c r="V4116" s="38"/>
      <c r="W4116" s="38"/>
      <c r="X4116" s="38"/>
      <c r="Y4116" s="38"/>
      <c r="Z4116" s="38"/>
      <c r="AA4116" s="38"/>
      <c r="AB4116" s="38"/>
      <c r="AC4116" s="38"/>
      <c r="AD4116" s="38"/>
      <c r="AE4116" s="38"/>
      <c r="AF4116" s="38"/>
      <c r="AG4116" s="38"/>
      <c r="AH4116" s="38"/>
    </row>
    <row r="4117" spans="3:34" ht="20.100000000000001" customHeight="1">
      <c r="C4117" s="113"/>
      <c r="D4117" s="114"/>
      <c r="P4117" s="82"/>
      <c r="Q4117" s="82"/>
      <c r="R4117" s="38"/>
      <c r="S4117" s="38"/>
      <c r="T4117" s="38"/>
      <c r="U4117" s="38"/>
      <c r="V4117" s="38"/>
      <c r="W4117" s="38"/>
      <c r="X4117" s="38"/>
      <c r="Y4117" s="38"/>
      <c r="Z4117" s="38"/>
      <c r="AA4117" s="38"/>
      <c r="AB4117" s="38"/>
      <c r="AC4117" s="38"/>
      <c r="AD4117" s="38"/>
      <c r="AE4117" s="38"/>
      <c r="AF4117" s="38"/>
      <c r="AG4117" s="38"/>
      <c r="AH4117" s="38"/>
    </row>
    <row r="4118" spans="3:34" ht="20.100000000000001" customHeight="1">
      <c r="C4118" s="113"/>
      <c r="D4118" s="114"/>
      <c r="P4118" s="82"/>
      <c r="Q4118" s="82"/>
      <c r="R4118" s="38"/>
      <c r="S4118" s="38"/>
      <c r="T4118" s="38"/>
      <c r="U4118" s="38"/>
      <c r="V4118" s="38"/>
      <c r="W4118" s="38"/>
      <c r="X4118" s="38"/>
      <c r="Y4118" s="38"/>
      <c r="Z4118" s="38"/>
      <c r="AA4118" s="38"/>
      <c r="AB4118" s="38"/>
      <c r="AC4118" s="38"/>
      <c r="AD4118" s="38"/>
      <c r="AE4118" s="38"/>
      <c r="AF4118" s="38"/>
      <c r="AG4118" s="38"/>
      <c r="AH4118" s="38"/>
    </row>
    <row r="4119" spans="3:34" ht="20.100000000000001" customHeight="1">
      <c r="C4119" s="113"/>
      <c r="D4119" s="114"/>
      <c r="P4119" s="82"/>
      <c r="Q4119" s="82"/>
      <c r="R4119" s="38"/>
      <c r="S4119" s="38"/>
      <c r="T4119" s="38"/>
      <c r="U4119" s="38"/>
      <c r="V4119" s="38"/>
      <c r="W4119" s="38"/>
      <c r="X4119" s="38"/>
      <c r="Y4119" s="38"/>
      <c r="Z4119" s="38"/>
      <c r="AA4119" s="38"/>
      <c r="AB4119" s="38"/>
      <c r="AC4119" s="38"/>
      <c r="AD4119" s="38"/>
      <c r="AE4119" s="38"/>
      <c r="AF4119" s="38"/>
      <c r="AG4119" s="38"/>
      <c r="AH4119" s="38"/>
    </row>
    <row r="4120" spans="3:34" ht="20.100000000000001" customHeight="1">
      <c r="C4120" s="113"/>
      <c r="D4120" s="114"/>
      <c r="P4120" s="82"/>
      <c r="Q4120" s="82"/>
      <c r="R4120" s="38"/>
      <c r="S4120" s="38"/>
      <c r="T4120" s="38"/>
      <c r="U4120" s="38"/>
      <c r="V4120" s="38"/>
      <c r="W4120" s="38"/>
      <c r="X4120" s="38"/>
      <c r="Y4120" s="38"/>
      <c r="Z4120" s="38"/>
      <c r="AA4120" s="38"/>
      <c r="AB4120" s="38"/>
      <c r="AC4120" s="38"/>
      <c r="AD4120" s="38"/>
      <c r="AE4120" s="38"/>
      <c r="AF4120" s="38"/>
      <c r="AG4120" s="38"/>
      <c r="AH4120" s="38"/>
    </row>
    <row r="4121" spans="3:34" ht="20.100000000000001" customHeight="1">
      <c r="C4121" s="113"/>
      <c r="D4121" s="114"/>
      <c r="P4121" s="82"/>
      <c r="Q4121" s="82"/>
      <c r="R4121" s="38"/>
      <c r="S4121" s="38"/>
      <c r="T4121" s="38"/>
      <c r="U4121" s="38"/>
      <c r="V4121" s="38"/>
      <c r="W4121" s="38"/>
      <c r="X4121" s="38"/>
      <c r="Y4121" s="38"/>
      <c r="Z4121" s="38"/>
      <c r="AA4121" s="38"/>
      <c r="AB4121" s="38"/>
      <c r="AC4121" s="38"/>
      <c r="AD4121" s="38"/>
      <c r="AE4121" s="38"/>
      <c r="AF4121" s="38"/>
      <c r="AG4121" s="38"/>
      <c r="AH4121" s="38"/>
    </row>
    <row r="4122" spans="3:34" ht="20.100000000000001" customHeight="1">
      <c r="C4122" s="113"/>
      <c r="D4122" s="114"/>
      <c r="P4122" s="82"/>
      <c r="Q4122" s="82"/>
      <c r="R4122" s="38"/>
      <c r="S4122" s="38"/>
      <c r="T4122" s="38"/>
      <c r="U4122" s="38"/>
      <c r="V4122" s="38"/>
      <c r="W4122" s="38"/>
      <c r="X4122" s="38"/>
      <c r="Y4122" s="38"/>
      <c r="Z4122" s="38"/>
      <c r="AA4122" s="38"/>
      <c r="AB4122" s="38"/>
      <c r="AC4122" s="38"/>
      <c r="AD4122" s="38"/>
      <c r="AE4122" s="38"/>
      <c r="AF4122" s="38"/>
      <c r="AG4122" s="38"/>
      <c r="AH4122" s="38"/>
    </row>
    <row r="4123" spans="3:34" ht="20.100000000000001" customHeight="1">
      <c r="C4123" s="113"/>
      <c r="D4123" s="114"/>
      <c r="P4123" s="82"/>
      <c r="Q4123" s="82"/>
      <c r="R4123" s="38"/>
      <c r="S4123" s="38"/>
      <c r="T4123" s="38"/>
      <c r="U4123" s="38"/>
      <c r="V4123" s="38"/>
      <c r="W4123" s="38"/>
      <c r="X4123" s="38"/>
      <c r="Y4123" s="38"/>
      <c r="Z4123" s="38"/>
      <c r="AA4123" s="38"/>
      <c r="AB4123" s="38"/>
      <c r="AC4123" s="38"/>
      <c r="AD4123" s="38"/>
      <c r="AE4123" s="38"/>
      <c r="AF4123" s="38"/>
      <c r="AG4123" s="38"/>
      <c r="AH4123" s="38"/>
    </row>
    <row r="4124" spans="3:34" ht="20.100000000000001" customHeight="1">
      <c r="C4124" s="113"/>
      <c r="D4124" s="114"/>
      <c r="P4124" s="82"/>
      <c r="Q4124" s="82"/>
      <c r="R4124" s="38"/>
      <c r="S4124" s="38"/>
      <c r="T4124" s="38"/>
      <c r="U4124" s="38"/>
      <c r="V4124" s="38"/>
      <c r="W4124" s="38"/>
      <c r="X4124" s="38"/>
      <c r="Y4124" s="38"/>
      <c r="Z4124" s="38"/>
      <c r="AA4124" s="38"/>
      <c r="AB4124" s="38"/>
      <c r="AC4124" s="38"/>
      <c r="AD4124" s="38"/>
      <c r="AE4124" s="38"/>
      <c r="AF4124" s="38"/>
      <c r="AG4124" s="38"/>
      <c r="AH4124" s="38"/>
    </row>
    <row r="4125" spans="3:34" ht="20.100000000000001" customHeight="1">
      <c r="C4125" s="113"/>
      <c r="D4125" s="114"/>
      <c r="P4125" s="82"/>
      <c r="Q4125" s="82"/>
      <c r="R4125" s="38"/>
      <c r="S4125" s="38"/>
      <c r="T4125" s="38"/>
      <c r="U4125" s="38"/>
      <c r="V4125" s="38"/>
      <c r="W4125" s="38"/>
      <c r="X4125" s="38"/>
      <c r="Y4125" s="38"/>
      <c r="Z4125" s="38"/>
      <c r="AA4125" s="38"/>
      <c r="AB4125" s="38"/>
      <c r="AC4125" s="38"/>
      <c r="AD4125" s="38"/>
      <c r="AE4125" s="38"/>
      <c r="AF4125" s="38"/>
      <c r="AG4125" s="38"/>
      <c r="AH4125" s="38"/>
    </row>
    <row r="4126" spans="3:34" ht="20.100000000000001" customHeight="1">
      <c r="C4126" s="113"/>
      <c r="D4126" s="114"/>
      <c r="P4126" s="82"/>
      <c r="Q4126" s="82"/>
      <c r="R4126" s="38"/>
      <c r="S4126" s="38"/>
      <c r="T4126" s="38"/>
      <c r="U4126" s="38"/>
      <c r="V4126" s="38"/>
      <c r="W4126" s="38"/>
      <c r="X4126" s="38"/>
      <c r="Y4126" s="38"/>
      <c r="Z4126" s="38"/>
      <c r="AA4126" s="38"/>
      <c r="AB4126" s="38"/>
      <c r="AC4126" s="38"/>
      <c r="AD4126" s="38"/>
      <c r="AE4126" s="38"/>
      <c r="AF4126" s="38"/>
      <c r="AG4126" s="38"/>
      <c r="AH4126" s="38"/>
    </row>
    <row r="4127" spans="3:34" ht="20.100000000000001" customHeight="1">
      <c r="C4127" s="113"/>
      <c r="D4127" s="114"/>
      <c r="P4127" s="82"/>
      <c r="Q4127" s="82"/>
      <c r="R4127" s="38"/>
      <c r="S4127" s="38"/>
      <c r="T4127" s="38"/>
      <c r="U4127" s="38"/>
      <c r="V4127" s="38"/>
      <c r="W4127" s="38"/>
      <c r="X4127" s="38"/>
      <c r="Y4127" s="38"/>
      <c r="Z4127" s="38"/>
      <c r="AA4127" s="38"/>
      <c r="AB4127" s="38"/>
      <c r="AC4127" s="38"/>
      <c r="AD4127" s="38"/>
      <c r="AE4127" s="38"/>
      <c r="AF4127" s="38"/>
      <c r="AG4127" s="38"/>
      <c r="AH4127" s="38"/>
    </row>
    <row r="4128" spans="3:34" ht="20.100000000000001" customHeight="1">
      <c r="C4128" s="113"/>
      <c r="D4128" s="114"/>
      <c r="P4128" s="82"/>
      <c r="Q4128" s="82"/>
      <c r="R4128" s="38"/>
      <c r="S4128" s="38"/>
      <c r="T4128" s="38"/>
      <c r="U4128" s="38"/>
      <c r="V4128" s="38"/>
      <c r="W4128" s="38"/>
      <c r="X4128" s="38"/>
      <c r="Y4128" s="38"/>
      <c r="Z4128" s="38"/>
      <c r="AA4128" s="38"/>
      <c r="AB4128" s="38"/>
      <c r="AC4128" s="38"/>
      <c r="AD4128" s="38"/>
      <c r="AE4128" s="38"/>
      <c r="AF4128" s="38"/>
      <c r="AG4128" s="38"/>
      <c r="AH4128" s="38"/>
    </row>
    <row r="4129" spans="3:34" ht="20.100000000000001" customHeight="1">
      <c r="C4129" s="113"/>
      <c r="D4129" s="114"/>
      <c r="P4129" s="82"/>
      <c r="Q4129" s="82"/>
      <c r="R4129" s="38"/>
      <c r="S4129" s="38"/>
      <c r="T4129" s="38"/>
      <c r="U4129" s="38"/>
      <c r="V4129" s="38"/>
      <c r="W4129" s="38"/>
      <c r="X4129" s="38"/>
      <c r="Y4129" s="38"/>
      <c r="Z4129" s="38"/>
      <c r="AA4129" s="38"/>
      <c r="AB4129" s="38"/>
      <c r="AC4129" s="38"/>
      <c r="AD4129" s="38"/>
      <c r="AE4129" s="38"/>
      <c r="AF4129" s="38"/>
      <c r="AG4129" s="38"/>
      <c r="AH4129" s="38"/>
    </row>
    <row r="4130" spans="3:34" ht="20.100000000000001" customHeight="1">
      <c r="C4130" s="113"/>
      <c r="D4130" s="114"/>
      <c r="P4130" s="82"/>
      <c r="Q4130" s="82"/>
      <c r="R4130" s="38"/>
      <c r="S4130" s="38"/>
      <c r="T4130" s="38"/>
      <c r="U4130" s="38"/>
      <c r="V4130" s="38"/>
      <c r="W4130" s="38"/>
      <c r="X4130" s="38"/>
      <c r="Y4130" s="38"/>
      <c r="Z4130" s="38"/>
      <c r="AA4130" s="38"/>
      <c r="AB4130" s="38"/>
      <c r="AC4130" s="38"/>
      <c r="AD4130" s="38"/>
      <c r="AE4130" s="38"/>
      <c r="AF4130" s="38"/>
      <c r="AG4130" s="38"/>
      <c r="AH4130" s="38"/>
    </row>
    <row r="4131" spans="3:34" ht="20.100000000000001" customHeight="1">
      <c r="C4131" s="113"/>
      <c r="D4131" s="114"/>
      <c r="P4131" s="82"/>
      <c r="Q4131" s="82"/>
      <c r="R4131" s="38"/>
      <c r="S4131" s="38"/>
      <c r="T4131" s="38"/>
      <c r="U4131" s="38"/>
      <c r="V4131" s="38"/>
      <c r="W4131" s="38"/>
      <c r="X4131" s="38"/>
      <c r="Y4131" s="38"/>
      <c r="Z4131" s="38"/>
      <c r="AA4131" s="38"/>
      <c r="AB4131" s="38"/>
      <c r="AC4131" s="38"/>
      <c r="AD4131" s="38"/>
      <c r="AE4131" s="38"/>
      <c r="AF4131" s="38"/>
      <c r="AG4131" s="38"/>
      <c r="AH4131" s="38"/>
    </row>
    <row r="4132" spans="3:34" ht="20.100000000000001" customHeight="1">
      <c r="C4132" s="113"/>
      <c r="D4132" s="114"/>
      <c r="P4132" s="82"/>
      <c r="Q4132" s="82"/>
      <c r="R4132" s="38"/>
      <c r="S4132" s="38"/>
      <c r="T4132" s="38"/>
      <c r="U4132" s="38"/>
      <c r="V4132" s="38"/>
      <c r="W4132" s="38"/>
      <c r="X4132" s="38"/>
      <c r="Y4132" s="38"/>
      <c r="Z4132" s="38"/>
      <c r="AA4132" s="38"/>
      <c r="AB4132" s="38"/>
      <c r="AC4132" s="38"/>
      <c r="AD4132" s="38"/>
      <c r="AE4132" s="38"/>
      <c r="AF4132" s="38"/>
      <c r="AG4132" s="38"/>
      <c r="AH4132" s="38"/>
    </row>
    <row r="4133" spans="3:34" ht="20.100000000000001" customHeight="1">
      <c r="C4133" s="113"/>
      <c r="D4133" s="114"/>
      <c r="P4133" s="82"/>
      <c r="Q4133" s="82"/>
      <c r="R4133" s="38"/>
      <c r="S4133" s="38"/>
      <c r="T4133" s="38"/>
      <c r="U4133" s="38"/>
      <c r="V4133" s="38"/>
      <c r="W4133" s="38"/>
      <c r="X4133" s="38"/>
      <c r="Y4133" s="38"/>
      <c r="Z4133" s="38"/>
      <c r="AA4133" s="38"/>
      <c r="AB4133" s="38"/>
      <c r="AC4133" s="38"/>
      <c r="AD4133" s="38"/>
      <c r="AE4133" s="38"/>
      <c r="AF4133" s="38"/>
      <c r="AG4133" s="38"/>
      <c r="AH4133" s="38"/>
    </row>
    <row r="4134" spans="3:34" ht="20.100000000000001" customHeight="1">
      <c r="C4134" s="113"/>
      <c r="D4134" s="114"/>
      <c r="P4134" s="82"/>
      <c r="Q4134" s="82"/>
      <c r="R4134" s="38"/>
      <c r="S4134" s="38"/>
      <c r="T4134" s="38"/>
      <c r="U4134" s="38"/>
      <c r="V4134" s="38"/>
      <c r="W4134" s="38"/>
      <c r="X4134" s="38"/>
      <c r="Y4134" s="38"/>
      <c r="Z4134" s="38"/>
      <c r="AA4134" s="38"/>
      <c r="AB4134" s="38"/>
      <c r="AC4134" s="38"/>
      <c r="AD4134" s="38"/>
      <c r="AE4134" s="38"/>
      <c r="AF4134" s="38"/>
      <c r="AG4134" s="38"/>
      <c r="AH4134" s="38"/>
    </row>
    <row r="4135" spans="3:34" ht="20.100000000000001" customHeight="1">
      <c r="C4135" s="113"/>
      <c r="D4135" s="114"/>
      <c r="P4135" s="82"/>
      <c r="Q4135" s="82"/>
      <c r="R4135" s="38"/>
      <c r="S4135" s="38"/>
      <c r="T4135" s="38"/>
      <c r="U4135" s="38"/>
      <c r="V4135" s="38"/>
      <c r="W4135" s="38"/>
      <c r="X4135" s="38"/>
      <c r="Y4135" s="38"/>
      <c r="Z4135" s="38"/>
      <c r="AA4135" s="38"/>
      <c r="AB4135" s="38"/>
      <c r="AC4135" s="38"/>
      <c r="AD4135" s="38"/>
      <c r="AE4135" s="38"/>
      <c r="AF4135" s="38"/>
      <c r="AG4135" s="38"/>
      <c r="AH4135" s="38"/>
    </row>
    <row r="4136" spans="3:34" ht="20.100000000000001" customHeight="1">
      <c r="C4136" s="113"/>
      <c r="D4136" s="114"/>
      <c r="P4136" s="82"/>
      <c r="Q4136" s="82"/>
      <c r="R4136" s="38"/>
      <c r="S4136" s="38"/>
      <c r="T4136" s="38"/>
      <c r="U4136" s="38"/>
      <c r="V4136" s="38"/>
      <c r="W4136" s="38"/>
      <c r="X4136" s="38"/>
      <c r="Y4136" s="38"/>
      <c r="Z4136" s="38"/>
      <c r="AA4136" s="38"/>
      <c r="AB4136" s="38"/>
      <c r="AC4136" s="38"/>
      <c r="AD4136" s="38"/>
      <c r="AE4136" s="38"/>
      <c r="AF4136" s="38"/>
      <c r="AG4136" s="38"/>
      <c r="AH4136" s="38"/>
    </row>
    <row r="4137" spans="3:34" ht="20.100000000000001" customHeight="1">
      <c r="C4137" s="113"/>
      <c r="D4137" s="114"/>
      <c r="P4137" s="82"/>
      <c r="Q4137" s="82"/>
      <c r="R4137" s="38"/>
      <c r="S4137" s="38"/>
      <c r="T4137" s="38"/>
      <c r="U4137" s="38"/>
      <c r="V4137" s="38"/>
      <c r="W4137" s="38"/>
      <c r="X4137" s="38"/>
      <c r="Y4137" s="38"/>
      <c r="Z4137" s="38"/>
      <c r="AA4137" s="38"/>
      <c r="AB4137" s="38"/>
      <c r="AC4137" s="38"/>
      <c r="AD4137" s="38"/>
      <c r="AE4137" s="38"/>
      <c r="AF4137" s="38"/>
      <c r="AG4137" s="38"/>
      <c r="AH4137" s="38"/>
    </row>
    <row r="4138" spans="3:34" ht="20.100000000000001" customHeight="1">
      <c r="C4138" s="113"/>
      <c r="D4138" s="114"/>
      <c r="P4138" s="82"/>
      <c r="Q4138" s="82"/>
      <c r="R4138" s="38"/>
      <c r="S4138" s="38"/>
      <c r="T4138" s="38"/>
      <c r="U4138" s="38"/>
      <c r="V4138" s="38"/>
      <c r="W4138" s="38"/>
      <c r="X4138" s="38"/>
      <c r="Y4138" s="38"/>
      <c r="Z4138" s="38"/>
      <c r="AA4138" s="38"/>
      <c r="AB4138" s="38"/>
      <c r="AC4138" s="38"/>
      <c r="AD4138" s="38"/>
      <c r="AE4138" s="38"/>
      <c r="AF4138" s="38"/>
      <c r="AG4138" s="38"/>
      <c r="AH4138" s="38"/>
    </row>
    <row r="4139" spans="3:34" ht="20.100000000000001" customHeight="1">
      <c r="C4139" s="113"/>
      <c r="D4139" s="114"/>
      <c r="P4139" s="82"/>
      <c r="Q4139" s="82"/>
      <c r="R4139" s="38"/>
      <c r="S4139" s="38"/>
      <c r="T4139" s="38"/>
      <c r="U4139" s="38"/>
      <c r="V4139" s="38"/>
      <c r="W4139" s="38"/>
      <c r="X4139" s="38"/>
      <c r="Y4139" s="38"/>
      <c r="Z4139" s="38"/>
      <c r="AA4139" s="38"/>
      <c r="AB4139" s="38"/>
      <c r="AC4139" s="38"/>
      <c r="AD4139" s="38"/>
      <c r="AE4139" s="38"/>
      <c r="AF4139" s="38"/>
      <c r="AG4139" s="38"/>
      <c r="AH4139" s="38"/>
    </row>
    <row r="4140" spans="3:34" ht="20.100000000000001" customHeight="1">
      <c r="C4140" s="113"/>
      <c r="D4140" s="114"/>
      <c r="P4140" s="82"/>
      <c r="Q4140" s="82"/>
      <c r="R4140" s="38"/>
      <c r="S4140" s="38"/>
      <c r="T4140" s="38"/>
      <c r="U4140" s="38"/>
      <c r="V4140" s="38"/>
      <c r="W4140" s="38"/>
      <c r="X4140" s="38"/>
      <c r="Y4140" s="38"/>
      <c r="Z4140" s="38"/>
      <c r="AA4140" s="38"/>
      <c r="AB4140" s="38"/>
      <c r="AC4140" s="38"/>
      <c r="AD4140" s="38"/>
      <c r="AE4140" s="38"/>
      <c r="AF4140" s="38"/>
      <c r="AG4140" s="38"/>
      <c r="AH4140" s="38"/>
    </row>
    <row r="4141" spans="3:34" ht="20.100000000000001" customHeight="1">
      <c r="C4141" s="113"/>
      <c r="D4141" s="114"/>
      <c r="P4141" s="82"/>
      <c r="Q4141" s="82"/>
      <c r="R4141" s="38"/>
      <c r="S4141" s="38"/>
      <c r="T4141" s="38"/>
      <c r="U4141" s="38"/>
      <c r="V4141" s="38"/>
      <c r="W4141" s="38"/>
      <c r="X4141" s="38"/>
      <c r="Y4141" s="38"/>
      <c r="Z4141" s="38"/>
      <c r="AA4141" s="38"/>
      <c r="AB4141" s="38"/>
      <c r="AC4141" s="38"/>
      <c r="AD4141" s="38"/>
      <c r="AE4141" s="38"/>
      <c r="AF4141" s="38"/>
      <c r="AG4141" s="38"/>
      <c r="AH4141" s="38"/>
    </row>
    <row r="4142" spans="3:34" ht="20.100000000000001" customHeight="1">
      <c r="C4142" s="113"/>
      <c r="D4142" s="114"/>
      <c r="P4142" s="82"/>
      <c r="Q4142" s="82"/>
      <c r="R4142" s="38"/>
      <c r="S4142" s="38"/>
      <c r="T4142" s="38"/>
      <c r="U4142" s="38"/>
      <c r="V4142" s="38"/>
      <c r="W4142" s="38"/>
      <c r="X4142" s="38"/>
      <c r="Y4142" s="38"/>
      <c r="Z4142" s="38"/>
      <c r="AA4142" s="38"/>
      <c r="AB4142" s="38"/>
      <c r="AC4142" s="38"/>
      <c r="AD4142" s="38"/>
      <c r="AE4142" s="38"/>
      <c r="AF4142" s="38"/>
      <c r="AG4142" s="38"/>
      <c r="AH4142" s="38"/>
    </row>
    <row r="4143" spans="3:34" ht="20.100000000000001" customHeight="1">
      <c r="C4143" s="113"/>
      <c r="D4143" s="114"/>
      <c r="P4143" s="82"/>
      <c r="Q4143" s="82"/>
      <c r="R4143" s="38"/>
      <c r="S4143" s="38"/>
      <c r="T4143" s="38"/>
      <c r="U4143" s="38"/>
      <c r="V4143" s="38"/>
      <c r="W4143" s="38"/>
      <c r="X4143" s="38"/>
      <c r="Y4143" s="38"/>
      <c r="Z4143" s="38"/>
      <c r="AA4143" s="38"/>
      <c r="AB4143" s="38"/>
      <c r="AC4143" s="38"/>
      <c r="AD4143" s="38"/>
      <c r="AE4143" s="38"/>
      <c r="AF4143" s="38"/>
      <c r="AG4143" s="38"/>
      <c r="AH4143" s="38"/>
    </row>
    <row r="4144" spans="3:34" ht="20.100000000000001" customHeight="1">
      <c r="C4144" s="113"/>
      <c r="D4144" s="114"/>
      <c r="P4144" s="82"/>
      <c r="Q4144" s="82"/>
      <c r="R4144" s="38"/>
      <c r="S4144" s="38"/>
      <c r="T4144" s="38"/>
      <c r="U4144" s="38"/>
      <c r="V4144" s="38"/>
      <c r="W4144" s="38"/>
      <c r="X4144" s="38"/>
      <c r="Y4144" s="38"/>
      <c r="Z4144" s="38"/>
      <c r="AA4144" s="38"/>
      <c r="AB4144" s="38"/>
      <c r="AC4144" s="38"/>
      <c r="AD4144" s="38"/>
      <c r="AE4144" s="38"/>
      <c r="AF4144" s="38"/>
      <c r="AG4144" s="38"/>
      <c r="AH4144" s="38"/>
    </row>
    <row r="4145" spans="3:34" ht="20.100000000000001" customHeight="1">
      <c r="C4145" s="113"/>
      <c r="D4145" s="114"/>
      <c r="P4145" s="82"/>
      <c r="Q4145" s="82"/>
      <c r="R4145" s="38"/>
      <c r="S4145" s="38"/>
      <c r="T4145" s="38"/>
      <c r="U4145" s="38"/>
      <c r="V4145" s="38"/>
      <c r="W4145" s="38"/>
      <c r="X4145" s="38"/>
      <c r="Y4145" s="38"/>
      <c r="Z4145" s="38"/>
      <c r="AA4145" s="38"/>
      <c r="AB4145" s="38"/>
      <c r="AC4145" s="38"/>
      <c r="AD4145" s="38"/>
      <c r="AE4145" s="38"/>
      <c r="AF4145" s="38"/>
      <c r="AG4145" s="38"/>
      <c r="AH4145" s="38"/>
    </row>
    <row r="4146" spans="3:34" ht="20.100000000000001" customHeight="1">
      <c r="C4146" s="113"/>
      <c r="D4146" s="114"/>
      <c r="P4146" s="82"/>
      <c r="Q4146" s="82"/>
      <c r="R4146" s="38"/>
      <c r="S4146" s="38"/>
      <c r="T4146" s="38"/>
      <c r="U4146" s="38"/>
      <c r="V4146" s="38"/>
      <c r="W4146" s="38"/>
      <c r="X4146" s="38"/>
      <c r="Y4146" s="38"/>
      <c r="Z4146" s="38"/>
      <c r="AA4146" s="38"/>
      <c r="AB4146" s="38"/>
      <c r="AC4146" s="38"/>
      <c r="AD4146" s="38"/>
      <c r="AE4146" s="38"/>
      <c r="AF4146" s="38"/>
      <c r="AG4146" s="38"/>
      <c r="AH4146" s="38"/>
    </row>
    <row r="4147" spans="3:34" ht="20.100000000000001" customHeight="1">
      <c r="C4147" s="113"/>
      <c r="D4147" s="114"/>
      <c r="P4147" s="82"/>
      <c r="Q4147" s="82"/>
      <c r="R4147" s="38"/>
      <c r="S4147" s="38"/>
      <c r="T4147" s="38"/>
      <c r="U4147" s="38"/>
      <c r="V4147" s="38"/>
      <c r="W4147" s="38"/>
      <c r="X4147" s="38"/>
      <c r="Y4147" s="38"/>
      <c r="Z4147" s="38"/>
      <c r="AA4147" s="38"/>
      <c r="AB4147" s="38"/>
      <c r="AC4147" s="38"/>
      <c r="AD4147" s="38"/>
      <c r="AE4147" s="38"/>
      <c r="AF4147" s="38"/>
      <c r="AG4147" s="38"/>
      <c r="AH4147" s="38"/>
    </row>
    <row r="4148" spans="3:34" ht="20.100000000000001" customHeight="1">
      <c r="C4148" s="113"/>
      <c r="D4148" s="114"/>
      <c r="P4148" s="82"/>
      <c r="Q4148" s="82"/>
      <c r="R4148" s="38"/>
      <c r="S4148" s="38"/>
      <c r="T4148" s="38"/>
      <c r="U4148" s="38"/>
      <c r="V4148" s="38"/>
      <c r="W4148" s="38"/>
      <c r="X4148" s="38"/>
      <c r="Y4148" s="38"/>
      <c r="Z4148" s="38"/>
      <c r="AA4148" s="38"/>
      <c r="AB4148" s="38"/>
      <c r="AC4148" s="38"/>
      <c r="AD4148" s="38"/>
      <c r="AE4148" s="38"/>
      <c r="AF4148" s="38"/>
      <c r="AG4148" s="38"/>
      <c r="AH4148" s="38"/>
    </row>
    <row r="4149" spans="3:34" ht="20.100000000000001" customHeight="1">
      <c r="C4149" s="113"/>
      <c r="D4149" s="114"/>
      <c r="P4149" s="82"/>
      <c r="Q4149" s="82"/>
      <c r="R4149" s="38"/>
      <c r="S4149" s="38"/>
      <c r="T4149" s="38"/>
      <c r="U4149" s="38"/>
      <c r="V4149" s="38"/>
      <c r="W4149" s="38"/>
      <c r="X4149" s="38"/>
      <c r="Y4149" s="38"/>
      <c r="Z4149" s="38"/>
      <c r="AA4149" s="38"/>
      <c r="AB4149" s="38"/>
      <c r="AC4149" s="38"/>
      <c r="AD4149" s="38"/>
      <c r="AE4149" s="38"/>
      <c r="AF4149" s="38"/>
      <c r="AG4149" s="38"/>
      <c r="AH4149" s="38"/>
    </row>
    <row r="4150" spans="3:34" ht="20.100000000000001" customHeight="1">
      <c r="C4150" s="113"/>
      <c r="D4150" s="114"/>
      <c r="P4150" s="82"/>
      <c r="Q4150" s="82"/>
      <c r="R4150" s="38"/>
      <c r="S4150" s="38"/>
      <c r="T4150" s="38"/>
      <c r="U4150" s="38"/>
      <c r="V4150" s="38"/>
      <c r="W4150" s="38"/>
      <c r="X4150" s="38"/>
      <c r="Y4150" s="38"/>
      <c r="Z4150" s="38"/>
      <c r="AA4150" s="38"/>
      <c r="AB4150" s="38"/>
      <c r="AC4150" s="38"/>
      <c r="AD4150" s="38"/>
      <c r="AE4150" s="38"/>
      <c r="AF4150" s="38"/>
      <c r="AG4150" s="38"/>
      <c r="AH4150" s="38"/>
    </row>
    <row r="4151" spans="3:34" ht="20.100000000000001" customHeight="1">
      <c r="C4151" s="113"/>
      <c r="D4151" s="114"/>
      <c r="P4151" s="82"/>
      <c r="Q4151" s="82"/>
      <c r="R4151" s="38"/>
      <c r="S4151" s="38"/>
      <c r="T4151" s="38"/>
      <c r="U4151" s="38"/>
      <c r="V4151" s="38"/>
      <c r="W4151" s="38"/>
      <c r="X4151" s="38"/>
      <c r="Y4151" s="38"/>
      <c r="Z4151" s="38"/>
      <c r="AA4151" s="38"/>
      <c r="AB4151" s="38"/>
      <c r="AC4151" s="38"/>
      <c r="AD4151" s="38"/>
      <c r="AE4151" s="38"/>
      <c r="AF4151" s="38"/>
      <c r="AG4151" s="38"/>
      <c r="AH4151" s="38"/>
    </row>
    <row r="4152" spans="3:34" ht="20.100000000000001" customHeight="1">
      <c r="C4152" s="113"/>
      <c r="D4152" s="114"/>
      <c r="P4152" s="82"/>
      <c r="Q4152" s="82"/>
      <c r="R4152" s="38"/>
      <c r="S4152" s="38"/>
      <c r="T4152" s="38"/>
      <c r="U4152" s="38"/>
      <c r="V4152" s="38"/>
      <c r="W4152" s="38"/>
      <c r="X4152" s="38"/>
      <c r="Y4152" s="38"/>
      <c r="Z4152" s="38"/>
      <c r="AA4152" s="38"/>
      <c r="AB4152" s="38"/>
      <c r="AC4152" s="38"/>
      <c r="AD4152" s="38"/>
      <c r="AE4152" s="38"/>
      <c r="AF4152" s="38"/>
      <c r="AG4152" s="38"/>
      <c r="AH4152" s="38"/>
    </row>
    <row r="4153" spans="3:34" ht="20.100000000000001" customHeight="1">
      <c r="C4153" s="113"/>
      <c r="D4153" s="114"/>
      <c r="P4153" s="82"/>
      <c r="Q4153" s="82"/>
      <c r="R4153" s="38"/>
      <c r="S4153" s="38"/>
      <c r="T4153" s="38"/>
      <c r="U4153" s="38"/>
      <c r="V4153" s="38"/>
      <c r="W4153" s="38"/>
      <c r="X4153" s="38"/>
      <c r="Y4153" s="38"/>
      <c r="Z4153" s="38"/>
      <c r="AA4153" s="38"/>
      <c r="AB4153" s="38"/>
      <c r="AC4153" s="38"/>
      <c r="AD4153" s="38"/>
      <c r="AE4153" s="38"/>
      <c r="AF4153" s="38"/>
      <c r="AG4153" s="38"/>
      <c r="AH4153" s="38"/>
    </row>
    <row r="4154" spans="3:34" ht="20.100000000000001" customHeight="1">
      <c r="C4154" s="113"/>
      <c r="D4154" s="114"/>
      <c r="P4154" s="82"/>
      <c r="Q4154" s="82"/>
      <c r="R4154" s="38"/>
      <c r="S4154" s="38"/>
      <c r="T4154" s="38"/>
      <c r="U4154" s="38"/>
      <c r="V4154" s="38"/>
      <c r="W4154" s="38"/>
      <c r="X4154" s="38"/>
      <c r="Y4154" s="38"/>
      <c r="Z4154" s="38"/>
      <c r="AA4154" s="38"/>
      <c r="AB4154" s="38"/>
      <c r="AC4154" s="38"/>
      <c r="AD4154" s="38"/>
      <c r="AE4154" s="38"/>
      <c r="AF4154" s="38"/>
      <c r="AG4154" s="38"/>
      <c r="AH4154" s="38"/>
    </row>
    <row r="4155" spans="3:34" ht="20.100000000000001" customHeight="1">
      <c r="C4155" s="113"/>
      <c r="D4155" s="114"/>
      <c r="P4155" s="82"/>
      <c r="Q4155" s="82"/>
      <c r="R4155" s="38"/>
      <c r="S4155" s="38"/>
      <c r="T4155" s="38"/>
      <c r="U4155" s="38"/>
      <c r="V4155" s="38"/>
      <c r="W4155" s="38"/>
      <c r="X4155" s="38"/>
      <c r="Y4155" s="38"/>
      <c r="Z4155" s="38"/>
      <c r="AA4155" s="38"/>
      <c r="AB4155" s="38"/>
      <c r="AC4155" s="38"/>
      <c r="AD4155" s="38"/>
      <c r="AE4155" s="38"/>
      <c r="AF4155" s="38"/>
      <c r="AG4155" s="38"/>
      <c r="AH4155" s="38"/>
    </row>
    <row r="4156" spans="3:34" ht="20.100000000000001" customHeight="1">
      <c r="C4156" s="113"/>
      <c r="D4156" s="114"/>
      <c r="P4156" s="82"/>
      <c r="Q4156" s="82"/>
      <c r="R4156" s="38"/>
      <c r="S4156" s="38"/>
      <c r="T4156" s="38"/>
      <c r="U4156" s="38"/>
      <c r="V4156" s="38"/>
      <c r="W4156" s="38"/>
      <c r="X4156" s="38"/>
      <c r="Y4156" s="38"/>
      <c r="Z4156" s="38"/>
      <c r="AA4156" s="38"/>
      <c r="AB4156" s="38"/>
      <c r="AC4156" s="38"/>
      <c r="AD4156" s="38"/>
      <c r="AE4156" s="38"/>
      <c r="AF4156" s="38"/>
      <c r="AG4156" s="38"/>
      <c r="AH4156" s="38"/>
    </row>
    <row r="4157" spans="3:34" ht="20.100000000000001" customHeight="1">
      <c r="C4157" s="113"/>
      <c r="D4157" s="114"/>
      <c r="P4157" s="82"/>
      <c r="Q4157" s="82"/>
      <c r="R4157" s="38"/>
      <c r="S4157" s="38"/>
      <c r="T4157" s="38"/>
      <c r="U4157" s="38"/>
      <c r="V4157" s="38"/>
      <c r="W4157" s="38"/>
      <c r="X4157" s="38"/>
      <c r="Y4157" s="38"/>
      <c r="Z4157" s="38"/>
      <c r="AA4157" s="38"/>
      <c r="AB4157" s="38"/>
      <c r="AC4157" s="38"/>
      <c r="AD4157" s="38"/>
      <c r="AE4157" s="38"/>
      <c r="AF4157" s="38"/>
      <c r="AG4157" s="38"/>
      <c r="AH4157" s="38"/>
    </row>
    <row r="4158" spans="3:34" ht="20.100000000000001" customHeight="1">
      <c r="C4158" s="113"/>
      <c r="D4158" s="114"/>
      <c r="P4158" s="82"/>
      <c r="Q4158" s="82"/>
      <c r="R4158" s="38"/>
      <c r="S4158" s="38"/>
      <c r="T4158" s="38"/>
      <c r="U4158" s="38"/>
      <c r="V4158" s="38"/>
      <c r="W4158" s="38"/>
      <c r="X4158" s="38"/>
      <c r="Y4158" s="38"/>
      <c r="Z4158" s="38"/>
      <c r="AA4158" s="38"/>
      <c r="AB4158" s="38"/>
      <c r="AC4158" s="38"/>
      <c r="AD4158" s="38"/>
      <c r="AE4158" s="38"/>
      <c r="AF4158" s="38"/>
      <c r="AG4158" s="38"/>
      <c r="AH4158" s="38"/>
    </row>
    <row r="4159" spans="3:34" ht="20.100000000000001" customHeight="1">
      <c r="C4159" s="113"/>
      <c r="D4159" s="114"/>
      <c r="P4159" s="82"/>
      <c r="Q4159" s="82"/>
      <c r="R4159" s="38"/>
      <c r="S4159" s="38"/>
      <c r="T4159" s="38"/>
      <c r="U4159" s="38"/>
      <c r="V4159" s="38"/>
      <c r="W4159" s="38"/>
      <c r="X4159" s="38"/>
      <c r="Y4159" s="38"/>
      <c r="Z4159" s="38"/>
      <c r="AA4159" s="38"/>
      <c r="AB4159" s="38"/>
      <c r="AC4159" s="38"/>
      <c r="AD4159" s="38"/>
      <c r="AE4159" s="38"/>
      <c r="AF4159" s="38"/>
      <c r="AG4159" s="38"/>
      <c r="AH4159" s="38"/>
    </row>
    <row r="4160" spans="3:34" ht="20.100000000000001" customHeight="1">
      <c r="C4160" s="113"/>
      <c r="D4160" s="114"/>
      <c r="P4160" s="82"/>
      <c r="Q4160" s="82"/>
      <c r="R4160" s="38"/>
      <c r="S4160" s="38"/>
      <c r="T4160" s="38"/>
      <c r="U4160" s="38"/>
      <c r="V4160" s="38"/>
      <c r="W4160" s="38"/>
      <c r="X4160" s="38"/>
      <c r="Y4160" s="38"/>
      <c r="Z4160" s="38"/>
      <c r="AA4160" s="38"/>
      <c r="AB4160" s="38"/>
      <c r="AC4160" s="38"/>
      <c r="AD4160" s="38"/>
      <c r="AE4160" s="38"/>
      <c r="AF4160" s="38"/>
      <c r="AG4160" s="38"/>
      <c r="AH4160" s="38"/>
    </row>
    <row r="4161" spans="3:34" ht="20.100000000000001" customHeight="1">
      <c r="C4161" s="113"/>
      <c r="D4161" s="114"/>
      <c r="P4161" s="82"/>
      <c r="Q4161" s="82"/>
      <c r="R4161" s="38"/>
      <c r="S4161" s="38"/>
      <c r="T4161" s="38"/>
      <c r="U4161" s="38"/>
      <c r="V4161" s="38"/>
      <c r="W4161" s="38"/>
      <c r="X4161" s="38"/>
      <c r="Y4161" s="38"/>
      <c r="Z4161" s="38"/>
      <c r="AA4161" s="38"/>
      <c r="AB4161" s="38"/>
      <c r="AC4161" s="38"/>
      <c r="AD4161" s="38"/>
      <c r="AE4161" s="38"/>
      <c r="AF4161" s="38"/>
      <c r="AG4161" s="38"/>
      <c r="AH4161" s="38"/>
    </row>
    <row r="4162" spans="3:34" ht="20.100000000000001" customHeight="1">
      <c r="C4162" s="113"/>
      <c r="D4162" s="114"/>
      <c r="P4162" s="82"/>
      <c r="Q4162" s="82"/>
      <c r="R4162" s="38"/>
      <c r="S4162" s="38"/>
      <c r="T4162" s="38"/>
      <c r="U4162" s="38"/>
      <c r="V4162" s="38"/>
      <c r="W4162" s="38"/>
      <c r="X4162" s="38"/>
      <c r="Y4162" s="38"/>
      <c r="Z4162" s="38"/>
      <c r="AA4162" s="38"/>
      <c r="AB4162" s="38"/>
      <c r="AC4162" s="38"/>
      <c r="AD4162" s="38"/>
      <c r="AE4162" s="38"/>
      <c r="AF4162" s="38"/>
      <c r="AG4162" s="38"/>
      <c r="AH4162" s="38"/>
    </row>
    <row r="4163" spans="3:34" ht="20.100000000000001" customHeight="1">
      <c r="C4163" s="113"/>
      <c r="D4163" s="114"/>
      <c r="P4163" s="82"/>
      <c r="Q4163" s="82"/>
      <c r="R4163" s="38"/>
      <c r="S4163" s="38"/>
      <c r="T4163" s="38"/>
      <c r="U4163" s="38"/>
      <c r="V4163" s="38"/>
      <c r="W4163" s="38"/>
      <c r="X4163" s="38"/>
      <c r="Y4163" s="38"/>
      <c r="Z4163" s="38"/>
      <c r="AA4163" s="38"/>
      <c r="AB4163" s="38"/>
      <c r="AC4163" s="38"/>
      <c r="AD4163" s="38"/>
      <c r="AE4163" s="38"/>
      <c r="AF4163" s="38"/>
      <c r="AG4163" s="38"/>
      <c r="AH4163" s="38"/>
    </row>
    <row r="4164" spans="3:34" ht="20.100000000000001" customHeight="1">
      <c r="C4164" s="113"/>
      <c r="D4164" s="114"/>
      <c r="P4164" s="82"/>
      <c r="Q4164" s="82"/>
      <c r="R4164" s="38"/>
      <c r="S4164" s="38"/>
      <c r="T4164" s="38"/>
      <c r="U4164" s="38"/>
      <c r="V4164" s="38"/>
      <c r="W4164" s="38"/>
      <c r="X4164" s="38"/>
      <c r="Y4164" s="38"/>
      <c r="Z4164" s="38"/>
      <c r="AA4164" s="38"/>
      <c r="AB4164" s="38"/>
      <c r="AC4164" s="38"/>
      <c r="AD4164" s="38"/>
      <c r="AE4164" s="38"/>
      <c r="AF4164" s="38"/>
      <c r="AG4164" s="38"/>
      <c r="AH4164" s="38"/>
    </row>
    <row r="4165" spans="3:34" ht="20.100000000000001" customHeight="1">
      <c r="C4165" s="113"/>
      <c r="D4165" s="114"/>
      <c r="P4165" s="82"/>
      <c r="Q4165" s="82"/>
      <c r="R4165" s="38"/>
      <c r="S4165" s="38"/>
      <c r="T4165" s="38"/>
      <c r="U4165" s="38"/>
      <c r="V4165" s="38"/>
      <c r="W4165" s="38"/>
      <c r="X4165" s="38"/>
      <c r="Y4165" s="38"/>
      <c r="Z4165" s="38"/>
      <c r="AA4165" s="38"/>
      <c r="AB4165" s="38"/>
      <c r="AC4165" s="38"/>
      <c r="AD4165" s="38"/>
      <c r="AE4165" s="38"/>
      <c r="AF4165" s="38"/>
      <c r="AG4165" s="38"/>
      <c r="AH4165" s="38"/>
    </row>
    <row r="4166" spans="3:34" ht="20.100000000000001" customHeight="1">
      <c r="C4166" s="113"/>
      <c r="D4166" s="114"/>
      <c r="P4166" s="82"/>
      <c r="Q4166" s="82"/>
      <c r="R4166" s="38"/>
      <c r="S4166" s="38"/>
      <c r="T4166" s="38"/>
      <c r="U4166" s="38"/>
      <c r="V4166" s="38"/>
      <c r="W4166" s="38"/>
      <c r="X4166" s="38"/>
      <c r="Y4166" s="38"/>
      <c r="Z4166" s="38"/>
      <c r="AA4166" s="38"/>
      <c r="AB4166" s="38"/>
      <c r="AC4166" s="38"/>
      <c r="AD4166" s="38"/>
      <c r="AE4166" s="38"/>
      <c r="AF4166" s="38"/>
      <c r="AG4166" s="38"/>
      <c r="AH4166" s="38"/>
    </row>
    <row r="4167" spans="3:34" ht="20.100000000000001" customHeight="1">
      <c r="C4167" s="113"/>
      <c r="D4167" s="114"/>
      <c r="P4167" s="82"/>
      <c r="Q4167" s="82"/>
      <c r="R4167" s="38"/>
      <c r="S4167" s="38"/>
      <c r="T4167" s="38"/>
      <c r="U4167" s="38"/>
      <c r="V4167" s="38"/>
      <c r="W4167" s="38"/>
      <c r="X4167" s="38"/>
      <c r="Y4167" s="38"/>
      <c r="Z4167" s="38"/>
      <c r="AA4167" s="38"/>
      <c r="AB4167" s="38"/>
      <c r="AC4167" s="38"/>
      <c r="AD4167" s="38"/>
      <c r="AE4167" s="38"/>
      <c r="AF4167" s="38"/>
      <c r="AG4167" s="38"/>
      <c r="AH4167" s="38"/>
    </row>
    <row r="4168" spans="3:34" ht="20.100000000000001" customHeight="1">
      <c r="C4168" s="113"/>
      <c r="D4168" s="114"/>
      <c r="P4168" s="82"/>
      <c r="Q4168" s="82"/>
      <c r="R4168" s="38"/>
      <c r="S4168" s="38"/>
      <c r="T4168" s="38"/>
      <c r="U4168" s="38"/>
      <c r="V4168" s="38"/>
      <c r="W4168" s="38"/>
      <c r="X4168" s="38"/>
      <c r="Y4168" s="38"/>
      <c r="Z4168" s="38"/>
      <c r="AA4168" s="38"/>
      <c r="AB4168" s="38"/>
      <c r="AC4168" s="38"/>
      <c r="AD4168" s="38"/>
      <c r="AE4168" s="38"/>
      <c r="AF4168" s="38"/>
      <c r="AG4168" s="38"/>
      <c r="AH4168" s="38"/>
    </row>
    <row r="4169" spans="3:34" ht="20.100000000000001" customHeight="1">
      <c r="C4169" s="113"/>
      <c r="D4169" s="114"/>
      <c r="P4169" s="82"/>
      <c r="Q4169" s="82"/>
      <c r="R4169" s="38"/>
      <c r="S4169" s="38"/>
      <c r="T4169" s="38"/>
      <c r="U4169" s="38"/>
      <c r="V4169" s="38"/>
      <c r="W4169" s="38"/>
      <c r="X4169" s="38"/>
      <c r="Y4169" s="38"/>
      <c r="Z4169" s="38"/>
      <c r="AA4169" s="38"/>
      <c r="AB4169" s="38"/>
      <c r="AC4169" s="38"/>
      <c r="AD4169" s="38"/>
      <c r="AE4169" s="38"/>
      <c r="AF4169" s="38"/>
      <c r="AG4169" s="38"/>
      <c r="AH4169" s="38"/>
    </row>
    <row r="4170" spans="3:34" ht="20.100000000000001" customHeight="1">
      <c r="C4170" s="113"/>
      <c r="D4170" s="114"/>
      <c r="P4170" s="82"/>
      <c r="Q4170" s="82"/>
      <c r="R4170" s="38"/>
      <c r="S4170" s="38"/>
      <c r="T4170" s="38"/>
      <c r="U4170" s="38"/>
      <c r="V4170" s="38"/>
      <c r="W4170" s="38"/>
      <c r="X4170" s="38"/>
      <c r="Y4170" s="38"/>
      <c r="Z4170" s="38"/>
      <c r="AA4170" s="38"/>
      <c r="AB4170" s="38"/>
      <c r="AC4170" s="38"/>
      <c r="AD4170" s="38"/>
      <c r="AE4170" s="38"/>
      <c r="AF4170" s="38"/>
      <c r="AG4170" s="38"/>
      <c r="AH4170" s="38"/>
    </row>
    <row r="4171" spans="3:34" ht="20.100000000000001" customHeight="1">
      <c r="C4171" s="113"/>
      <c r="D4171" s="114"/>
      <c r="P4171" s="82"/>
      <c r="Q4171" s="82"/>
      <c r="R4171" s="38"/>
      <c r="S4171" s="38"/>
      <c r="T4171" s="38"/>
      <c r="U4171" s="38"/>
      <c r="V4171" s="38"/>
      <c r="W4171" s="38"/>
      <c r="X4171" s="38"/>
      <c r="Y4171" s="38"/>
      <c r="Z4171" s="38"/>
      <c r="AA4171" s="38"/>
      <c r="AB4171" s="38"/>
      <c r="AC4171" s="38"/>
      <c r="AD4171" s="38"/>
      <c r="AE4171" s="38"/>
      <c r="AF4171" s="38"/>
      <c r="AG4171" s="38"/>
      <c r="AH4171" s="38"/>
    </row>
    <row r="4172" spans="3:34" ht="20.100000000000001" customHeight="1">
      <c r="C4172" s="113"/>
      <c r="D4172" s="114"/>
      <c r="P4172" s="82"/>
      <c r="Q4172" s="82"/>
      <c r="R4172" s="38"/>
      <c r="S4172" s="38"/>
      <c r="T4172" s="38"/>
      <c r="U4172" s="38"/>
      <c r="V4172" s="38"/>
      <c r="W4172" s="38"/>
      <c r="X4172" s="38"/>
      <c r="Y4172" s="38"/>
      <c r="Z4172" s="38"/>
      <c r="AA4172" s="38"/>
      <c r="AB4172" s="38"/>
      <c r="AC4172" s="38"/>
      <c r="AD4172" s="38"/>
      <c r="AE4172" s="38"/>
      <c r="AF4172" s="38"/>
      <c r="AG4172" s="38"/>
      <c r="AH4172" s="38"/>
    </row>
    <row r="4173" spans="3:34" ht="20.100000000000001" customHeight="1">
      <c r="C4173" s="113"/>
      <c r="D4173" s="114"/>
      <c r="P4173" s="82"/>
      <c r="Q4173" s="82"/>
      <c r="R4173" s="38"/>
      <c r="S4173" s="38"/>
      <c r="T4173" s="38"/>
      <c r="U4173" s="38"/>
      <c r="V4173" s="38"/>
      <c r="W4173" s="38"/>
      <c r="X4173" s="38"/>
      <c r="Y4173" s="38"/>
      <c r="Z4173" s="38"/>
      <c r="AA4173" s="38"/>
      <c r="AB4173" s="38"/>
      <c r="AC4173" s="38"/>
      <c r="AD4173" s="38"/>
      <c r="AE4173" s="38"/>
      <c r="AF4173" s="38"/>
      <c r="AG4173" s="38"/>
      <c r="AH4173" s="38"/>
    </row>
    <row r="4174" spans="3:34" ht="20.100000000000001" customHeight="1">
      <c r="C4174" s="113"/>
      <c r="D4174" s="114"/>
      <c r="P4174" s="82"/>
      <c r="Q4174" s="82"/>
      <c r="R4174" s="38"/>
      <c r="S4174" s="38"/>
      <c r="T4174" s="38"/>
      <c r="U4174" s="38"/>
      <c r="V4174" s="38"/>
      <c r="W4174" s="38"/>
      <c r="X4174" s="38"/>
      <c r="Y4174" s="38"/>
      <c r="Z4174" s="38"/>
      <c r="AA4174" s="38"/>
      <c r="AB4174" s="38"/>
      <c r="AC4174" s="38"/>
      <c r="AD4174" s="38"/>
      <c r="AE4174" s="38"/>
      <c r="AF4174" s="38"/>
      <c r="AG4174" s="38"/>
      <c r="AH4174" s="38"/>
    </row>
    <row r="4175" spans="3:34" ht="20.100000000000001" customHeight="1">
      <c r="C4175" s="113"/>
      <c r="D4175" s="114"/>
      <c r="P4175" s="82"/>
      <c r="Q4175" s="82"/>
      <c r="R4175" s="38"/>
      <c r="S4175" s="38"/>
      <c r="T4175" s="38"/>
      <c r="U4175" s="38"/>
      <c r="V4175" s="38"/>
      <c r="W4175" s="38"/>
      <c r="X4175" s="38"/>
      <c r="Y4175" s="38"/>
      <c r="Z4175" s="38"/>
      <c r="AA4175" s="38"/>
      <c r="AB4175" s="38"/>
      <c r="AC4175" s="38"/>
      <c r="AD4175" s="38"/>
      <c r="AE4175" s="38"/>
      <c r="AF4175" s="38"/>
      <c r="AG4175" s="38"/>
      <c r="AH4175" s="38"/>
    </row>
    <row r="4176" spans="3:34" ht="20.100000000000001" customHeight="1">
      <c r="C4176" s="113"/>
      <c r="D4176" s="114"/>
      <c r="P4176" s="82"/>
      <c r="Q4176" s="82"/>
      <c r="R4176" s="38"/>
      <c r="S4176" s="38"/>
      <c r="T4176" s="38"/>
      <c r="U4176" s="38"/>
      <c r="V4176" s="38"/>
      <c r="W4176" s="38"/>
      <c r="X4176" s="38"/>
      <c r="Y4176" s="38"/>
      <c r="Z4176" s="38"/>
      <c r="AA4176" s="38"/>
      <c r="AB4176" s="38"/>
      <c r="AC4176" s="38"/>
      <c r="AD4176" s="38"/>
      <c r="AE4176" s="38"/>
      <c r="AF4176" s="38"/>
      <c r="AG4176" s="38"/>
      <c r="AH4176" s="38"/>
    </row>
    <row r="4177" spans="3:34" ht="20.100000000000001" customHeight="1">
      <c r="C4177" s="113"/>
      <c r="D4177" s="114"/>
      <c r="P4177" s="82"/>
      <c r="Q4177" s="82"/>
      <c r="R4177" s="38"/>
      <c r="S4177" s="38"/>
      <c r="T4177" s="38"/>
      <c r="U4177" s="38"/>
      <c r="V4177" s="38"/>
      <c r="W4177" s="38"/>
      <c r="X4177" s="38"/>
      <c r="Y4177" s="38"/>
      <c r="Z4177" s="38"/>
      <c r="AA4177" s="38"/>
      <c r="AB4177" s="38"/>
      <c r="AC4177" s="38"/>
      <c r="AD4177" s="38"/>
      <c r="AE4177" s="38"/>
      <c r="AF4177" s="38"/>
      <c r="AG4177" s="38"/>
      <c r="AH4177" s="38"/>
    </row>
    <row r="4178" spans="3:34" ht="20.100000000000001" customHeight="1">
      <c r="C4178" s="113"/>
      <c r="D4178" s="114"/>
      <c r="P4178" s="82"/>
      <c r="Q4178" s="82"/>
      <c r="R4178" s="38"/>
      <c r="S4178" s="38"/>
      <c r="T4178" s="38"/>
      <c r="U4178" s="38"/>
      <c r="V4178" s="38"/>
      <c r="W4178" s="38"/>
      <c r="X4178" s="38"/>
      <c r="Y4178" s="38"/>
      <c r="Z4178" s="38"/>
      <c r="AA4178" s="38"/>
      <c r="AB4178" s="38"/>
      <c r="AC4178" s="38"/>
      <c r="AD4178" s="38"/>
      <c r="AE4178" s="38"/>
      <c r="AF4178" s="38"/>
      <c r="AG4178" s="38"/>
      <c r="AH4178" s="38"/>
    </row>
    <row r="4179" spans="3:34" ht="20.100000000000001" customHeight="1">
      <c r="C4179" s="113"/>
      <c r="D4179" s="114"/>
      <c r="P4179" s="82"/>
      <c r="Q4179" s="82"/>
      <c r="R4179" s="38"/>
      <c r="S4179" s="38"/>
      <c r="T4179" s="38"/>
      <c r="U4179" s="38"/>
      <c r="V4179" s="38"/>
      <c r="W4179" s="38"/>
      <c r="X4179" s="38"/>
      <c r="Y4179" s="38"/>
      <c r="Z4179" s="38"/>
      <c r="AA4179" s="38"/>
      <c r="AB4179" s="38"/>
      <c r="AC4179" s="38"/>
      <c r="AD4179" s="38"/>
      <c r="AE4179" s="38"/>
      <c r="AF4179" s="38"/>
      <c r="AG4179" s="38"/>
      <c r="AH4179" s="38"/>
    </row>
    <row r="4180" spans="3:34" ht="20.100000000000001" customHeight="1">
      <c r="C4180" s="113"/>
      <c r="D4180" s="114"/>
      <c r="P4180" s="82"/>
      <c r="Q4180" s="82"/>
      <c r="R4180" s="38"/>
      <c r="S4180" s="38"/>
      <c r="T4180" s="38"/>
      <c r="U4180" s="38"/>
      <c r="V4180" s="38"/>
      <c r="W4180" s="38"/>
      <c r="X4180" s="38"/>
      <c r="Y4180" s="38"/>
      <c r="Z4180" s="38"/>
      <c r="AA4180" s="38"/>
      <c r="AB4180" s="38"/>
      <c r="AC4180" s="38"/>
      <c r="AD4180" s="38"/>
      <c r="AE4180" s="38"/>
      <c r="AF4180" s="38"/>
      <c r="AG4180" s="38"/>
      <c r="AH4180" s="38"/>
    </row>
    <row r="4181" spans="3:34" ht="20.100000000000001" customHeight="1">
      <c r="C4181" s="113"/>
      <c r="D4181" s="114"/>
      <c r="P4181" s="82"/>
      <c r="Q4181" s="82"/>
      <c r="R4181" s="38"/>
      <c r="S4181" s="38"/>
      <c r="T4181" s="38"/>
      <c r="U4181" s="38"/>
      <c r="V4181" s="38"/>
      <c r="W4181" s="38"/>
      <c r="X4181" s="38"/>
      <c r="Y4181" s="38"/>
      <c r="Z4181" s="38"/>
      <c r="AA4181" s="38"/>
      <c r="AB4181" s="38"/>
      <c r="AC4181" s="38"/>
      <c r="AD4181" s="38"/>
      <c r="AE4181" s="38"/>
      <c r="AF4181" s="38"/>
      <c r="AG4181" s="38"/>
      <c r="AH4181" s="38"/>
    </row>
    <row r="4182" spans="3:34" ht="20.100000000000001" customHeight="1">
      <c r="C4182" s="113"/>
      <c r="D4182" s="114"/>
      <c r="P4182" s="82"/>
      <c r="Q4182" s="82"/>
      <c r="R4182" s="38"/>
      <c r="S4182" s="38"/>
      <c r="T4182" s="38"/>
      <c r="U4182" s="38"/>
      <c r="V4182" s="38"/>
      <c r="W4182" s="38"/>
      <c r="X4182" s="38"/>
      <c r="Y4182" s="38"/>
      <c r="Z4182" s="38"/>
      <c r="AA4182" s="38"/>
      <c r="AB4182" s="38"/>
      <c r="AC4182" s="38"/>
      <c r="AD4182" s="38"/>
      <c r="AE4182" s="38"/>
      <c r="AF4182" s="38"/>
      <c r="AG4182" s="38"/>
      <c r="AH4182" s="38"/>
    </row>
    <row r="4183" spans="3:34" ht="20.100000000000001" customHeight="1">
      <c r="C4183" s="113"/>
      <c r="D4183" s="114"/>
      <c r="P4183" s="82"/>
      <c r="Q4183" s="82"/>
      <c r="R4183" s="38"/>
      <c r="S4183" s="38"/>
      <c r="T4183" s="38"/>
      <c r="U4183" s="38"/>
      <c r="V4183" s="38"/>
      <c r="W4183" s="38"/>
      <c r="X4183" s="38"/>
      <c r="Y4183" s="38"/>
      <c r="Z4183" s="38"/>
      <c r="AA4183" s="38"/>
      <c r="AB4183" s="38"/>
      <c r="AC4183" s="38"/>
      <c r="AD4183" s="38"/>
      <c r="AE4183" s="38"/>
      <c r="AF4183" s="38"/>
      <c r="AG4183" s="38"/>
      <c r="AH4183" s="38"/>
    </row>
    <row r="4184" spans="3:34" ht="20.100000000000001" customHeight="1">
      <c r="C4184" s="113"/>
      <c r="D4184" s="114"/>
      <c r="P4184" s="82"/>
      <c r="Q4184" s="82"/>
      <c r="R4184" s="38"/>
      <c r="S4184" s="38"/>
      <c r="T4184" s="38"/>
      <c r="U4184" s="38"/>
      <c r="V4184" s="38"/>
      <c r="W4184" s="38"/>
      <c r="X4184" s="38"/>
      <c r="Y4184" s="38"/>
      <c r="Z4184" s="38"/>
      <c r="AA4184" s="38"/>
      <c r="AB4184" s="38"/>
      <c r="AC4184" s="38"/>
      <c r="AD4184" s="38"/>
      <c r="AE4184" s="38"/>
      <c r="AF4184" s="38"/>
      <c r="AG4184" s="38"/>
      <c r="AH4184" s="38"/>
    </row>
    <row r="4185" spans="3:34" ht="20.100000000000001" customHeight="1">
      <c r="C4185" s="113"/>
      <c r="D4185" s="114"/>
      <c r="P4185" s="82"/>
      <c r="Q4185" s="82"/>
      <c r="R4185" s="38"/>
      <c r="S4185" s="38"/>
      <c r="T4185" s="38"/>
      <c r="U4185" s="38"/>
      <c r="V4185" s="38"/>
      <c r="W4185" s="38"/>
      <c r="X4185" s="38"/>
      <c r="Y4185" s="38"/>
      <c r="Z4185" s="38"/>
      <c r="AA4185" s="38"/>
      <c r="AB4185" s="38"/>
      <c r="AC4185" s="38"/>
      <c r="AD4185" s="38"/>
      <c r="AE4185" s="38"/>
      <c r="AF4185" s="38"/>
      <c r="AG4185" s="38"/>
      <c r="AH4185" s="38"/>
    </row>
    <row r="4186" spans="3:34" ht="20.100000000000001" customHeight="1">
      <c r="C4186" s="113"/>
      <c r="D4186" s="114"/>
      <c r="P4186" s="82"/>
      <c r="Q4186" s="82"/>
      <c r="R4186" s="38"/>
      <c r="S4186" s="38"/>
      <c r="T4186" s="38"/>
      <c r="U4186" s="38"/>
      <c r="V4186" s="38"/>
      <c r="W4186" s="38"/>
      <c r="X4186" s="38"/>
      <c r="Y4186" s="38"/>
      <c r="Z4186" s="38"/>
      <c r="AA4186" s="38"/>
      <c r="AB4186" s="38"/>
      <c r="AC4186" s="38"/>
      <c r="AD4186" s="38"/>
      <c r="AE4186" s="38"/>
      <c r="AF4186" s="38"/>
      <c r="AG4186" s="38"/>
      <c r="AH4186" s="38"/>
    </row>
    <row r="4187" spans="3:34" ht="20.100000000000001" customHeight="1">
      <c r="C4187" s="113"/>
      <c r="D4187" s="114"/>
      <c r="P4187" s="82"/>
      <c r="Q4187" s="82"/>
      <c r="R4187" s="38"/>
      <c r="S4187" s="38"/>
      <c r="T4187" s="38"/>
      <c r="U4187" s="38"/>
      <c r="V4187" s="38"/>
      <c r="W4187" s="38"/>
      <c r="X4187" s="38"/>
      <c r="Y4187" s="38"/>
      <c r="Z4187" s="38"/>
      <c r="AA4187" s="38"/>
      <c r="AB4187" s="38"/>
      <c r="AC4187" s="38"/>
      <c r="AD4187" s="38"/>
      <c r="AE4187" s="38"/>
      <c r="AF4187" s="38"/>
      <c r="AG4187" s="38"/>
      <c r="AH4187" s="38"/>
    </row>
    <row r="4188" spans="3:34" ht="20.100000000000001" customHeight="1">
      <c r="C4188" s="113"/>
      <c r="D4188" s="114"/>
      <c r="P4188" s="82"/>
      <c r="Q4188" s="82"/>
      <c r="R4188" s="38"/>
      <c r="S4188" s="38"/>
      <c r="T4188" s="38"/>
      <c r="U4188" s="38"/>
      <c r="V4188" s="38"/>
      <c r="W4188" s="38"/>
      <c r="X4188" s="38"/>
      <c r="Y4188" s="38"/>
      <c r="Z4188" s="38"/>
      <c r="AA4188" s="38"/>
      <c r="AB4188" s="38"/>
      <c r="AC4188" s="38"/>
      <c r="AD4188" s="38"/>
      <c r="AE4188" s="38"/>
      <c r="AF4188" s="38"/>
      <c r="AG4188" s="38"/>
      <c r="AH4188" s="38"/>
    </row>
    <row r="4189" spans="3:34" ht="20.100000000000001" customHeight="1">
      <c r="C4189" s="113"/>
      <c r="D4189" s="114"/>
      <c r="P4189" s="82"/>
      <c r="Q4189" s="82"/>
      <c r="R4189" s="38"/>
      <c r="S4189" s="38"/>
      <c r="T4189" s="38"/>
      <c r="U4189" s="38"/>
      <c r="V4189" s="38"/>
      <c r="W4189" s="38"/>
      <c r="X4189" s="38"/>
      <c r="Y4189" s="38"/>
      <c r="Z4189" s="38"/>
      <c r="AA4189" s="38"/>
      <c r="AB4189" s="38"/>
      <c r="AC4189" s="38"/>
      <c r="AD4189" s="38"/>
      <c r="AE4189" s="38"/>
      <c r="AF4189" s="38"/>
      <c r="AG4189" s="38"/>
      <c r="AH4189" s="38"/>
    </row>
    <row r="4190" spans="3:34" ht="20.100000000000001" customHeight="1">
      <c r="C4190" s="113"/>
      <c r="D4190" s="114"/>
      <c r="P4190" s="82"/>
      <c r="Q4190" s="82"/>
      <c r="R4190" s="38"/>
      <c r="S4190" s="38"/>
      <c r="T4190" s="38"/>
      <c r="U4190" s="38"/>
      <c r="V4190" s="38"/>
      <c r="W4190" s="38"/>
      <c r="X4190" s="38"/>
      <c r="Y4190" s="38"/>
      <c r="Z4190" s="38"/>
      <c r="AA4190" s="38"/>
      <c r="AB4190" s="38"/>
      <c r="AC4190" s="38"/>
      <c r="AD4190" s="38"/>
      <c r="AE4190" s="38"/>
      <c r="AF4190" s="38"/>
      <c r="AG4190" s="38"/>
      <c r="AH4190" s="38"/>
    </row>
    <row r="4191" spans="3:34" ht="20.100000000000001" customHeight="1">
      <c r="C4191" s="113"/>
      <c r="D4191" s="114"/>
      <c r="P4191" s="82"/>
      <c r="Q4191" s="82"/>
      <c r="R4191" s="38"/>
      <c r="S4191" s="38"/>
      <c r="T4191" s="38"/>
      <c r="U4191" s="38"/>
      <c r="V4191" s="38"/>
      <c r="W4191" s="38"/>
      <c r="X4191" s="38"/>
      <c r="Y4191" s="38"/>
      <c r="Z4191" s="38"/>
      <c r="AA4191" s="38"/>
      <c r="AB4191" s="38"/>
      <c r="AC4191" s="38"/>
      <c r="AD4191" s="38"/>
      <c r="AE4191" s="38"/>
      <c r="AF4191" s="38"/>
      <c r="AG4191" s="38"/>
      <c r="AH4191" s="38"/>
    </row>
    <row r="4192" spans="3:34" ht="20.100000000000001" customHeight="1">
      <c r="C4192" s="113"/>
      <c r="D4192" s="114"/>
      <c r="P4192" s="82"/>
      <c r="Q4192" s="82"/>
      <c r="R4192" s="38"/>
      <c r="S4192" s="38"/>
      <c r="T4192" s="38"/>
      <c r="U4192" s="38"/>
      <c r="V4192" s="38"/>
      <c r="W4192" s="38"/>
      <c r="X4192" s="38"/>
      <c r="Y4192" s="38"/>
      <c r="Z4192" s="38"/>
      <c r="AA4192" s="38"/>
      <c r="AB4192" s="38"/>
      <c r="AC4192" s="38"/>
      <c r="AD4192" s="38"/>
      <c r="AE4192" s="38"/>
      <c r="AF4192" s="38"/>
      <c r="AG4192" s="38"/>
      <c r="AH4192" s="38"/>
    </row>
    <row r="4193" spans="3:34" ht="20.100000000000001" customHeight="1">
      <c r="C4193" s="113"/>
      <c r="D4193" s="114"/>
      <c r="P4193" s="82"/>
      <c r="Q4193" s="82"/>
      <c r="R4193" s="38"/>
      <c r="S4193" s="38"/>
      <c r="T4193" s="38"/>
      <c r="U4193" s="38"/>
      <c r="V4193" s="38"/>
      <c r="W4193" s="38"/>
      <c r="X4193" s="38"/>
      <c r="Y4193" s="38"/>
      <c r="Z4193" s="38"/>
      <c r="AA4193" s="38"/>
      <c r="AB4193" s="38"/>
      <c r="AC4193" s="38"/>
      <c r="AD4193" s="38"/>
      <c r="AE4193" s="38"/>
      <c r="AF4193" s="38"/>
      <c r="AG4193" s="38"/>
      <c r="AH4193" s="38"/>
    </row>
    <row r="4194" spans="3:34" ht="20.100000000000001" customHeight="1">
      <c r="C4194" s="113"/>
      <c r="D4194" s="114"/>
      <c r="P4194" s="82"/>
      <c r="Q4194" s="82"/>
      <c r="R4194" s="38"/>
      <c r="S4194" s="38"/>
      <c r="T4194" s="38"/>
      <c r="U4194" s="38"/>
      <c r="V4194" s="38"/>
      <c r="W4194" s="38"/>
      <c r="X4194" s="38"/>
      <c r="Y4194" s="38"/>
      <c r="Z4194" s="38"/>
      <c r="AA4194" s="38"/>
      <c r="AB4194" s="38"/>
      <c r="AC4194" s="38"/>
      <c r="AD4194" s="38"/>
      <c r="AE4194" s="38"/>
      <c r="AF4194" s="38"/>
      <c r="AG4194" s="38"/>
      <c r="AH4194" s="38"/>
    </row>
    <row r="4195" spans="3:34" ht="20.100000000000001" customHeight="1">
      <c r="C4195" s="113"/>
      <c r="D4195" s="114"/>
      <c r="P4195" s="82"/>
      <c r="Q4195" s="82"/>
      <c r="R4195" s="38"/>
      <c r="S4195" s="38"/>
      <c r="T4195" s="38"/>
      <c r="U4195" s="38"/>
      <c r="V4195" s="38"/>
      <c r="W4195" s="38"/>
      <c r="X4195" s="38"/>
      <c r="Y4195" s="38"/>
      <c r="Z4195" s="38"/>
      <c r="AA4195" s="38"/>
      <c r="AB4195" s="38"/>
      <c r="AC4195" s="38"/>
      <c r="AD4195" s="38"/>
      <c r="AE4195" s="38"/>
      <c r="AF4195" s="38"/>
      <c r="AG4195" s="38"/>
      <c r="AH4195" s="38"/>
    </row>
    <row r="4196" spans="3:34" ht="20.100000000000001" customHeight="1">
      <c r="C4196" s="113"/>
      <c r="D4196" s="114"/>
      <c r="P4196" s="82"/>
      <c r="Q4196" s="82"/>
      <c r="R4196" s="38"/>
      <c r="S4196" s="38"/>
      <c r="T4196" s="38"/>
      <c r="U4196" s="38"/>
      <c r="V4196" s="38"/>
      <c r="W4196" s="38"/>
      <c r="X4196" s="38"/>
      <c r="Y4196" s="38"/>
      <c r="Z4196" s="38"/>
      <c r="AA4196" s="38"/>
      <c r="AB4196" s="38"/>
      <c r="AC4196" s="38"/>
      <c r="AD4196" s="38"/>
      <c r="AE4196" s="38"/>
      <c r="AF4196" s="38"/>
      <c r="AG4196" s="38"/>
      <c r="AH4196" s="38"/>
    </row>
    <row r="4197" spans="3:34" ht="20.100000000000001" customHeight="1">
      <c r="C4197" s="113"/>
      <c r="D4197" s="114"/>
      <c r="P4197" s="82"/>
      <c r="Q4197" s="82"/>
      <c r="R4197" s="38"/>
      <c r="S4197" s="38"/>
      <c r="T4197" s="38"/>
      <c r="U4197" s="38"/>
      <c r="V4197" s="38"/>
      <c r="W4197" s="38"/>
      <c r="X4197" s="38"/>
      <c r="Y4197" s="38"/>
      <c r="Z4197" s="38"/>
      <c r="AA4197" s="38"/>
      <c r="AB4197" s="38"/>
      <c r="AC4197" s="38"/>
      <c r="AD4197" s="38"/>
      <c r="AE4197" s="38"/>
      <c r="AF4197" s="38"/>
      <c r="AG4197" s="38"/>
      <c r="AH4197" s="38"/>
    </row>
    <row r="4198" spans="3:34" ht="20.100000000000001" customHeight="1">
      <c r="C4198" s="113"/>
      <c r="D4198" s="114"/>
      <c r="P4198" s="82"/>
      <c r="Q4198" s="82"/>
      <c r="R4198" s="38"/>
      <c r="S4198" s="38"/>
      <c r="T4198" s="38"/>
      <c r="U4198" s="38"/>
      <c r="V4198" s="38"/>
      <c r="W4198" s="38"/>
      <c r="X4198" s="38"/>
      <c r="Y4198" s="38"/>
      <c r="Z4198" s="38"/>
      <c r="AA4198" s="38"/>
      <c r="AB4198" s="38"/>
      <c r="AC4198" s="38"/>
      <c r="AD4198" s="38"/>
      <c r="AE4198" s="38"/>
      <c r="AF4198" s="38"/>
      <c r="AG4198" s="38"/>
      <c r="AH4198" s="38"/>
    </row>
    <row r="4199" spans="3:34" ht="20.100000000000001" customHeight="1">
      <c r="C4199" s="113"/>
      <c r="D4199" s="114"/>
      <c r="P4199" s="82"/>
      <c r="Q4199" s="82"/>
      <c r="R4199" s="38"/>
      <c r="S4199" s="38"/>
      <c r="T4199" s="38"/>
      <c r="U4199" s="38"/>
      <c r="V4199" s="38"/>
      <c r="W4199" s="38"/>
      <c r="X4199" s="38"/>
      <c r="Y4199" s="38"/>
      <c r="Z4199" s="38"/>
      <c r="AA4199" s="38"/>
      <c r="AB4199" s="38"/>
      <c r="AC4199" s="38"/>
      <c r="AD4199" s="38"/>
      <c r="AE4199" s="38"/>
      <c r="AF4199" s="38"/>
      <c r="AG4199" s="38"/>
      <c r="AH4199" s="38"/>
    </row>
    <row r="4200" spans="3:34" ht="20.100000000000001" customHeight="1">
      <c r="C4200" s="113"/>
      <c r="D4200" s="114"/>
      <c r="P4200" s="82"/>
      <c r="Q4200" s="82"/>
      <c r="R4200" s="38"/>
      <c r="S4200" s="38"/>
      <c r="T4200" s="38"/>
      <c r="U4200" s="38"/>
      <c r="V4200" s="38"/>
      <c r="W4200" s="38"/>
      <c r="X4200" s="38"/>
      <c r="Y4200" s="38"/>
      <c r="Z4200" s="38"/>
      <c r="AA4200" s="38"/>
      <c r="AB4200" s="38"/>
      <c r="AC4200" s="38"/>
      <c r="AD4200" s="38"/>
      <c r="AE4200" s="38"/>
      <c r="AF4200" s="38"/>
      <c r="AG4200" s="38"/>
      <c r="AH4200" s="38"/>
    </row>
    <row r="4201" spans="3:34" ht="20.100000000000001" customHeight="1">
      <c r="C4201" s="113"/>
      <c r="D4201" s="114"/>
      <c r="P4201" s="82"/>
      <c r="Q4201" s="82"/>
      <c r="R4201" s="38"/>
      <c r="S4201" s="38"/>
      <c r="T4201" s="38"/>
      <c r="U4201" s="38"/>
      <c r="V4201" s="38"/>
      <c r="W4201" s="38"/>
      <c r="X4201" s="38"/>
      <c r="Y4201" s="38"/>
      <c r="Z4201" s="38"/>
      <c r="AA4201" s="38"/>
      <c r="AB4201" s="38"/>
      <c r="AC4201" s="38"/>
      <c r="AD4201" s="38"/>
      <c r="AE4201" s="38"/>
      <c r="AF4201" s="38"/>
      <c r="AG4201" s="38"/>
      <c r="AH4201" s="38"/>
    </row>
    <row r="4202" spans="3:34" ht="20.100000000000001" customHeight="1">
      <c r="C4202" s="113"/>
      <c r="D4202" s="114"/>
      <c r="P4202" s="82"/>
      <c r="Q4202" s="82"/>
      <c r="R4202" s="38"/>
      <c r="S4202" s="38"/>
      <c r="T4202" s="38"/>
      <c r="U4202" s="38"/>
      <c r="V4202" s="38"/>
      <c r="W4202" s="38"/>
      <c r="X4202" s="38"/>
      <c r="Y4202" s="38"/>
      <c r="Z4202" s="38"/>
      <c r="AA4202" s="38"/>
      <c r="AB4202" s="38"/>
      <c r="AC4202" s="38"/>
      <c r="AD4202" s="38"/>
      <c r="AE4202" s="38"/>
      <c r="AF4202" s="38"/>
      <c r="AG4202" s="38"/>
      <c r="AH4202" s="38"/>
    </row>
    <row r="4203" spans="3:34" ht="20.100000000000001" customHeight="1">
      <c r="C4203" s="113"/>
      <c r="D4203" s="114"/>
      <c r="P4203" s="82"/>
      <c r="Q4203" s="82"/>
      <c r="R4203" s="38"/>
      <c r="S4203" s="38"/>
      <c r="T4203" s="38"/>
      <c r="U4203" s="38"/>
      <c r="V4203" s="38"/>
      <c r="W4203" s="38"/>
      <c r="X4203" s="38"/>
      <c r="Y4203" s="38"/>
      <c r="Z4203" s="38"/>
      <c r="AA4203" s="38"/>
      <c r="AB4203" s="38"/>
      <c r="AC4203" s="38"/>
      <c r="AD4203" s="38"/>
      <c r="AE4203" s="38"/>
      <c r="AF4203" s="38"/>
      <c r="AG4203" s="38"/>
      <c r="AH4203" s="38"/>
    </row>
    <row r="4204" spans="3:34" ht="20.100000000000001" customHeight="1">
      <c r="C4204" s="113"/>
      <c r="D4204" s="114"/>
      <c r="P4204" s="82"/>
      <c r="Q4204" s="82"/>
      <c r="R4204" s="38"/>
      <c r="S4204" s="38"/>
      <c r="T4204" s="38"/>
      <c r="U4204" s="38"/>
      <c r="V4204" s="38"/>
      <c r="W4204" s="38"/>
      <c r="X4204" s="38"/>
      <c r="Y4204" s="38"/>
      <c r="Z4204" s="38"/>
      <c r="AA4204" s="38"/>
      <c r="AB4204" s="38"/>
      <c r="AC4204" s="38"/>
      <c r="AD4204" s="38"/>
      <c r="AE4204" s="38"/>
      <c r="AF4204" s="38"/>
      <c r="AG4204" s="38"/>
      <c r="AH4204" s="38"/>
    </row>
    <row r="4205" spans="3:34" ht="20.100000000000001" customHeight="1">
      <c r="C4205" s="113"/>
      <c r="D4205" s="114"/>
      <c r="P4205" s="82"/>
      <c r="Q4205" s="82"/>
      <c r="R4205" s="38"/>
      <c r="S4205" s="38"/>
      <c r="T4205" s="38"/>
      <c r="U4205" s="38"/>
      <c r="V4205" s="38"/>
      <c r="W4205" s="38"/>
      <c r="X4205" s="38"/>
      <c r="Y4205" s="38"/>
      <c r="Z4205" s="38"/>
      <c r="AA4205" s="38"/>
      <c r="AB4205" s="38"/>
      <c r="AC4205" s="38"/>
      <c r="AD4205" s="38"/>
      <c r="AE4205" s="38"/>
      <c r="AF4205" s="38"/>
      <c r="AG4205" s="38"/>
      <c r="AH4205" s="38"/>
    </row>
    <row r="4206" spans="3:34" ht="20.100000000000001" customHeight="1">
      <c r="C4206" s="113"/>
      <c r="D4206" s="114"/>
      <c r="P4206" s="82"/>
      <c r="Q4206" s="82"/>
      <c r="R4206" s="38"/>
      <c r="S4206" s="38"/>
      <c r="T4206" s="38"/>
      <c r="U4206" s="38"/>
      <c r="V4206" s="38"/>
      <c r="W4206" s="38"/>
      <c r="X4206" s="38"/>
      <c r="Y4206" s="38"/>
      <c r="Z4206" s="38"/>
      <c r="AA4206" s="38"/>
      <c r="AB4206" s="38"/>
      <c r="AC4206" s="38"/>
      <c r="AD4206" s="38"/>
      <c r="AE4206" s="38"/>
      <c r="AF4206" s="38"/>
      <c r="AG4206" s="38"/>
      <c r="AH4206" s="38"/>
    </row>
    <row r="4207" spans="3:34" ht="20.100000000000001" customHeight="1">
      <c r="C4207" s="113"/>
      <c r="D4207" s="114"/>
      <c r="P4207" s="82"/>
      <c r="Q4207" s="82"/>
      <c r="R4207" s="38"/>
      <c r="S4207" s="38"/>
      <c r="T4207" s="38"/>
      <c r="U4207" s="38"/>
      <c r="V4207" s="38"/>
      <c r="W4207" s="38"/>
      <c r="X4207" s="38"/>
      <c r="Y4207" s="38"/>
      <c r="Z4207" s="38"/>
      <c r="AA4207" s="38"/>
      <c r="AB4207" s="38"/>
      <c r="AC4207" s="38"/>
      <c r="AD4207" s="38"/>
      <c r="AE4207" s="38"/>
      <c r="AF4207" s="38"/>
      <c r="AG4207" s="38"/>
      <c r="AH4207" s="38"/>
    </row>
    <row r="4208" spans="3:34" ht="20.100000000000001" customHeight="1">
      <c r="C4208" s="113"/>
      <c r="D4208" s="114"/>
      <c r="P4208" s="82"/>
      <c r="Q4208" s="82"/>
      <c r="R4208" s="38"/>
      <c r="S4208" s="38"/>
      <c r="T4208" s="38"/>
      <c r="U4208" s="38"/>
      <c r="V4208" s="38"/>
      <c r="W4208" s="38"/>
      <c r="X4208" s="38"/>
      <c r="Y4208" s="38"/>
      <c r="Z4208" s="38"/>
      <c r="AA4208" s="38"/>
      <c r="AB4208" s="38"/>
      <c r="AC4208" s="38"/>
      <c r="AD4208" s="38"/>
      <c r="AE4208" s="38"/>
      <c r="AF4208" s="38"/>
      <c r="AG4208" s="38"/>
      <c r="AH4208" s="38"/>
    </row>
    <row r="4209" spans="3:34" ht="20.100000000000001" customHeight="1">
      <c r="C4209" s="113"/>
      <c r="D4209" s="114"/>
      <c r="P4209" s="82"/>
      <c r="Q4209" s="82"/>
      <c r="R4209" s="38"/>
      <c r="S4209" s="38"/>
      <c r="T4209" s="38"/>
      <c r="U4209" s="38"/>
      <c r="V4209" s="38"/>
      <c r="W4209" s="38"/>
      <c r="X4209" s="38"/>
      <c r="Y4209" s="38"/>
      <c r="Z4209" s="38"/>
      <c r="AA4209" s="38"/>
      <c r="AB4209" s="38"/>
      <c r="AC4209" s="38"/>
      <c r="AD4209" s="38"/>
      <c r="AE4209" s="38"/>
      <c r="AF4209" s="38"/>
      <c r="AG4209" s="38"/>
      <c r="AH4209" s="38"/>
    </row>
    <row r="4210" spans="3:34" ht="20.100000000000001" customHeight="1">
      <c r="C4210" s="113"/>
      <c r="D4210" s="114"/>
      <c r="P4210" s="82"/>
      <c r="Q4210" s="82"/>
      <c r="R4210" s="38"/>
      <c r="S4210" s="38"/>
      <c r="T4210" s="38"/>
      <c r="U4210" s="38"/>
      <c r="V4210" s="38"/>
      <c r="W4210" s="38"/>
      <c r="X4210" s="38"/>
      <c r="Y4210" s="38"/>
      <c r="Z4210" s="38"/>
      <c r="AA4210" s="38"/>
      <c r="AB4210" s="38"/>
      <c r="AC4210" s="38"/>
      <c r="AD4210" s="38"/>
      <c r="AE4210" s="38"/>
      <c r="AF4210" s="38"/>
      <c r="AG4210" s="38"/>
      <c r="AH4210" s="38"/>
    </row>
    <row r="4211" spans="3:34" ht="20.100000000000001" customHeight="1">
      <c r="C4211" s="113"/>
      <c r="D4211" s="114"/>
      <c r="P4211" s="82"/>
      <c r="Q4211" s="82"/>
      <c r="R4211" s="38"/>
      <c r="S4211" s="38"/>
      <c r="T4211" s="38"/>
      <c r="U4211" s="38"/>
      <c r="V4211" s="38"/>
      <c r="W4211" s="38"/>
      <c r="X4211" s="38"/>
      <c r="Y4211" s="38"/>
      <c r="Z4211" s="38"/>
      <c r="AA4211" s="38"/>
      <c r="AB4211" s="38"/>
      <c r="AC4211" s="38"/>
      <c r="AD4211" s="38"/>
      <c r="AE4211" s="38"/>
      <c r="AF4211" s="38"/>
      <c r="AG4211" s="38"/>
      <c r="AH4211" s="38"/>
    </row>
    <row r="4212" spans="3:34" ht="20.100000000000001" customHeight="1">
      <c r="C4212" s="113"/>
      <c r="D4212" s="114"/>
      <c r="P4212" s="82"/>
      <c r="Q4212" s="82"/>
      <c r="R4212" s="38"/>
      <c r="S4212" s="38"/>
      <c r="T4212" s="38"/>
      <c r="U4212" s="38"/>
      <c r="V4212" s="38"/>
      <c r="W4212" s="38"/>
      <c r="X4212" s="38"/>
      <c r="Y4212" s="38"/>
      <c r="Z4212" s="38"/>
      <c r="AA4212" s="38"/>
      <c r="AB4212" s="38"/>
      <c r="AC4212" s="38"/>
      <c r="AD4212" s="38"/>
      <c r="AE4212" s="38"/>
      <c r="AF4212" s="38"/>
      <c r="AG4212" s="38"/>
      <c r="AH4212" s="38"/>
    </row>
    <row r="4213" spans="3:34" ht="20.100000000000001" customHeight="1">
      <c r="C4213" s="113"/>
      <c r="D4213" s="114"/>
      <c r="P4213" s="82"/>
      <c r="Q4213" s="82"/>
      <c r="R4213" s="38"/>
      <c r="S4213" s="38"/>
      <c r="T4213" s="38"/>
      <c r="U4213" s="38"/>
      <c r="V4213" s="38"/>
      <c r="W4213" s="38"/>
      <c r="X4213" s="38"/>
      <c r="Y4213" s="38"/>
      <c r="Z4213" s="38"/>
      <c r="AA4213" s="38"/>
      <c r="AB4213" s="38"/>
      <c r="AC4213" s="38"/>
      <c r="AD4213" s="38"/>
      <c r="AE4213" s="38"/>
      <c r="AF4213" s="38"/>
      <c r="AG4213" s="38"/>
      <c r="AH4213" s="38"/>
    </row>
    <row r="4214" spans="3:34" ht="20.100000000000001" customHeight="1">
      <c r="C4214" s="113"/>
      <c r="D4214" s="114"/>
      <c r="P4214" s="82"/>
      <c r="Q4214" s="82"/>
      <c r="R4214" s="38"/>
      <c r="S4214" s="38"/>
      <c r="T4214" s="38"/>
      <c r="U4214" s="38"/>
      <c r="V4214" s="38"/>
      <c r="W4214" s="38"/>
      <c r="X4214" s="38"/>
      <c r="Y4214" s="38"/>
      <c r="Z4214" s="38"/>
      <c r="AA4214" s="38"/>
      <c r="AB4214" s="38"/>
      <c r="AC4214" s="38"/>
      <c r="AD4214" s="38"/>
      <c r="AE4214" s="38"/>
      <c r="AF4214" s="38"/>
      <c r="AG4214" s="38"/>
      <c r="AH4214" s="38"/>
    </row>
    <row r="4215" spans="3:34" ht="20.100000000000001" customHeight="1">
      <c r="C4215" s="113"/>
      <c r="D4215" s="114"/>
      <c r="P4215" s="82"/>
      <c r="Q4215" s="82"/>
      <c r="R4215" s="38"/>
      <c r="S4215" s="38"/>
      <c r="T4215" s="38"/>
      <c r="U4215" s="38"/>
      <c r="V4215" s="38"/>
      <c r="W4215" s="38"/>
      <c r="X4215" s="38"/>
      <c r="Y4215" s="38"/>
      <c r="Z4215" s="38"/>
      <c r="AA4215" s="38"/>
      <c r="AB4215" s="38"/>
      <c r="AC4215" s="38"/>
      <c r="AD4215" s="38"/>
      <c r="AE4215" s="38"/>
      <c r="AF4215" s="38"/>
      <c r="AG4215" s="38"/>
      <c r="AH4215" s="38"/>
    </row>
    <row r="4216" spans="3:34" ht="20.100000000000001" customHeight="1">
      <c r="C4216" s="113"/>
      <c r="D4216" s="114"/>
      <c r="P4216" s="82"/>
      <c r="Q4216" s="82"/>
      <c r="R4216" s="38"/>
      <c r="S4216" s="38"/>
      <c r="T4216" s="38"/>
      <c r="U4216" s="38"/>
      <c r="V4216" s="38"/>
      <c r="W4216" s="38"/>
      <c r="X4216" s="38"/>
      <c r="Y4216" s="38"/>
      <c r="Z4216" s="38"/>
      <c r="AA4216" s="38"/>
      <c r="AB4216" s="38"/>
      <c r="AC4216" s="38"/>
      <c r="AD4216" s="38"/>
      <c r="AE4216" s="38"/>
      <c r="AF4216" s="38"/>
      <c r="AG4216" s="38"/>
      <c r="AH4216" s="38"/>
    </row>
    <row r="4217" spans="3:34" ht="20.100000000000001" customHeight="1">
      <c r="C4217" s="113"/>
      <c r="D4217" s="114"/>
      <c r="P4217" s="82"/>
      <c r="Q4217" s="82"/>
      <c r="R4217" s="38"/>
      <c r="S4217" s="38"/>
      <c r="T4217" s="38"/>
      <c r="U4217" s="38"/>
      <c r="V4217" s="38"/>
      <c r="W4217" s="38"/>
      <c r="X4217" s="38"/>
      <c r="Y4217" s="38"/>
      <c r="Z4217" s="38"/>
      <c r="AA4217" s="38"/>
      <c r="AB4217" s="38"/>
      <c r="AC4217" s="38"/>
      <c r="AD4217" s="38"/>
      <c r="AE4217" s="38"/>
      <c r="AF4217" s="38"/>
      <c r="AG4217" s="38"/>
      <c r="AH4217" s="38"/>
    </row>
    <row r="4218" spans="3:34" ht="20.100000000000001" customHeight="1">
      <c r="C4218" s="113"/>
      <c r="D4218" s="114"/>
      <c r="P4218" s="82"/>
      <c r="Q4218" s="82"/>
      <c r="R4218" s="38"/>
      <c r="S4218" s="38"/>
      <c r="T4218" s="38"/>
      <c r="U4218" s="38"/>
      <c r="V4218" s="38"/>
      <c r="W4218" s="38"/>
      <c r="X4218" s="38"/>
      <c r="Y4218" s="38"/>
      <c r="Z4218" s="38"/>
      <c r="AA4218" s="38"/>
      <c r="AB4218" s="38"/>
      <c r="AC4218" s="38"/>
      <c r="AD4218" s="38"/>
      <c r="AE4218" s="38"/>
      <c r="AF4218" s="38"/>
      <c r="AG4218" s="38"/>
      <c r="AH4218" s="38"/>
    </row>
    <row r="4219" spans="3:34" ht="20.100000000000001" customHeight="1">
      <c r="C4219" s="113"/>
      <c r="D4219" s="114"/>
      <c r="P4219" s="82"/>
      <c r="Q4219" s="82"/>
      <c r="R4219" s="38"/>
      <c r="S4219" s="38"/>
      <c r="T4219" s="38"/>
      <c r="U4219" s="38"/>
      <c r="V4219" s="38"/>
      <c r="W4219" s="38"/>
      <c r="X4219" s="38"/>
      <c r="Y4219" s="38"/>
      <c r="Z4219" s="38"/>
      <c r="AA4219" s="38"/>
      <c r="AB4219" s="38"/>
      <c r="AC4219" s="38"/>
      <c r="AD4219" s="38"/>
      <c r="AE4219" s="38"/>
      <c r="AF4219" s="38"/>
      <c r="AG4219" s="38"/>
      <c r="AH4219" s="38"/>
    </row>
    <row r="4220" spans="3:34" ht="20.100000000000001" customHeight="1">
      <c r="C4220" s="113"/>
      <c r="D4220" s="114"/>
      <c r="P4220" s="82"/>
      <c r="Q4220" s="82"/>
      <c r="R4220" s="38"/>
      <c r="S4220" s="38"/>
      <c r="T4220" s="38"/>
      <c r="U4220" s="38"/>
      <c r="V4220" s="38"/>
      <c r="W4220" s="38"/>
      <c r="X4220" s="38"/>
      <c r="Y4220" s="38"/>
      <c r="Z4220" s="38"/>
      <c r="AA4220" s="38"/>
      <c r="AB4220" s="38"/>
      <c r="AC4220" s="38"/>
      <c r="AD4220" s="38"/>
      <c r="AE4220" s="38"/>
      <c r="AF4220" s="38"/>
      <c r="AG4220" s="38"/>
      <c r="AH4220" s="38"/>
    </row>
    <row r="4221" spans="3:34" ht="20.100000000000001" customHeight="1">
      <c r="C4221" s="113"/>
      <c r="D4221" s="114"/>
      <c r="P4221" s="82"/>
      <c r="Q4221" s="82"/>
      <c r="R4221" s="38"/>
      <c r="S4221" s="38"/>
      <c r="T4221" s="38"/>
      <c r="U4221" s="38"/>
      <c r="V4221" s="38"/>
      <c r="W4221" s="38"/>
      <c r="X4221" s="38"/>
      <c r="Y4221" s="38"/>
      <c r="Z4221" s="38"/>
      <c r="AA4221" s="38"/>
      <c r="AB4221" s="38"/>
      <c r="AC4221" s="38"/>
      <c r="AD4221" s="38"/>
      <c r="AE4221" s="38"/>
      <c r="AF4221" s="38"/>
      <c r="AG4221" s="38"/>
      <c r="AH4221" s="38"/>
    </row>
    <row r="4222" spans="3:34" ht="20.100000000000001" customHeight="1">
      <c r="C4222" s="113"/>
      <c r="D4222" s="114"/>
      <c r="P4222" s="82"/>
      <c r="Q4222" s="82"/>
      <c r="R4222" s="38"/>
      <c r="S4222" s="38"/>
      <c r="T4222" s="38"/>
      <c r="U4222" s="38"/>
      <c r="V4222" s="38"/>
      <c r="W4222" s="38"/>
      <c r="X4222" s="38"/>
      <c r="Y4222" s="38"/>
      <c r="Z4222" s="38"/>
      <c r="AA4222" s="38"/>
      <c r="AB4222" s="38"/>
      <c r="AC4222" s="38"/>
      <c r="AD4222" s="38"/>
      <c r="AE4222" s="38"/>
      <c r="AF4222" s="38"/>
      <c r="AG4222" s="38"/>
      <c r="AH4222" s="38"/>
    </row>
    <row r="4223" spans="3:34" ht="20.100000000000001" customHeight="1">
      <c r="C4223" s="113"/>
      <c r="D4223" s="114"/>
      <c r="P4223" s="82"/>
      <c r="Q4223" s="82"/>
      <c r="R4223" s="38"/>
      <c r="S4223" s="38"/>
      <c r="T4223" s="38"/>
      <c r="U4223" s="38"/>
      <c r="V4223" s="38"/>
      <c r="W4223" s="38"/>
      <c r="X4223" s="38"/>
      <c r="Y4223" s="38"/>
      <c r="Z4223" s="38"/>
      <c r="AA4223" s="38"/>
      <c r="AB4223" s="38"/>
      <c r="AC4223" s="38"/>
      <c r="AD4223" s="38"/>
      <c r="AE4223" s="38"/>
      <c r="AF4223" s="38"/>
      <c r="AG4223" s="38"/>
      <c r="AH4223" s="38"/>
    </row>
    <row r="4224" spans="3:34" ht="20.100000000000001" customHeight="1">
      <c r="C4224" s="113"/>
      <c r="D4224" s="114"/>
      <c r="P4224" s="82"/>
      <c r="Q4224" s="82"/>
      <c r="R4224" s="38"/>
      <c r="S4224" s="38"/>
      <c r="T4224" s="38"/>
      <c r="U4224" s="38"/>
      <c r="V4224" s="38"/>
      <c r="W4224" s="38"/>
      <c r="X4224" s="38"/>
      <c r="Y4224" s="38"/>
      <c r="Z4224" s="38"/>
      <c r="AA4224" s="38"/>
      <c r="AB4224" s="38"/>
      <c r="AC4224" s="38"/>
      <c r="AD4224" s="38"/>
      <c r="AE4224" s="38"/>
      <c r="AF4224" s="38"/>
      <c r="AG4224" s="38"/>
      <c r="AH4224" s="38"/>
    </row>
    <row r="4225" spans="3:34" ht="20.100000000000001" customHeight="1">
      <c r="C4225" s="113"/>
      <c r="D4225" s="114"/>
      <c r="P4225" s="82"/>
      <c r="Q4225" s="82"/>
      <c r="R4225" s="38"/>
      <c r="S4225" s="38"/>
      <c r="T4225" s="38"/>
      <c r="U4225" s="38"/>
      <c r="V4225" s="38"/>
      <c r="W4225" s="38"/>
      <c r="X4225" s="38"/>
      <c r="Y4225" s="38"/>
      <c r="Z4225" s="38"/>
      <c r="AA4225" s="38"/>
      <c r="AB4225" s="38"/>
      <c r="AC4225" s="38"/>
      <c r="AD4225" s="38"/>
      <c r="AE4225" s="38"/>
      <c r="AF4225" s="38"/>
      <c r="AG4225" s="38"/>
      <c r="AH4225" s="38"/>
    </row>
    <row r="4226" spans="3:34" ht="20.100000000000001" customHeight="1">
      <c r="C4226" s="113"/>
      <c r="D4226" s="114"/>
      <c r="P4226" s="82"/>
      <c r="Q4226" s="82"/>
      <c r="R4226" s="38"/>
      <c r="S4226" s="38"/>
      <c r="T4226" s="38"/>
      <c r="U4226" s="38"/>
      <c r="V4226" s="38"/>
      <c r="W4226" s="38"/>
      <c r="X4226" s="38"/>
      <c r="Y4226" s="38"/>
      <c r="Z4226" s="38"/>
      <c r="AA4226" s="38"/>
      <c r="AB4226" s="38"/>
      <c r="AC4226" s="38"/>
      <c r="AD4226" s="38"/>
      <c r="AE4226" s="38"/>
      <c r="AF4226" s="38"/>
      <c r="AG4226" s="38"/>
      <c r="AH4226" s="38"/>
    </row>
    <row r="4227" spans="3:34" ht="20.100000000000001" customHeight="1">
      <c r="C4227" s="113"/>
      <c r="D4227" s="114"/>
      <c r="P4227" s="82"/>
      <c r="Q4227" s="82"/>
      <c r="R4227" s="38"/>
      <c r="S4227" s="38"/>
      <c r="T4227" s="38"/>
      <c r="U4227" s="38"/>
      <c r="V4227" s="38"/>
      <c r="W4227" s="38"/>
      <c r="X4227" s="38"/>
      <c r="Y4227" s="38"/>
      <c r="Z4227" s="38"/>
      <c r="AA4227" s="38"/>
      <c r="AB4227" s="38"/>
      <c r="AC4227" s="38"/>
      <c r="AD4227" s="38"/>
      <c r="AE4227" s="38"/>
      <c r="AF4227" s="38"/>
      <c r="AG4227" s="38"/>
      <c r="AH4227" s="38"/>
    </row>
    <row r="4228" spans="3:34" ht="20.100000000000001" customHeight="1">
      <c r="C4228" s="113"/>
      <c r="D4228" s="114"/>
      <c r="P4228" s="82"/>
      <c r="Q4228" s="82"/>
      <c r="R4228" s="38"/>
      <c r="S4228" s="38"/>
      <c r="T4228" s="38"/>
      <c r="U4228" s="38"/>
      <c r="V4228" s="38"/>
      <c r="W4228" s="38"/>
      <c r="X4228" s="38"/>
      <c r="Y4228" s="38"/>
      <c r="Z4228" s="38"/>
      <c r="AA4228" s="38"/>
      <c r="AB4228" s="38"/>
      <c r="AC4228" s="38"/>
      <c r="AD4228" s="38"/>
      <c r="AE4228" s="38"/>
      <c r="AF4228" s="38"/>
      <c r="AG4228" s="38"/>
      <c r="AH4228" s="38"/>
    </row>
    <row r="4229" spans="3:34" ht="20.100000000000001" customHeight="1">
      <c r="C4229" s="113"/>
      <c r="D4229" s="114"/>
      <c r="P4229" s="82"/>
      <c r="Q4229" s="82"/>
      <c r="R4229" s="38"/>
      <c r="S4229" s="38"/>
      <c r="T4229" s="38"/>
      <c r="U4229" s="38"/>
      <c r="V4229" s="38"/>
      <c r="W4229" s="38"/>
      <c r="X4229" s="38"/>
      <c r="Y4229" s="38"/>
      <c r="Z4229" s="38"/>
      <c r="AA4229" s="38"/>
      <c r="AB4229" s="38"/>
      <c r="AC4229" s="38"/>
      <c r="AD4229" s="38"/>
      <c r="AE4229" s="38"/>
      <c r="AF4229" s="38"/>
      <c r="AG4229" s="38"/>
      <c r="AH4229" s="38"/>
    </row>
    <row r="4230" spans="3:34" ht="20.100000000000001" customHeight="1">
      <c r="C4230" s="113"/>
      <c r="D4230" s="114"/>
      <c r="P4230" s="82"/>
      <c r="Q4230" s="82"/>
      <c r="R4230" s="38"/>
      <c r="S4230" s="38"/>
      <c r="T4230" s="38"/>
      <c r="U4230" s="38"/>
      <c r="V4230" s="38"/>
      <c r="W4230" s="38"/>
      <c r="X4230" s="38"/>
      <c r="Y4230" s="38"/>
      <c r="Z4230" s="38"/>
      <c r="AA4230" s="38"/>
      <c r="AB4230" s="38"/>
      <c r="AC4230" s="38"/>
      <c r="AD4230" s="38"/>
      <c r="AE4230" s="38"/>
      <c r="AF4230" s="38"/>
      <c r="AG4230" s="38"/>
      <c r="AH4230" s="38"/>
    </row>
    <row r="4231" spans="3:34" ht="20.100000000000001" customHeight="1">
      <c r="C4231" s="113"/>
      <c r="D4231" s="114"/>
      <c r="P4231" s="82"/>
      <c r="Q4231" s="82"/>
      <c r="R4231" s="38"/>
      <c r="S4231" s="38"/>
      <c r="T4231" s="38"/>
      <c r="U4231" s="38"/>
      <c r="V4231" s="38"/>
      <c r="W4231" s="38"/>
      <c r="X4231" s="38"/>
      <c r="Y4231" s="38"/>
      <c r="Z4231" s="38"/>
      <c r="AA4231" s="38"/>
      <c r="AB4231" s="38"/>
      <c r="AC4231" s="38"/>
      <c r="AD4231" s="38"/>
      <c r="AE4231" s="38"/>
      <c r="AF4231" s="38"/>
      <c r="AG4231" s="38"/>
      <c r="AH4231" s="38"/>
    </row>
    <row r="4232" spans="3:34" ht="20.100000000000001" customHeight="1">
      <c r="C4232" s="113"/>
      <c r="D4232" s="114"/>
      <c r="P4232" s="82"/>
      <c r="Q4232" s="82"/>
      <c r="R4232" s="38"/>
      <c r="S4232" s="38"/>
      <c r="T4232" s="38"/>
      <c r="U4232" s="38"/>
      <c r="V4232" s="38"/>
      <c r="W4232" s="38"/>
      <c r="X4232" s="38"/>
      <c r="Y4232" s="38"/>
      <c r="Z4232" s="38"/>
      <c r="AA4232" s="38"/>
      <c r="AB4232" s="38"/>
      <c r="AC4232" s="38"/>
      <c r="AD4232" s="38"/>
      <c r="AE4232" s="38"/>
      <c r="AF4232" s="38"/>
      <c r="AG4232" s="38"/>
      <c r="AH4232" s="38"/>
    </row>
    <row r="4233" spans="3:34" ht="20.100000000000001" customHeight="1">
      <c r="C4233" s="113"/>
      <c r="D4233" s="114"/>
      <c r="P4233" s="82"/>
      <c r="Q4233" s="82"/>
      <c r="R4233" s="38"/>
      <c r="S4233" s="38"/>
      <c r="T4233" s="38"/>
      <c r="U4233" s="38"/>
      <c r="V4233" s="38"/>
      <c r="W4233" s="38"/>
      <c r="X4233" s="38"/>
      <c r="Y4233" s="38"/>
      <c r="Z4233" s="38"/>
      <c r="AA4233" s="38"/>
      <c r="AB4233" s="38"/>
      <c r="AC4233" s="38"/>
      <c r="AD4233" s="38"/>
      <c r="AE4233" s="38"/>
      <c r="AF4233" s="38"/>
      <c r="AG4233" s="38"/>
      <c r="AH4233" s="38"/>
    </row>
    <row r="4234" spans="3:34" ht="20.100000000000001" customHeight="1">
      <c r="C4234" s="113"/>
      <c r="D4234" s="114"/>
      <c r="P4234" s="82"/>
      <c r="Q4234" s="82"/>
      <c r="R4234" s="38"/>
      <c r="S4234" s="38"/>
      <c r="T4234" s="38"/>
      <c r="U4234" s="38"/>
      <c r="V4234" s="38"/>
      <c r="W4234" s="38"/>
      <c r="X4234" s="38"/>
      <c r="Y4234" s="38"/>
      <c r="Z4234" s="38"/>
      <c r="AA4234" s="38"/>
      <c r="AB4234" s="38"/>
      <c r="AC4234" s="38"/>
      <c r="AD4234" s="38"/>
      <c r="AE4234" s="38"/>
      <c r="AF4234" s="38"/>
      <c r="AG4234" s="38"/>
      <c r="AH4234" s="38"/>
    </row>
    <row r="4235" spans="3:34" ht="20.100000000000001" customHeight="1">
      <c r="C4235" s="113"/>
      <c r="D4235" s="114"/>
      <c r="P4235" s="82"/>
      <c r="Q4235" s="82"/>
      <c r="R4235" s="38"/>
      <c r="S4235" s="38"/>
      <c r="T4235" s="38"/>
      <c r="U4235" s="38"/>
      <c r="V4235" s="38"/>
      <c r="W4235" s="38"/>
      <c r="X4235" s="38"/>
      <c r="Y4235" s="38"/>
      <c r="Z4235" s="38"/>
      <c r="AA4235" s="38"/>
      <c r="AB4235" s="38"/>
      <c r="AC4235" s="38"/>
      <c r="AD4235" s="38"/>
      <c r="AE4235" s="38"/>
      <c r="AF4235" s="38"/>
      <c r="AG4235" s="38"/>
      <c r="AH4235" s="38"/>
    </row>
    <row r="4236" spans="3:34" ht="20.100000000000001" customHeight="1">
      <c r="C4236" s="113"/>
      <c r="D4236" s="114"/>
      <c r="P4236" s="82"/>
      <c r="Q4236" s="82"/>
      <c r="R4236" s="38"/>
      <c r="S4236" s="38"/>
      <c r="T4236" s="38"/>
      <c r="U4236" s="38"/>
      <c r="V4236" s="38"/>
      <c r="W4236" s="38"/>
      <c r="X4236" s="38"/>
      <c r="Y4236" s="38"/>
      <c r="Z4236" s="38"/>
      <c r="AA4236" s="38"/>
      <c r="AB4236" s="38"/>
      <c r="AC4236" s="38"/>
      <c r="AD4236" s="38"/>
      <c r="AE4236" s="38"/>
      <c r="AF4236" s="38"/>
      <c r="AG4236" s="38"/>
      <c r="AH4236" s="38"/>
    </row>
    <row r="4237" spans="3:34" ht="20.100000000000001" customHeight="1">
      <c r="C4237" s="113"/>
      <c r="D4237" s="114"/>
      <c r="P4237" s="82"/>
      <c r="Q4237" s="82"/>
      <c r="R4237" s="38"/>
      <c r="S4237" s="38"/>
      <c r="T4237" s="38"/>
      <c r="U4237" s="38"/>
      <c r="V4237" s="38"/>
      <c r="W4237" s="38"/>
      <c r="X4237" s="38"/>
      <c r="Y4237" s="38"/>
      <c r="Z4237" s="38"/>
      <c r="AA4237" s="38"/>
      <c r="AB4237" s="38"/>
      <c r="AC4237" s="38"/>
      <c r="AD4237" s="38"/>
      <c r="AE4237" s="38"/>
      <c r="AF4237" s="38"/>
      <c r="AG4237" s="38"/>
      <c r="AH4237" s="38"/>
    </row>
    <row r="4238" spans="3:34" ht="20.100000000000001" customHeight="1">
      <c r="C4238" s="113"/>
      <c r="D4238" s="114"/>
      <c r="P4238" s="82"/>
      <c r="Q4238" s="82"/>
      <c r="R4238" s="38"/>
      <c r="S4238" s="38"/>
      <c r="T4238" s="38"/>
      <c r="U4238" s="38"/>
      <c r="V4238" s="38"/>
      <c r="W4238" s="38"/>
      <c r="X4238" s="38"/>
      <c r="Y4238" s="38"/>
      <c r="Z4238" s="38"/>
      <c r="AA4238" s="38"/>
      <c r="AB4238" s="38"/>
      <c r="AC4238" s="38"/>
      <c r="AD4238" s="38"/>
      <c r="AE4238" s="38"/>
      <c r="AF4238" s="38"/>
      <c r="AG4238" s="38"/>
      <c r="AH4238" s="38"/>
    </row>
    <row r="4239" spans="3:34" ht="20.100000000000001" customHeight="1">
      <c r="C4239" s="113"/>
      <c r="D4239" s="114"/>
      <c r="P4239" s="82"/>
      <c r="Q4239" s="82"/>
      <c r="R4239" s="38"/>
      <c r="S4239" s="38"/>
      <c r="T4239" s="38"/>
      <c r="U4239" s="38"/>
      <c r="V4239" s="38"/>
      <c r="W4239" s="38"/>
      <c r="X4239" s="38"/>
      <c r="Y4239" s="38"/>
      <c r="Z4239" s="38"/>
      <c r="AA4239" s="38"/>
      <c r="AB4239" s="38"/>
      <c r="AC4239" s="38"/>
      <c r="AD4239" s="38"/>
      <c r="AE4239" s="38"/>
      <c r="AF4239" s="38"/>
      <c r="AG4239" s="38"/>
      <c r="AH4239" s="38"/>
    </row>
    <row r="4240" spans="3:34" ht="20.100000000000001" customHeight="1">
      <c r="C4240" s="113"/>
      <c r="D4240" s="114"/>
      <c r="P4240" s="82"/>
      <c r="Q4240" s="82"/>
      <c r="R4240" s="38"/>
      <c r="S4240" s="38"/>
      <c r="T4240" s="38"/>
      <c r="U4240" s="38"/>
      <c r="V4240" s="38"/>
      <c r="W4240" s="38"/>
      <c r="X4240" s="38"/>
      <c r="Y4240" s="38"/>
      <c r="Z4240" s="38"/>
      <c r="AA4240" s="38"/>
      <c r="AB4240" s="38"/>
      <c r="AC4240" s="38"/>
      <c r="AD4240" s="38"/>
      <c r="AE4240" s="38"/>
      <c r="AF4240" s="38"/>
      <c r="AG4240" s="38"/>
      <c r="AH4240" s="38"/>
    </row>
    <row r="4241" spans="3:34" ht="20.100000000000001" customHeight="1">
      <c r="C4241" s="113"/>
      <c r="D4241" s="114"/>
      <c r="P4241" s="82"/>
      <c r="Q4241" s="82"/>
      <c r="R4241" s="38"/>
      <c r="S4241" s="38"/>
      <c r="T4241" s="38"/>
      <c r="U4241" s="38"/>
      <c r="V4241" s="38"/>
      <c r="W4241" s="38"/>
      <c r="X4241" s="38"/>
      <c r="Y4241" s="38"/>
      <c r="Z4241" s="38"/>
      <c r="AA4241" s="38"/>
      <c r="AB4241" s="38"/>
      <c r="AC4241" s="38"/>
      <c r="AD4241" s="38"/>
      <c r="AE4241" s="38"/>
      <c r="AF4241" s="38"/>
      <c r="AG4241" s="38"/>
      <c r="AH4241" s="38"/>
    </row>
    <row r="4242" spans="3:34" ht="20.100000000000001" customHeight="1">
      <c r="C4242" s="113"/>
      <c r="D4242" s="114"/>
      <c r="P4242" s="82"/>
      <c r="Q4242" s="82"/>
      <c r="R4242" s="38"/>
      <c r="S4242" s="38"/>
      <c r="T4242" s="38"/>
      <c r="U4242" s="38"/>
      <c r="V4242" s="38"/>
      <c r="W4242" s="38"/>
      <c r="X4242" s="38"/>
      <c r="Y4242" s="38"/>
      <c r="Z4242" s="38"/>
      <c r="AA4242" s="38"/>
      <c r="AB4242" s="38"/>
      <c r="AC4242" s="38"/>
      <c r="AD4242" s="38"/>
      <c r="AE4242" s="38"/>
      <c r="AF4242" s="38"/>
      <c r="AG4242" s="38"/>
      <c r="AH4242" s="38"/>
    </row>
    <row r="4243" spans="3:34" ht="20.100000000000001" customHeight="1">
      <c r="C4243" s="113"/>
      <c r="D4243" s="114"/>
      <c r="P4243" s="82"/>
      <c r="Q4243" s="82"/>
      <c r="R4243" s="38"/>
      <c r="S4243" s="38"/>
      <c r="T4243" s="38"/>
      <c r="U4243" s="38"/>
      <c r="V4243" s="38"/>
      <c r="W4243" s="38"/>
      <c r="X4243" s="38"/>
      <c r="Y4243" s="38"/>
      <c r="Z4243" s="38"/>
      <c r="AA4243" s="38"/>
      <c r="AB4243" s="38"/>
      <c r="AC4243" s="38"/>
      <c r="AD4243" s="38"/>
      <c r="AE4243" s="38"/>
      <c r="AF4243" s="38"/>
      <c r="AG4243" s="38"/>
      <c r="AH4243" s="38"/>
    </row>
    <row r="4244" spans="3:34" ht="20.100000000000001" customHeight="1">
      <c r="C4244" s="113"/>
      <c r="D4244" s="114"/>
      <c r="P4244" s="82"/>
      <c r="Q4244" s="82"/>
      <c r="R4244" s="38"/>
      <c r="S4244" s="38"/>
      <c r="T4244" s="38"/>
      <c r="U4244" s="38"/>
      <c r="V4244" s="38"/>
      <c r="W4244" s="38"/>
      <c r="X4244" s="38"/>
      <c r="Y4244" s="38"/>
      <c r="Z4244" s="38"/>
      <c r="AA4244" s="38"/>
      <c r="AB4244" s="38"/>
      <c r="AC4244" s="38"/>
      <c r="AD4244" s="38"/>
      <c r="AE4244" s="38"/>
      <c r="AF4244" s="38"/>
      <c r="AG4244" s="38"/>
      <c r="AH4244" s="38"/>
    </row>
    <row r="4245" spans="3:34" ht="20.100000000000001" customHeight="1">
      <c r="C4245" s="113"/>
      <c r="D4245" s="114"/>
      <c r="P4245" s="82"/>
      <c r="Q4245" s="82"/>
      <c r="R4245" s="38"/>
      <c r="S4245" s="38"/>
      <c r="T4245" s="38"/>
      <c r="U4245" s="38"/>
      <c r="V4245" s="38"/>
      <c r="W4245" s="38"/>
      <c r="X4245" s="38"/>
      <c r="Y4245" s="38"/>
      <c r="Z4245" s="38"/>
      <c r="AA4245" s="38"/>
      <c r="AB4245" s="38"/>
      <c r="AC4245" s="38"/>
      <c r="AD4245" s="38"/>
      <c r="AE4245" s="38"/>
      <c r="AF4245" s="38"/>
      <c r="AG4245" s="38"/>
      <c r="AH4245" s="38"/>
    </row>
    <row r="4246" spans="3:34" ht="20.100000000000001" customHeight="1">
      <c r="C4246" s="113"/>
      <c r="D4246" s="114"/>
      <c r="P4246" s="82"/>
      <c r="Q4246" s="82"/>
      <c r="R4246" s="38"/>
      <c r="S4246" s="38"/>
      <c r="T4246" s="38"/>
      <c r="U4246" s="38"/>
      <c r="V4246" s="38"/>
      <c r="W4246" s="38"/>
      <c r="X4246" s="38"/>
      <c r="Y4246" s="38"/>
      <c r="Z4246" s="38"/>
      <c r="AA4246" s="38"/>
      <c r="AB4246" s="38"/>
      <c r="AC4246" s="38"/>
      <c r="AD4246" s="38"/>
      <c r="AE4246" s="38"/>
      <c r="AF4246" s="38"/>
      <c r="AG4246" s="38"/>
      <c r="AH4246" s="38"/>
    </row>
    <row r="4247" spans="3:34" ht="20.100000000000001" customHeight="1">
      <c r="C4247" s="113"/>
      <c r="D4247" s="114"/>
      <c r="P4247" s="82"/>
      <c r="Q4247" s="82"/>
      <c r="R4247" s="38"/>
      <c r="S4247" s="38"/>
      <c r="T4247" s="38"/>
      <c r="U4247" s="38"/>
      <c r="V4247" s="38"/>
      <c r="W4247" s="38"/>
      <c r="X4247" s="38"/>
      <c r="Y4247" s="38"/>
      <c r="Z4247" s="38"/>
      <c r="AA4247" s="38"/>
      <c r="AB4247" s="38"/>
      <c r="AC4247" s="38"/>
      <c r="AD4247" s="38"/>
      <c r="AE4247" s="38"/>
      <c r="AF4247" s="38"/>
      <c r="AG4247" s="38"/>
      <c r="AH4247" s="38"/>
    </row>
    <row r="4248" spans="3:34" ht="20.100000000000001" customHeight="1">
      <c r="C4248" s="113"/>
      <c r="D4248" s="114"/>
      <c r="P4248" s="82"/>
      <c r="Q4248" s="82"/>
      <c r="R4248" s="38"/>
      <c r="S4248" s="38"/>
      <c r="T4248" s="38"/>
      <c r="U4248" s="38"/>
      <c r="V4248" s="38"/>
      <c r="W4248" s="38"/>
      <c r="X4248" s="38"/>
      <c r="Y4248" s="38"/>
      <c r="Z4248" s="38"/>
      <c r="AA4248" s="38"/>
      <c r="AB4248" s="38"/>
      <c r="AC4248" s="38"/>
      <c r="AD4248" s="38"/>
      <c r="AE4248" s="38"/>
      <c r="AF4248" s="38"/>
      <c r="AG4248" s="38"/>
      <c r="AH4248" s="38"/>
    </row>
    <row r="4249" spans="3:34" ht="20.100000000000001" customHeight="1">
      <c r="C4249" s="113"/>
      <c r="D4249" s="114"/>
      <c r="P4249" s="82"/>
      <c r="Q4249" s="82"/>
      <c r="R4249" s="38"/>
      <c r="S4249" s="38"/>
      <c r="T4249" s="38"/>
      <c r="U4249" s="38"/>
      <c r="V4249" s="38"/>
      <c r="W4249" s="38"/>
      <c r="X4249" s="38"/>
      <c r="Y4249" s="38"/>
      <c r="Z4249" s="38"/>
      <c r="AA4249" s="38"/>
      <c r="AB4249" s="38"/>
      <c r="AC4249" s="38"/>
      <c r="AD4249" s="38"/>
      <c r="AE4249" s="38"/>
      <c r="AF4249" s="38"/>
      <c r="AG4249" s="38"/>
      <c r="AH4249" s="38"/>
    </row>
    <row r="4250" spans="3:34" ht="20.100000000000001" customHeight="1">
      <c r="C4250" s="113"/>
      <c r="D4250" s="114"/>
      <c r="P4250" s="82"/>
      <c r="Q4250" s="82"/>
      <c r="R4250" s="38"/>
      <c r="S4250" s="38"/>
      <c r="T4250" s="38"/>
      <c r="U4250" s="38"/>
      <c r="V4250" s="38"/>
      <c r="W4250" s="38"/>
      <c r="X4250" s="38"/>
      <c r="Y4250" s="38"/>
      <c r="Z4250" s="38"/>
      <c r="AA4250" s="38"/>
      <c r="AB4250" s="38"/>
      <c r="AC4250" s="38"/>
      <c r="AD4250" s="38"/>
      <c r="AE4250" s="38"/>
      <c r="AF4250" s="38"/>
      <c r="AG4250" s="38"/>
      <c r="AH4250" s="38"/>
    </row>
    <row r="4251" spans="3:34" ht="20.100000000000001" customHeight="1">
      <c r="C4251" s="113"/>
      <c r="D4251" s="114"/>
      <c r="P4251" s="82"/>
      <c r="Q4251" s="82"/>
      <c r="R4251" s="38"/>
      <c r="S4251" s="38"/>
      <c r="T4251" s="38"/>
      <c r="U4251" s="38"/>
      <c r="V4251" s="38"/>
      <c r="W4251" s="38"/>
      <c r="X4251" s="38"/>
      <c r="Y4251" s="38"/>
      <c r="Z4251" s="38"/>
      <c r="AA4251" s="38"/>
      <c r="AB4251" s="38"/>
      <c r="AC4251" s="38"/>
      <c r="AD4251" s="38"/>
      <c r="AE4251" s="38"/>
      <c r="AF4251" s="38"/>
      <c r="AG4251" s="38"/>
      <c r="AH4251" s="38"/>
    </row>
    <row r="4252" spans="3:34" ht="20.100000000000001" customHeight="1">
      <c r="C4252" s="113"/>
      <c r="D4252" s="114"/>
      <c r="P4252" s="82"/>
      <c r="Q4252" s="82"/>
      <c r="R4252" s="38"/>
      <c r="S4252" s="38"/>
      <c r="T4252" s="38"/>
      <c r="U4252" s="38"/>
      <c r="V4252" s="38"/>
      <c r="W4252" s="38"/>
      <c r="X4252" s="38"/>
      <c r="Y4252" s="38"/>
      <c r="Z4252" s="38"/>
      <c r="AA4252" s="38"/>
      <c r="AB4252" s="38"/>
      <c r="AC4252" s="38"/>
      <c r="AD4252" s="38"/>
      <c r="AE4252" s="38"/>
      <c r="AF4252" s="38"/>
      <c r="AG4252" s="38"/>
      <c r="AH4252" s="38"/>
    </row>
    <row r="4253" spans="3:34" ht="20.100000000000001" customHeight="1">
      <c r="C4253" s="113"/>
      <c r="D4253" s="114"/>
      <c r="P4253" s="82"/>
      <c r="Q4253" s="82"/>
      <c r="R4253" s="38"/>
      <c r="S4253" s="38"/>
      <c r="T4253" s="38"/>
      <c r="U4253" s="38"/>
      <c r="V4253" s="38"/>
      <c r="W4253" s="38"/>
      <c r="X4253" s="38"/>
      <c r="Y4253" s="38"/>
      <c r="Z4253" s="38"/>
      <c r="AA4253" s="38"/>
      <c r="AB4253" s="38"/>
      <c r="AC4253" s="38"/>
      <c r="AD4253" s="38"/>
      <c r="AE4253" s="38"/>
      <c r="AF4253" s="38"/>
      <c r="AG4253" s="38"/>
      <c r="AH4253" s="38"/>
    </row>
    <row r="4254" spans="3:34" ht="20.100000000000001" customHeight="1">
      <c r="C4254" s="113"/>
      <c r="D4254" s="114"/>
      <c r="P4254" s="82"/>
      <c r="Q4254" s="82"/>
      <c r="R4254" s="38"/>
      <c r="S4254" s="38"/>
      <c r="T4254" s="38"/>
      <c r="U4254" s="38"/>
      <c r="V4254" s="38"/>
      <c r="W4254" s="38"/>
      <c r="X4254" s="38"/>
      <c r="Y4254" s="38"/>
      <c r="Z4254" s="38"/>
      <c r="AA4254" s="38"/>
      <c r="AB4254" s="38"/>
      <c r="AC4254" s="38"/>
      <c r="AD4254" s="38"/>
      <c r="AE4254" s="38"/>
      <c r="AF4254" s="38"/>
      <c r="AG4254" s="38"/>
      <c r="AH4254" s="38"/>
    </row>
    <row r="4255" spans="3:34" ht="20.100000000000001" customHeight="1">
      <c r="C4255" s="113"/>
      <c r="D4255" s="114"/>
      <c r="P4255" s="82"/>
      <c r="Q4255" s="82"/>
      <c r="R4255" s="38"/>
      <c r="S4255" s="38"/>
      <c r="T4255" s="38"/>
      <c r="U4255" s="38"/>
      <c r="V4255" s="38"/>
      <c r="W4255" s="38"/>
      <c r="X4255" s="38"/>
      <c r="Y4255" s="38"/>
      <c r="Z4255" s="38"/>
      <c r="AA4255" s="38"/>
      <c r="AB4255" s="38"/>
      <c r="AC4255" s="38"/>
      <c r="AD4255" s="38"/>
      <c r="AE4255" s="38"/>
      <c r="AF4255" s="38"/>
      <c r="AG4255" s="38"/>
      <c r="AH4255" s="38"/>
    </row>
    <row r="4256" spans="3:34" ht="20.100000000000001" customHeight="1">
      <c r="C4256" s="113"/>
      <c r="D4256" s="114"/>
      <c r="P4256" s="82"/>
      <c r="Q4256" s="82"/>
      <c r="R4256" s="38"/>
      <c r="S4256" s="38"/>
      <c r="T4256" s="38"/>
      <c r="U4256" s="38"/>
      <c r="V4256" s="38"/>
      <c r="W4256" s="38"/>
      <c r="X4256" s="38"/>
      <c r="Y4256" s="38"/>
      <c r="Z4256" s="38"/>
      <c r="AA4256" s="38"/>
      <c r="AB4256" s="38"/>
      <c r="AC4256" s="38"/>
      <c r="AD4256" s="38"/>
      <c r="AE4256" s="38"/>
      <c r="AF4256" s="38"/>
      <c r="AG4256" s="38"/>
      <c r="AH4256" s="38"/>
    </row>
    <row r="4257" spans="3:34" ht="20.100000000000001" customHeight="1">
      <c r="C4257" s="113"/>
      <c r="D4257" s="114"/>
      <c r="P4257" s="82"/>
      <c r="Q4257" s="82"/>
      <c r="R4257" s="38"/>
      <c r="S4257" s="38"/>
      <c r="T4257" s="38"/>
      <c r="U4257" s="38"/>
      <c r="V4257" s="38"/>
      <c r="W4257" s="38"/>
      <c r="X4257" s="38"/>
      <c r="Y4257" s="38"/>
      <c r="Z4257" s="38"/>
      <c r="AA4257" s="38"/>
      <c r="AB4257" s="38"/>
      <c r="AC4257" s="38"/>
      <c r="AD4257" s="38"/>
      <c r="AE4257" s="38"/>
      <c r="AF4257" s="38"/>
      <c r="AG4257" s="38"/>
      <c r="AH4257" s="38"/>
    </row>
    <row r="4258" spans="3:34" ht="20.100000000000001" customHeight="1">
      <c r="C4258" s="113"/>
      <c r="D4258" s="114"/>
      <c r="P4258" s="82"/>
      <c r="Q4258" s="82"/>
      <c r="R4258" s="38"/>
      <c r="S4258" s="38"/>
      <c r="T4258" s="38"/>
      <c r="U4258" s="38"/>
      <c r="V4258" s="38"/>
      <c r="W4258" s="38"/>
      <c r="X4258" s="38"/>
      <c r="Y4258" s="38"/>
      <c r="Z4258" s="38"/>
      <c r="AA4258" s="38"/>
      <c r="AB4258" s="38"/>
      <c r="AC4258" s="38"/>
      <c r="AD4258" s="38"/>
      <c r="AE4258" s="38"/>
      <c r="AF4258" s="38"/>
      <c r="AG4258" s="38"/>
      <c r="AH4258" s="38"/>
    </row>
    <row r="4259" spans="3:34" ht="20.100000000000001" customHeight="1">
      <c r="C4259" s="113"/>
      <c r="D4259" s="114"/>
      <c r="P4259" s="82"/>
      <c r="Q4259" s="82"/>
      <c r="R4259" s="38"/>
      <c r="S4259" s="38"/>
      <c r="T4259" s="38"/>
      <c r="U4259" s="38"/>
      <c r="V4259" s="38"/>
      <c r="W4259" s="38"/>
      <c r="X4259" s="38"/>
      <c r="Y4259" s="38"/>
      <c r="Z4259" s="38"/>
      <c r="AA4259" s="38"/>
      <c r="AB4259" s="38"/>
      <c r="AC4259" s="38"/>
      <c r="AD4259" s="38"/>
      <c r="AE4259" s="38"/>
      <c r="AF4259" s="38"/>
      <c r="AG4259" s="38"/>
      <c r="AH4259" s="38"/>
    </row>
    <row r="4260" spans="3:34" ht="20.100000000000001" customHeight="1">
      <c r="C4260" s="113"/>
      <c r="D4260" s="114"/>
      <c r="P4260" s="82"/>
      <c r="Q4260" s="82"/>
      <c r="R4260" s="38"/>
      <c r="S4260" s="38"/>
      <c r="T4260" s="38"/>
      <c r="U4260" s="38"/>
      <c r="V4260" s="38"/>
      <c r="W4260" s="38"/>
      <c r="X4260" s="38"/>
      <c r="Y4260" s="38"/>
      <c r="Z4260" s="38"/>
      <c r="AA4260" s="38"/>
      <c r="AB4260" s="38"/>
      <c r="AC4260" s="38"/>
      <c r="AD4260" s="38"/>
      <c r="AE4260" s="38"/>
      <c r="AF4260" s="38"/>
      <c r="AG4260" s="38"/>
      <c r="AH4260" s="38"/>
    </row>
    <row r="4261" spans="3:34" ht="20.100000000000001" customHeight="1">
      <c r="C4261" s="113"/>
      <c r="D4261" s="114"/>
      <c r="P4261" s="82"/>
      <c r="Q4261" s="82"/>
      <c r="R4261" s="38"/>
      <c r="S4261" s="38"/>
      <c r="T4261" s="38"/>
      <c r="U4261" s="38"/>
      <c r="V4261" s="38"/>
      <c r="W4261" s="38"/>
      <c r="X4261" s="38"/>
      <c r="Y4261" s="38"/>
      <c r="Z4261" s="38"/>
      <c r="AA4261" s="38"/>
      <c r="AB4261" s="38"/>
      <c r="AC4261" s="38"/>
      <c r="AD4261" s="38"/>
      <c r="AE4261" s="38"/>
      <c r="AF4261" s="38"/>
      <c r="AG4261" s="38"/>
      <c r="AH4261" s="38"/>
    </row>
    <row r="4262" spans="3:34" ht="20.100000000000001" customHeight="1">
      <c r="C4262" s="113"/>
      <c r="D4262" s="114"/>
      <c r="P4262" s="82"/>
      <c r="Q4262" s="82"/>
      <c r="R4262" s="38"/>
      <c r="S4262" s="38"/>
      <c r="T4262" s="38"/>
      <c r="U4262" s="38"/>
      <c r="V4262" s="38"/>
      <c r="W4262" s="38"/>
      <c r="X4262" s="38"/>
      <c r="Y4262" s="38"/>
      <c r="Z4262" s="38"/>
      <c r="AA4262" s="38"/>
      <c r="AB4262" s="38"/>
      <c r="AC4262" s="38"/>
      <c r="AD4262" s="38"/>
      <c r="AE4262" s="38"/>
      <c r="AF4262" s="38"/>
      <c r="AG4262" s="38"/>
      <c r="AH4262" s="38"/>
    </row>
    <row r="4263" spans="3:34" ht="20.100000000000001" customHeight="1">
      <c r="C4263" s="113"/>
      <c r="D4263" s="114"/>
      <c r="P4263" s="82"/>
      <c r="Q4263" s="82"/>
      <c r="R4263" s="38"/>
      <c r="S4263" s="38"/>
      <c r="T4263" s="38"/>
      <c r="U4263" s="38"/>
      <c r="V4263" s="38"/>
      <c r="W4263" s="38"/>
      <c r="X4263" s="38"/>
      <c r="Y4263" s="38"/>
      <c r="Z4263" s="38"/>
      <c r="AA4263" s="38"/>
      <c r="AB4263" s="38"/>
      <c r="AC4263" s="38"/>
      <c r="AD4263" s="38"/>
      <c r="AE4263" s="38"/>
      <c r="AF4263" s="38"/>
      <c r="AG4263" s="38"/>
      <c r="AH4263" s="38"/>
    </row>
    <row r="4264" spans="3:34" ht="20.100000000000001" customHeight="1">
      <c r="C4264" s="113"/>
      <c r="D4264" s="114"/>
      <c r="P4264" s="82"/>
      <c r="Q4264" s="82"/>
      <c r="R4264" s="38"/>
      <c r="S4264" s="38"/>
      <c r="T4264" s="38"/>
      <c r="U4264" s="38"/>
      <c r="V4264" s="38"/>
      <c r="W4264" s="38"/>
      <c r="X4264" s="38"/>
      <c r="Y4264" s="38"/>
      <c r="Z4264" s="38"/>
      <c r="AA4264" s="38"/>
      <c r="AB4264" s="38"/>
      <c r="AC4264" s="38"/>
      <c r="AD4264" s="38"/>
      <c r="AE4264" s="38"/>
      <c r="AF4264" s="38"/>
      <c r="AG4264" s="38"/>
      <c r="AH4264" s="38"/>
    </row>
    <row r="4265" spans="3:34" ht="20.100000000000001" customHeight="1">
      <c r="C4265" s="113"/>
      <c r="D4265" s="114"/>
      <c r="P4265" s="82"/>
      <c r="Q4265" s="82"/>
      <c r="R4265" s="38"/>
      <c r="S4265" s="38"/>
      <c r="T4265" s="38"/>
      <c r="U4265" s="38"/>
      <c r="V4265" s="38"/>
      <c r="W4265" s="38"/>
      <c r="X4265" s="38"/>
      <c r="Y4265" s="38"/>
      <c r="Z4265" s="38"/>
      <c r="AA4265" s="38"/>
      <c r="AB4265" s="38"/>
      <c r="AC4265" s="38"/>
      <c r="AD4265" s="38"/>
      <c r="AE4265" s="38"/>
      <c r="AF4265" s="38"/>
      <c r="AG4265" s="38"/>
      <c r="AH4265" s="38"/>
    </row>
    <row r="4266" spans="3:34" ht="20.100000000000001" customHeight="1">
      <c r="C4266" s="113"/>
      <c r="D4266" s="114"/>
      <c r="P4266" s="82"/>
      <c r="Q4266" s="82"/>
      <c r="R4266" s="38"/>
      <c r="S4266" s="38"/>
      <c r="T4266" s="38"/>
      <c r="U4266" s="38"/>
      <c r="V4266" s="38"/>
      <c r="W4266" s="38"/>
      <c r="X4266" s="38"/>
      <c r="Y4266" s="38"/>
      <c r="Z4266" s="38"/>
      <c r="AA4266" s="38"/>
      <c r="AB4266" s="38"/>
      <c r="AC4266" s="38"/>
      <c r="AD4266" s="38"/>
      <c r="AE4266" s="38"/>
      <c r="AF4266" s="38"/>
      <c r="AG4266" s="38"/>
      <c r="AH4266" s="38"/>
    </row>
    <row r="4267" spans="3:34" ht="20.100000000000001" customHeight="1">
      <c r="C4267" s="113"/>
      <c r="D4267" s="114"/>
      <c r="P4267" s="82"/>
      <c r="Q4267" s="82"/>
      <c r="R4267" s="38"/>
      <c r="S4267" s="38"/>
      <c r="T4267" s="38"/>
      <c r="U4267" s="38"/>
      <c r="V4267" s="38"/>
      <c r="W4267" s="38"/>
      <c r="X4267" s="38"/>
      <c r="Y4267" s="38"/>
      <c r="Z4267" s="38"/>
      <c r="AA4267" s="38"/>
      <c r="AB4267" s="38"/>
      <c r="AC4267" s="38"/>
      <c r="AD4267" s="38"/>
      <c r="AE4267" s="38"/>
      <c r="AF4267" s="38"/>
      <c r="AG4267" s="38"/>
      <c r="AH4267" s="38"/>
    </row>
    <row r="4268" spans="3:34" ht="20.100000000000001" customHeight="1">
      <c r="C4268" s="113"/>
      <c r="D4268" s="114"/>
      <c r="P4268" s="82"/>
      <c r="Q4268" s="82"/>
      <c r="R4268" s="38"/>
      <c r="S4268" s="38"/>
      <c r="T4268" s="38"/>
      <c r="U4268" s="38"/>
      <c r="V4268" s="38"/>
      <c r="W4268" s="38"/>
      <c r="X4268" s="38"/>
      <c r="Y4268" s="38"/>
      <c r="Z4268" s="38"/>
      <c r="AA4268" s="38"/>
      <c r="AB4268" s="38"/>
      <c r="AC4268" s="38"/>
      <c r="AD4268" s="38"/>
      <c r="AE4268" s="38"/>
      <c r="AF4268" s="38"/>
      <c r="AG4268" s="38"/>
      <c r="AH4268" s="38"/>
    </row>
    <row r="4269" spans="3:34" ht="20.100000000000001" customHeight="1">
      <c r="C4269" s="113"/>
      <c r="D4269" s="114"/>
      <c r="P4269" s="82"/>
      <c r="Q4269" s="82"/>
      <c r="R4269" s="38"/>
      <c r="S4269" s="38"/>
      <c r="T4269" s="38"/>
      <c r="U4269" s="38"/>
      <c r="V4269" s="38"/>
      <c r="W4269" s="38"/>
      <c r="X4269" s="38"/>
      <c r="Y4269" s="38"/>
      <c r="Z4269" s="38"/>
      <c r="AA4269" s="38"/>
      <c r="AB4269" s="38"/>
      <c r="AC4269" s="38"/>
      <c r="AD4269" s="38"/>
      <c r="AE4269" s="38"/>
      <c r="AF4269" s="38"/>
      <c r="AG4269" s="38"/>
      <c r="AH4269" s="38"/>
    </row>
    <row r="4270" spans="3:34" ht="20.100000000000001" customHeight="1">
      <c r="C4270" s="113"/>
      <c r="D4270" s="114"/>
      <c r="P4270" s="82"/>
      <c r="Q4270" s="82"/>
      <c r="R4270" s="38"/>
      <c r="S4270" s="38"/>
      <c r="T4270" s="38"/>
      <c r="U4270" s="38"/>
      <c r="V4270" s="38"/>
      <c r="W4270" s="38"/>
      <c r="X4270" s="38"/>
      <c r="Y4270" s="38"/>
      <c r="Z4270" s="38"/>
      <c r="AA4270" s="38"/>
      <c r="AB4270" s="38"/>
      <c r="AC4270" s="38"/>
      <c r="AD4270" s="38"/>
      <c r="AE4270" s="38"/>
      <c r="AF4270" s="38"/>
      <c r="AG4270" s="38"/>
      <c r="AH4270" s="38"/>
    </row>
    <row r="4271" spans="3:34" ht="20.100000000000001" customHeight="1">
      <c r="C4271" s="113"/>
      <c r="D4271" s="114"/>
      <c r="P4271" s="82"/>
      <c r="Q4271" s="82"/>
      <c r="R4271" s="38"/>
      <c r="S4271" s="38"/>
      <c r="T4271" s="38"/>
      <c r="U4271" s="38"/>
      <c r="V4271" s="38"/>
      <c r="W4271" s="38"/>
      <c r="X4271" s="38"/>
      <c r="Y4271" s="38"/>
      <c r="Z4271" s="38"/>
      <c r="AA4271" s="38"/>
      <c r="AB4271" s="38"/>
      <c r="AC4271" s="38"/>
      <c r="AD4271" s="38"/>
      <c r="AE4271" s="38"/>
      <c r="AF4271" s="38"/>
      <c r="AG4271" s="38"/>
      <c r="AH4271" s="38"/>
    </row>
    <row r="4272" spans="3:34" ht="20.100000000000001" customHeight="1">
      <c r="C4272" s="113"/>
      <c r="D4272" s="114"/>
      <c r="P4272" s="82"/>
      <c r="Q4272" s="82"/>
      <c r="R4272" s="38"/>
      <c r="S4272" s="38"/>
      <c r="T4272" s="38"/>
      <c r="U4272" s="38"/>
      <c r="V4272" s="38"/>
      <c r="W4272" s="38"/>
      <c r="X4272" s="38"/>
      <c r="Y4272" s="38"/>
      <c r="Z4272" s="38"/>
      <c r="AA4272" s="38"/>
      <c r="AB4272" s="38"/>
      <c r="AC4272" s="38"/>
      <c r="AD4272" s="38"/>
      <c r="AE4272" s="38"/>
      <c r="AF4272" s="38"/>
      <c r="AG4272" s="38"/>
      <c r="AH4272" s="38"/>
    </row>
    <row r="4273" spans="3:34" ht="20.100000000000001" customHeight="1">
      <c r="C4273" s="113"/>
      <c r="D4273" s="114"/>
      <c r="P4273" s="82"/>
      <c r="Q4273" s="82"/>
      <c r="R4273" s="38"/>
      <c r="S4273" s="38"/>
      <c r="T4273" s="38"/>
      <c r="U4273" s="38"/>
      <c r="V4273" s="38"/>
      <c r="W4273" s="38"/>
      <c r="X4273" s="38"/>
      <c r="Y4273" s="38"/>
      <c r="Z4273" s="38"/>
      <c r="AA4273" s="38"/>
      <c r="AB4273" s="38"/>
      <c r="AC4273" s="38"/>
      <c r="AD4273" s="38"/>
      <c r="AE4273" s="38"/>
      <c r="AF4273" s="38"/>
      <c r="AG4273" s="38"/>
      <c r="AH4273" s="38"/>
    </row>
    <row r="4274" spans="3:34" ht="20.100000000000001" customHeight="1">
      <c r="C4274" s="113"/>
      <c r="D4274" s="114"/>
      <c r="P4274" s="82"/>
      <c r="Q4274" s="82"/>
      <c r="R4274" s="38"/>
      <c r="S4274" s="38"/>
      <c r="T4274" s="38"/>
      <c r="U4274" s="38"/>
      <c r="V4274" s="38"/>
      <c r="W4274" s="38"/>
      <c r="X4274" s="38"/>
      <c r="Y4274" s="38"/>
      <c r="Z4274" s="38"/>
      <c r="AA4274" s="38"/>
      <c r="AB4274" s="38"/>
      <c r="AC4274" s="38"/>
      <c r="AD4274" s="38"/>
      <c r="AE4274" s="38"/>
      <c r="AF4274" s="38"/>
      <c r="AG4274" s="38"/>
      <c r="AH4274" s="38"/>
    </row>
    <row r="4275" spans="3:34" ht="20.100000000000001" customHeight="1">
      <c r="C4275" s="113"/>
      <c r="D4275" s="114"/>
      <c r="P4275" s="82"/>
      <c r="Q4275" s="82"/>
      <c r="R4275" s="38"/>
      <c r="S4275" s="38"/>
      <c r="T4275" s="38"/>
      <c r="U4275" s="38"/>
      <c r="V4275" s="38"/>
      <c r="W4275" s="38"/>
      <c r="X4275" s="38"/>
      <c r="Y4275" s="38"/>
      <c r="Z4275" s="38"/>
      <c r="AA4275" s="38"/>
      <c r="AB4275" s="38"/>
      <c r="AC4275" s="38"/>
      <c r="AD4275" s="38"/>
      <c r="AE4275" s="38"/>
      <c r="AF4275" s="38"/>
      <c r="AG4275" s="38"/>
      <c r="AH4275" s="38"/>
    </row>
    <row r="4276" spans="3:34" ht="20.100000000000001" customHeight="1">
      <c r="C4276" s="113"/>
      <c r="D4276" s="114"/>
      <c r="P4276" s="82"/>
      <c r="Q4276" s="82"/>
      <c r="R4276" s="38"/>
      <c r="S4276" s="38"/>
      <c r="T4276" s="38"/>
      <c r="U4276" s="38"/>
      <c r="V4276" s="38"/>
      <c r="W4276" s="38"/>
      <c r="X4276" s="38"/>
      <c r="Y4276" s="38"/>
      <c r="Z4276" s="38"/>
      <c r="AA4276" s="38"/>
      <c r="AB4276" s="38"/>
      <c r="AC4276" s="38"/>
      <c r="AD4276" s="38"/>
      <c r="AE4276" s="38"/>
      <c r="AF4276" s="38"/>
      <c r="AG4276" s="38"/>
      <c r="AH4276" s="38"/>
    </row>
    <row r="4277" spans="3:34" ht="20.100000000000001" customHeight="1">
      <c r="C4277" s="113"/>
      <c r="D4277" s="114"/>
      <c r="P4277" s="82"/>
      <c r="Q4277" s="82"/>
      <c r="R4277" s="38"/>
      <c r="S4277" s="38"/>
      <c r="T4277" s="38"/>
      <c r="U4277" s="38"/>
      <c r="V4277" s="38"/>
      <c r="W4277" s="38"/>
      <c r="X4277" s="38"/>
      <c r="Y4277" s="38"/>
      <c r="Z4277" s="38"/>
      <c r="AA4277" s="38"/>
      <c r="AB4277" s="38"/>
      <c r="AC4277" s="38"/>
      <c r="AD4277" s="38"/>
      <c r="AE4277" s="38"/>
      <c r="AF4277" s="38"/>
      <c r="AG4277" s="38"/>
      <c r="AH4277" s="38"/>
    </row>
    <row r="4278" spans="3:34" ht="20.100000000000001" customHeight="1">
      <c r="C4278" s="113"/>
      <c r="D4278" s="114"/>
      <c r="P4278" s="82"/>
      <c r="Q4278" s="82"/>
      <c r="R4278" s="38"/>
      <c r="S4278" s="38"/>
      <c r="T4278" s="38"/>
      <c r="U4278" s="38"/>
      <c r="V4278" s="38"/>
      <c r="W4278" s="38"/>
      <c r="X4278" s="38"/>
      <c r="Y4278" s="38"/>
      <c r="Z4278" s="38"/>
      <c r="AA4278" s="38"/>
      <c r="AB4278" s="38"/>
      <c r="AC4278" s="38"/>
      <c r="AD4278" s="38"/>
      <c r="AE4278" s="38"/>
      <c r="AF4278" s="38"/>
      <c r="AG4278" s="38"/>
      <c r="AH4278" s="38"/>
    </row>
    <row r="4279" spans="3:34" ht="20.100000000000001" customHeight="1">
      <c r="C4279" s="113"/>
      <c r="D4279" s="114"/>
      <c r="P4279" s="82"/>
      <c r="Q4279" s="82"/>
      <c r="R4279" s="38"/>
      <c r="S4279" s="38"/>
      <c r="T4279" s="38"/>
      <c r="U4279" s="38"/>
      <c r="V4279" s="38"/>
      <c r="W4279" s="38"/>
      <c r="X4279" s="38"/>
      <c r="Y4279" s="38"/>
      <c r="Z4279" s="38"/>
      <c r="AA4279" s="38"/>
      <c r="AB4279" s="38"/>
      <c r="AC4279" s="38"/>
      <c r="AD4279" s="38"/>
      <c r="AE4279" s="38"/>
      <c r="AF4279" s="38"/>
      <c r="AG4279" s="38"/>
      <c r="AH4279" s="38"/>
    </row>
    <row r="4280" spans="3:34" ht="20.100000000000001" customHeight="1">
      <c r="C4280" s="113"/>
      <c r="D4280" s="114"/>
      <c r="P4280" s="82"/>
      <c r="Q4280" s="82"/>
      <c r="R4280" s="38"/>
      <c r="S4280" s="38"/>
      <c r="T4280" s="38"/>
      <c r="U4280" s="38"/>
      <c r="V4280" s="38"/>
      <c r="W4280" s="38"/>
      <c r="X4280" s="38"/>
      <c r="Y4280" s="38"/>
      <c r="Z4280" s="38"/>
      <c r="AA4280" s="38"/>
      <c r="AB4280" s="38"/>
      <c r="AC4280" s="38"/>
      <c r="AD4280" s="38"/>
      <c r="AE4280" s="38"/>
      <c r="AF4280" s="38"/>
      <c r="AG4280" s="38"/>
      <c r="AH4280" s="38"/>
    </row>
    <row r="4281" spans="3:34" ht="20.100000000000001" customHeight="1">
      <c r="C4281" s="113"/>
      <c r="D4281" s="114"/>
      <c r="P4281" s="82"/>
      <c r="Q4281" s="82"/>
      <c r="R4281" s="38"/>
      <c r="S4281" s="38"/>
      <c r="T4281" s="38"/>
      <c r="U4281" s="38"/>
      <c r="V4281" s="38"/>
      <c r="W4281" s="38"/>
      <c r="X4281" s="38"/>
      <c r="Y4281" s="38"/>
      <c r="Z4281" s="38"/>
      <c r="AA4281" s="38"/>
      <c r="AB4281" s="38"/>
      <c r="AC4281" s="38"/>
      <c r="AD4281" s="38"/>
      <c r="AE4281" s="38"/>
      <c r="AF4281" s="38"/>
      <c r="AG4281" s="38"/>
      <c r="AH4281" s="38"/>
    </row>
    <row r="4282" spans="3:34" ht="20.100000000000001" customHeight="1">
      <c r="C4282" s="113"/>
      <c r="D4282" s="114"/>
      <c r="P4282" s="82"/>
      <c r="Q4282" s="82"/>
      <c r="R4282" s="38"/>
      <c r="S4282" s="38"/>
      <c r="T4282" s="38"/>
      <c r="U4282" s="38"/>
      <c r="V4282" s="38"/>
      <c r="W4282" s="38"/>
      <c r="X4282" s="38"/>
      <c r="Y4282" s="38"/>
      <c r="Z4282" s="38"/>
      <c r="AA4282" s="38"/>
      <c r="AB4282" s="38"/>
      <c r="AC4282" s="38"/>
      <c r="AD4282" s="38"/>
      <c r="AE4282" s="38"/>
      <c r="AF4282" s="38"/>
      <c r="AG4282" s="38"/>
      <c r="AH4282" s="38"/>
    </row>
    <row r="4283" spans="3:34" ht="20.100000000000001" customHeight="1">
      <c r="C4283" s="113"/>
      <c r="D4283" s="114"/>
      <c r="P4283" s="82"/>
      <c r="Q4283" s="82"/>
      <c r="R4283" s="38"/>
      <c r="S4283" s="38"/>
      <c r="T4283" s="38"/>
      <c r="U4283" s="38"/>
      <c r="V4283" s="38"/>
      <c r="W4283" s="38"/>
      <c r="X4283" s="38"/>
      <c r="Y4283" s="38"/>
      <c r="Z4283" s="38"/>
      <c r="AA4283" s="38"/>
      <c r="AB4283" s="38"/>
      <c r="AC4283" s="38"/>
      <c r="AD4283" s="38"/>
      <c r="AE4283" s="38"/>
      <c r="AF4283" s="38"/>
      <c r="AG4283" s="38"/>
      <c r="AH4283" s="38"/>
    </row>
    <row r="4284" spans="3:34" ht="20.100000000000001" customHeight="1">
      <c r="C4284" s="113"/>
      <c r="D4284" s="114"/>
      <c r="P4284" s="82"/>
      <c r="Q4284" s="82"/>
      <c r="R4284" s="38"/>
      <c r="S4284" s="38"/>
      <c r="T4284" s="38"/>
      <c r="U4284" s="38"/>
      <c r="V4284" s="38"/>
      <c r="W4284" s="38"/>
      <c r="X4284" s="38"/>
      <c r="Y4284" s="38"/>
      <c r="Z4284" s="38"/>
      <c r="AA4284" s="38"/>
      <c r="AB4284" s="38"/>
      <c r="AC4284" s="38"/>
      <c r="AD4284" s="38"/>
      <c r="AE4284" s="38"/>
      <c r="AF4284" s="38"/>
      <c r="AG4284" s="38"/>
      <c r="AH4284" s="38"/>
    </row>
    <row r="4285" spans="3:34" ht="20.100000000000001" customHeight="1">
      <c r="C4285" s="113"/>
      <c r="D4285" s="114"/>
      <c r="P4285" s="82"/>
      <c r="Q4285" s="82"/>
      <c r="R4285" s="38"/>
      <c r="S4285" s="38"/>
      <c r="T4285" s="38"/>
      <c r="U4285" s="38"/>
      <c r="V4285" s="38"/>
      <c r="W4285" s="38"/>
      <c r="X4285" s="38"/>
      <c r="Y4285" s="38"/>
      <c r="Z4285" s="38"/>
      <c r="AA4285" s="38"/>
      <c r="AB4285" s="38"/>
      <c r="AC4285" s="38"/>
      <c r="AD4285" s="38"/>
      <c r="AE4285" s="38"/>
      <c r="AF4285" s="38"/>
      <c r="AG4285" s="38"/>
      <c r="AH4285" s="38"/>
    </row>
    <row r="4286" spans="3:34" ht="20.100000000000001" customHeight="1">
      <c r="C4286" s="113"/>
      <c r="D4286" s="114"/>
      <c r="P4286" s="82"/>
      <c r="Q4286" s="82"/>
      <c r="R4286" s="38"/>
      <c r="S4286" s="38"/>
      <c r="T4286" s="38"/>
      <c r="U4286" s="38"/>
      <c r="V4286" s="38"/>
      <c r="W4286" s="38"/>
      <c r="X4286" s="38"/>
      <c r="Y4286" s="38"/>
      <c r="Z4286" s="38"/>
      <c r="AA4286" s="38"/>
      <c r="AB4286" s="38"/>
      <c r="AC4286" s="38"/>
      <c r="AD4286" s="38"/>
      <c r="AE4286" s="38"/>
      <c r="AF4286" s="38"/>
      <c r="AG4286" s="38"/>
      <c r="AH4286" s="38"/>
    </row>
    <row r="4287" spans="3:34" ht="20.100000000000001" customHeight="1">
      <c r="C4287" s="113"/>
      <c r="D4287" s="114"/>
      <c r="P4287" s="82"/>
      <c r="Q4287" s="82"/>
      <c r="R4287" s="38"/>
      <c r="S4287" s="38"/>
      <c r="T4287" s="38"/>
      <c r="U4287" s="38"/>
      <c r="V4287" s="38"/>
      <c r="W4287" s="38"/>
      <c r="X4287" s="38"/>
      <c r="Y4287" s="38"/>
      <c r="Z4287" s="38"/>
      <c r="AA4287" s="38"/>
      <c r="AB4287" s="38"/>
      <c r="AC4287" s="38"/>
      <c r="AD4287" s="38"/>
      <c r="AE4287" s="38"/>
      <c r="AF4287" s="38"/>
      <c r="AG4287" s="38"/>
      <c r="AH4287" s="38"/>
    </row>
    <row r="4288" spans="3:34" ht="20.100000000000001" customHeight="1">
      <c r="C4288" s="113"/>
      <c r="D4288" s="114"/>
      <c r="P4288" s="82"/>
      <c r="Q4288" s="82"/>
      <c r="R4288" s="38"/>
      <c r="S4288" s="38"/>
      <c r="T4288" s="38"/>
      <c r="U4288" s="38"/>
      <c r="V4288" s="38"/>
      <c r="W4288" s="38"/>
      <c r="X4288" s="38"/>
      <c r="Y4288" s="38"/>
      <c r="Z4288" s="38"/>
      <c r="AA4288" s="38"/>
      <c r="AB4288" s="38"/>
      <c r="AC4288" s="38"/>
      <c r="AD4288" s="38"/>
      <c r="AE4288" s="38"/>
      <c r="AF4288" s="38"/>
      <c r="AG4288" s="38"/>
      <c r="AH4288" s="38"/>
    </row>
    <row r="4289" spans="3:34" ht="20.100000000000001" customHeight="1">
      <c r="C4289" s="113"/>
      <c r="D4289" s="114"/>
      <c r="P4289" s="82"/>
      <c r="Q4289" s="82"/>
      <c r="R4289" s="38"/>
      <c r="S4289" s="38"/>
      <c r="T4289" s="38"/>
      <c r="U4289" s="38"/>
      <c r="V4289" s="38"/>
      <c r="W4289" s="38"/>
      <c r="X4289" s="38"/>
      <c r="Y4289" s="38"/>
      <c r="Z4289" s="38"/>
      <c r="AA4289" s="38"/>
      <c r="AB4289" s="38"/>
      <c r="AC4289" s="38"/>
      <c r="AD4289" s="38"/>
      <c r="AE4289" s="38"/>
      <c r="AF4289" s="38"/>
      <c r="AG4289" s="38"/>
      <c r="AH4289" s="38"/>
    </row>
    <row r="4290" spans="3:34" ht="20.100000000000001" customHeight="1">
      <c r="C4290" s="113"/>
      <c r="D4290" s="114"/>
      <c r="P4290" s="82"/>
      <c r="Q4290" s="82"/>
      <c r="R4290" s="38"/>
      <c r="S4290" s="38"/>
      <c r="T4290" s="38"/>
      <c r="U4290" s="38"/>
      <c r="V4290" s="38"/>
      <c r="W4290" s="38"/>
      <c r="X4290" s="38"/>
      <c r="Y4290" s="38"/>
      <c r="Z4290" s="38"/>
      <c r="AA4290" s="38"/>
      <c r="AB4290" s="38"/>
      <c r="AC4290" s="38"/>
      <c r="AD4290" s="38"/>
      <c r="AE4290" s="38"/>
      <c r="AF4290" s="38"/>
      <c r="AG4290" s="38"/>
      <c r="AH4290" s="38"/>
    </row>
    <row r="4291" spans="3:34" ht="20.100000000000001" customHeight="1">
      <c r="C4291" s="113"/>
      <c r="D4291" s="114"/>
      <c r="P4291" s="82"/>
      <c r="Q4291" s="82"/>
      <c r="R4291" s="38"/>
      <c r="S4291" s="38"/>
      <c r="T4291" s="38"/>
      <c r="U4291" s="38"/>
      <c r="V4291" s="38"/>
      <c r="W4291" s="38"/>
      <c r="X4291" s="38"/>
      <c r="Y4291" s="38"/>
      <c r="Z4291" s="38"/>
      <c r="AA4291" s="38"/>
      <c r="AB4291" s="38"/>
      <c r="AC4291" s="38"/>
      <c r="AD4291" s="38"/>
      <c r="AE4291" s="38"/>
      <c r="AF4291" s="38"/>
      <c r="AG4291" s="38"/>
      <c r="AH4291" s="38"/>
    </row>
    <row r="4292" spans="3:34" ht="20.100000000000001" customHeight="1">
      <c r="C4292" s="113"/>
      <c r="D4292" s="114"/>
      <c r="P4292" s="82"/>
      <c r="Q4292" s="82"/>
      <c r="R4292" s="38"/>
      <c r="S4292" s="38"/>
      <c r="T4292" s="38"/>
      <c r="U4292" s="38"/>
      <c r="V4292" s="38"/>
      <c r="W4292" s="38"/>
      <c r="X4292" s="38"/>
      <c r="Y4292" s="38"/>
      <c r="Z4292" s="38"/>
      <c r="AA4292" s="38"/>
      <c r="AB4292" s="38"/>
      <c r="AC4292" s="38"/>
      <c r="AD4292" s="38"/>
      <c r="AE4292" s="38"/>
      <c r="AF4292" s="38"/>
      <c r="AG4292" s="38"/>
      <c r="AH4292" s="38"/>
    </row>
    <row r="4293" spans="3:34" ht="20.100000000000001" customHeight="1">
      <c r="C4293" s="113"/>
      <c r="D4293" s="114"/>
      <c r="P4293" s="82"/>
      <c r="Q4293" s="82"/>
      <c r="R4293" s="38"/>
      <c r="S4293" s="38"/>
      <c r="T4293" s="38"/>
      <c r="U4293" s="38"/>
      <c r="V4293" s="38"/>
      <c r="W4293" s="38"/>
      <c r="X4293" s="38"/>
      <c r="Y4293" s="38"/>
      <c r="Z4293" s="38"/>
      <c r="AA4293" s="38"/>
      <c r="AB4293" s="38"/>
      <c r="AC4293" s="38"/>
      <c r="AD4293" s="38"/>
      <c r="AE4293" s="38"/>
      <c r="AF4293" s="38"/>
      <c r="AG4293" s="38"/>
      <c r="AH4293" s="38"/>
    </row>
    <row r="4294" spans="3:34" ht="20.100000000000001" customHeight="1">
      <c r="C4294" s="113"/>
      <c r="D4294" s="114"/>
      <c r="P4294" s="82"/>
      <c r="Q4294" s="82"/>
      <c r="R4294" s="38"/>
      <c r="S4294" s="38"/>
      <c r="T4294" s="38"/>
      <c r="U4294" s="38"/>
      <c r="V4294" s="38"/>
      <c r="W4294" s="38"/>
      <c r="X4294" s="38"/>
      <c r="Y4294" s="38"/>
      <c r="Z4294" s="38"/>
      <c r="AA4294" s="38"/>
      <c r="AB4294" s="38"/>
      <c r="AC4294" s="38"/>
      <c r="AD4294" s="38"/>
      <c r="AE4294" s="38"/>
      <c r="AF4294" s="38"/>
      <c r="AG4294" s="38"/>
      <c r="AH4294" s="38"/>
    </row>
    <row r="4295" spans="3:34" ht="20.100000000000001" customHeight="1">
      <c r="C4295" s="113"/>
      <c r="D4295" s="114"/>
      <c r="P4295" s="82"/>
      <c r="Q4295" s="82"/>
      <c r="R4295" s="38"/>
      <c r="S4295" s="38"/>
      <c r="T4295" s="38"/>
      <c r="U4295" s="38"/>
      <c r="V4295" s="38"/>
      <c r="W4295" s="38"/>
      <c r="X4295" s="38"/>
      <c r="Y4295" s="38"/>
      <c r="Z4295" s="38"/>
      <c r="AA4295" s="38"/>
      <c r="AB4295" s="38"/>
      <c r="AC4295" s="38"/>
      <c r="AD4295" s="38"/>
      <c r="AE4295" s="38"/>
      <c r="AF4295" s="38"/>
      <c r="AG4295" s="38"/>
      <c r="AH4295" s="38"/>
    </row>
    <row r="4296" spans="3:34" ht="20.100000000000001" customHeight="1">
      <c r="C4296" s="113"/>
      <c r="D4296" s="114"/>
      <c r="P4296" s="82"/>
      <c r="Q4296" s="82"/>
      <c r="R4296" s="38"/>
      <c r="S4296" s="38"/>
      <c r="T4296" s="38"/>
      <c r="U4296" s="38"/>
      <c r="V4296" s="38"/>
      <c r="W4296" s="38"/>
      <c r="X4296" s="38"/>
      <c r="Y4296" s="38"/>
      <c r="Z4296" s="38"/>
      <c r="AA4296" s="38"/>
      <c r="AB4296" s="38"/>
      <c r="AC4296" s="38"/>
      <c r="AD4296" s="38"/>
      <c r="AE4296" s="38"/>
      <c r="AF4296" s="38"/>
      <c r="AG4296" s="38"/>
      <c r="AH4296" s="38"/>
    </row>
    <row r="4297" spans="3:34" ht="20.100000000000001" customHeight="1">
      <c r="C4297" s="113"/>
      <c r="D4297" s="114"/>
      <c r="P4297" s="82"/>
      <c r="Q4297" s="82"/>
      <c r="R4297" s="38"/>
      <c r="S4297" s="38"/>
      <c r="T4297" s="38"/>
      <c r="U4297" s="38"/>
      <c r="V4297" s="38"/>
      <c r="W4297" s="38"/>
      <c r="X4297" s="38"/>
      <c r="Y4297" s="38"/>
      <c r="Z4297" s="38"/>
      <c r="AA4297" s="38"/>
      <c r="AB4297" s="38"/>
      <c r="AC4297" s="38"/>
      <c r="AD4297" s="38"/>
      <c r="AE4297" s="38"/>
      <c r="AF4297" s="38"/>
      <c r="AG4297" s="38"/>
      <c r="AH4297" s="38"/>
    </row>
    <row r="4298" spans="3:34" ht="20.100000000000001" customHeight="1">
      <c r="C4298" s="113"/>
      <c r="D4298" s="114"/>
      <c r="P4298" s="82"/>
      <c r="Q4298" s="82"/>
      <c r="R4298" s="38"/>
      <c r="S4298" s="38"/>
      <c r="T4298" s="38"/>
      <c r="U4298" s="38"/>
      <c r="V4298" s="38"/>
      <c r="W4298" s="38"/>
      <c r="X4298" s="38"/>
      <c r="Y4298" s="38"/>
      <c r="Z4298" s="38"/>
      <c r="AA4298" s="38"/>
      <c r="AB4298" s="38"/>
      <c r="AC4298" s="38"/>
      <c r="AD4298" s="38"/>
      <c r="AE4298" s="38"/>
      <c r="AF4298" s="38"/>
      <c r="AG4298" s="38"/>
      <c r="AH4298" s="38"/>
    </row>
    <row r="4299" spans="3:34" ht="20.100000000000001" customHeight="1">
      <c r="C4299" s="113"/>
      <c r="D4299" s="114"/>
      <c r="P4299" s="82"/>
      <c r="Q4299" s="82"/>
      <c r="R4299" s="38"/>
      <c r="S4299" s="38"/>
      <c r="T4299" s="38"/>
      <c r="U4299" s="38"/>
      <c r="V4299" s="38"/>
      <c r="W4299" s="38"/>
      <c r="X4299" s="38"/>
      <c r="Y4299" s="38"/>
      <c r="Z4299" s="38"/>
      <c r="AA4299" s="38"/>
      <c r="AB4299" s="38"/>
      <c r="AC4299" s="38"/>
      <c r="AD4299" s="38"/>
      <c r="AE4299" s="38"/>
      <c r="AF4299" s="38"/>
      <c r="AG4299" s="38"/>
      <c r="AH4299" s="38"/>
    </row>
    <row r="4300" spans="3:34" ht="20.100000000000001" customHeight="1">
      <c r="C4300" s="113"/>
      <c r="D4300" s="114"/>
      <c r="P4300" s="82"/>
      <c r="Q4300" s="82"/>
      <c r="R4300" s="38"/>
      <c r="S4300" s="38"/>
      <c r="T4300" s="38"/>
      <c r="U4300" s="38"/>
      <c r="V4300" s="38"/>
      <c r="W4300" s="38"/>
      <c r="X4300" s="38"/>
      <c r="Y4300" s="38"/>
      <c r="Z4300" s="38"/>
      <c r="AA4300" s="38"/>
      <c r="AB4300" s="38"/>
      <c r="AC4300" s="38"/>
      <c r="AD4300" s="38"/>
      <c r="AE4300" s="38"/>
      <c r="AF4300" s="38"/>
      <c r="AG4300" s="38"/>
      <c r="AH4300" s="38"/>
    </row>
    <row r="4301" spans="3:34" ht="20.100000000000001" customHeight="1">
      <c r="C4301" s="113"/>
      <c r="D4301" s="114"/>
      <c r="P4301" s="82"/>
      <c r="Q4301" s="82"/>
      <c r="R4301" s="38"/>
      <c r="S4301" s="38"/>
      <c r="T4301" s="38"/>
      <c r="U4301" s="38"/>
      <c r="V4301" s="38"/>
      <c r="W4301" s="38"/>
      <c r="X4301" s="38"/>
      <c r="Y4301" s="38"/>
      <c r="Z4301" s="38"/>
      <c r="AA4301" s="38"/>
      <c r="AB4301" s="38"/>
      <c r="AC4301" s="38"/>
      <c r="AD4301" s="38"/>
      <c r="AE4301" s="38"/>
      <c r="AF4301" s="38"/>
      <c r="AG4301" s="38"/>
      <c r="AH4301" s="38"/>
    </row>
    <row r="4302" spans="3:34" ht="20.100000000000001" customHeight="1">
      <c r="C4302" s="113"/>
      <c r="D4302" s="114"/>
      <c r="P4302" s="82"/>
      <c r="Q4302" s="82"/>
      <c r="R4302" s="38"/>
      <c r="S4302" s="38"/>
      <c r="T4302" s="38"/>
      <c r="U4302" s="38"/>
      <c r="V4302" s="38"/>
      <c r="W4302" s="38"/>
      <c r="X4302" s="38"/>
      <c r="Y4302" s="38"/>
      <c r="Z4302" s="38"/>
      <c r="AA4302" s="38"/>
      <c r="AB4302" s="38"/>
      <c r="AC4302" s="38"/>
      <c r="AD4302" s="38"/>
      <c r="AE4302" s="38"/>
      <c r="AF4302" s="38"/>
      <c r="AG4302" s="38"/>
      <c r="AH4302" s="38"/>
    </row>
    <row r="4303" spans="3:34" ht="20.100000000000001" customHeight="1">
      <c r="C4303" s="113"/>
      <c r="D4303" s="114"/>
      <c r="P4303" s="82"/>
      <c r="Q4303" s="82"/>
      <c r="R4303" s="38"/>
      <c r="S4303" s="38"/>
      <c r="T4303" s="38"/>
      <c r="U4303" s="38"/>
      <c r="V4303" s="38"/>
      <c r="W4303" s="38"/>
      <c r="X4303" s="38"/>
      <c r="Y4303" s="38"/>
      <c r="Z4303" s="38"/>
      <c r="AA4303" s="38"/>
      <c r="AB4303" s="38"/>
      <c r="AC4303" s="38"/>
      <c r="AD4303" s="38"/>
      <c r="AE4303" s="38"/>
      <c r="AF4303" s="38"/>
      <c r="AG4303" s="38"/>
      <c r="AH4303" s="38"/>
    </row>
    <row r="4304" spans="3:34" ht="20.100000000000001" customHeight="1">
      <c r="C4304" s="113"/>
      <c r="D4304" s="114"/>
      <c r="P4304" s="82"/>
      <c r="Q4304" s="82"/>
      <c r="R4304" s="38"/>
      <c r="S4304" s="38"/>
      <c r="T4304" s="38"/>
      <c r="U4304" s="38"/>
      <c r="V4304" s="38"/>
      <c r="W4304" s="38"/>
      <c r="X4304" s="38"/>
      <c r="Y4304" s="38"/>
      <c r="Z4304" s="38"/>
      <c r="AA4304" s="38"/>
      <c r="AB4304" s="38"/>
      <c r="AC4304" s="38"/>
      <c r="AD4304" s="38"/>
      <c r="AE4304" s="38"/>
      <c r="AF4304" s="38"/>
      <c r="AG4304" s="38"/>
      <c r="AH4304" s="38"/>
    </row>
    <row r="4305" spans="3:34" ht="20.100000000000001" customHeight="1">
      <c r="C4305" s="113"/>
      <c r="D4305" s="114"/>
      <c r="P4305" s="82"/>
      <c r="Q4305" s="82"/>
      <c r="R4305" s="38"/>
      <c r="S4305" s="38"/>
      <c r="T4305" s="38"/>
      <c r="U4305" s="38"/>
      <c r="V4305" s="38"/>
      <c r="W4305" s="38"/>
      <c r="X4305" s="38"/>
      <c r="Y4305" s="38"/>
      <c r="Z4305" s="38"/>
      <c r="AA4305" s="38"/>
      <c r="AB4305" s="38"/>
      <c r="AC4305" s="38"/>
      <c r="AD4305" s="38"/>
      <c r="AE4305" s="38"/>
      <c r="AF4305" s="38"/>
      <c r="AG4305" s="38"/>
      <c r="AH4305" s="38"/>
    </row>
    <row r="4306" spans="3:34" ht="20.100000000000001" customHeight="1">
      <c r="C4306" s="113"/>
      <c r="D4306" s="114"/>
      <c r="P4306" s="82"/>
      <c r="Q4306" s="82"/>
      <c r="R4306" s="38"/>
      <c r="S4306" s="38"/>
      <c r="T4306" s="38"/>
      <c r="U4306" s="38"/>
      <c r="V4306" s="38"/>
      <c r="W4306" s="38"/>
      <c r="X4306" s="38"/>
      <c r="Y4306" s="38"/>
      <c r="Z4306" s="38"/>
      <c r="AA4306" s="38"/>
      <c r="AB4306" s="38"/>
      <c r="AC4306" s="38"/>
      <c r="AD4306" s="38"/>
      <c r="AE4306" s="38"/>
      <c r="AF4306" s="38"/>
      <c r="AG4306" s="38"/>
      <c r="AH4306" s="38"/>
    </row>
    <row r="4307" spans="3:34" ht="20.100000000000001" customHeight="1">
      <c r="C4307" s="113"/>
      <c r="D4307" s="114"/>
      <c r="P4307" s="82"/>
      <c r="Q4307" s="82"/>
      <c r="R4307" s="38"/>
      <c r="S4307" s="38"/>
      <c r="T4307" s="38"/>
      <c r="U4307" s="38"/>
      <c r="V4307" s="38"/>
      <c r="W4307" s="38"/>
      <c r="X4307" s="38"/>
      <c r="Y4307" s="38"/>
      <c r="Z4307" s="38"/>
      <c r="AA4307" s="38"/>
      <c r="AB4307" s="38"/>
      <c r="AC4307" s="38"/>
      <c r="AD4307" s="38"/>
      <c r="AE4307" s="38"/>
      <c r="AF4307" s="38"/>
      <c r="AG4307" s="38"/>
      <c r="AH4307" s="38"/>
    </row>
    <row r="4308" spans="3:34" ht="20.100000000000001" customHeight="1">
      <c r="C4308" s="113"/>
      <c r="D4308" s="114"/>
      <c r="P4308" s="82"/>
      <c r="Q4308" s="82"/>
      <c r="R4308" s="38"/>
      <c r="S4308" s="38"/>
      <c r="T4308" s="38"/>
      <c r="U4308" s="38"/>
      <c r="V4308" s="38"/>
      <c r="W4308" s="38"/>
      <c r="X4308" s="38"/>
      <c r="Y4308" s="38"/>
      <c r="Z4308" s="38"/>
      <c r="AA4308" s="38"/>
      <c r="AB4308" s="38"/>
      <c r="AC4308" s="38"/>
      <c r="AD4308" s="38"/>
      <c r="AE4308" s="38"/>
      <c r="AF4308" s="38"/>
      <c r="AG4308" s="38"/>
      <c r="AH4308" s="38"/>
    </row>
    <row r="4309" spans="3:34" ht="20.100000000000001" customHeight="1">
      <c r="C4309" s="113"/>
      <c r="D4309" s="114"/>
      <c r="P4309" s="82"/>
      <c r="Q4309" s="82"/>
      <c r="R4309" s="38"/>
      <c r="S4309" s="38"/>
      <c r="T4309" s="38"/>
      <c r="U4309" s="38"/>
      <c r="V4309" s="38"/>
      <c r="W4309" s="38"/>
      <c r="X4309" s="38"/>
      <c r="Y4309" s="38"/>
      <c r="Z4309" s="38"/>
      <c r="AA4309" s="38"/>
      <c r="AB4309" s="38"/>
      <c r="AC4309" s="38"/>
      <c r="AD4309" s="38"/>
      <c r="AE4309" s="38"/>
      <c r="AF4309" s="38"/>
      <c r="AG4309" s="38"/>
      <c r="AH4309" s="38"/>
    </row>
    <row r="4310" spans="3:34" ht="20.100000000000001" customHeight="1">
      <c r="C4310" s="113"/>
      <c r="D4310" s="114"/>
      <c r="P4310" s="82"/>
      <c r="Q4310" s="82"/>
      <c r="R4310" s="38"/>
      <c r="S4310" s="38"/>
      <c r="T4310" s="38"/>
      <c r="U4310" s="38"/>
      <c r="V4310" s="38"/>
      <c r="W4310" s="38"/>
      <c r="X4310" s="38"/>
      <c r="Y4310" s="38"/>
      <c r="Z4310" s="38"/>
      <c r="AA4310" s="38"/>
      <c r="AB4310" s="38"/>
      <c r="AC4310" s="38"/>
      <c r="AD4310" s="38"/>
      <c r="AE4310" s="38"/>
      <c r="AF4310" s="38"/>
      <c r="AG4310" s="38"/>
      <c r="AH4310" s="38"/>
    </row>
    <row r="4311" spans="3:34" ht="20.100000000000001" customHeight="1">
      <c r="C4311" s="113"/>
      <c r="D4311" s="114"/>
      <c r="P4311" s="82"/>
      <c r="Q4311" s="82"/>
      <c r="R4311" s="38"/>
      <c r="S4311" s="38"/>
      <c r="T4311" s="38"/>
      <c r="U4311" s="38"/>
      <c r="V4311" s="38"/>
      <c r="W4311" s="38"/>
      <c r="X4311" s="38"/>
      <c r="Y4311" s="38"/>
      <c r="Z4311" s="38"/>
      <c r="AA4311" s="38"/>
      <c r="AB4311" s="38"/>
      <c r="AC4311" s="38"/>
      <c r="AD4311" s="38"/>
      <c r="AE4311" s="38"/>
      <c r="AF4311" s="38"/>
      <c r="AG4311" s="38"/>
      <c r="AH4311" s="38"/>
    </row>
    <row r="4312" spans="3:34" ht="20.100000000000001" customHeight="1">
      <c r="C4312" s="113"/>
      <c r="D4312" s="114"/>
      <c r="P4312" s="82"/>
      <c r="Q4312" s="82"/>
      <c r="R4312" s="38"/>
      <c r="S4312" s="38"/>
      <c r="T4312" s="38"/>
      <c r="U4312" s="38"/>
      <c r="V4312" s="38"/>
      <c r="W4312" s="38"/>
      <c r="X4312" s="38"/>
      <c r="Y4312" s="38"/>
      <c r="Z4312" s="38"/>
      <c r="AA4312" s="38"/>
      <c r="AB4312" s="38"/>
      <c r="AC4312" s="38"/>
      <c r="AD4312" s="38"/>
      <c r="AE4312" s="38"/>
      <c r="AF4312" s="38"/>
      <c r="AG4312" s="38"/>
      <c r="AH4312" s="38"/>
    </row>
    <row r="4313" spans="3:34" ht="20.100000000000001" customHeight="1">
      <c r="C4313" s="113"/>
      <c r="D4313" s="114"/>
      <c r="P4313" s="82"/>
      <c r="Q4313" s="82"/>
      <c r="R4313" s="38"/>
      <c r="S4313" s="38"/>
      <c r="T4313" s="38"/>
      <c r="U4313" s="38"/>
      <c r="V4313" s="38"/>
      <c r="W4313" s="38"/>
      <c r="X4313" s="38"/>
      <c r="Y4313" s="38"/>
      <c r="Z4313" s="38"/>
      <c r="AA4313" s="38"/>
      <c r="AB4313" s="38"/>
      <c r="AC4313" s="38"/>
      <c r="AD4313" s="38"/>
      <c r="AE4313" s="38"/>
      <c r="AF4313" s="38"/>
      <c r="AG4313" s="38"/>
      <c r="AH4313" s="38"/>
    </row>
    <row r="4314" spans="3:34" ht="20.100000000000001" customHeight="1">
      <c r="C4314" s="113"/>
      <c r="D4314" s="114"/>
      <c r="P4314" s="82"/>
      <c r="Q4314" s="82"/>
      <c r="R4314" s="38"/>
      <c r="S4314" s="38"/>
      <c r="T4314" s="38"/>
      <c r="U4314" s="38"/>
      <c r="V4314" s="38"/>
      <c r="W4314" s="38"/>
      <c r="X4314" s="38"/>
      <c r="Y4314" s="38"/>
      <c r="Z4314" s="38"/>
      <c r="AA4314" s="38"/>
      <c r="AB4314" s="38"/>
      <c r="AC4314" s="38"/>
      <c r="AD4314" s="38"/>
      <c r="AE4314" s="38"/>
      <c r="AF4314" s="38"/>
      <c r="AG4314" s="38"/>
      <c r="AH4314" s="38"/>
    </row>
    <row r="4315" spans="3:34" ht="20.100000000000001" customHeight="1">
      <c r="C4315" s="113"/>
      <c r="D4315" s="114"/>
      <c r="P4315" s="82"/>
      <c r="Q4315" s="82"/>
      <c r="R4315" s="38"/>
      <c r="S4315" s="38"/>
      <c r="T4315" s="38"/>
      <c r="U4315" s="38"/>
      <c r="V4315" s="38"/>
      <c r="W4315" s="38"/>
      <c r="X4315" s="38"/>
      <c r="Y4315" s="38"/>
      <c r="Z4315" s="38"/>
      <c r="AA4315" s="38"/>
      <c r="AB4315" s="38"/>
      <c r="AC4315" s="38"/>
      <c r="AD4315" s="38"/>
      <c r="AE4315" s="38"/>
      <c r="AF4315" s="38"/>
      <c r="AG4315" s="38"/>
      <c r="AH4315" s="38"/>
    </row>
    <row r="4316" spans="3:34" ht="20.100000000000001" customHeight="1">
      <c r="C4316" s="113"/>
      <c r="D4316" s="114"/>
      <c r="P4316" s="82"/>
      <c r="Q4316" s="82"/>
      <c r="R4316" s="38"/>
      <c r="S4316" s="38"/>
      <c r="T4316" s="38"/>
      <c r="U4316" s="38"/>
      <c r="V4316" s="38"/>
      <c r="W4316" s="38"/>
      <c r="X4316" s="38"/>
      <c r="Y4316" s="38"/>
      <c r="Z4316" s="38"/>
      <c r="AA4316" s="38"/>
      <c r="AB4316" s="38"/>
      <c r="AC4316" s="38"/>
      <c r="AD4316" s="38"/>
      <c r="AE4316" s="38"/>
      <c r="AF4316" s="38"/>
      <c r="AG4316" s="38"/>
      <c r="AH4316" s="38"/>
    </row>
    <row r="4317" spans="3:34" ht="20.100000000000001" customHeight="1">
      <c r="C4317" s="113"/>
      <c r="D4317" s="114"/>
      <c r="P4317" s="82"/>
      <c r="Q4317" s="82"/>
      <c r="R4317" s="38"/>
      <c r="S4317" s="38"/>
      <c r="T4317" s="38"/>
      <c r="U4317" s="38"/>
      <c r="V4317" s="38"/>
      <c r="W4317" s="38"/>
      <c r="X4317" s="38"/>
      <c r="Y4317" s="38"/>
      <c r="Z4317" s="38"/>
      <c r="AA4317" s="38"/>
      <c r="AB4317" s="38"/>
      <c r="AC4317" s="38"/>
      <c r="AD4317" s="38"/>
      <c r="AE4317" s="38"/>
      <c r="AF4317" s="38"/>
      <c r="AG4317" s="38"/>
      <c r="AH4317" s="38"/>
    </row>
    <row r="4318" spans="3:34" ht="20.100000000000001" customHeight="1">
      <c r="C4318" s="113"/>
      <c r="D4318" s="114"/>
      <c r="P4318" s="82"/>
      <c r="Q4318" s="82"/>
      <c r="R4318" s="38"/>
      <c r="S4318" s="38"/>
      <c r="T4318" s="38"/>
      <c r="U4318" s="38"/>
      <c r="V4318" s="38"/>
      <c r="W4318" s="38"/>
      <c r="X4318" s="38"/>
      <c r="Y4318" s="38"/>
      <c r="Z4318" s="38"/>
      <c r="AA4318" s="38"/>
      <c r="AB4318" s="38"/>
      <c r="AC4318" s="38"/>
      <c r="AD4318" s="38"/>
      <c r="AE4318" s="38"/>
      <c r="AF4318" s="38"/>
      <c r="AG4318" s="38"/>
      <c r="AH4318" s="38"/>
    </row>
    <row r="4319" spans="3:34" ht="20.100000000000001" customHeight="1">
      <c r="C4319" s="113"/>
      <c r="D4319" s="114"/>
      <c r="P4319" s="82"/>
      <c r="Q4319" s="82"/>
      <c r="R4319" s="38"/>
      <c r="S4319" s="38"/>
      <c r="T4319" s="38"/>
      <c r="U4319" s="38"/>
      <c r="V4319" s="38"/>
      <c r="W4319" s="38"/>
      <c r="X4319" s="38"/>
      <c r="Y4319" s="38"/>
      <c r="Z4319" s="38"/>
      <c r="AA4319" s="38"/>
      <c r="AB4319" s="38"/>
      <c r="AC4319" s="38"/>
      <c r="AD4319" s="38"/>
      <c r="AE4319" s="38"/>
      <c r="AF4319" s="38"/>
      <c r="AG4319" s="38"/>
      <c r="AH4319" s="38"/>
    </row>
    <row r="4320" spans="3:34" ht="20.100000000000001" customHeight="1">
      <c r="C4320" s="113"/>
      <c r="D4320" s="114"/>
      <c r="P4320" s="82"/>
      <c r="Q4320" s="82"/>
      <c r="R4320" s="38"/>
      <c r="S4320" s="38"/>
      <c r="T4320" s="38"/>
      <c r="U4320" s="38"/>
      <c r="V4320" s="38"/>
      <c r="W4320" s="38"/>
      <c r="X4320" s="38"/>
      <c r="Y4320" s="38"/>
      <c r="Z4320" s="38"/>
      <c r="AA4320" s="38"/>
      <c r="AB4320" s="38"/>
      <c r="AC4320" s="38"/>
      <c r="AD4320" s="38"/>
      <c r="AE4320" s="38"/>
      <c r="AF4320" s="38"/>
      <c r="AG4320" s="38"/>
      <c r="AH4320" s="38"/>
    </row>
    <row r="4321" spans="3:34" ht="20.100000000000001" customHeight="1">
      <c r="C4321" s="113"/>
      <c r="D4321" s="114"/>
      <c r="P4321" s="82"/>
      <c r="Q4321" s="82"/>
      <c r="R4321" s="38"/>
      <c r="S4321" s="38"/>
      <c r="T4321" s="38"/>
      <c r="U4321" s="38"/>
      <c r="V4321" s="38"/>
      <c r="W4321" s="38"/>
      <c r="X4321" s="38"/>
      <c r="Y4321" s="38"/>
      <c r="Z4321" s="38"/>
      <c r="AA4321" s="38"/>
      <c r="AB4321" s="38"/>
      <c r="AC4321" s="38"/>
      <c r="AD4321" s="38"/>
      <c r="AE4321" s="38"/>
      <c r="AF4321" s="38"/>
      <c r="AG4321" s="38"/>
      <c r="AH4321" s="38"/>
    </row>
    <row r="4322" spans="3:34" ht="20.100000000000001" customHeight="1">
      <c r="C4322" s="113"/>
      <c r="D4322" s="114"/>
      <c r="P4322" s="82"/>
      <c r="Q4322" s="82"/>
      <c r="R4322" s="38"/>
      <c r="S4322" s="38"/>
      <c r="T4322" s="38"/>
      <c r="U4322" s="38"/>
      <c r="V4322" s="38"/>
      <c r="W4322" s="38"/>
      <c r="X4322" s="38"/>
      <c r="Y4322" s="38"/>
      <c r="Z4322" s="38"/>
      <c r="AA4322" s="38"/>
      <c r="AB4322" s="38"/>
      <c r="AC4322" s="38"/>
      <c r="AD4322" s="38"/>
      <c r="AE4322" s="38"/>
      <c r="AF4322" s="38"/>
      <c r="AG4322" s="38"/>
      <c r="AH4322" s="38"/>
    </row>
    <row r="4323" spans="3:34" ht="20.100000000000001" customHeight="1">
      <c r="C4323" s="113"/>
      <c r="D4323" s="114"/>
      <c r="P4323" s="82"/>
      <c r="Q4323" s="82"/>
      <c r="R4323" s="38"/>
      <c r="S4323" s="38"/>
      <c r="T4323" s="38"/>
      <c r="U4323" s="38"/>
      <c r="V4323" s="38"/>
      <c r="W4323" s="38"/>
      <c r="X4323" s="38"/>
      <c r="Y4323" s="38"/>
      <c r="Z4323" s="38"/>
      <c r="AA4323" s="38"/>
      <c r="AB4323" s="38"/>
      <c r="AC4323" s="38"/>
      <c r="AD4323" s="38"/>
      <c r="AE4323" s="38"/>
      <c r="AF4323" s="38"/>
      <c r="AG4323" s="38"/>
      <c r="AH4323" s="38"/>
    </row>
    <row r="4324" spans="3:34" ht="20.100000000000001" customHeight="1">
      <c r="C4324" s="113"/>
      <c r="D4324" s="114"/>
      <c r="P4324" s="82"/>
      <c r="Q4324" s="82"/>
      <c r="R4324" s="38"/>
      <c r="S4324" s="38"/>
      <c r="T4324" s="38"/>
      <c r="U4324" s="38"/>
      <c r="V4324" s="38"/>
      <c r="W4324" s="38"/>
      <c r="X4324" s="38"/>
      <c r="Y4324" s="38"/>
      <c r="Z4324" s="38"/>
      <c r="AA4324" s="38"/>
      <c r="AB4324" s="38"/>
      <c r="AC4324" s="38"/>
      <c r="AD4324" s="38"/>
      <c r="AE4324" s="38"/>
      <c r="AF4324" s="38"/>
      <c r="AG4324" s="38"/>
      <c r="AH4324" s="38"/>
    </row>
    <row r="4325" spans="3:34" ht="20.100000000000001" customHeight="1">
      <c r="C4325" s="113"/>
      <c r="D4325" s="114"/>
      <c r="P4325" s="82"/>
      <c r="Q4325" s="82"/>
      <c r="R4325" s="38"/>
      <c r="S4325" s="38"/>
      <c r="T4325" s="38"/>
      <c r="U4325" s="38"/>
      <c r="V4325" s="38"/>
      <c r="W4325" s="38"/>
      <c r="X4325" s="38"/>
      <c r="Y4325" s="38"/>
      <c r="Z4325" s="38"/>
      <c r="AA4325" s="38"/>
      <c r="AB4325" s="38"/>
      <c r="AC4325" s="38"/>
      <c r="AD4325" s="38"/>
      <c r="AE4325" s="38"/>
      <c r="AF4325" s="38"/>
      <c r="AG4325" s="38"/>
      <c r="AH4325" s="38"/>
    </row>
    <row r="4326" spans="3:34" ht="20.100000000000001" customHeight="1">
      <c r="C4326" s="113"/>
      <c r="D4326" s="114"/>
      <c r="P4326" s="82"/>
      <c r="Q4326" s="82"/>
      <c r="R4326" s="38"/>
      <c r="S4326" s="38"/>
      <c r="T4326" s="38"/>
      <c r="U4326" s="38"/>
      <c r="V4326" s="38"/>
      <c r="W4326" s="38"/>
      <c r="X4326" s="38"/>
      <c r="Y4326" s="38"/>
      <c r="Z4326" s="38"/>
      <c r="AA4326" s="38"/>
      <c r="AB4326" s="38"/>
      <c r="AC4326" s="38"/>
      <c r="AD4326" s="38"/>
      <c r="AE4326" s="38"/>
      <c r="AF4326" s="38"/>
      <c r="AG4326" s="38"/>
      <c r="AH4326" s="38"/>
    </row>
    <row r="4327" spans="3:34" ht="20.100000000000001" customHeight="1">
      <c r="C4327" s="113"/>
      <c r="D4327" s="114"/>
      <c r="P4327" s="82"/>
      <c r="Q4327" s="82"/>
      <c r="R4327" s="38"/>
      <c r="S4327" s="38"/>
      <c r="T4327" s="38"/>
      <c r="U4327" s="38"/>
      <c r="V4327" s="38"/>
      <c r="W4327" s="38"/>
      <c r="X4327" s="38"/>
      <c r="Y4327" s="38"/>
      <c r="Z4327" s="38"/>
      <c r="AA4327" s="38"/>
      <c r="AB4327" s="38"/>
      <c r="AC4327" s="38"/>
      <c r="AD4327" s="38"/>
      <c r="AE4327" s="38"/>
      <c r="AF4327" s="38"/>
      <c r="AG4327" s="38"/>
      <c r="AH4327" s="38"/>
    </row>
    <row r="4328" spans="3:34" ht="20.100000000000001" customHeight="1">
      <c r="C4328" s="113"/>
      <c r="D4328" s="114"/>
      <c r="P4328" s="82"/>
      <c r="Q4328" s="82"/>
      <c r="R4328" s="38"/>
      <c r="S4328" s="38"/>
      <c r="T4328" s="38"/>
      <c r="U4328" s="38"/>
      <c r="V4328" s="38"/>
      <c r="W4328" s="38"/>
      <c r="X4328" s="38"/>
      <c r="Y4328" s="38"/>
      <c r="Z4328" s="38"/>
      <c r="AA4328" s="38"/>
      <c r="AB4328" s="38"/>
      <c r="AC4328" s="38"/>
      <c r="AD4328" s="38"/>
      <c r="AE4328" s="38"/>
      <c r="AF4328" s="38"/>
      <c r="AG4328" s="38"/>
      <c r="AH4328" s="38"/>
    </row>
    <row r="4329" spans="3:34" ht="20.100000000000001" customHeight="1">
      <c r="C4329" s="113"/>
      <c r="D4329" s="114"/>
      <c r="P4329" s="82"/>
      <c r="Q4329" s="82"/>
      <c r="R4329" s="38"/>
      <c r="S4329" s="38"/>
      <c r="T4329" s="38"/>
      <c r="U4329" s="38"/>
      <c r="V4329" s="38"/>
      <c r="W4329" s="38"/>
      <c r="X4329" s="38"/>
      <c r="Y4329" s="38"/>
      <c r="Z4329" s="38"/>
      <c r="AA4329" s="38"/>
      <c r="AB4329" s="38"/>
      <c r="AC4329" s="38"/>
      <c r="AD4329" s="38"/>
      <c r="AE4329" s="38"/>
      <c r="AF4329" s="38"/>
      <c r="AG4329" s="38"/>
      <c r="AH4329" s="38"/>
    </row>
    <row r="4330" spans="3:34" ht="20.100000000000001" customHeight="1">
      <c r="C4330" s="113"/>
      <c r="D4330" s="114"/>
      <c r="P4330" s="82"/>
      <c r="Q4330" s="82"/>
      <c r="R4330" s="38"/>
      <c r="S4330" s="38"/>
      <c r="T4330" s="38"/>
      <c r="U4330" s="38"/>
      <c r="V4330" s="38"/>
      <c r="W4330" s="38"/>
      <c r="X4330" s="38"/>
      <c r="Y4330" s="38"/>
      <c r="Z4330" s="38"/>
      <c r="AA4330" s="38"/>
      <c r="AB4330" s="38"/>
      <c r="AC4330" s="38"/>
      <c r="AD4330" s="38"/>
      <c r="AE4330" s="38"/>
      <c r="AF4330" s="38"/>
      <c r="AG4330" s="38"/>
      <c r="AH4330" s="38"/>
    </row>
    <row r="4331" spans="3:34" ht="20.100000000000001" customHeight="1">
      <c r="C4331" s="113"/>
      <c r="D4331" s="114"/>
      <c r="P4331" s="82"/>
      <c r="Q4331" s="82"/>
      <c r="R4331" s="38"/>
      <c r="S4331" s="38"/>
      <c r="T4331" s="38"/>
      <c r="U4331" s="38"/>
      <c r="V4331" s="38"/>
      <c r="W4331" s="38"/>
      <c r="X4331" s="38"/>
      <c r="Y4331" s="38"/>
      <c r="Z4331" s="38"/>
      <c r="AA4331" s="38"/>
      <c r="AB4331" s="38"/>
      <c r="AC4331" s="38"/>
      <c r="AD4331" s="38"/>
      <c r="AE4331" s="38"/>
      <c r="AF4331" s="38"/>
      <c r="AG4331" s="38"/>
      <c r="AH4331" s="38"/>
    </row>
    <row r="4332" spans="3:34" ht="20.100000000000001" customHeight="1">
      <c r="C4332" s="113"/>
      <c r="D4332" s="114"/>
      <c r="P4332" s="82"/>
      <c r="Q4332" s="82"/>
      <c r="R4332" s="38"/>
      <c r="S4332" s="38"/>
      <c r="T4332" s="38"/>
      <c r="U4332" s="38"/>
      <c r="V4332" s="38"/>
      <c r="W4332" s="38"/>
      <c r="X4332" s="38"/>
      <c r="Y4332" s="38"/>
      <c r="Z4332" s="38"/>
      <c r="AA4332" s="38"/>
      <c r="AB4332" s="38"/>
      <c r="AC4332" s="38"/>
      <c r="AD4332" s="38"/>
      <c r="AE4332" s="38"/>
      <c r="AF4332" s="38"/>
      <c r="AG4332" s="38"/>
      <c r="AH4332" s="38"/>
    </row>
    <row r="4333" spans="3:34" ht="20.100000000000001" customHeight="1">
      <c r="C4333" s="113"/>
      <c r="D4333" s="114"/>
      <c r="P4333" s="82"/>
      <c r="Q4333" s="82"/>
      <c r="R4333" s="38"/>
      <c r="S4333" s="38"/>
      <c r="T4333" s="38"/>
      <c r="U4333" s="38"/>
      <c r="V4333" s="38"/>
      <c r="W4333" s="38"/>
      <c r="X4333" s="38"/>
      <c r="Y4333" s="38"/>
      <c r="Z4333" s="38"/>
      <c r="AA4333" s="38"/>
      <c r="AB4333" s="38"/>
      <c r="AC4333" s="38"/>
      <c r="AD4333" s="38"/>
      <c r="AE4333" s="38"/>
      <c r="AF4333" s="38"/>
      <c r="AG4333" s="38"/>
      <c r="AH4333" s="38"/>
    </row>
    <row r="4334" spans="3:34" ht="20.100000000000001" customHeight="1">
      <c r="C4334" s="113"/>
      <c r="D4334" s="114"/>
      <c r="P4334" s="82"/>
      <c r="Q4334" s="82"/>
      <c r="R4334" s="38"/>
      <c r="S4334" s="38"/>
      <c r="T4334" s="38"/>
      <c r="U4334" s="38"/>
      <c r="V4334" s="38"/>
      <c r="W4334" s="38"/>
      <c r="X4334" s="38"/>
      <c r="Y4334" s="38"/>
      <c r="Z4334" s="38"/>
      <c r="AA4334" s="38"/>
      <c r="AB4334" s="38"/>
      <c r="AC4334" s="38"/>
      <c r="AD4334" s="38"/>
      <c r="AE4334" s="38"/>
      <c r="AF4334" s="38"/>
      <c r="AG4334" s="38"/>
      <c r="AH4334" s="38"/>
    </row>
    <row r="4335" spans="3:34" ht="20.100000000000001" customHeight="1">
      <c r="C4335" s="113"/>
      <c r="D4335" s="114"/>
      <c r="P4335" s="82"/>
      <c r="Q4335" s="82"/>
      <c r="R4335" s="38"/>
      <c r="S4335" s="38"/>
      <c r="T4335" s="38"/>
      <c r="U4335" s="38"/>
      <c r="V4335" s="38"/>
      <c r="W4335" s="38"/>
      <c r="X4335" s="38"/>
      <c r="Y4335" s="38"/>
      <c r="Z4335" s="38"/>
      <c r="AA4335" s="38"/>
      <c r="AB4335" s="38"/>
      <c r="AC4335" s="38"/>
      <c r="AD4335" s="38"/>
      <c r="AE4335" s="38"/>
      <c r="AF4335" s="38"/>
      <c r="AG4335" s="38"/>
      <c r="AH4335" s="38"/>
    </row>
    <row r="4336" spans="3:34" ht="20.100000000000001" customHeight="1">
      <c r="C4336" s="113"/>
      <c r="D4336" s="114"/>
      <c r="P4336" s="82"/>
      <c r="Q4336" s="82"/>
      <c r="R4336" s="38"/>
      <c r="S4336" s="38"/>
      <c r="T4336" s="38"/>
      <c r="U4336" s="38"/>
      <c r="V4336" s="38"/>
      <c r="W4336" s="38"/>
      <c r="X4336" s="38"/>
      <c r="Y4336" s="38"/>
      <c r="Z4336" s="38"/>
      <c r="AA4336" s="38"/>
      <c r="AB4336" s="38"/>
      <c r="AC4336" s="38"/>
      <c r="AD4336" s="38"/>
      <c r="AE4336" s="38"/>
      <c r="AF4336" s="38"/>
      <c r="AG4336" s="38"/>
      <c r="AH4336" s="38"/>
    </row>
    <row r="4337" spans="3:34" ht="20.100000000000001" customHeight="1">
      <c r="C4337" s="113"/>
      <c r="D4337" s="114"/>
      <c r="P4337" s="82"/>
      <c r="Q4337" s="82"/>
      <c r="R4337" s="38"/>
      <c r="S4337" s="38"/>
      <c r="T4337" s="38"/>
      <c r="U4337" s="38"/>
      <c r="V4337" s="38"/>
      <c r="W4337" s="38"/>
      <c r="X4337" s="38"/>
      <c r="Y4337" s="38"/>
      <c r="Z4337" s="38"/>
      <c r="AA4337" s="38"/>
      <c r="AB4337" s="38"/>
      <c r="AC4337" s="38"/>
      <c r="AD4337" s="38"/>
      <c r="AE4337" s="38"/>
      <c r="AF4337" s="38"/>
      <c r="AG4337" s="38"/>
      <c r="AH4337" s="38"/>
    </row>
    <row r="4338" spans="3:34" ht="20.100000000000001" customHeight="1">
      <c r="C4338" s="113"/>
      <c r="D4338" s="114"/>
      <c r="P4338" s="82"/>
      <c r="Q4338" s="82"/>
      <c r="R4338" s="38"/>
      <c r="S4338" s="38"/>
      <c r="T4338" s="38"/>
      <c r="U4338" s="38"/>
      <c r="V4338" s="38"/>
      <c r="W4338" s="38"/>
      <c r="X4338" s="38"/>
      <c r="Y4338" s="38"/>
      <c r="Z4338" s="38"/>
      <c r="AA4338" s="38"/>
      <c r="AB4338" s="38"/>
      <c r="AC4338" s="38"/>
      <c r="AD4338" s="38"/>
      <c r="AE4338" s="38"/>
      <c r="AF4338" s="38"/>
      <c r="AG4338" s="38"/>
      <c r="AH4338" s="38"/>
    </row>
    <row r="4339" spans="3:34" ht="20.100000000000001" customHeight="1">
      <c r="C4339" s="113"/>
      <c r="D4339" s="114"/>
      <c r="P4339" s="82"/>
      <c r="Q4339" s="82"/>
      <c r="R4339" s="38"/>
      <c r="S4339" s="38"/>
      <c r="T4339" s="38"/>
      <c r="U4339" s="38"/>
      <c r="V4339" s="38"/>
      <c r="W4339" s="38"/>
      <c r="X4339" s="38"/>
      <c r="Y4339" s="38"/>
      <c r="Z4339" s="38"/>
      <c r="AA4339" s="38"/>
      <c r="AB4339" s="38"/>
      <c r="AC4339" s="38"/>
      <c r="AD4339" s="38"/>
      <c r="AE4339" s="38"/>
      <c r="AF4339" s="38"/>
      <c r="AG4339" s="38"/>
      <c r="AH4339" s="38"/>
    </row>
    <row r="4340" spans="3:34" ht="20.100000000000001" customHeight="1">
      <c r="C4340" s="113"/>
      <c r="D4340" s="114"/>
      <c r="P4340" s="82"/>
      <c r="Q4340" s="82"/>
      <c r="R4340" s="38"/>
      <c r="S4340" s="38"/>
      <c r="T4340" s="38"/>
      <c r="U4340" s="38"/>
      <c r="V4340" s="38"/>
      <c r="W4340" s="38"/>
      <c r="X4340" s="38"/>
      <c r="Y4340" s="38"/>
      <c r="Z4340" s="38"/>
      <c r="AA4340" s="38"/>
      <c r="AB4340" s="38"/>
      <c r="AC4340" s="38"/>
      <c r="AD4340" s="38"/>
      <c r="AE4340" s="38"/>
      <c r="AF4340" s="38"/>
      <c r="AG4340" s="38"/>
      <c r="AH4340" s="38"/>
    </row>
    <row r="4341" spans="3:34" ht="20.100000000000001" customHeight="1">
      <c r="C4341" s="113"/>
      <c r="D4341" s="114"/>
      <c r="P4341" s="82"/>
      <c r="Q4341" s="82"/>
      <c r="R4341" s="38"/>
      <c r="S4341" s="38"/>
      <c r="T4341" s="38"/>
      <c r="U4341" s="38"/>
      <c r="V4341" s="38"/>
      <c r="W4341" s="38"/>
      <c r="X4341" s="38"/>
      <c r="Y4341" s="38"/>
      <c r="Z4341" s="38"/>
      <c r="AA4341" s="38"/>
      <c r="AB4341" s="38"/>
      <c r="AC4341" s="38"/>
      <c r="AD4341" s="38"/>
      <c r="AE4341" s="38"/>
      <c r="AF4341" s="38"/>
      <c r="AG4341" s="38"/>
      <c r="AH4341" s="38"/>
    </row>
  </sheetData>
  <phoneticPr fontId="14" type="noConversion"/>
  <conditionalFormatting sqref="AN4:AR474 AU9:BB12 AX8:BB8 AU4:AV8 AZ4:AZ7 AX4:BB6 AY7:BB7 P4:AI26 A4:K4341 BF4:BO211">
    <cfRule type="containsText" dxfId="265" priority="18" operator="containsText" text="【">
      <formula>NOT(ISERROR(SEARCH("【",A4)))</formula>
    </cfRule>
  </conditionalFormatting>
  <conditionalFormatting sqref="A4:A4341">
    <cfRule type="containsText" dxfId="264" priority="26" operator="containsText" text="【">
      <formula>NOT(ISERROR(SEARCH("【",A4)))</formula>
    </cfRule>
  </conditionalFormatting>
  <conditionalFormatting sqref="AT1 AT4:AT474">
    <cfRule type="containsText" dxfId="263" priority="9" operator="containsText" text="KT">
      <formula>NOT(ISERROR(SEARCH("KT",AT1)))</formula>
    </cfRule>
    <cfRule type="containsText" dxfId="262" priority="10" operator="containsText" text="JH">
      <formula>NOT(ISERROR(SEARCH("JH",AT1)))</formula>
    </cfRule>
    <cfRule type="containsText" dxfId="261" priority="11" operator="containsText" text="CL">
      <formula>NOT(ISERROR(SEARCH("CL",AT1)))</formula>
    </cfRule>
    <cfRule type="containsText" dxfId="260" priority="12" operator="containsText" text="CY">
      <formula>NOT(ISERROR(SEARCH("CY",AT1)))</formula>
    </cfRule>
    <cfRule type="containsText" dxfId="259"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B32"/>
  <sheetViews>
    <sheetView workbookViewId="0">
      <selection activeCell="H7" sqref="H7"/>
    </sheetView>
  </sheetViews>
  <sheetFormatPr defaultRowHeight="15"/>
  <cols>
    <col min="1" max="1" width="7.109375" bestFit="1" customWidth="1"/>
    <col min="2" max="2" width="33.2187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9.109375" bestFit="1" customWidth="1"/>
    <col min="10" max="10" width="10.33203125" bestFit="1" customWidth="1"/>
    <col min="11" max="11" width="13.33203125" bestFit="1" customWidth="1"/>
    <col min="12" max="12" width="12.33203125" bestFit="1" customWidth="1"/>
    <col min="13" max="13" width="5.88671875" bestFit="1" customWidth="1"/>
    <col min="14" max="14" width="12" bestFit="1" customWidth="1"/>
    <col min="15" max="15" width="20" bestFit="1" customWidth="1"/>
    <col min="16" max="16" width="10" bestFit="1" customWidth="1"/>
    <col min="17" max="17" width="12.5546875" bestFit="1" customWidth="1"/>
    <col min="18" max="18" width="9.21875" bestFit="1" customWidth="1"/>
    <col min="19" max="19" width="12" bestFit="1" customWidth="1"/>
    <col min="20" max="20" width="10.21875" bestFit="1" customWidth="1"/>
    <col min="21" max="21" width="5.88671875" bestFit="1" customWidth="1"/>
    <col min="22" max="22" width="40.44140625" bestFit="1" customWidth="1"/>
    <col min="23" max="23" width="9.5546875" bestFit="1" customWidth="1"/>
    <col min="24" max="24" width="10" bestFit="1" customWidth="1"/>
    <col min="25" max="25" width="12.5546875" bestFit="1" customWidth="1"/>
    <col min="26" max="26" width="9.21875" bestFit="1" customWidth="1"/>
    <col min="27" max="27" width="12.88671875" bestFit="1" customWidth="1"/>
    <col min="28" max="28" width="31.5546875" bestFit="1" customWidth="1"/>
    <col min="29" max="29" width="14.88671875" bestFit="1" customWidth="1"/>
    <col min="30" max="30" width="8.5546875" bestFit="1" customWidth="1"/>
    <col min="31" max="31" width="9.21875" bestFit="1" customWidth="1"/>
    <col min="32" max="32" width="12.6640625" bestFit="1" customWidth="1"/>
    <col min="33" max="33" width="5.6640625" bestFit="1" customWidth="1"/>
    <col min="34" max="34" width="9.21875" bestFit="1" customWidth="1"/>
    <col min="35" max="35" width="10.33203125" bestFit="1" customWidth="1"/>
    <col min="36" max="38" width="9.21875" bestFit="1" customWidth="1"/>
    <col min="39" max="39" width="80.88671875" bestFit="1" customWidth="1"/>
    <col min="40" max="40" width="9.21875" bestFit="1" customWidth="1"/>
    <col min="41" max="41" width="9.33203125" bestFit="1" customWidth="1"/>
    <col min="42" max="42" width="13.21875" bestFit="1" customWidth="1"/>
    <col min="43" max="43" width="12.5546875" bestFit="1" customWidth="1"/>
    <col min="44" max="44" width="8.88671875" bestFit="1" customWidth="1"/>
    <col min="45" max="45" width="7.6640625" bestFit="1" customWidth="1"/>
    <col min="46" max="46" width="9.88671875" bestFit="1" customWidth="1"/>
    <col min="47" max="47" width="14.44140625" bestFit="1" customWidth="1"/>
    <col min="48" max="48" width="9.21875" bestFit="1" customWidth="1"/>
    <col min="49" max="49" width="12.5546875" bestFit="1" customWidth="1"/>
    <col min="50" max="50" width="48.109375" bestFit="1" customWidth="1"/>
    <col min="51" max="51" width="10.88671875" bestFit="1" customWidth="1"/>
    <col min="52" max="52" width="5.88671875" bestFit="1" customWidth="1"/>
    <col min="53" max="53" width="7.5546875" bestFit="1" customWidth="1"/>
    <col min="54" max="54" width="12.5546875" bestFit="1" customWidth="1"/>
    <col min="55" max="55" width="9.21875" bestFit="1" customWidth="1"/>
    <col min="56" max="56" width="5.77734375" bestFit="1" customWidth="1"/>
    <col min="57" max="57" width="10.88671875" bestFit="1" customWidth="1"/>
    <col min="58" max="58" width="16.21875" bestFit="1" customWidth="1"/>
    <col min="59" max="59" width="12.5546875" bestFit="1" customWidth="1"/>
    <col min="60" max="60" width="5.88671875" bestFit="1" customWidth="1"/>
    <col min="61" max="61" width="8.33203125" bestFit="1" customWidth="1"/>
    <col min="62" max="62" width="10.88671875" bestFit="1" customWidth="1"/>
    <col min="63" max="63" width="27.6640625" bestFit="1" customWidth="1"/>
    <col min="64" max="64" width="10.88671875" bestFit="1" customWidth="1"/>
    <col min="65" max="65" width="10.33203125" bestFit="1" customWidth="1"/>
    <col min="66" max="66" width="19" bestFit="1" customWidth="1"/>
    <col min="67" max="68" width="80.88671875" bestFit="1" customWidth="1"/>
    <col min="69" max="69" width="10.88671875" bestFit="1" customWidth="1"/>
    <col min="70" max="70" width="9.21875" bestFit="1" customWidth="1"/>
    <col min="71" max="71" width="10.88671875" bestFit="1" customWidth="1"/>
    <col min="72" max="72" width="9.21875" bestFit="1" customWidth="1"/>
    <col min="73" max="73" width="14.44140625" bestFit="1" customWidth="1"/>
    <col min="74" max="74" width="9.21875" bestFit="1" customWidth="1"/>
    <col min="75" max="75" width="10.33203125" bestFit="1" customWidth="1"/>
    <col min="76" max="76" width="33.21875" bestFit="1" customWidth="1"/>
    <col min="77" max="77" width="12" bestFit="1" customWidth="1"/>
    <col min="78" max="78" width="12.33203125" bestFit="1" customWidth="1"/>
    <col min="79" max="80" width="12.5546875" bestFit="1" customWidth="1"/>
    <col min="81" max="81" width="11.33203125" bestFit="1" customWidth="1"/>
    <col min="82" max="82" width="15.44140625" bestFit="1" customWidth="1"/>
    <col min="83" max="83" width="10.33203125" bestFit="1" customWidth="1"/>
    <col min="84" max="84" width="9.21875" bestFit="1" customWidth="1"/>
    <col min="85" max="85" width="61" bestFit="1" customWidth="1"/>
    <col min="86" max="87" width="28.109375" bestFit="1" customWidth="1"/>
    <col min="88" max="88" width="24.6640625" bestFit="1" customWidth="1"/>
    <col min="89" max="89" width="14.77734375" bestFit="1" customWidth="1"/>
    <col min="90" max="90" width="14.44140625" bestFit="1" customWidth="1"/>
    <col min="91" max="91" width="5.6640625" bestFit="1" customWidth="1"/>
    <col min="92" max="92" width="9.21875" bestFit="1" customWidth="1"/>
    <col min="93" max="93" width="12.5546875" bestFit="1" customWidth="1"/>
    <col min="94" max="94" width="14.21875" bestFit="1" customWidth="1"/>
    <col min="95" max="95" width="18.21875" bestFit="1" customWidth="1"/>
    <col min="96" max="97" width="9.21875" bestFit="1" customWidth="1"/>
    <col min="98" max="98" width="11.109375" bestFit="1" customWidth="1"/>
    <col min="99" max="99" width="12.5546875" bestFit="1" customWidth="1"/>
    <col min="100" max="102" width="9.21875" bestFit="1" customWidth="1"/>
    <col min="103" max="103" width="9.109375" bestFit="1" customWidth="1"/>
    <col min="104" max="104" width="9.33203125" bestFit="1" customWidth="1"/>
    <col min="105" max="105" width="10.88671875" bestFit="1" customWidth="1"/>
    <col min="106" max="106" width="9.21875" bestFit="1" customWidth="1"/>
    <col min="107" max="108" width="6" bestFit="1" customWidth="1"/>
    <col min="109" max="109" width="12.6640625" bestFit="1" customWidth="1"/>
    <col min="110" max="110" width="10.88671875" bestFit="1" customWidth="1"/>
    <col min="111" max="111" width="9.44140625" bestFit="1" customWidth="1"/>
    <col min="112" max="112" width="12" bestFit="1" customWidth="1"/>
    <col min="113" max="113" width="7.5546875" bestFit="1" customWidth="1"/>
    <col min="114" max="114" width="9.21875" bestFit="1" customWidth="1"/>
    <col min="115" max="115" width="48.33203125" bestFit="1" customWidth="1"/>
    <col min="116" max="116" width="7" bestFit="1" customWidth="1"/>
    <col min="117" max="117" width="7.5546875" bestFit="1" customWidth="1"/>
    <col min="118" max="118" width="9.21875" bestFit="1" customWidth="1"/>
    <col min="119" max="119" width="10.88671875" bestFit="1" customWidth="1"/>
    <col min="120" max="120" width="8.33203125" bestFit="1" customWidth="1"/>
    <col min="121" max="121" width="14.44140625" bestFit="1" customWidth="1"/>
    <col min="122" max="122" width="9.21875" bestFit="1" customWidth="1"/>
    <col min="123" max="123" width="80.5546875" bestFit="1" customWidth="1"/>
    <col min="124" max="124" width="9.21875" bestFit="1" customWidth="1"/>
    <col min="125" max="125" width="11.33203125" bestFit="1" customWidth="1"/>
    <col min="126" max="126" width="12.44140625" bestFit="1" customWidth="1"/>
    <col min="127" max="127" width="11.77734375" bestFit="1" customWidth="1"/>
    <col min="128" max="128" width="11.109375" bestFit="1" customWidth="1"/>
    <col min="129" max="129" width="10.33203125" bestFit="1" customWidth="1"/>
    <col min="130" max="130" width="9.21875" bestFit="1" customWidth="1"/>
    <col min="131" max="131" width="19.44140625" bestFit="1" customWidth="1"/>
    <col min="132" max="132" width="14.21875" bestFit="1" customWidth="1"/>
    <col min="133" max="133" width="14.21875" customWidth="1"/>
    <col min="134" max="135" width="19.88671875" bestFit="1" customWidth="1"/>
  </cols>
  <sheetData>
    <row r="1" spans="1:132">
      <c r="A1" t="s">
        <v>82</v>
      </c>
      <c r="B1" t="s">
        <v>44</v>
      </c>
      <c r="C1" t="s">
        <v>261</v>
      </c>
      <c r="D1" t="s">
        <v>770</v>
      </c>
      <c r="E1" t="s">
        <v>769</v>
      </c>
      <c r="F1" t="s">
        <v>771</v>
      </c>
      <c r="G1" t="s">
        <v>466</v>
      </c>
      <c r="H1" t="s">
        <v>721</v>
      </c>
      <c r="I1" t="s">
        <v>467</v>
      </c>
      <c r="J1" t="s">
        <v>46</v>
      </c>
      <c r="K1" t="s">
        <v>45</v>
      </c>
      <c r="L1" t="s">
        <v>117</v>
      </c>
      <c r="M1" t="s">
        <v>61</v>
      </c>
      <c r="N1" t="s">
        <v>54</v>
      </c>
      <c r="O1" t="s">
        <v>189</v>
      </c>
      <c r="P1" t="s">
        <v>94</v>
      </c>
      <c r="Q1" t="s">
        <v>95</v>
      </c>
      <c r="R1" t="s">
        <v>47</v>
      </c>
      <c r="S1" t="s">
        <v>55</v>
      </c>
      <c r="T1" t="s">
        <v>251</v>
      </c>
      <c r="U1" t="s">
        <v>83</v>
      </c>
      <c r="V1" t="s">
        <v>96</v>
      </c>
      <c r="W1" t="s">
        <v>167</v>
      </c>
      <c r="X1" t="s">
        <v>168</v>
      </c>
      <c r="Y1" t="s">
        <v>51</v>
      </c>
      <c r="Z1" t="s">
        <v>227</v>
      </c>
      <c r="AA1" t="s">
        <v>190</v>
      </c>
      <c r="AB1" t="s">
        <v>52</v>
      </c>
      <c r="AC1" t="s">
        <v>53</v>
      </c>
      <c r="AD1" t="s">
        <v>112</v>
      </c>
      <c r="AE1" t="s">
        <v>57</v>
      </c>
      <c r="AF1" t="s">
        <v>91</v>
      </c>
      <c r="AG1" t="s">
        <v>84</v>
      </c>
      <c r="AH1" t="s">
        <v>132</v>
      </c>
      <c r="AI1" t="s">
        <v>114</v>
      </c>
      <c r="AJ1" t="s">
        <v>58</v>
      </c>
      <c r="AK1" t="s">
        <v>59</v>
      </c>
      <c r="AL1" t="s">
        <v>60</v>
      </c>
      <c r="AM1" t="s">
        <v>62</v>
      </c>
      <c r="AN1" t="s">
        <v>160</v>
      </c>
      <c r="AO1" t="s">
        <v>41</v>
      </c>
      <c r="AP1" t="s">
        <v>289</v>
      </c>
      <c r="AQ1" t="s">
        <v>140</v>
      </c>
      <c r="AR1" t="s">
        <v>86</v>
      </c>
      <c r="AS1" t="s">
        <v>182</v>
      </c>
      <c r="AT1" t="s">
        <v>175</v>
      </c>
      <c r="AU1" t="s">
        <v>39</v>
      </c>
      <c r="AV1" t="s">
        <v>93</v>
      </c>
      <c r="AW1" t="s">
        <v>176</v>
      </c>
      <c r="AX1" t="s">
        <v>177</v>
      </c>
      <c r="AY1" t="s">
        <v>178</v>
      </c>
      <c r="AZ1" t="s">
        <v>85</v>
      </c>
      <c r="BA1" t="s">
        <v>137</v>
      </c>
      <c r="BB1" t="s">
        <v>97</v>
      </c>
      <c r="BC1" t="s">
        <v>120</v>
      </c>
      <c r="BD1" t="s">
        <v>50</v>
      </c>
      <c r="BE1" t="s">
        <v>64</v>
      </c>
      <c r="BF1" t="s">
        <v>65</v>
      </c>
      <c r="BG1" t="s">
        <v>99</v>
      </c>
      <c r="BH1" t="s">
        <v>130</v>
      </c>
      <c r="BI1" t="s">
        <v>56</v>
      </c>
      <c r="BJ1" t="s">
        <v>69</v>
      </c>
      <c r="BK1" t="s">
        <v>181</v>
      </c>
      <c r="BL1" t="s">
        <v>148</v>
      </c>
      <c r="BM1" t="s">
        <v>70</v>
      </c>
      <c r="BN1" t="s">
        <v>100</v>
      </c>
      <c r="BO1" t="s">
        <v>71</v>
      </c>
      <c r="BP1" t="s">
        <v>180</v>
      </c>
      <c r="BQ1" t="s">
        <v>72</v>
      </c>
      <c r="BR1" t="s">
        <v>73</v>
      </c>
      <c r="BS1" t="s">
        <v>149</v>
      </c>
      <c r="BT1" t="s">
        <v>75</v>
      </c>
      <c r="BU1" t="s">
        <v>76</v>
      </c>
      <c r="BV1" t="s">
        <v>101</v>
      </c>
      <c r="BW1" t="s">
        <v>63</v>
      </c>
      <c r="BX1" t="s">
        <v>90</v>
      </c>
      <c r="BY1" t="s">
        <v>252</v>
      </c>
      <c r="BZ1" t="s">
        <v>141</v>
      </c>
      <c r="CA1" t="s">
        <v>48</v>
      </c>
      <c r="CB1" t="s">
        <v>725</v>
      </c>
      <c r="CC1" t="s">
        <v>87</v>
      </c>
      <c r="CD1" t="s">
        <v>726</v>
      </c>
      <c r="CE1" t="s">
        <v>49</v>
      </c>
      <c r="CF1" t="s">
        <v>169</v>
      </c>
      <c r="CG1" t="s">
        <v>67</v>
      </c>
      <c r="CH1" t="s">
        <v>68</v>
      </c>
      <c r="CI1" t="s">
        <v>78</v>
      </c>
      <c r="CJ1" t="s">
        <v>540</v>
      </c>
      <c r="CK1" t="s">
        <v>727</v>
      </c>
      <c r="CL1" t="s">
        <v>728</v>
      </c>
      <c r="CM1" t="s">
        <v>118</v>
      </c>
      <c r="CN1" t="s">
        <v>292</v>
      </c>
      <c r="CO1" t="s">
        <v>694</v>
      </c>
      <c r="CP1" t="s">
        <v>202</v>
      </c>
      <c r="CQ1" t="s">
        <v>124</v>
      </c>
      <c r="CR1" t="s">
        <v>111</v>
      </c>
      <c r="CS1" t="s">
        <v>170</v>
      </c>
      <c r="CT1" t="s">
        <v>126</v>
      </c>
      <c r="CU1" t="s">
        <v>537</v>
      </c>
      <c r="CV1" t="s">
        <v>502</v>
      </c>
      <c r="CW1" t="s">
        <v>503</v>
      </c>
      <c r="CX1" t="s">
        <v>1200</v>
      </c>
      <c r="CY1" t="s">
        <v>1201</v>
      </c>
      <c r="CZ1" t="s">
        <v>1202</v>
      </c>
      <c r="DA1" t="s">
        <v>539</v>
      </c>
      <c r="DB1" t="s">
        <v>166</v>
      </c>
      <c r="DC1" t="s">
        <v>504</v>
      </c>
      <c r="DD1" t="s">
        <v>42</v>
      </c>
      <c r="DE1" t="s">
        <v>43</v>
      </c>
      <c r="DF1" t="s">
        <v>184</v>
      </c>
      <c r="DG1" t="s">
        <v>491</v>
      </c>
      <c r="DH1" t="s">
        <v>717</v>
      </c>
      <c r="DI1" t="s">
        <v>718</v>
      </c>
      <c r="DJ1" t="s">
        <v>719</v>
      </c>
      <c r="DK1" t="s">
        <v>720</v>
      </c>
      <c r="DL1" t="s">
        <v>138</v>
      </c>
      <c r="DM1" t="s">
        <v>171</v>
      </c>
      <c r="DN1" t="s">
        <v>696</v>
      </c>
      <c r="DO1" t="s">
        <v>66</v>
      </c>
      <c r="DP1" t="s">
        <v>469</v>
      </c>
      <c r="DQ1" t="s">
        <v>77</v>
      </c>
      <c r="DR1" t="s">
        <v>74</v>
      </c>
      <c r="DS1" t="s">
        <v>179</v>
      </c>
      <c r="DT1" t="s">
        <v>98</v>
      </c>
      <c r="DU1" t="s">
        <v>716</v>
      </c>
      <c r="DV1" t="s">
        <v>724</v>
      </c>
      <c r="DW1" t="s">
        <v>722</v>
      </c>
      <c r="DX1" t="s">
        <v>723</v>
      </c>
      <c r="DY1" t="s">
        <v>139</v>
      </c>
      <c r="DZ1" t="s">
        <v>1308</v>
      </c>
      <c r="EA1" t="s">
        <v>119</v>
      </c>
      <c r="EB1" t="s">
        <v>174</v>
      </c>
    </row>
    <row r="2" spans="1:132">
      <c r="A2">
        <v>31</v>
      </c>
      <c r="B2" s="178" t="s">
        <v>1711</v>
      </c>
      <c r="C2" s="178" t="s">
        <v>88</v>
      </c>
      <c r="D2" t="s">
        <v>778</v>
      </c>
      <c r="E2" t="s">
        <v>778</v>
      </c>
      <c r="F2" s="178" t="s">
        <v>88</v>
      </c>
      <c r="G2" s="178" t="s">
        <v>779</v>
      </c>
      <c r="H2" s="178" t="s">
        <v>779</v>
      </c>
      <c r="I2" s="178" t="s">
        <v>779</v>
      </c>
      <c r="J2" s="30">
        <v>45310</v>
      </c>
      <c r="K2" s="178" t="s">
        <v>1712</v>
      </c>
      <c r="L2" s="178" t="s">
        <v>1305</v>
      </c>
      <c r="M2" s="178" t="s">
        <v>102</v>
      </c>
      <c r="O2" s="178" t="s">
        <v>88</v>
      </c>
      <c r="P2" s="178" t="s">
        <v>88</v>
      </c>
      <c r="Q2" s="178" t="s">
        <v>88</v>
      </c>
      <c r="R2" s="178" t="s">
        <v>88</v>
      </c>
      <c r="S2" s="178" t="s">
        <v>88</v>
      </c>
      <c r="U2" s="178" t="s">
        <v>88</v>
      </c>
      <c r="V2" s="178" t="s">
        <v>501</v>
      </c>
      <c r="W2" s="178" t="s">
        <v>501</v>
      </c>
      <c r="X2" s="178" t="s">
        <v>501</v>
      </c>
      <c r="Z2" s="178" t="s">
        <v>88</v>
      </c>
      <c r="AA2" s="178" t="s">
        <v>501</v>
      </c>
      <c r="AB2" s="178" t="s">
        <v>88</v>
      </c>
      <c r="AC2" s="178" t="s">
        <v>88</v>
      </c>
      <c r="AD2" s="178" t="s">
        <v>501</v>
      </c>
      <c r="AF2" s="178" t="s">
        <v>501</v>
      </c>
      <c r="AG2" s="178" t="s">
        <v>88</v>
      </c>
      <c r="AM2" s="178" t="s">
        <v>501</v>
      </c>
      <c r="AN2" s="178" t="s">
        <v>88</v>
      </c>
      <c r="AO2" s="178" t="s">
        <v>88</v>
      </c>
      <c r="AP2" s="178" t="s">
        <v>501</v>
      </c>
      <c r="AQ2" s="178" t="s">
        <v>88</v>
      </c>
      <c r="AR2" s="178" t="s">
        <v>501</v>
      </c>
      <c r="AS2" s="178" t="s">
        <v>88</v>
      </c>
      <c r="AU2" s="178" t="s">
        <v>88</v>
      </c>
      <c r="AV2" s="178" t="s">
        <v>88</v>
      </c>
      <c r="AX2" s="178" t="s">
        <v>88</v>
      </c>
      <c r="AY2" s="178" t="s">
        <v>88</v>
      </c>
      <c r="AZ2" s="178" t="s">
        <v>501</v>
      </c>
      <c r="BC2" s="178" t="s">
        <v>88</v>
      </c>
      <c r="BD2" s="178" t="s">
        <v>88</v>
      </c>
      <c r="BE2" s="30"/>
      <c r="BF2" s="178" t="s">
        <v>88</v>
      </c>
      <c r="BH2" s="178" t="s">
        <v>88</v>
      </c>
      <c r="BI2" s="30"/>
      <c r="BJ2" s="30"/>
      <c r="BK2" s="178" t="s">
        <v>88</v>
      </c>
      <c r="BL2" s="178" t="s">
        <v>6</v>
      </c>
      <c r="BM2" s="30"/>
      <c r="BN2" s="178" t="s">
        <v>88</v>
      </c>
      <c r="BO2" s="178" t="s">
        <v>88</v>
      </c>
      <c r="BP2" s="178" t="s">
        <v>88</v>
      </c>
      <c r="BQ2" s="178" t="s">
        <v>88</v>
      </c>
      <c r="BR2" s="178" t="s">
        <v>88</v>
      </c>
      <c r="BS2" s="178" t="s">
        <v>6</v>
      </c>
      <c r="BT2" s="178" t="s">
        <v>88</v>
      </c>
      <c r="BU2" s="178" t="s">
        <v>88</v>
      </c>
      <c r="BV2" s="178" t="s">
        <v>88</v>
      </c>
      <c r="BW2" s="30"/>
      <c r="BX2" s="178" t="s">
        <v>1711</v>
      </c>
      <c r="BY2" s="178" t="s">
        <v>1314</v>
      </c>
      <c r="BZ2" s="178" t="s">
        <v>1305</v>
      </c>
      <c r="CA2" s="178" t="s">
        <v>88</v>
      </c>
      <c r="CB2" s="178" t="s">
        <v>88</v>
      </c>
      <c r="CC2" s="178" t="s">
        <v>501</v>
      </c>
      <c r="CE2" s="30"/>
      <c r="CF2" s="178" t="s">
        <v>88</v>
      </c>
      <c r="CG2" s="178" t="s">
        <v>501</v>
      </c>
      <c r="CH2" s="178" t="s">
        <v>88</v>
      </c>
      <c r="CI2" s="178" t="s">
        <v>88</v>
      </c>
      <c r="CJ2" s="178" t="s">
        <v>88</v>
      </c>
      <c r="CK2">
        <v>1711</v>
      </c>
      <c r="CL2">
        <v>1777</v>
      </c>
      <c r="CM2" s="178" t="s">
        <v>88</v>
      </c>
      <c r="CN2" s="178" t="s">
        <v>88</v>
      </c>
      <c r="CO2" s="178" t="s">
        <v>88</v>
      </c>
      <c r="CP2" s="178" t="s">
        <v>88</v>
      </c>
      <c r="CQ2" s="178" t="s">
        <v>88</v>
      </c>
      <c r="CS2" s="178" t="s">
        <v>88</v>
      </c>
      <c r="CT2" s="178" t="s">
        <v>501</v>
      </c>
      <c r="CU2" s="178" t="s">
        <v>88</v>
      </c>
      <c r="CV2" s="178" t="s">
        <v>88</v>
      </c>
      <c r="CW2" s="178" t="s">
        <v>88</v>
      </c>
      <c r="CY2" s="178" t="s">
        <v>501</v>
      </c>
      <c r="CZ2" s="30"/>
      <c r="DA2" s="178" t="s">
        <v>88</v>
      </c>
      <c r="DB2" s="178" t="s">
        <v>88</v>
      </c>
      <c r="DC2" s="178" t="s">
        <v>88</v>
      </c>
      <c r="DD2" s="178" t="s">
        <v>501</v>
      </c>
      <c r="DE2" s="178" t="s">
        <v>501</v>
      </c>
      <c r="DF2" s="30"/>
      <c r="DG2" t="s">
        <v>88</v>
      </c>
      <c r="DJ2" s="178" t="s">
        <v>88</v>
      </c>
      <c r="DK2" s="178" t="s">
        <v>88</v>
      </c>
      <c r="DN2" s="178" t="s">
        <v>88</v>
      </c>
      <c r="DO2" s="30"/>
      <c r="DP2" s="178" t="s">
        <v>88</v>
      </c>
      <c r="DQ2" s="178" t="s">
        <v>88</v>
      </c>
      <c r="DR2" s="178" t="s">
        <v>88</v>
      </c>
      <c r="DS2" s="178" t="s">
        <v>88</v>
      </c>
      <c r="DU2" s="178" t="s">
        <v>88</v>
      </c>
      <c r="DV2" s="178" t="s">
        <v>88</v>
      </c>
      <c r="DW2" s="178" t="s">
        <v>88</v>
      </c>
      <c r="DX2" s="178" t="s">
        <v>88</v>
      </c>
      <c r="DY2" s="178" t="s">
        <v>1714</v>
      </c>
      <c r="DZ2" s="178" t="s">
        <v>88</v>
      </c>
      <c r="EA2" s="178" t="s">
        <v>1713</v>
      </c>
      <c r="EB2" s="123">
        <v>45313.905730613427</v>
      </c>
    </row>
    <row r="3" spans="1:132">
      <c r="A3">
        <v>30</v>
      </c>
      <c r="B3" s="178" t="s">
        <v>1500</v>
      </c>
      <c r="C3" s="178" t="s">
        <v>88</v>
      </c>
      <c r="D3" t="s">
        <v>778</v>
      </c>
      <c r="E3" t="s">
        <v>778</v>
      </c>
      <c r="F3" s="178" t="s">
        <v>88</v>
      </c>
      <c r="G3" s="178" t="s">
        <v>88</v>
      </c>
      <c r="H3" s="178" t="s">
        <v>88</v>
      </c>
      <c r="I3" s="178" t="s">
        <v>778</v>
      </c>
      <c r="J3" s="30">
        <v>45310</v>
      </c>
      <c r="K3" s="178" t="s">
        <v>1499</v>
      </c>
      <c r="L3" s="178" t="s">
        <v>79</v>
      </c>
      <c r="M3" s="178" t="s">
        <v>102</v>
      </c>
      <c r="N3">
        <v>5.27</v>
      </c>
      <c r="O3" s="178" t="s">
        <v>1498</v>
      </c>
      <c r="P3" s="178" t="s">
        <v>279</v>
      </c>
      <c r="Q3" s="178" t="s">
        <v>279</v>
      </c>
      <c r="R3" s="178" t="s">
        <v>279</v>
      </c>
      <c r="S3" s="178" t="s">
        <v>799</v>
      </c>
      <c r="T3">
        <v>7.8</v>
      </c>
      <c r="U3" s="178" t="s">
        <v>801</v>
      </c>
      <c r="V3" s="178" t="s">
        <v>287</v>
      </c>
      <c r="W3" s="178" t="s">
        <v>88</v>
      </c>
      <c r="X3" s="178" t="s">
        <v>88</v>
      </c>
      <c r="Z3" s="178" t="s">
        <v>282</v>
      </c>
      <c r="AA3" s="178" t="s">
        <v>281</v>
      </c>
      <c r="AB3" s="178" t="s">
        <v>88</v>
      </c>
      <c r="AC3" s="178" t="s">
        <v>280</v>
      </c>
      <c r="AD3" s="178" t="s">
        <v>1507</v>
      </c>
      <c r="AF3" s="178" t="s">
        <v>500</v>
      </c>
      <c r="AG3" s="178" t="s">
        <v>88</v>
      </c>
      <c r="AM3" s="178" t="s">
        <v>1503</v>
      </c>
      <c r="AN3" s="178" t="s">
        <v>228</v>
      </c>
      <c r="AO3" s="178" t="s">
        <v>695</v>
      </c>
      <c r="AP3" s="178" t="s">
        <v>472</v>
      </c>
      <c r="AQ3" s="178" t="s">
        <v>279</v>
      </c>
      <c r="AR3" s="178" t="s">
        <v>35</v>
      </c>
      <c r="AS3" s="178" t="s">
        <v>199</v>
      </c>
      <c r="AT3" t="s">
        <v>800</v>
      </c>
      <c r="AU3" s="178" t="s">
        <v>278</v>
      </c>
      <c r="AV3" s="178" t="s">
        <v>286</v>
      </c>
      <c r="AX3" s="178" t="s">
        <v>88</v>
      </c>
      <c r="AY3" s="178" t="s">
        <v>88</v>
      </c>
      <c r="AZ3" s="178" t="s">
        <v>9</v>
      </c>
      <c r="BA3">
        <v>0.73699999999999999</v>
      </c>
      <c r="BB3">
        <v>10000</v>
      </c>
      <c r="BC3" s="178" t="s">
        <v>88</v>
      </c>
      <c r="BD3" s="178" t="s">
        <v>88</v>
      </c>
      <c r="BE3" s="30"/>
      <c r="BF3" s="178" t="s">
        <v>88</v>
      </c>
      <c r="BG3">
        <v>7.8</v>
      </c>
      <c r="BH3" s="178" t="s">
        <v>88</v>
      </c>
      <c r="BI3" s="30">
        <v>100</v>
      </c>
      <c r="BJ3" s="30">
        <v>45316</v>
      </c>
      <c r="BK3" s="178" t="s">
        <v>1507</v>
      </c>
      <c r="BL3" s="178" t="s">
        <v>6</v>
      </c>
      <c r="BM3" s="30">
        <v>45316</v>
      </c>
      <c r="BN3" s="178" t="s">
        <v>692</v>
      </c>
      <c r="BO3" s="178" t="s">
        <v>1508</v>
      </c>
      <c r="BP3" s="178" t="s">
        <v>1509</v>
      </c>
      <c r="BQ3" s="178" t="s">
        <v>277</v>
      </c>
      <c r="BR3" s="178" t="s">
        <v>277</v>
      </c>
      <c r="BS3" s="178" t="s">
        <v>6</v>
      </c>
      <c r="BT3" s="178" t="s">
        <v>275</v>
      </c>
      <c r="BU3" s="178" t="s">
        <v>274</v>
      </c>
      <c r="BV3" s="178" t="s">
        <v>88</v>
      </c>
      <c r="BW3" s="30">
        <v>45316</v>
      </c>
      <c r="BX3" s="178" t="s">
        <v>1497</v>
      </c>
      <c r="BY3" s="178" t="s">
        <v>191</v>
      </c>
      <c r="BZ3" s="178" t="s">
        <v>79</v>
      </c>
      <c r="CA3" s="178" t="s">
        <v>1504</v>
      </c>
      <c r="CB3" s="178" t="s">
        <v>88</v>
      </c>
      <c r="CC3" s="178" t="s">
        <v>193</v>
      </c>
      <c r="CD3">
        <v>1032</v>
      </c>
      <c r="CE3" s="30">
        <v>46047</v>
      </c>
      <c r="CF3" s="178" t="s">
        <v>88</v>
      </c>
      <c r="CG3" s="178" t="s">
        <v>1497</v>
      </c>
      <c r="CH3" s="178" t="s">
        <v>88</v>
      </c>
      <c r="CI3" s="178" t="s">
        <v>88</v>
      </c>
      <c r="CJ3" s="178" t="s">
        <v>88</v>
      </c>
      <c r="CK3">
        <v>1710</v>
      </c>
      <c r="CL3">
        <v>1776</v>
      </c>
      <c r="CM3" s="178" t="s">
        <v>88</v>
      </c>
      <c r="CN3" s="178" t="s">
        <v>88</v>
      </c>
      <c r="CO3" s="178" t="s">
        <v>192</v>
      </c>
      <c r="CP3" s="178" t="s">
        <v>88</v>
      </c>
      <c r="CQ3" s="178" t="s">
        <v>88</v>
      </c>
      <c r="CS3" s="178" t="s">
        <v>88</v>
      </c>
      <c r="CT3" s="178" t="s">
        <v>6</v>
      </c>
      <c r="CU3" s="178" t="s">
        <v>1676</v>
      </c>
      <c r="CV3" s="178" t="s">
        <v>6</v>
      </c>
      <c r="CW3" s="178" t="s">
        <v>6</v>
      </c>
      <c r="CX3">
        <v>4</v>
      </c>
      <c r="CY3" s="178" t="s">
        <v>1204</v>
      </c>
      <c r="CZ3" s="30">
        <v>45316</v>
      </c>
      <c r="DA3" s="178" t="s">
        <v>88</v>
      </c>
      <c r="DB3" s="178" t="s">
        <v>157</v>
      </c>
      <c r="DC3" s="178" t="s">
        <v>526</v>
      </c>
      <c r="DD3" s="178" t="s">
        <v>1502</v>
      </c>
      <c r="DE3" s="178" t="s">
        <v>88</v>
      </c>
      <c r="DF3" s="30"/>
      <c r="DG3" t="s">
        <v>1</v>
      </c>
      <c r="DJ3" s="178" t="s">
        <v>88</v>
      </c>
      <c r="DK3" s="178" t="s">
        <v>88</v>
      </c>
      <c r="DL3">
        <v>5.27</v>
      </c>
      <c r="DM3">
        <v>5.7549999999999999</v>
      </c>
      <c r="DN3" s="178" t="s">
        <v>88</v>
      </c>
      <c r="DO3" s="30">
        <v>45498</v>
      </c>
      <c r="DP3" s="178" t="s">
        <v>1506</v>
      </c>
      <c r="DQ3" s="178" t="s">
        <v>113</v>
      </c>
      <c r="DR3" s="178" t="s">
        <v>276</v>
      </c>
      <c r="DS3" s="178" t="s">
        <v>1505</v>
      </c>
      <c r="DT3">
        <v>5.27</v>
      </c>
      <c r="DU3" s="178" t="s">
        <v>88</v>
      </c>
      <c r="DV3" s="178" t="s">
        <v>88</v>
      </c>
      <c r="DW3" s="178" t="s">
        <v>88</v>
      </c>
      <c r="DX3" s="178" t="s">
        <v>88</v>
      </c>
      <c r="DY3" s="178" t="s">
        <v>1472</v>
      </c>
      <c r="DZ3" s="178" t="s">
        <v>88</v>
      </c>
      <c r="EA3" s="178" t="s">
        <v>1510</v>
      </c>
      <c r="EB3" s="123">
        <v>45313.905730613427</v>
      </c>
    </row>
    <row r="4" spans="1:132">
      <c r="A4">
        <v>29</v>
      </c>
      <c r="B4" s="178" t="s">
        <v>1514</v>
      </c>
      <c r="C4" s="178" t="s">
        <v>88</v>
      </c>
      <c r="D4" t="s">
        <v>778</v>
      </c>
      <c r="E4" t="s">
        <v>778</v>
      </c>
      <c r="F4" s="178" t="s">
        <v>88</v>
      </c>
      <c r="G4" s="178" t="s">
        <v>88</v>
      </c>
      <c r="H4" s="178" t="s">
        <v>88</v>
      </c>
      <c r="I4" s="178" t="s">
        <v>779</v>
      </c>
      <c r="J4" s="30">
        <v>45310</v>
      </c>
      <c r="K4" s="178" t="s">
        <v>1513</v>
      </c>
      <c r="L4" s="178" t="s">
        <v>79</v>
      </c>
      <c r="M4" s="178" t="s">
        <v>102</v>
      </c>
      <c r="N4">
        <v>10.5</v>
      </c>
      <c r="O4" s="178" t="s">
        <v>1512</v>
      </c>
      <c r="P4" s="178" t="s">
        <v>279</v>
      </c>
      <c r="Q4" s="178" t="s">
        <v>279</v>
      </c>
      <c r="R4" s="178" t="s">
        <v>279</v>
      </c>
      <c r="S4" s="178" t="s">
        <v>284</v>
      </c>
      <c r="T4">
        <v>5.15</v>
      </c>
      <c r="U4" s="178" t="s">
        <v>129</v>
      </c>
      <c r="V4" s="178" t="s">
        <v>287</v>
      </c>
      <c r="W4" s="178" t="s">
        <v>1516</v>
      </c>
      <c r="X4" s="178" t="s">
        <v>1517</v>
      </c>
      <c r="Y4">
        <v>15</v>
      </c>
      <c r="Z4" s="178" t="s">
        <v>282</v>
      </c>
      <c r="AA4" s="178" t="s">
        <v>281</v>
      </c>
      <c r="AB4" s="178" t="s">
        <v>88</v>
      </c>
      <c r="AC4" s="178" t="s">
        <v>280</v>
      </c>
      <c r="AD4" s="178" t="s">
        <v>1517</v>
      </c>
      <c r="AF4" s="178" t="s">
        <v>1518</v>
      </c>
      <c r="AG4" s="178" t="s">
        <v>1687</v>
      </c>
      <c r="AH4">
        <v>15</v>
      </c>
      <c r="AM4" s="178" t="s">
        <v>1520</v>
      </c>
      <c r="AN4" s="178" t="s">
        <v>228</v>
      </c>
      <c r="AO4" s="178" t="s">
        <v>695</v>
      </c>
      <c r="AP4" s="178" t="s">
        <v>472</v>
      </c>
      <c r="AQ4" s="178" t="s">
        <v>279</v>
      </c>
      <c r="AR4" s="178" t="s">
        <v>35</v>
      </c>
      <c r="AS4" s="178" t="s">
        <v>199</v>
      </c>
      <c r="AT4" t="s">
        <v>1521</v>
      </c>
      <c r="AU4" s="178" t="s">
        <v>278</v>
      </c>
      <c r="AV4" s="178" t="s">
        <v>286</v>
      </c>
      <c r="AX4" s="178" t="s">
        <v>88</v>
      </c>
      <c r="AY4" s="178" t="s">
        <v>88</v>
      </c>
      <c r="AZ4" s="178" t="s">
        <v>15</v>
      </c>
      <c r="BA4">
        <v>1.468</v>
      </c>
      <c r="BB4">
        <v>10000</v>
      </c>
      <c r="BC4" s="178" t="s">
        <v>88</v>
      </c>
      <c r="BD4" s="178" t="s">
        <v>1517</v>
      </c>
      <c r="BE4" s="30">
        <v>46048</v>
      </c>
      <c r="BF4" s="178" t="s">
        <v>88</v>
      </c>
      <c r="BG4">
        <v>5.15</v>
      </c>
      <c r="BH4" s="178" t="s">
        <v>1517</v>
      </c>
      <c r="BI4" s="30">
        <v>100</v>
      </c>
      <c r="BJ4" s="30">
        <v>45317</v>
      </c>
      <c r="BK4" s="178" t="s">
        <v>1517</v>
      </c>
      <c r="BL4" s="178" t="s">
        <v>6</v>
      </c>
      <c r="BM4" s="30">
        <v>45317</v>
      </c>
      <c r="BN4" s="178" t="s">
        <v>692</v>
      </c>
      <c r="BO4" s="178" t="s">
        <v>1524</v>
      </c>
      <c r="BP4" s="178" t="s">
        <v>1525</v>
      </c>
      <c r="BQ4" s="178" t="s">
        <v>277</v>
      </c>
      <c r="BR4" s="178" t="s">
        <v>277</v>
      </c>
      <c r="BS4" s="178" t="s">
        <v>6</v>
      </c>
      <c r="BT4" s="178" t="s">
        <v>275</v>
      </c>
      <c r="BU4" s="178" t="s">
        <v>1526</v>
      </c>
      <c r="BV4" s="178" t="s">
        <v>88</v>
      </c>
      <c r="BW4" s="30">
        <v>45317</v>
      </c>
      <c r="BX4" s="178" t="s">
        <v>1511</v>
      </c>
      <c r="BY4" s="178" t="s">
        <v>191</v>
      </c>
      <c r="BZ4" s="178" t="s">
        <v>79</v>
      </c>
      <c r="CA4" s="178" t="s">
        <v>1504</v>
      </c>
      <c r="CB4" s="178" t="s">
        <v>88</v>
      </c>
      <c r="CC4" s="178" t="s">
        <v>193</v>
      </c>
      <c r="CD4">
        <v>87</v>
      </c>
      <c r="CE4" s="30">
        <v>46413</v>
      </c>
      <c r="CF4" s="178" t="s">
        <v>88</v>
      </c>
      <c r="CG4" s="178" t="s">
        <v>1511</v>
      </c>
      <c r="CH4" s="178" t="s">
        <v>88</v>
      </c>
      <c r="CI4" s="178" t="s">
        <v>88</v>
      </c>
      <c r="CJ4" s="178" t="s">
        <v>88</v>
      </c>
      <c r="CK4">
        <v>1709</v>
      </c>
      <c r="CL4">
        <v>1775</v>
      </c>
      <c r="CM4" s="178" t="s">
        <v>88</v>
      </c>
      <c r="CN4" s="178" t="s">
        <v>88</v>
      </c>
      <c r="CO4" s="178" t="s">
        <v>192</v>
      </c>
      <c r="CP4" s="178" t="s">
        <v>88</v>
      </c>
      <c r="CQ4" s="178" t="s">
        <v>88</v>
      </c>
      <c r="CS4" s="178" t="s">
        <v>88</v>
      </c>
      <c r="CT4" s="178" t="s">
        <v>6</v>
      </c>
      <c r="CU4" s="178" t="s">
        <v>1718</v>
      </c>
      <c r="CV4" s="178" t="s">
        <v>6</v>
      </c>
      <c r="CW4" s="178" t="s">
        <v>6</v>
      </c>
      <c r="CX4">
        <v>5</v>
      </c>
      <c r="CY4" s="178" t="s">
        <v>1203</v>
      </c>
      <c r="CZ4" s="30">
        <v>45317</v>
      </c>
      <c r="DA4" s="178" t="s">
        <v>88</v>
      </c>
      <c r="DB4" s="178" t="s">
        <v>157</v>
      </c>
      <c r="DC4" s="178" t="s">
        <v>524</v>
      </c>
      <c r="DD4" s="178" t="s">
        <v>1519</v>
      </c>
      <c r="DE4" s="178" t="s">
        <v>88</v>
      </c>
      <c r="DF4" s="30"/>
      <c r="DG4" t="s">
        <v>1</v>
      </c>
      <c r="DJ4" s="178" t="s">
        <v>88</v>
      </c>
      <c r="DK4" s="178" t="s">
        <v>88</v>
      </c>
      <c r="DL4">
        <v>10.5</v>
      </c>
      <c r="DM4">
        <v>11.467000000000001</v>
      </c>
      <c r="DN4" s="178" t="s">
        <v>88</v>
      </c>
      <c r="DO4" s="30">
        <v>45683</v>
      </c>
      <c r="DP4" s="178" t="s">
        <v>1523</v>
      </c>
      <c r="DQ4" s="178" t="s">
        <v>1385</v>
      </c>
      <c r="DR4" s="178" t="s">
        <v>276</v>
      </c>
      <c r="DS4" s="178" t="s">
        <v>1522</v>
      </c>
      <c r="DT4">
        <v>10.5</v>
      </c>
      <c r="DU4" s="178" t="s">
        <v>88</v>
      </c>
      <c r="DV4" s="178" t="s">
        <v>88</v>
      </c>
      <c r="DW4" s="178" t="s">
        <v>88</v>
      </c>
      <c r="DX4" s="178" t="s">
        <v>88</v>
      </c>
      <c r="DY4" s="178" t="s">
        <v>707</v>
      </c>
      <c r="DZ4" s="178" t="s">
        <v>88</v>
      </c>
      <c r="EA4" s="178" t="s">
        <v>1527</v>
      </c>
      <c r="EB4" s="123">
        <v>45313.905730613427</v>
      </c>
    </row>
    <row r="5" spans="1:132">
      <c r="A5">
        <v>28</v>
      </c>
      <c r="B5" s="178" t="s">
        <v>1123</v>
      </c>
      <c r="C5" s="178" t="s">
        <v>88</v>
      </c>
      <c r="D5" t="s">
        <v>778</v>
      </c>
      <c r="E5" t="s">
        <v>778</v>
      </c>
      <c r="F5" s="178" t="s">
        <v>88</v>
      </c>
      <c r="G5" s="178" t="s">
        <v>88</v>
      </c>
      <c r="H5" s="178" t="s">
        <v>88</v>
      </c>
      <c r="I5" s="178" t="s">
        <v>779</v>
      </c>
      <c r="J5" s="30">
        <v>45309</v>
      </c>
      <c r="K5" s="178" t="s">
        <v>1092</v>
      </c>
      <c r="L5" s="178" t="s">
        <v>79</v>
      </c>
      <c r="M5" s="178" t="s">
        <v>203</v>
      </c>
      <c r="N5">
        <v>72</v>
      </c>
      <c r="O5" s="178" t="s">
        <v>1327</v>
      </c>
      <c r="P5" s="178" t="s">
        <v>279</v>
      </c>
      <c r="Q5" s="178" t="s">
        <v>279</v>
      </c>
      <c r="R5" s="178" t="s">
        <v>279</v>
      </c>
      <c r="S5" s="178" t="s">
        <v>284</v>
      </c>
      <c r="T5">
        <v>1.68</v>
      </c>
      <c r="U5" s="178" t="s">
        <v>129</v>
      </c>
      <c r="V5" s="178" t="s">
        <v>283</v>
      </c>
      <c r="W5" s="178" t="s">
        <v>1329</v>
      </c>
      <c r="X5" s="178" t="s">
        <v>1124</v>
      </c>
      <c r="Y5">
        <v>12</v>
      </c>
      <c r="Z5" s="178" t="s">
        <v>282</v>
      </c>
      <c r="AA5" s="178" t="s">
        <v>708</v>
      </c>
      <c r="AB5" s="178" t="s">
        <v>1330</v>
      </c>
      <c r="AC5" s="178" t="s">
        <v>280</v>
      </c>
      <c r="AD5" s="178" t="s">
        <v>1124</v>
      </c>
      <c r="AF5" s="178" t="s">
        <v>710</v>
      </c>
      <c r="AG5" s="178" t="s">
        <v>1140</v>
      </c>
      <c r="AH5">
        <v>12</v>
      </c>
      <c r="AM5" s="178" t="s">
        <v>1331</v>
      </c>
      <c r="AN5" s="178" t="s">
        <v>228</v>
      </c>
      <c r="AO5" s="178" t="s">
        <v>1332</v>
      </c>
      <c r="AP5" s="178" t="s">
        <v>1299</v>
      </c>
      <c r="AQ5" s="178" t="s">
        <v>279</v>
      </c>
      <c r="AR5" s="178" t="s">
        <v>107</v>
      </c>
      <c r="AS5" s="178" t="s">
        <v>199</v>
      </c>
      <c r="AT5" t="s">
        <v>693</v>
      </c>
      <c r="AU5" s="178" t="s">
        <v>278</v>
      </c>
      <c r="AV5" s="178" t="s">
        <v>286</v>
      </c>
      <c r="AX5" s="178" t="s">
        <v>88</v>
      </c>
      <c r="AY5" s="178" t="s">
        <v>88</v>
      </c>
      <c r="AZ5" s="178" t="s">
        <v>16</v>
      </c>
      <c r="BA5">
        <v>0.505</v>
      </c>
      <c r="BB5">
        <v>100</v>
      </c>
      <c r="BC5" s="178" t="s">
        <v>88</v>
      </c>
      <c r="BD5" s="178" t="s">
        <v>1124</v>
      </c>
      <c r="BE5" s="30"/>
      <c r="BF5" s="178" t="s">
        <v>88</v>
      </c>
      <c r="BG5">
        <v>1.68</v>
      </c>
      <c r="BH5" s="178" t="s">
        <v>1124</v>
      </c>
      <c r="BI5" s="30">
        <v>100</v>
      </c>
      <c r="BJ5" s="30">
        <v>45315</v>
      </c>
      <c r="BK5" s="178" t="s">
        <v>1124</v>
      </c>
      <c r="BL5" s="178" t="s">
        <v>6</v>
      </c>
      <c r="BM5" s="30">
        <v>45315</v>
      </c>
      <c r="BN5" s="178" t="s">
        <v>709</v>
      </c>
      <c r="BO5" s="178" t="s">
        <v>1335</v>
      </c>
      <c r="BP5" s="178" t="s">
        <v>1336</v>
      </c>
      <c r="BQ5" s="178" t="s">
        <v>277</v>
      </c>
      <c r="BR5" s="178" t="s">
        <v>277</v>
      </c>
      <c r="BS5" s="178" t="s">
        <v>6</v>
      </c>
      <c r="BT5" s="178" t="s">
        <v>275</v>
      </c>
      <c r="BU5" s="178" t="s">
        <v>274</v>
      </c>
      <c r="BV5" s="178" t="s">
        <v>88</v>
      </c>
      <c r="BW5" s="30">
        <v>45315</v>
      </c>
      <c r="BX5" s="178" t="s">
        <v>1093</v>
      </c>
      <c r="BY5" s="178" t="s">
        <v>191</v>
      </c>
      <c r="BZ5" s="178" t="s">
        <v>79</v>
      </c>
      <c r="CA5" s="178" t="s">
        <v>88</v>
      </c>
      <c r="CB5" s="178" t="s">
        <v>88</v>
      </c>
      <c r="CC5" s="178" t="s">
        <v>204</v>
      </c>
      <c r="CD5">
        <v>92</v>
      </c>
      <c r="CE5" s="30">
        <v>46411</v>
      </c>
      <c r="CF5" s="178" t="s">
        <v>88</v>
      </c>
      <c r="CG5" s="178" t="s">
        <v>1093</v>
      </c>
      <c r="CH5" s="178" t="s">
        <v>88</v>
      </c>
      <c r="CI5" s="178" t="s">
        <v>88</v>
      </c>
      <c r="CJ5" s="178" t="s">
        <v>555</v>
      </c>
      <c r="CK5">
        <v>1707</v>
      </c>
      <c r="CL5">
        <v>1773</v>
      </c>
      <c r="CM5" s="178" t="s">
        <v>464</v>
      </c>
      <c r="CN5" s="178" t="s">
        <v>88</v>
      </c>
      <c r="CO5" s="178" t="s">
        <v>192</v>
      </c>
      <c r="CP5" s="178" t="s">
        <v>88</v>
      </c>
      <c r="CQ5" s="178" t="s">
        <v>88</v>
      </c>
      <c r="CS5" s="178" t="s">
        <v>88</v>
      </c>
      <c r="CT5" s="178" t="s">
        <v>6</v>
      </c>
      <c r="CU5" s="178" t="s">
        <v>1150</v>
      </c>
      <c r="CV5" s="178" t="s">
        <v>6</v>
      </c>
      <c r="CW5" s="178" t="s">
        <v>6</v>
      </c>
      <c r="CX5">
        <v>4</v>
      </c>
      <c r="CY5" s="178" t="s">
        <v>1204</v>
      </c>
      <c r="CZ5" s="30">
        <v>45315</v>
      </c>
      <c r="DA5" s="178" t="s">
        <v>1479</v>
      </c>
      <c r="DB5" s="178" t="s">
        <v>157</v>
      </c>
      <c r="DC5" s="178" t="s">
        <v>524</v>
      </c>
      <c r="DD5" s="178" t="s">
        <v>1125</v>
      </c>
      <c r="DE5" s="178" t="s">
        <v>88</v>
      </c>
      <c r="DF5" s="30"/>
      <c r="DG5" t="s">
        <v>232</v>
      </c>
      <c r="DJ5" s="178" t="s">
        <v>88</v>
      </c>
      <c r="DK5" s="178" t="s">
        <v>88</v>
      </c>
      <c r="DL5">
        <v>3.6190000000000002</v>
      </c>
      <c r="DM5">
        <v>3.952</v>
      </c>
      <c r="DN5" s="178" t="s">
        <v>88</v>
      </c>
      <c r="DO5" s="30">
        <v>45497</v>
      </c>
      <c r="DP5" s="178" t="s">
        <v>1334</v>
      </c>
      <c r="DQ5" s="178" t="s">
        <v>113</v>
      </c>
      <c r="DR5" s="178" t="s">
        <v>276</v>
      </c>
      <c r="DS5" s="178" t="s">
        <v>1333</v>
      </c>
      <c r="DT5">
        <v>72</v>
      </c>
      <c r="DU5" s="178" t="s">
        <v>88</v>
      </c>
      <c r="DV5" s="178" t="s">
        <v>88</v>
      </c>
      <c r="DW5" s="178" t="s">
        <v>88</v>
      </c>
      <c r="DX5" s="178" t="s">
        <v>88</v>
      </c>
      <c r="DY5" s="178" t="s">
        <v>226</v>
      </c>
      <c r="DZ5" s="178" t="s">
        <v>88</v>
      </c>
      <c r="EA5" s="178" t="s">
        <v>1094</v>
      </c>
      <c r="EB5" s="123">
        <v>45313.905730613427</v>
      </c>
    </row>
    <row r="6" spans="1:132">
      <c r="A6">
        <v>27</v>
      </c>
      <c r="B6" s="178" t="s">
        <v>1153</v>
      </c>
      <c r="C6" s="178" t="s">
        <v>88</v>
      </c>
      <c r="D6" t="s">
        <v>778</v>
      </c>
      <c r="E6" t="s">
        <v>778</v>
      </c>
      <c r="F6" s="178" t="s">
        <v>88</v>
      </c>
      <c r="G6" s="178" t="s">
        <v>779</v>
      </c>
      <c r="H6" s="178" t="s">
        <v>779</v>
      </c>
      <c r="I6" s="178" t="s">
        <v>779</v>
      </c>
      <c r="J6" s="30">
        <v>45309</v>
      </c>
      <c r="K6" s="178" t="s">
        <v>1152</v>
      </c>
      <c r="L6" s="178" t="s">
        <v>1305</v>
      </c>
      <c r="M6" s="178" t="s">
        <v>102</v>
      </c>
      <c r="O6" s="178" t="s">
        <v>88</v>
      </c>
      <c r="P6" s="178" t="s">
        <v>88</v>
      </c>
      <c r="Q6" s="178" t="s">
        <v>88</v>
      </c>
      <c r="R6" s="178" t="s">
        <v>88</v>
      </c>
      <c r="S6" s="178" t="s">
        <v>88</v>
      </c>
      <c r="U6" s="178" t="s">
        <v>88</v>
      </c>
      <c r="V6" s="178" t="s">
        <v>501</v>
      </c>
      <c r="W6" s="178" t="s">
        <v>501</v>
      </c>
      <c r="X6" s="178" t="s">
        <v>501</v>
      </c>
      <c r="Z6" s="178" t="s">
        <v>88</v>
      </c>
      <c r="AA6" s="178" t="s">
        <v>501</v>
      </c>
      <c r="AB6" s="178" t="s">
        <v>88</v>
      </c>
      <c r="AC6" s="178" t="s">
        <v>88</v>
      </c>
      <c r="AD6" s="178" t="s">
        <v>501</v>
      </c>
      <c r="AF6" s="178" t="s">
        <v>501</v>
      </c>
      <c r="AG6" s="178" t="s">
        <v>88</v>
      </c>
      <c r="AM6" s="178" t="s">
        <v>501</v>
      </c>
      <c r="AN6" s="178" t="s">
        <v>88</v>
      </c>
      <c r="AO6" s="178" t="s">
        <v>88</v>
      </c>
      <c r="AP6" s="178" t="s">
        <v>501</v>
      </c>
      <c r="AQ6" s="178" t="s">
        <v>88</v>
      </c>
      <c r="AR6" s="178" t="s">
        <v>501</v>
      </c>
      <c r="AS6" s="178" t="s">
        <v>199</v>
      </c>
      <c r="AU6" s="178" t="s">
        <v>88</v>
      </c>
      <c r="AV6" s="178" t="s">
        <v>88</v>
      </c>
      <c r="AX6" s="178" t="s">
        <v>88</v>
      </c>
      <c r="AY6" s="178" t="s">
        <v>88</v>
      </c>
      <c r="AZ6" s="178" t="s">
        <v>501</v>
      </c>
      <c r="BC6" s="178" t="s">
        <v>88</v>
      </c>
      <c r="BD6" s="178" t="s">
        <v>88</v>
      </c>
      <c r="BE6" s="30"/>
      <c r="BF6" s="178" t="s">
        <v>88</v>
      </c>
      <c r="BH6" s="178" t="s">
        <v>88</v>
      </c>
      <c r="BI6" s="30"/>
      <c r="BJ6" s="30"/>
      <c r="BK6" s="178" t="s">
        <v>88</v>
      </c>
      <c r="BL6" s="178" t="s">
        <v>6</v>
      </c>
      <c r="BM6" s="30"/>
      <c r="BN6" s="178" t="s">
        <v>88</v>
      </c>
      <c r="BO6" s="178" t="s">
        <v>88</v>
      </c>
      <c r="BP6" s="178" t="s">
        <v>88</v>
      </c>
      <c r="BQ6" s="178" t="s">
        <v>88</v>
      </c>
      <c r="BR6" s="178" t="s">
        <v>88</v>
      </c>
      <c r="BS6" s="178" t="s">
        <v>6</v>
      </c>
      <c r="BT6" s="178" t="s">
        <v>88</v>
      </c>
      <c r="BU6" s="178" t="s">
        <v>88</v>
      </c>
      <c r="BV6" s="178" t="s">
        <v>88</v>
      </c>
      <c r="BW6" s="30"/>
      <c r="BX6" s="178" t="s">
        <v>1153</v>
      </c>
      <c r="BY6" s="178" t="s">
        <v>1314</v>
      </c>
      <c r="BZ6" s="178" t="s">
        <v>1305</v>
      </c>
      <c r="CA6" s="178" t="s">
        <v>88</v>
      </c>
      <c r="CB6" s="178" t="s">
        <v>88</v>
      </c>
      <c r="CC6" s="178" t="s">
        <v>501</v>
      </c>
      <c r="CD6">
        <v>90</v>
      </c>
      <c r="CE6" s="30"/>
      <c r="CF6" s="178" t="s">
        <v>88</v>
      </c>
      <c r="CG6" s="178" t="s">
        <v>501</v>
      </c>
      <c r="CH6" s="178" t="s">
        <v>88</v>
      </c>
      <c r="CI6" s="178" t="s">
        <v>88</v>
      </c>
      <c r="CJ6" s="178" t="s">
        <v>88</v>
      </c>
      <c r="CK6">
        <v>1706</v>
      </c>
      <c r="CL6">
        <v>1772</v>
      </c>
      <c r="CM6" s="178" t="s">
        <v>88</v>
      </c>
      <c r="CN6" s="178" t="s">
        <v>88</v>
      </c>
      <c r="CO6" s="178" t="s">
        <v>88</v>
      </c>
      <c r="CP6" s="178" t="s">
        <v>88</v>
      </c>
      <c r="CQ6" s="178" t="s">
        <v>88</v>
      </c>
      <c r="CS6" s="178" t="s">
        <v>88</v>
      </c>
      <c r="CT6" s="178" t="s">
        <v>501</v>
      </c>
      <c r="CU6" s="178" t="s">
        <v>1157</v>
      </c>
      <c r="CV6" s="178" t="s">
        <v>6</v>
      </c>
      <c r="CW6" s="178" t="s">
        <v>6</v>
      </c>
      <c r="CY6" s="178" t="s">
        <v>501</v>
      </c>
      <c r="CZ6" s="30"/>
      <c r="DA6" s="178" t="s">
        <v>88</v>
      </c>
      <c r="DB6" s="178" t="s">
        <v>157</v>
      </c>
      <c r="DC6" s="178" t="s">
        <v>526</v>
      </c>
      <c r="DD6" s="178" t="s">
        <v>501</v>
      </c>
      <c r="DE6" s="178" t="s">
        <v>501</v>
      </c>
      <c r="DF6" s="30"/>
      <c r="DG6" t="s">
        <v>88</v>
      </c>
      <c r="DJ6" s="178" t="s">
        <v>88</v>
      </c>
      <c r="DK6" s="178" t="s">
        <v>88</v>
      </c>
      <c r="DN6" s="178" t="s">
        <v>88</v>
      </c>
      <c r="DO6" s="30"/>
      <c r="DP6" s="178" t="s">
        <v>88</v>
      </c>
      <c r="DQ6" s="178" t="s">
        <v>88</v>
      </c>
      <c r="DR6" s="178" t="s">
        <v>88</v>
      </c>
      <c r="DS6" s="178" t="s">
        <v>88</v>
      </c>
      <c r="DU6" s="178" t="s">
        <v>88</v>
      </c>
      <c r="DV6" s="178" t="s">
        <v>88</v>
      </c>
      <c r="DW6" s="178" t="s">
        <v>88</v>
      </c>
      <c r="DX6" s="178" t="s">
        <v>88</v>
      </c>
      <c r="DY6" s="178" t="s">
        <v>6</v>
      </c>
      <c r="DZ6" s="178" t="s">
        <v>88</v>
      </c>
      <c r="EA6" s="178" t="s">
        <v>1154</v>
      </c>
      <c r="EB6" s="123">
        <v>45313.905730613427</v>
      </c>
    </row>
    <row r="7" spans="1:132">
      <c r="A7">
        <v>26</v>
      </c>
      <c r="B7" s="178" t="s">
        <v>1121</v>
      </c>
      <c r="C7" s="178" t="s">
        <v>88</v>
      </c>
      <c r="D7" t="s">
        <v>778</v>
      </c>
      <c r="E7" t="s">
        <v>778</v>
      </c>
      <c r="F7" s="178" t="s">
        <v>88</v>
      </c>
      <c r="G7" s="178" t="s">
        <v>88</v>
      </c>
      <c r="H7" s="178" t="s">
        <v>88</v>
      </c>
      <c r="I7" s="178" t="s">
        <v>778</v>
      </c>
      <c r="J7" s="30">
        <v>45309</v>
      </c>
      <c r="K7" s="178" t="s">
        <v>1095</v>
      </c>
      <c r="L7" s="178" t="s">
        <v>79</v>
      </c>
      <c r="M7" s="178" t="s">
        <v>102</v>
      </c>
      <c r="N7">
        <v>9</v>
      </c>
      <c r="O7" s="178" t="s">
        <v>1338</v>
      </c>
      <c r="P7" s="178" t="s">
        <v>279</v>
      </c>
      <c r="Q7" s="178" t="s">
        <v>279</v>
      </c>
      <c r="R7" s="178" t="s">
        <v>279</v>
      </c>
      <c r="S7" s="178" t="s">
        <v>284</v>
      </c>
      <c r="T7">
        <v>4.05</v>
      </c>
      <c r="U7" s="178" t="s">
        <v>129</v>
      </c>
      <c r="V7" s="178" t="s">
        <v>287</v>
      </c>
      <c r="W7" s="178" t="s">
        <v>1340</v>
      </c>
      <c r="X7" s="178" t="s">
        <v>1122</v>
      </c>
      <c r="Y7">
        <v>45</v>
      </c>
      <c r="Z7" s="178" t="s">
        <v>282</v>
      </c>
      <c r="AA7" s="178" t="s">
        <v>1341</v>
      </c>
      <c r="AB7" s="178" t="s">
        <v>1342</v>
      </c>
      <c r="AC7" s="178" t="s">
        <v>280</v>
      </c>
      <c r="AD7" s="178" t="s">
        <v>1122</v>
      </c>
      <c r="AF7" s="178" t="s">
        <v>500</v>
      </c>
      <c r="AG7" s="178" t="s">
        <v>1141</v>
      </c>
      <c r="AH7">
        <v>45</v>
      </c>
      <c r="AM7" s="178" t="s">
        <v>1344</v>
      </c>
      <c r="AN7" s="178" t="s">
        <v>228</v>
      </c>
      <c r="AO7" s="178" t="s">
        <v>1345</v>
      </c>
      <c r="AP7" s="178" t="s">
        <v>472</v>
      </c>
      <c r="AQ7" s="178" t="s">
        <v>279</v>
      </c>
      <c r="AR7" s="178" t="s">
        <v>109</v>
      </c>
      <c r="AS7" s="178" t="s">
        <v>199</v>
      </c>
      <c r="AT7" t="s">
        <v>1254</v>
      </c>
      <c r="AU7" s="178" t="s">
        <v>278</v>
      </c>
      <c r="AV7" s="178" t="s">
        <v>286</v>
      </c>
      <c r="AX7" s="178" t="s">
        <v>88</v>
      </c>
      <c r="AY7" s="178" t="s">
        <v>88</v>
      </c>
      <c r="AZ7" s="178" t="s">
        <v>9</v>
      </c>
      <c r="BA7">
        <v>1.258</v>
      </c>
      <c r="BB7">
        <v>10000</v>
      </c>
      <c r="BC7" s="178" t="s">
        <v>88</v>
      </c>
      <c r="BD7" s="178" t="s">
        <v>1122</v>
      </c>
      <c r="BE7" s="30"/>
      <c r="BF7" s="178" t="s">
        <v>88</v>
      </c>
      <c r="BG7">
        <v>4.05</v>
      </c>
      <c r="BH7" s="178" t="s">
        <v>1122</v>
      </c>
      <c r="BI7" s="30">
        <v>100</v>
      </c>
      <c r="BJ7" s="30">
        <v>45316</v>
      </c>
      <c r="BK7" s="178" t="s">
        <v>1122</v>
      </c>
      <c r="BL7" s="178" t="s">
        <v>6</v>
      </c>
      <c r="BM7" s="30">
        <v>45316</v>
      </c>
      <c r="BN7" s="178" t="s">
        <v>709</v>
      </c>
      <c r="BO7" s="178" t="s">
        <v>1347</v>
      </c>
      <c r="BP7" s="178" t="s">
        <v>1348</v>
      </c>
      <c r="BQ7" s="178" t="s">
        <v>277</v>
      </c>
      <c r="BR7" s="178" t="s">
        <v>277</v>
      </c>
      <c r="BS7" s="178" t="s">
        <v>6</v>
      </c>
      <c r="BT7" s="178" t="s">
        <v>275</v>
      </c>
      <c r="BU7" s="178" t="s">
        <v>274</v>
      </c>
      <c r="BV7" s="178" t="s">
        <v>88</v>
      </c>
      <c r="BW7" s="30">
        <v>45316</v>
      </c>
      <c r="BX7" s="178" t="s">
        <v>1096</v>
      </c>
      <c r="BY7" s="178" t="s">
        <v>191</v>
      </c>
      <c r="BZ7" s="178" t="s">
        <v>79</v>
      </c>
      <c r="CA7" s="178" t="s">
        <v>494</v>
      </c>
      <c r="CB7" s="178" t="s">
        <v>88</v>
      </c>
      <c r="CC7" s="178" t="s">
        <v>193</v>
      </c>
      <c r="CD7">
        <v>982</v>
      </c>
      <c r="CE7" s="30">
        <v>46412</v>
      </c>
      <c r="CF7" s="178" t="s">
        <v>88</v>
      </c>
      <c r="CG7" s="178" t="s">
        <v>1301</v>
      </c>
      <c r="CH7" s="178" t="s">
        <v>88</v>
      </c>
      <c r="CI7" s="178" t="s">
        <v>1096</v>
      </c>
      <c r="CJ7" s="178" t="s">
        <v>553</v>
      </c>
      <c r="CK7">
        <v>1708</v>
      </c>
      <c r="CL7">
        <v>1774</v>
      </c>
      <c r="CM7" s="178" t="s">
        <v>88</v>
      </c>
      <c r="CN7" s="178" t="s">
        <v>88</v>
      </c>
      <c r="CO7" s="178" t="s">
        <v>490</v>
      </c>
      <c r="CP7" s="178" t="s">
        <v>88</v>
      </c>
      <c r="CQ7" s="178" t="s">
        <v>88</v>
      </c>
      <c r="CS7" s="178" t="s">
        <v>88</v>
      </c>
      <c r="CT7" s="178" t="s">
        <v>6</v>
      </c>
      <c r="CU7" s="178" t="s">
        <v>1470</v>
      </c>
      <c r="CV7" s="178" t="s">
        <v>528</v>
      </c>
      <c r="CW7" s="178" t="s">
        <v>6</v>
      </c>
      <c r="CX7">
        <v>5</v>
      </c>
      <c r="CY7" s="178" t="s">
        <v>1203</v>
      </c>
      <c r="CZ7" s="30">
        <v>45316</v>
      </c>
      <c r="DA7" s="178" t="s">
        <v>1480</v>
      </c>
      <c r="DB7" s="178" t="s">
        <v>157</v>
      </c>
      <c r="DC7" s="178" t="s">
        <v>526</v>
      </c>
      <c r="DD7" s="178" t="s">
        <v>1343</v>
      </c>
      <c r="DE7" s="178" t="s">
        <v>1528</v>
      </c>
      <c r="DF7" s="30"/>
      <c r="DG7" t="s">
        <v>1</v>
      </c>
      <c r="DJ7" s="178" t="s">
        <v>88</v>
      </c>
      <c r="DK7" s="178" t="s">
        <v>88</v>
      </c>
      <c r="DL7">
        <v>9</v>
      </c>
      <c r="DM7">
        <v>9.8290000000000006</v>
      </c>
      <c r="DN7" s="178" t="s">
        <v>88</v>
      </c>
      <c r="DO7" s="30">
        <v>45498</v>
      </c>
      <c r="DP7" s="178" t="s">
        <v>1346</v>
      </c>
      <c r="DQ7" s="178" t="s">
        <v>113</v>
      </c>
      <c r="DR7" s="178" t="s">
        <v>276</v>
      </c>
      <c r="DS7" s="178" t="s">
        <v>88</v>
      </c>
      <c r="DT7">
        <v>9</v>
      </c>
      <c r="DU7" s="178" t="s">
        <v>88</v>
      </c>
      <c r="DV7" s="178" t="s">
        <v>88</v>
      </c>
      <c r="DW7" s="178" t="s">
        <v>88</v>
      </c>
      <c r="DX7" s="178" t="s">
        <v>88</v>
      </c>
      <c r="DY7" s="178" t="s">
        <v>707</v>
      </c>
      <c r="DZ7" s="178" t="s">
        <v>88</v>
      </c>
      <c r="EA7" s="178" t="s">
        <v>1097</v>
      </c>
      <c r="EB7" s="123">
        <v>45313.905730613427</v>
      </c>
    </row>
    <row r="8" spans="1:132">
      <c r="A8">
        <v>25</v>
      </c>
      <c r="B8" s="178" t="s">
        <v>1126</v>
      </c>
      <c r="C8" s="178" t="s">
        <v>88</v>
      </c>
      <c r="D8" t="s">
        <v>778</v>
      </c>
      <c r="E8" t="s">
        <v>778</v>
      </c>
      <c r="F8" s="178" t="s">
        <v>88</v>
      </c>
      <c r="G8" s="178" t="s">
        <v>88</v>
      </c>
      <c r="H8" s="178" t="s">
        <v>88</v>
      </c>
      <c r="I8" s="178" t="s">
        <v>778</v>
      </c>
      <c r="J8" s="30">
        <v>45309</v>
      </c>
      <c r="K8" s="178" t="s">
        <v>1089</v>
      </c>
      <c r="L8" s="178" t="s">
        <v>1146</v>
      </c>
      <c r="M8" s="178" t="s">
        <v>102</v>
      </c>
      <c r="N8">
        <v>10</v>
      </c>
      <c r="O8" s="178" t="s">
        <v>1315</v>
      </c>
      <c r="P8" s="178" t="s">
        <v>1316</v>
      </c>
      <c r="Q8" s="178" t="s">
        <v>790</v>
      </c>
      <c r="R8" s="178" t="s">
        <v>279</v>
      </c>
      <c r="S8" s="178" t="s">
        <v>799</v>
      </c>
      <c r="T8">
        <v>2.6</v>
      </c>
      <c r="U8" s="178" t="s">
        <v>801</v>
      </c>
      <c r="V8" s="178" t="s">
        <v>283</v>
      </c>
      <c r="W8" s="178" t="s">
        <v>1318</v>
      </c>
      <c r="X8" s="178" t="s">
        <v>1319</v>
      </c>
      <c r="Y8">
        <v>40</v>
      </c>
      <c r="Z8" s="178" t="s">
        <v>282</v>
      </c>
      <c r="AA8" s="178" t="s">
        <v>294</v>
      </c>
      <c r="AB8" s="178" t="s">
        <v>88</v>
      </c>
      <c r="AC8" s="178" t="s">
        <v>280</v>
      </c>
      <c r="AD8" s="178" t="s">
        <v>1135</v>
      </c>
      <c r="AF8" s="178" t="s">
        <v>288</v>
      </c>
      <c r="AG8" s="178" t="s">
        <v>1142</v>
      </c>
      <c r="AH8">
        <v>40</v>
      </c>
      <c r="AM8" s="178" t="s">
        <v>1320</v>
      </c>
      <c r="AN8" s="178" t="s">
        <v>228</v>
      </c>
      <c r="AO8" s="178" t="s">
        <v>1321</v>
      </c>
      <c r="AP8" s="178" t="s">
        <v>472</v>
      </c>
      <c r="AQ8" s="178" t="s">
        <v>279</v>
      </c>
      <c r="AR8" s="178" t="s">
        <v>37</v>
      </c>
      <c r="AS8" s="178" t="s">
        <v>200</v>
      </c>
      <c r="AT8" t="s">
        <v>800</v>
      </c>
      <c r="AU8" s="178" t="s">
        <v>1290</v>
      </c>
      <c r="AV8" s="178" t="s">
        <v>285</v>
      </c>
      <c r="AX8" s="178" t="s">
        <v>88</v>
      </c>
      <c r="AY8" s="178" t="s">
        <v>88</v>
      </c>
      <c r="AZ8" s="178" t="s">
        <v>11</v>
      </c>
      <c r="BA8">
        <v>1.3979999999999999</v>
      </c>
      <c r="BB8">
        <v>10000</v>
      </c>
      <c r="BC8" s="178" t="s">
        <v>88</v>
      </c>
      <c r="BD8" s="178" t="s">
        <v>1135</v>
      </c>
      <c r="BE8" s="30"/>
      <c r="BF8" s="178" t="s">
        <v>88</v>
      </c>
      <c r="BG8">
        <v>2.6</v>
      </c>
      <c r="BH8" s="178" t="s">
        <v>1135</v>
      </c>
      <c r="BI8" s="30">
        <v>100</v>
      </c>
      <c r="BJ8" s="30">
        <v>45316</v>
      </c>
      <c r="BK8" s="178" t="s">
        <v>1324</v>
      </c>
      <c r="BL8" s="178" t="s">
        <v>128</v>
      </c>
      <c r="BM8" s="30">
        <v>45316</v>
      </c>
      <c r="BN8" s="178" t="s">
        <v>709</v>
      </c>
      <c r="BO8" s="178" t="s">
        <v>1325</v>
      </c>
      <c r="BP8" s="178" t="s">
        <v>1326</v>
      </c>
      <c r="BQ8" s="178" t="s">
        <v>277</v>
      </c>
      <c r="BR8" s="178" t="s">
        <v>277</v>
      </c>
      <c r="BS8" s="178" t="s">
        <v>6</v>
      </c>
      <c r="BT8" s="178" t="s">
        <v>275</v>
      </c>
      <c r="BU8" s="178" t="s">
        <v>274</v>
      </c>
      <c r="BV8" s="178" t="s">
        <v>88</v>
      </c>
      <c r="BW8" s="30">
        <v>45316</v>
      </c>
      <c r="BX8" s="178" t="s">
        <v>601</v>
      </c>
      <c r="BY8" s="178" t="s">
        <v>191</v>
      </c>
      <c r="BZ8" s="178" t="s">
        <v>1090</v>
      </c>
      <c r="CA8" s="178" t="s">
        <v>787</v>
      </c>
      <c r="CB8" s="178" t="s">
        <v>88</v>
      </c>
      <c r="CC8" s="178" t="s">
        <v>204</v>
      </c>
      <c r="CD8">
        <v>114</v>
      </c>
      <c r="CE8" s="30">
        <v>46047</v>
      </c>
      <c r="CF8" s="178" t="s">
        <v>88</v>
      </c>
      <c r="CG8" s="178" t="s">
        <v>1300</v>
      </c>
      <c r="CH8" s="178" t="s">
        <v>601</v>
      </c>
      <c r="CI8" s="178" t="s">
        <v>88</v>
      </c>
      <c r="CJ8" s="178" t="s">
        <v>88</v>
      </c>
      <c r="CK8">
        <v>1705</v>
      </c>
      <c r="CL8">
        <v>1771</v>
      </c>
      <c r="CM8" s="178" t="s">
        <v>88</v>
      </c>
      <c r="CN8" s="178" t="s">
        <v>88</v>
      </c>
      <c r="CO8" s="178" t="s">
        <v>490</v>
      </c>
      <c r="CP8" s="178" t="s">
        <v>88</v>
      </c>
      <c r="CQ8" s="178" t="s">
        <v>88</v>
      </c>
      <c r="CS8" s="178" t="s">
        <v>88</v>
      </c>
      <c r="CT8" s="178" t="s">
        <v>6</v>
      </c>
      <c r="CU8" s="178" t="s">
        <v>1471</v>
      </c>
      <c r="CV8" s="178" t="s">
        <v>6</v>
      </c>
      <c r="CW8" s="178" t="s">
        <v>6</v>
      </c>
      <c r="CX8">
        <v>5</v>
      </c>
      <c r="CY8" s="178" t="s">
        <v>1203</v>
      </c>
      <c r="CZ8" s="30">
        <v>45316</v>
      </c>
      <c r="DA8" s="178" t="s">
        <v>88</v>
      </c>
      <c r="DB8" s="178" t="s">
        <v>155</v>
      </c>
      <c r="DC8" s="178" t="s">
        <v>6</v>
      </c>
      <c r="DD8" s="178" t="s">
        <v>1289</v>
      </c>
      <c r="DE8" s="178" t="s">
        <v>88</v>
      </c>
      <c r="DF8" s="30"/>
      <c r="DG8" t="s">
        <v>233</v>
      </c>
      <c r="DJ8" s="178" t="s">
        <v>88</v>
      </c>
      <c r="DK8" s="178" t="s">
        <v>88</v>
      </c>
      <c r="DL8">
        <v>10</v>
      </c>
      <c r="DM8">
        <v>10.920999999999999</v>
      </c>
      <c r="DN8" s="178" t="s">
        <v>88</v>
      </c>
      <c r="DO8" s="30">
        <v>45498</v>
      </c>
      <c r="DP8" s="178" t="s">
        <v>1323</v>
      </c>
      <c r="DQ8" s="178" t="s">
        <v>113</v>
      </c>
      <c r="DR8" s="178" t="s">
        <v>276</v>
      </c>
      <c r="DS8" s="178" t="s">
        <v>1322</v>
      </c>
      <c r="DT8">
        <v>10</v>
      </c>
      <c r="DU8" s="178" t="s">
        <v>88</v>
      </c>
      <c r="DV8" s="178" t="s">
        <v>88</v>
      </c>
      <c r="DW8" s="178" t="s">
        <v>88</v>
      </c>
      <c r="DX8" s="178" t="s">
        <v>88</v>
      </c>
      <c r="DY8" s="178" t="s">
        <v>707</v>
      </c>
      <c r="DZ8" s="178" t="s">
        <v>88</v>
      </c>
      <c r="EA8" s="178" t="s">
        <v>1091</v>
      </c>
      <c r="EB8" s="123">
        <v>45313.905730613427</v>
      </c>
    </row>
    <row r="9" spans="1:132">
      <c r="A9">
        <v>24</v>
      </c>
      <c r="B9" s="178" t="s">
        <v>1127</v>
      </c>
      <c r="C9" s="178" t="s">
        <v>88</v>
      </c>
      <c r="D9" t="s">
        <v>778</v>
      </c>
      <c r="E9" t="s">
        <v>778</v>
      </c>
      <c r="F9" s="178" t="s">
        <v>88</v>
      </c>
      <c r="G9" s="178" t="s">
        <v>88</v>
      </c>
      <c r="H9" s="178" t="s">
        <v>88</v>
      </c>
      <c r="I9" s="178" t="s">
        <v>778</v>
      </c>
      <c r="J9" s="30">
        <v>45309</v>
      </c>
      <c r="K9" s="178" t="s">
        <v>1098</v>
      </c>
      <c r="L9" s="178" t="s">
        <v>1100</v>
      </c>
      <c r="M9" s="178" t="s">
        <v>203</v>
      </c>
      <c r="N9">
        <v>147</v>
      </c>
      <c r="O9" s="178" t="s">
        <v>1350</v>
      </c>
      <c r="P9" s="178" t="s">
        <v>712</v>
      </c>
      <c r="Q9" s="178" t="s">
        <v>700</v>
      </c>
      <c r="R9" s="178" t="s">
        <v>279</v>
      </c>
      <c r="S9" s="178" t="s">
        <v>284</v>
      </c>
      <c r="T9">
        <v>1</v>
      </c>
      <c r="U9" s="178" t="s">
        <v>129</v>
      </c>
      <c r="V9" s="178" t="s">
        <v>1351</v>
      </c>
      <c r="W9" s="178" t="s">
        <v>88</v>
      </c>
      <c r="X9" s="178" t="s">
        <v>88</v>
      </c>
      <c r="Z9" s="178" t="s">
        <v>282</v>
      </c>
      <c r="AA9" s="178" t="s">
        <v>294</v>
      </c>
      <c r="AB9" s="178" t="s">
        <v>88</v>
      </c>
      <c r="AC9" s="178" t="s">
        <v>280</v>
      </c>
      <c r="AD9" s="178" t="s">
        <v>1136</v>
      </c>
      <c r="AF9" s="178" t="s">
        <v>698</v>
      </c>
      <c r="AG9" s="178" t="s">
        <v>88</v>
      </c>
      <c r="AM9" s="178" t="s">
        <v>1353</v>
      </c>
      <c r="AN9" s="178" t="s">
        <v>228</v>
      </c>
      <c r="AO9" s="178" t="s">
        <v>518</v>
      </c>
      <c r="AP9" s="178" t="s">
        <v>472</v>
      </c>
      <c r="AQ9" s="178" t="s">
        <v>279</v>
      </c>
      <c r="AR9" s="178" t="s">
        <v>37</v>
      </c>
      <c r="AS9" s="178" t="s">
        <v>198</v>
      </c>
      <c r="AT9" t="s">
        <v>1254</v>
      </c>
      <c r="AU9" s="178" t="s">
        <v>536</v>
      </c>
      <c r="AV9" s="178" t="s">
        <v>285</v>
      </c>
      <c r="AX9" s="178" t="s">
        <v>88</v>
      </c>
      <c r="AY9" s="178" t="s">
        <v>88</v>
      </c>
      <c r="AZ9" s="178" t="s">
        <v>17</v>
      </c>
      <c r="BA9">
        <v>1.032</v>
      </c>
      <c r="BB9">
        <v>100000000</v>
      </c>
      <c r="BC9" s="178" t="s">
        <v>88</v>
      </c>
      <c r="BD9" s="178" t="s">
        <v>88</v>
      </c>
      <c r="BE9" s="30"/>
      <c r="BF9" s="178" t="s">
        <v>88</v>
      </c>
      <c r="BG9">
        <v>1</v>
      </c>
      <c r="BH9" s="178" t="s">
        <v>88</v>
      </c>
      <c r="BI9" s="30">
        <v>100</v>
      </c>
      <c r="BJ9" s="30">
        <v>45316</v>
      </c>
      <c r="BK9" s="178" t="s">
        <v>1355</v>
      </c>
      <c r="BL9" s="178" t="s">
        <v>128</v>
      </c>
      <c r="BM9" s="30">
        <v>45316</v>
      </c>
      <c r="BN9" s="178" t="s">
        <v>88</v>
      </c>
      <c r="BO9" s="178" t="s">
        <v>1356</v>
      </c>
      <c r="BP9" s="178" t="s">
        <v>1357</v>
      </c>
      <c r="BQ9" s="178" t="s">
        <v>277</v>
      </c>
      <c r="BR9" s="178" t="s">
        <v>277</v>
      </c>
      <c r="BS9" s="178" t="s">
        <v>6</v>
      </c>
      <c r="BT9" s="178" t="s">
        <v>275</v>
      </c>
      <c r="BU9" s="178" t="s">
        <v>274</v>
      </c>
      <c r="BV9" s="178" t="s">
        <v>88</v>
      </c>
      <c r="BW9" s="30">
        <v>45316</v>
      </c>
      <c r="BX9" s="178" t="s">
        <v>1099</v>
      </c>
      <c r="BY9" s="178" t="s">
        <v>191</v>
      </c>
      <c r="BZ9" s="178" t="s">
        <v>1100</v>
      </c>
      <c r="CA9" s="178" t="s">
        <v>88</v>
      </c>
      <c r="CB9" s="178" t="s">
        <v>88</v>
      </c>
      <c r="CC9" s="178" t="s">
        <v>1137</v>
      </c>
      <c r="CD9">
        <v>260</v>
      </c>
      <c r="CE9" s="30">
        <v>46412</v>
      </c>
      <c r="CF9" s="178" t="s">
        <v>88</v>
      </c>
      <c r="CG9" s="178" t="s">
        <v>1302</v>
      </c>
      <c r="CH9" s="178" t="s">
        <v>1099</v>
      </c>
      <c r="CI9" s="178" t="s">
        <v>88</v>
      </c>
      <c r="CJ9" s="178" t="s">
        <v>88</v>
      </c>
      <c r="CK9">
        <v>1704</v>
      </c>
      <c r="CL9">
        <v>1770</v>
      </c>
      <c r="CM9" s="178" t="s">
        <v>88</v>
      </c>
      <c r="CN9" s="178" t="s">
        <v>88</v>
      </c>
      <c r="CO9" s="178" t="s">
        <v>490</v>
      </c>
      <c r="CP9" s="178" t="s">
        <v>88</v>
      </c>
      <c r="CQ9" s="178" t="s">
        <v>88</v>
      </c>
      <c r="CS9" s="178" t="s">
        <v>88</v>
      </c>
      <c r="CT9" s="178" t="s">
        <v>6</v>
      </c>
      <c r="CU9" s="178" t="s">
        <v>1473</v>
      </c>
      <c r="CV9" s="178" t="s">
        <v>505</v>
      </c>
      <c r="CW9" s="178" t="s">
        <v>518</v>
      </c>
      <c r="CX9">
        <v>5</v>
      </c>
      <c r="CY9" s="178" t="s">
        <v>1203</v>
      </c>
      <c r="CZ9" s="30">
        <v>45316</v>
      </c>
      <c r="DA9" s="178" t="s">
        <v>88</v>
      </c>
      <c r="DB9" s="178" t="s">
        <v>156</v>
      </c>
      <c r="DC9" s="178" t="s">
        <v>6</v>
      </c>
      <c r="DD9" s="178" t="s">
        <v>1352</v>
      </c>
      <c r="DE9" s="178" t="s">
        <v>88</v>
      </c>
      <c r="DF9" s="30"/>
      <c r="DG9" t="s">
        <v>80</v>
      </c>
      <c r="DJ9" s="178" t="s">
        <v>88</v>
      </c>
      <c r="DK9" s="178" t="s">
        <v>88</v>
      </c>
      <c r="DL9">
        <v>7.3879999999999999</v>
      </c>
      <c r="DM9">
        <v>8.0690000000000008</v>
      </c>
      <c r="DN9" s="178" t="s">
        <v>88</v>
      </c>
      <c r="DO9" s="30">
        <v>45498</v>
      </c>
      <c r="DP9" s="178" t="s">
        <v>1354</v>
      </c>
      <c r="DQ9" s="178" t="s">
        <v>113</v>
      </c>
      <c r="DR9" s="178" t="s">
        <v>276</v>
      </c>
      <c r="DS9" s="178" t="s">
        <v>88</v>
      </c>
      <c r="DT9">
        <v>147</v>
      </c>
      <c r="DU9" s="178" t="s">
        <v>88</v>
      </c>
      <c r="DV9" s="178" t="s">
        <v>88</v>
      </c>
      <c r="DW9" s="178" t="s">
        <v>88</v>
      </c>
      <c r="DX9" s="178" t="s">
        <v>88</v>
      </c>
      <c r="DY9" s="178" t="s">
        <v>1472</v>
      </c>
      <c r="DZ9" s="178" t="s">
        <v>88</v>
      </c>
      <c r="EA9" s="178" t="s">
        <v>1101</v>
      </c>
      <c r="EB9" s="123">
        <v>45313.905730613427</v>
      </c>
    </row>
    <row r="10" spans="1:132">
      <c r="A10">
        <v>23</v>
      </c>
      <c r="B10" s="178" t="s">
        <v>1128</v>
      </c>
      <c r="C10" s="178" t="s">
        <v>88</v>
      </c>
      <c r="D10" t="s">
        <v>778</v>
      </c>
      <c r="E10" t="s">
        <v>778</v>
      </c>
      <c r="F10" s="178" t="s">
        <v>88</v>
      </c>
      <c r="G10" s="178" t="s">
        <v>88</v>
      </c>
      <c r="H10" s="178" t="s">
        <v>88</v>
      </c>
      <c r="I10" s="178" t="s">
        <v>779</v>
      </c>
      <c r="J10" s="30">
        <v>45308</v>
      </c>
      <c r="K10" s="178" t="s">
        <v>1109</v>
      </c>
      <c r="L10" s="178" t="s">
        <v>79</v>
      </c>
      <c r="M10" s="178" t="s">
        <v>102</v>
      </c>
      <c r="N10">
        <v>20</v>
      </c>
      <c r="O10" s="178" t="s">
        <v>1375</v>
      </c>
      <c r="P10" s="178" t="s">
        <v>279</v>
      </c>
      <c r="Q10" s="178" t="s">
        <v>279</v>
      </c>
      <c r="R10" s="178" t="s">
        <v>279</v>
      </c>
      <c r="S10" s="178" t="s">
        <v>284</v>
      </c>
      <c r="T10">
        <v>4.8600000000000003</v>
      </c>
      <c r="U10" s="178" t="s">
        <v>129</v>
      </c>
      <c r="V10" s="178" t="s">
        <v>287</v>
      </c>
      <c r="W10" s="178" t="s">
        <v>1377</v>
      </c>
      <c r="X10" s="178" t="s">
        <v>1378</v>
      </c>
      <c r="Y10">
        <v>14</v>
      </c>
      <c r="Z10" s="178" t="s">
        <v>282</v>
      </c>
      <c r="AA10" s="178" t="s">
        <v>281</v>
      </c>
      <c r="AB10" s="178" t="s">
        <v>88</v>
      </c>
      <c r="AC10" s="178" t="s">
        <v>280</v>
      </c>
      <c r="AD10" s="178" t="s">
        <v>1138</v>
      </c>
      <c r="AF10" s="178" t="s">
        <v>797</v>
      </c>
      <c r="AG10" s="178" t="s">
        <v>1143</v>
      </c>
      <c r="AH10">
        <v>14</v>
      </c>
      <c r="AM10" s="178" t="s">
        <v>1379</v>
      </c>
      <c r="AN10" s="178" t="s">
        <v>228</v>
      </c>
      <c r="AO10" s="178" t="s">
        <v>695</v>
      </c>
      <c r="AP10" s="178" t="s">
        <v>472</v>
      </c>
      <c r="AQ10" s="178" t="s">
        <v>279</v>
      </c>
      <c r="AR10" s="178" t="s">
        <v>35</v>
      </c>
      <c r="AS10" s="178" t="s">
        <v>199</v>
      </c>
      <c r="AT10" t="s">
        <v>693</v>
      </c>
      <c r="AU10" s="178" t="s">
        <v>1380</v>
      </c>
      <c r="AV10" s="178" t="s">
        <v>286</v>
      </c>
      <c r="AX10" s="178" t="s">
        <v>88</v>
      </c>
      <c r="AY10" s="178" t="s">
        <v>88</v>
      </c>
      <c r="AZ10" s="178" t="s">
        <v>13</v>
      </c>
      <c r="BA10">
        <v>2.7959999999999998</v>
      </c>
      <c r="BB10">
        <v>10000</v>
      </c>
      <c r="BC10" s="178" t="s">
        <v>88</v>
      </c>
      <c r="BD10" s="178" t="s">
        <v>1138</v>
      </c>
      <c r="BE10" s="30"/>
      <c r="BF10" s="178" t="s">
        <v>88</v>
      </c>
      <c r="BG10">
        <v>4.8600000000000003</v>
      </c>
      <c r="BH10" s="178" t="s">
        <v>1138</v>
      </c>
      <c r="BI10" s="30">
        <v>100</v>
      </c>
      <c r="BJ10" s="30">
        <v>45315</v>
      </c>
      <c r="BK10" s="178" t="s">
        <v>1378</v>
      </c>
      <c r="BL10" s="178" t="s">
        <v>6</v>
      </c>
      <c r="BM10" s="30">
        <v>45315</v>
      </c>
      <c r="BN10" s="178" t="s">
        <v>692</v>
      </c>
      <c r="BO10" s="178" t="s">
        <v>1383</v>
      </c>
      <c r="BP10" s="178" t="s">
        <v>1384</v>
      </c>
      <c r="BQ10" s="178" t="s">
        <v>277</v>
      </c>
      <c r="BR10" s="178" t="s">
        <v>277</v>
      </c>
      <c r="BS10" s="178" t="s">
        <v>6</v>
      </c>
      <c r="BT10" s="178" t="s">
        <v>275</v>
      </c>
      <c r="BU10" s="178" t="s">
        <v>274</v>
      </c>
      <c r="BV10" s="178" t="s">
        <v>88</v>
      </c>
      <c r="BW10" s="30">
        <v>45315</v>
      </c>
      <c r="BX10" s="178" t="s">
        <v>1110</v>
      </c>
      <c r="BY10" s="178" t="s">
        <v>191</v>
      </c>
      <c r="BZ10" s="178" t="s">
        <v>79</v>
      </c>
      <c r="CA10" s="178" t="s">
        <v>494</v>
      </c>
      <c r="CB10" s="178" t="s">
        <v>88</v>
      </c>
      <c r="CC10" s="178" t="s">
        <v>193</v>
      </c>
      <c r="CD10">
        <v>91</v>
      </c>
      <c r="CE10" s="30">
        <v>46411</v>
      </c>
      <c r="CF10" s="178" t="s">
        <v>88</v>
      </c>
      <c r="CG10" s="178" t="s">
        <v>1110</v>
      </c>
      <c r="CH10" s="178" t="s">
        <v>88</v>
      </c>
      <c r="CI10" s="178" t="s">
        <v>88</v>
      </c>
      <c r="CJ10" s="178" t="s">
        <v>88</v>
      </c>
      <c r="CK10">
        <v>1703</v>
      </c>
      <c r="CL10">
        <v>1769</v>
      </c>
      <c r="CM10" s="178" t="s">
        <v>88</v>
      </c>
      <c r="CN10" s="178" t="s">
        <v>88</v>
      </c>
      <c r="CO10" s="178" t="s">
        <v>192</v>
      </c>
      <c r="CP10" s="178" t="s">
        <v>88</v>
      </c>
      <c r="CQ10" s="178" t="s">
        <v>88</v>
      </c>
      <c r="CS10" s="178" t="s">
        <v>88</v>
      </c>
      <c r="CT10" s="178" t="s">
        <v>6</v>
      </c>
      <c r="CU10" s="178" t="s">
        <v>1155</v>
      </c>
      <c r="CV10" s="178" t="s">
        <v>6</v>
      </c>
      <c r="CW10" s="178" t="s">
        <v>6</v>
      </c>
      <c r="CX10">
        <v>5</v>
      </c>
      <c r="CY10" s="178" t="s">
        <v>1203</v>
      </c>
      <c r="CZ10" s="30">
        <v>45315</v>
      </c>
      <c r="DA10" s="178" t="s">
        <v>88</v>
      </c>
      <c r="DB10" s="178" t="s">
        <v>157</v>
      </c>
      <c r="DC10" s="178" t="s">
        <v>524</v>
      </c>
      <c r="DD10" s="178" t="s">
        <v>1129</v>
      </c>
      <c r="DE10" s="178" t="s">
        <v>88</v>
      </c>
      <c r="DF10" s="30"/>
      <c r="DG10" t="s">
        <v>1</v>
      </c>
      <c r="DJ10" s="178" t="s">
        <v>88</v>
      </c>
      <c r="DK10" s="178" t="s">
        <v>88</v>
      </c>
      <c r="DL10">
        <v>20</v>
      </c>
      <c r="DM10">
        <v>21.841999999999999</v>
      </c>
      <c r="DN10" s="178" t="s">
        <v>88</v>
      </c>
      <c r="DO10" s="30">
        <v>45681</v>
      </c>
      <c r="DP10" s="178" t="s">
        <v>1382</v>
      </c>
      <c r="DQ10" s="178" t="s">
        <v>1385</v>
      </c>
      <c r="DR10" s="178" t="s">
        <v>276</v>
      </c>
      <c r="DS10" s="178" t="s">
        <v>1381</v>
      </c>
      <c r="DT10">
        <v>20</v>
      </c>
      <c r="DU10" s="178" t="s">
        <v>88</v>
      </c>
      <c r="DV10" s="178" t="s">
        <v>88</v>
      </c>
      <c r="DW10" s="178" t="s">
        <v>88</v>
      </c>
      <c r="DX10" s="178" t="s">
        <v>88</v>
      </c>
      <c r="DY10" s="178" t="s">
        <v>707</v>
      </c>
      <c r="DZ10" s="178" t="s">
        <v>88</v>
      </c>
      <c r="EA10" s="178" t="s">
        <v>1111</v>
      </c>
      <c r="EB10" s="123">
        <v>45313.905730613427</v>
      </c>
    </row>
    <row r="11" spans="1:132">
      <c r="A11">
        <v>22</v>
      </c>
      <c r="B11" s="178" t="s">
        <v>1132</v>
      </c>
      <c r="C11" s="178" t="s">
        <v>88</v>
      </c>
      <c r="D11" t="s">
        <v>778</v>
      </c>
      <c r="E11" t="s">
        <v>778</v>
      </c>
      <c r="F11" s="178" t="s">
        <v>88</v>
      </c>
      <c r="G11" s="178" t="s">
        <v>88</v>
      </c>
      <c r="H11" s="178" t="s">
        <v>88</v>
      </c>
      <c r="I11" s="178" t="s">
        <v>778</v>
      </c>
      <c r="J11" s="30">
        <v>45308</v>
      </c>
      <c r="K11" s="178" t="s">
        <v>1115</v>
      </c>
      <c r="L11" s="178" t="s">
        <v>79</v>
      </c>
      <c r="M11" s="178" t="s">
        <v>102</v>
      </c>
      <c r="N11">
        <v>7.5</v>
      </c>
      <c r="O11" s="178" t="s">
        <v>1395</v>
      </c>
      <c r="P11" s="178" t="s">
        <v>279</v>
      </c>
      <c r="Q11" s="178" t="s">
        <v>279</v>
      </c>
      <c r="R11" s="178" t="s">
        <v>279</v>
      </c>
      <c r="S11" s="178" t="s">
        <v>284</v>
      </c>
      <c r="T11">
        <v>3.58</v>
      </c>
      <c r="U11" s="178" t="s">
        <v>129</v>
      </c>
      <c r="V11" s="178" t="s">
        <v>283</v>
      </c>
      <c r="W11" s="178" t="s">
        <v>1396</v>
      </c>
      <c r="X11" s="178" t="s">
        <v>1131</v>
      </c>
      <c r="Y11">
        <v>42</v>
      </c>
      <c r="Z11" s="178" t="s">
        <v>282</v>
      </c>
      <c r="AA11" s="178" t="s">
        <v>713</v>
      </c>
      <c r="AB11" s="178" t="s">
        <v>1397</v>
      </c>
      <c r="AC11" s="178" t="s">
        <v>280</v>
      </c>
      <c r="AD11" s="178" t="s">
        <v>1131</v>
      </c>
      <c r="AF11" s="178" t="s">
        <v>710</v>
      </c>
      <c r="AG11" s="178" t="s">
        <v>1144</v>
      </c>
      <c r="AH11">
        <v>42</v>
      </c>
      <c r="AM11" s="178" t="s">
        <v>1400</v>
      </c>
      <c r="AN11" s="178" t="s">
        <v>228</v>
      </c>
      <c r="AO11" s="178" t="s">
        <v>1401</v>
      </c>
      <c r="AP11" s="178" t="s">
        <v>472</v>
      </c>
      <c r="AQ11" s="178" t="s">
        <v>279</v>
      </c>
      <c r="AR11" s="178" t="s">
        <v>108</v>
      </c>
      <c r="AS11" s="178" t="s">
        <v>199</v>
      </c>
      <c r="AT11" t="s">
        <v>693</v>
      </c>
      <c r="AU11" s="178" t="s">
        <v>278</v>
      </c>
      <c r="AV11" s="178" t="s">
        <v>286</v>
      </c>
      <c r="AX11" s="178" t="s">
        <v>88</v>
      </c>
      <c r="AY11" s="178" t="s">
        <v>88</v>
      </c>
      <c r="AZ11" s="178" t="s">
        <v>16</v>
      </c>
      <c r="BA11">
        <v>1.048</v>
      </c>
      <c r="BB11">
        <v>10000</v>
      </c>
      <c r="BC11" s="178" t="s">
        <v>88</v>
      </c>
      <c r="BD11" s="178" t="s">
        <v>1131</v>
      </c>
      <c r="BE11" s="30"/>
      <c r="BF11" s="178" t="s">
        <v>88</v>
      </c>
      <c r="BG11">
        <v>3.58</v>
      </c>
      <c r="BH11" s="178" t="s">
        <v>1131</v>
      </c>
      <c r="BI11" s="30">
        <v>100</v>
      </c>
      <c r="BJ11" s="30">
        <v>45315</v>
      </c>
      <c r="BK11" s="178" t="s">
        <v>1131</v>
      </c>
      <c r="BL11" s="178" t="s">
        <v>6</v>
      </c>
      <c r="BM11" s="30">
        <v>45315</v>
      </c>
      <c r="BN11" s="178" t="s">
        <v>709</v>
      </c>
      <c r="BO11" s="178" t="s">
        <v>1404</v>
      </c>
      <c r="BP11" s="178" t="s">
        <v>1405</v>
      </c>
      <c r="BQ11" s="178" t="s">
        <v>277</v>
      </c>
      <c r="BR11" s="178" t="s">
        <v>277</v>
      </c>
      <c r="BS11" s="178" t="s">
        <v>6</v>
      </c>
      <c r="BT11" s="178" t="s">
        <v>275</v>
      </c>
      <c r="BU11" s="178" t="s">
        <v>274</v>
      </c>
      <c r="BV11" s="178" t="s">
        <v>88</v>
      </c>
      <c r="BW11" s="30">
        <v>45315</v>
      </c>
      <c r="BX11" s="178" t="s">
        <v>1116</v>
      </c>
      <c r="BY11" s="178" t="s">
        <v>191</v>
      </c>
      <c r="BZ11" s="178" t="s">
        <v>79</v>
      </c>
      <c r="CA11" s="178" t="s">
        <v>494</v>
      </c>
      <c r="CB11" s="178" t="s">
        <v>88</v>
      </c>
      <c r="CC11" s="178" t="s">
        <v>204</v>
      </c>
      <c r="CD11">
        <v>1040</v>
      </c>
      <c r="CE11" s="30">
        <v>46411</v>
      </c>
      <c r="CF11" s="178" t="s">
        <v>88</v>
      </c>
      <c r="CG11" s="178" t="s">
        <v>1304</v>
      </c>
      <c r="CH11" s="178" t="s">
        <v>1116</v>
      </c>
      <c r="CI11" s="178" t="s">
        <v>88</v>
      </c>
      <c r="CJ11" s="178" t="s">
        <v>555</v>
      </c>
      <c r="CK11">
        <v>1701</v>
      </c>
      <c r="CL11">
        <v>1767</v>
      </c>
      <c r="CM11" s="178" t="s">
        <v>88</v>
      </c>
      <c r="CN11" s="178" t="s">
        <v>88</v>
      </c>
      <c r="CO11" s="178" t="s">
        <v>490</v>
      </c>
      <c r="CP11" s="178" t="s">
        <v>88</v>
      </c>
      <c r="CQ11" s="178" t="s">
        <v>88</v>
      </c>
      <c r="CS11" s="178" t="s">
        <v>88</v>
      </c>
      <c r="CT11" s="178" t="s">
        <v>6</v>
      </c>
      <c r="CU11" s="178" t="s">
        <v>1476</v>
      </c>
      <c r="CV11" s="178" t="s">
        <v>6</v>
      </c>
      <c r="CW11" s="178" t="s">
        <v>6</v>
      </c>
      <c r="CX11">
        <v>5</v>
      </c>
      <c r="CY11" s="178" t="s">
        <v>1203</v>
      </c>
      <c r="CZ11" s="30">
        <v>45315</v>
      </c>
      <c r="DA11" s="178" t="s">
        <v>1481</v>
      </c>
      <c r="DB11" s="178" t="s">
        <v>157</v>
      </c>
      <c r="DC11" s="178" t="s">
        <v>526</v>
      </c>
      <c r="DD11" s="178" t="s">
        <v>1398</v>
      </c>
      <c r="DE11" s="178" t="s">
        <v>1399</v>
      </c>
      <c r="DF11" s="30"/>
      <c r="DG11" t="s">
        <v>1</v>
      </c>
      <c r="DJ11" s="178" t="s">
        <v>88</v>
      </c>
      <c r="DK11" s="178" t="s">
        <v>88</v>
      </c>
      <c r="DL11">
        <v>7.5</v>
      </c>
      <c r="DM11">
        <v>8.1910000000000007</v>
      </c>
      <c r="DN11" s="178" t="s">
        <v>88</v>
      </c>
      <c r="DO11" s="30">
        <v>45497</v>
      </c>
      <c r="DP11" s="178" t="s">
        <v>1403</v>
      </c>
      <c r="DQ11" s="178" t="s">
        <v>113</v>
      </c>
      <c r="DR11" s="178" t="s">
        <v>276</v>
      </c>
      <c r="DS11" s="178" t="s">
        <v>1402</v>
      </c>
      <c r="DT11">
        <v>7.5</v>
      </c>
      <c r="DU11" s="178" t="s">
        <v>88</v>
      </c>
      <c r="DV11" s="178" t="s">
        <v>88</v>
      </c>
      <c r="DW11" s="178" t="s">
        <v>88</v>
      </c>
      <c r="DX11" s="178" t="s">
        <v>88</v>
      </c>
      <c r="DY11" s="178" t="s">
        <v>707</v>
      </c>
      <c r="DZ11" s="178" t="s">
        <v>88</v>
      </c>
      <c r="EA11" s="178" t="s">
        <v>1117</v>
      </c>
      <c r="EB11" s="123">
        <v>45313.905730613427</v>
      </c>
    </row>
    <row r="12" spans="1:132">
      <c r="A12">
        <v>21</v>
      </c>
      <c r="B12" s="178" t="s">
        <v>1359</v>
      </c>
      <c r="C12" s="178" t="s">
        <v>465</v>
      </c>
      <c r="D12" t="s">
        <v>159</v>
      </c>
      <c r="E12" t="s">
        <v>159</v>
      </c>
      <c r="F12" s="178" t="s">
        <v>88</v>
      </c>
      <c r="G12" s="178" t="s">
        <v>88</v>
      </c>
      <c r="H12" s="178" t="s">
        <v>88</v>
      </c>
      <c r="I12" s="178" t="s">
        <v>778</v>
      </c>
      <c r="J12" s="30">
        <v>45308</v>
      </c>
      <c r="K12" s="178" t="s">
        <v>1102</v>
      </c>
      <c r="L12" s="178" t="s">
        <v>1208</v>
      </c>
      <c r="M12" s="178" t="s">
        <v>81</v>
      </c>
      <c r="N12">
        <v>0.1</v>
      </c>
      <c r="O12" s="178" t="s">
        <v>1358</v>
      </c>
      <c r="P12" s="178" t="s">
        <v>703</v>
      </c>
      <c r="Q12" s="178" t="s">
        <v>700</v>
      </c>
      <c r="R12" s="178" t="s">
        <v>279</v>
      </c>
      <c r="S12" s="178" t="s">
        <v>730</v>
      </c>
      <c r="T12">
        <v>6</v>
      </c>
      <c r="U12" s="178" t="s">
        <v>774</v>
      </c>
      <c r="V12" s="178" t="s">
        <v>105</v>
      </c>
      <c r="W12" s="178" t="s">
        <v>88</v>
      </c>
      <c r="X12" s="178" t="s">
        <v>88</v>
      </c>
      <c r="Z12" s="178" t="s">
        <v>88</v>
      </c>
      <c r="AA12" s="178" t="s">
        <v>294</v>
      </c>
      <c r="AB12" s="178" t="s">
        <v>88</v>
      </c>
      <c r="AC12" s="178" t="s">
        <v>280</v>
      </c>
      <c r="AD12" s="178" t="s">
        <v>786</v>
      </c>
      <c r="AF12" s="178" t="s">
        <v>698</v>
      </c>
      <c r="AG12" s="178" t="s">
        <v>88</v>
      </c>
      <c r="AM12" s="178" t="s">
        <v>88</v>
      </c>
      <c r="AN12" s="178" t="s">
        <v>228</v>
      </c>
      <c r="AO12" s="178" t="s">
        <v>295</v>
      </c>
      <c r="AP12" s="178" t="s">
        <v>472</v>
      </c>
      <c r="AQ12" s="178" t="s">
        <v>279</v>
      </c>
      <c r="AR12" s="178" t="s">
        <v>37</v>
      </c>
      <c r="AS12" s="178" t="s">
        <v>198</v>
      </c>
      <c r="AT12" t="s">
        <v>1529</v>
      </c>
      <c r="AU12" s="178" t="s">
        <v>704</v>
      </c>
      <c r="AV12" s="178" t="s">
        <v>285</v>
      </c>
      <c r="AX12" s="178" t="s">
        <v>88</v>
      </c>
      <c r="AY12" s="178" t="s">
        <v>88</v>
      </c>
      <c r="AZ12" s="178" t="s">
        <v>17</v>
      </c>
      <c r="BA12">
        <v>0.1</v>
      </c>
      <c r="BB12">
        <v>200000</v>
      </c>
      <c r="BC12" s="178" t="s">
        <v>88</v>
      </c>
      <c r="BD12" s="178" t="s">
        <v>88</v>
      </c>
      <c r="BE12" s="30"/>
      <c r="BF12" s="178" t="s">
        <v>88</v>
      </c>
      <c r="BG12">
        <v>6</v>
      </c>
      <c r="BH12" s="178" t="s">
        <v>88</v>
      </c>
      <c r="BI12" s="30">
        <v>100</v>
      </c>
      <c r="BJ12" s="30">
        <v>45309</v>
      </c>
      <c r="BK12" s="178" t="s">
        <v>88</v>
      </c>
      <c r="BL12" s="178" t="s">
        <v>6</v>
      </c>
      <c r="BM12" s="30">
        <v>45309</v>
      </c>
      <c r="BN12" s="178" t="s">
        <v>88</v>
      </c>
      <c r="BO12" s="178" t="s">
        <v>88</v>
      </c>
      <c r="BP12" s="178" t="s">
        <v>88</v>
      </c>
      <c r="BQ12" s="178" t="s">
        <v>277</v>
      </c>
      <c r="BR12" s="178" t="s">
        <v>277</v>
      </c>
      <c r="BS12" s="178" t="s">
        <v>6</v>
      </c>
      <c r="BT12" s="178" t="s">
        <v>275</v>
      </c>
      <c r="BU12" s="178" t="s">
        <v>274</v>
      </c>
      <c r="BV12" s="178" t="s">
        <v>88</v>
      </c>
      <c r="BW12" s="30">
        <v>45309</v>
      </c>
      <c r="BX12" s="178" t="s">
        <v>701</v>
      </c>
      <c r="BY12" s="178" t="s">
        <v>191</v>
      </c>
      <c r="BZ12" s="178" t="s">
        <v>773</v>
      </c>
      <c r="CA12" s="178" t="s">
        <v>88</v>
      </c>
      <c r="CB12" s="178" t="s">
        <v>88</v>
      </c>
      <c r="CC12" s="178" t="s">
        <v>105</v>
      </c>
      <c r="CD12">
        <v>733</v>
      </c>
      <c r="CE12" s="30">
        <v>45491</v>
      </c>
      <c r="CF12" s="178" t="s">
        <v>88</v>
      </c>
      <c r="CG12" s="178" t="s">
        <v>706</v>
      </c>
      <c r="CH12" s="178" t="s">
        <v>701</v>
      </c>
      <c r="CI12" s="178" t="s">
        <v>88</v>
      </c>
      <c r="CJ12" s="178" t="s">
        <v>88</v>
      </c>
      <c r="CM12" s="178" t="s">
        <v>88</v>
      </c>
      <c r="CN12" s="178" t="s">
        <v>88</v>
      </c>
      <c r="CO12" s="178" t="s">
        <v>772</v>
      </c>
      <c r="CP12" s="178" t="s">
        <v>88</v>
      </c>
      <c r="CQ12" s="178" t="s">
        <v>88</v>
      </c>
      <c r="CS12" s="178" t="s">
        <v>775</v>
      </c>
      <c r="CT12" s="178" t="s">
        <v>6</v>
      </c>
      <c r="CU12" s="178" t="s">
        <v>735</v>
      </c>
      <c r="CV12" s="178" t="s">
        <v>505</v>
      </c>
      <c r="CW12" s="178" t="s">
        <v>518</v>
      </c>
      <c r="CX12">
        <v>1</v>
      </c>
      <c r="CY12" s="178" t="s">
        <v>1482</v>
      </c>
      <c r="CZ12" s="30">
        <v>45309</v>
      </c>
      <c r="DA12" s="178" t="s">
        <v>88</v>
      </c>
      <c r="DB12" s="178" t="s">
        <v>157</v>
      </c>
      <c r="DC12" s="178" t="s">
        <v>88</v>
      </c>
      <c r="DD12" s="178" t="s">
        <v>699</v>
      </c>
      <c r="DE12" s="178" t="s">
        <v>88</v>
      </c>
      <c r="DF12" s="30"/>
      <c r="DG12" t="s">
        <v>80</v>
      </c>
      <c r="DJ12" s="178" t="s">
        <v>88</v>
      </c>
      <c r="DK12" s="178" t="s">
        <v>88</v>
      </c>
      <c r="DL12">
        <v>0.71499999999999997</v>
      </c>
      <c r="DM12">
        <v>0.78100000000000003</v>
      </c>
      <c r="DN12" s="178" t="s">
        <v>88</v>
      </c>
      <c r="DO12" s="30">
        <v>45491</v>
      </c>
      <c r="DP12" s="178" t="s">
        <v>705</v>
      </c>
      <c r="DQ12" s="178" t="s">
        <v>711</v>
      </c>
      <c r="DR12" s="178" t="s">
        <v>276</v>
      </c>
      <c r="DS12" s="178" t="s">
        <v>88</v>
      </c>
      <c r="DT12">
        <v>0.1</v>
      </c>
      <c r="DU12" s="178" t="s">
        <v>88</v>
      </c>
      <c r="DV12" s="178" t="s">
        <v>88</v>
      </c>
      <c r="DW12" s="178" t="s">
        <v>88</v>
      </c>
      <c r="DX12" s="178" t="s">
        <v>88</v>
      </c>
      <c r="DY12" s="178" t="s">
        <v>702</v>
      </c>
      <c r="DZ12" s="178" t="s">
        <v>88</v>
      </c>
      <c r="EA12" s="178" t="s">
        <v>1103</v>
      </c>
      <c r="EB12" s="123">
        <v>45313.905730613427</v>
      </c>
    </row>
    <row r="13" spans="1:132">
      <c r="A13">
        <v>20</v>
      </c>
      <c r="B13" s="178" t="s">
        <v>1361</v>
      </c>
      <c r="C13" s="178" t="s">
        <v>465</v>
      </c>
      <c r="D13" t="s">
        <v>159</v>
      </c>
      <c r="E13" t="s">
        <v>159</v>
      </c>
      <c r="F13" s="178" t="s">
        <v>88</v>
      </c>
      <c r="G13" s="178" t="s">
        <v>88</v>
      </c>
      <c r="H13" s="178" t="s">
        <v>88</v>
      </c>
      <c r="I13" s="178" t="s">
        <v>778</v>
      </c>
      <c r="J13" s="30">
        <v>45308</v>
      </c>
      <c r="K13" s="178" t="s">
        <v>1104</v>
      </c>
      <c r="L13" s="178" t="s">
        <v>1208</v>
      </c>
      <c r="M13" s="178" t="s">
        <v>102</v>
      </c>
      <c r="N13">
        <v>1.2</v>
      </c>
      <c r="O13" s="178" t="s">
        <v>1360</v>
      </c>
      <c r="P13" s="178" t="s">
        <v>703</v>
      </c>
      <c r="Q13" s="178" t="s">
        <v>700</v>
      </c>
      <c r="R13" s="178" t="s">
        <v>279</v>
      </c>
      <c r="S13" s="178" t="s">
        <v>785</v>
      </c>
      <c r="T13">
        <v>3.6</v>
      </c>
      <c r="U13" s="178" t="s">
        <v>776</v>
      </c>
      <c r="V13" s="178" t="s">
        <v>105</v>
      </c>
      <c r="W13" s="178" t="s">
        <v>88</v>
      </c>
      <c r="X13" s="178" t="s">
        <v>88</v>
      </c>
      <c r="Z13" s="178" t="s">
        <v>88</v>
      </c>
      <c r="AA13" s="178" t="s">
        <v>294</v>
      </c>
      <c r="AB13" s="178" t="s">
        <v>88</v>
      </c>
      <c r="AC13" s="178" t="s">
        <v>280</v>
      </c>
      <c r="AD13" s="178" t="s">
        <v>766</v>
      </c>
      <c r="AF13" s="178" t="s">
        <v>698</v>
      </c>
      <c r="AG13" s="178" t="s">
        <v>88</v>
      </c>
      <c r="AM13" s="178" t="s">
        <v>88</v>
      </c>
      <c r="AN13" s="178" t="s">
        <v>228</v>
      </c>
      <c r="AO13" s="178" t="s">
        <v>295</v>
      </c>
      <c r="AP13" s="178" t="s">
        <v>472</v>
      </c>
      <c r="AQ13" s="178" t="s">
        <v>279</v>
      </c>
      <c r="AR13" s="178" t="s">
        <v>37</v>
      </c>
      <c r="AS13" s="178" t="s">
        <v>198</v>
      </c>
      <c r="AT13" t="s">
        <v>1530</v>
      </c>
      <c r="AU13" s="178" t="s">
        <v>704</v>
      </c>
      <c r="AV13" s="178" t="s">
        <v>285</v>
      </c>
      <c r="AX13" s="178" t="s">
        <v>88</v>
      </c>
      <c r="AY13" s="178" t="s">
        <v>88</v>
      </c>
      <c r="AZ13" s="178" t="s">
        <v>17</v>
      </c>
      <c r="BA13">
        <v>0.16800000000000001</v>
      </c>
      <c r="BB13">
        <v>200</v>
      </c>
      <c r="BC13" s="178" t="s">
        <v>88</v>
      </c>
      <c r="BD13" s="178" t="s">
        <v>88</v>
      </c>
      <c r="BE13" s="30"/>
      <c r="BF13" s="178" t="s">
        <v>88</v>
      </c>
      <c r="BG13">
        <v>3.6</v>
      </c>
      <c r="BH13" s="178" t="s">
        <v>88</v>
      </c>
      <c r="BI13" s="30">
        <v>100</v>
      </c>
      <c r="BJ13" s="30">
        <v>45309</v>
      </c>
      <c r="BK13" s="178" t="s">
        <v>88</v>
      </c>
      <c r="BL13" s="178" t="s">
        <v>6</v>
      </c>
      <c r="BM13" s="30">
        <v>45309</v>
      </c>
      <c r="BN13" s="178" t="s">
        <v>88</v>
      </c>
      <c r="BO13" s="178" t="s">
        <v>88</v>
      </c>
      <c r="BP13" s="178" t="s">
        <v>88</v>
      </c>
      <c r="BQ13" s="178" t="s">
        <v>277</v>
      </c>
      <c r="BR13" s="178" t="s">
        <v>277</v>
      </c>
      <c r="BS13" s="178" t="s">
        <v>6</v>
      </c>
      <c r="BT13" s="178" t="s">
        <v>275</v>
      </c>
      <c r="BU13" s="178" t="s">
        <v>274</v>
      </c>
      <c r="BV13" s="178" t="s">
        <v>88</v>
      </c>
      <c r="BW13" s="30">
        <v>45309</v>
      </c>
      <c r="BX13" s="178" t="s">
        <v>701</v>
      </c>
      <c r="BY13" s="178" t="s">
        <v>191</v>
      </c>
      <c r="BZ13" s="178" t="s">
        <v>773</v>
      </c>
      <c r="CA13" s="178" t="s">
        <v>88</v>
      </c>
      <c r="CB13" s="178" t="s">
        <v>88</v>
      </c>
      <c r="CC13" s="178" t="s">
        <v>105</v>
      </c>
      <c r="CD13">
        <v>733</v>
      </c>
      <c r="CE13" s="30">
        <v>45400</v>
      </c>
      <c r="CF13" s="178" t="s">
        <v>88</v>
      </c>
      <c r="CG13" s="178" t="s">
        <v>706</v>
      </c>
      <c r="CH13" s="178" t="s">
        <v>701</v>
      </c>
      <c r="CI13" s="178" t="s">
        <v>88</v>
      </c>
      <c r="CJ13" s="178" t="s">
        <v>88</v>
      </c>
      <c r="CM13" s="178" t="s">
        <v>88</v>
      </c>
      <c r="CN13" s="178" t="s">
        <v>88</v>
      </c>
      <c r="CO13" s="178" t="s">
        <v>772</v>
      </c>
      <c r="CP13" s="178" t="s">
        <v>88</v>
      </c>
      <c r="CQ13" s="178" t="s">
        <v>88</v>
      </c>
      <c r="CS13" s="178" t="s">
        <v>1298</v>
      </c>
      <c r="CT13" s="178" t="s">
        <v>6</v>
      </c>
      <c r="CU13" s="178" t="s">
        <v>735</v>
      </c>
      <c r="CV13" s="178" t="s">
        <v>505</v>
      </c>
      <c r="CW13" s="178" t="s">
        <v>518</v>
      </c>
      <c r="CX13">
        <v>1</v>
      </c>
      <c r="CY13" s="178" t="s">
        <v>1482</v>
      </c>
      <c r="CZ13" s="30">
        <v>45309</v>
      </c>
      <c r="DA13" s="178" t="s">
        <v>88</v>
      </c>
      <c r="DB13" s="178" t="s">
        <v>157</v>
      </c>
      <c r="DC13" s="178" t="s">
        <v>88</v>
      </c>
      <c r="DD13" s="178" t="s">
        <v>699</v>
      </c>
      <c r="DE13" s="178" t="s">
        <v>88</v>
      </c>
      <c r="DF13" s="30"/>
      <c r="DG13" t="s">
        <v>80</v>
      </c>
      <c r="DJ13" s="178" t="s">
        <v>88</v>
      </c>
      <c r="DK13" s="178" t="s">
        <v>88</v>
      </c>
      <c r="DL13">
        <v>1.2</v>
      </c>
      <c r="DM13">
        <v>1.3109999999999999</v>
      </c>
      <c r="DN13" s="178" t="s">
        <v>88</v>
      </c>
      <c r="DO13" s="30">
        <v>45400</v>
      </c>
      <c r="DP13" s="178" t="s">
        <v>705</v>
      </c>
      <c r="DQ13" s="178" t="s">
        <v>711</v>
      </c>
      <c r="DR13" s="178" t="s">
        <v>276</v>
      </c>
      <c r="DS13" s="178" t="s">
        <v>88</v>
      </c>
      <c r="DT13">
        <v>1.2</v>
      </c>
      <c r="DU13" s="178" t="s">
        <v>88</v>
      </c>
      <c r="DV13" s="178" t="s">
        <v>88</v>
      </c>
      <c r="DW13" s="178" t="s">
        <v>88</v>
      </c>
      <c r="DX13" s="178" t="s">
        <v>88</v>
      </c>
      <c r="DY13" s="178" t="s">
        <v>702</v>
      </c>
      <c r="DZ13" s="178" t="s">
        <v>88</v>
      </c>
      <c r="EA13" s="178" t="s">
        <v>1105</v>
      </c>
      <c r="EB13" s="123">
        <v>45313.905730613427</v>
      </c>
    </row>
    <row r="14" spans="1:132">
      <c r="A14">
        <v>19</v>
      </c>
      <c r="B14" s="178" t="s">
        <v>1133</v>
      </c>
      <c r="C14" s="178" t="s">
        <v>88</v>
      </c>
      <c r="D14" t="s">
        <v>778</v>
      </c>
      <c r="E14" t="s">
        <v>778</v>
      </c>
      <c r="F14" s="178" t="s">
        <v>779</v>
      </c>
      <c r="G14" s="178" t="s">
        <v>88</v>
      </c>
      <c r="H14" s="178" t="s">
        <v>88</v>
      </c>
      <c r="I14" s="178" t="s">
        <v>778</v>
      </c>
      <c r="J14" s="30">
        <v>45308</v>
      </c>
      <c r="K14" s="178" t="s">
        <v>1106</v>
      </c>
      <c r="L14" s="178" t="s">
        <v>1107</v>
      </c>
      <c r="M14" s="178" t="s">
        <v>81</v>
      </c>
      <c r="N14">
        <v>6</v>
      </c>
      <c r="O14" s="178" t="s">
        <v>1363</v>
      </c>
      <c r="P14" s="178" t="s">
        <v>1288</v>
      </c>
      <c r="Q14" s="178" t="s">
        <v>790</v>
      </c>
      <c r="R14" s="178" t="s">
        <v>279</v>
      </c>
      <c r="S14" s="178" t="s">
        <v>284</v>
      </c>
      <c r="T14">
        <v>5.9851000000000001</v>
      </c>
      <c r="U14" s="178" t="s">
        <v>129</v>
      </c>
      <c r="V14" s="178" t="s">
        <v>283</v>
      </c>
      <c r="W14" s="178" t="s">
        <v>88</v>
      </c>
      <c r="X14" s="178" t="s">
        <v>88</v>
      </c>
      <c r="Z14" s="178" t="s">
        <v>282</v>
      </c>
      <c r="AA14" s="178" t="s">
        <v>281</v>
      </c>
      <c r="AB14" s="178" t="s">
        <v>88</v>
      </c>
      <c r="AC14" s="178" t="s">
        <v>280</v>
      </c>
      <c r="AD14" s="178" t="s">
        <v>1139</v>
      </c>
      <c r="AF14" s="178" t="s">
        <v>288</v>
      </c>
      <c r="AG14" s="178" t="s">
        <v>88</v>
      </c>
      <c r="AI14">
        <v>12</v>
      </c>
      <c r="AJ14">
        <v>2</v>
      </c>
      <c r="AM14" s="178" t="s">
        <v>1366</v>
      </c>
      <c r="AN14" s="178" t="s">
        <v>228</v>
      </c>
      <c r="AO14" s="178" t="s">
        <v>269</v>
      </c>
      <c r="AP14" s="178" t="s">
        <v>472</v>
      </c>
      <c r="AQ14" s="178" t="s">
        <v>279</v>
      </c>
      <c r="AR14" s="178" t="s">
        <v>35</v>
      </c>
      <c r="AS14" s="178" t="s">
        <v>198</v>
      </c>
      <c r="AT14" t="s">
        <v>693</v>
      </c>
      <c r="AU14" s="178" t="s">
        <v>1290</v>
      </c>
      <c r="AV14" s="178" t="s">
        <v>285</v>
      </c>
      <c r="AW14">
        <v>53</v>
      </c>
      <c r="AX14" s="178" t="s">
        <v>1367</v>
      </c>
      <c r="AY14" s="178" t="s">
        <v>1309</v>
      </c>
      <c r="AZ14" s="178" t="s">
        <v>11</v>
      </c>
      <c r="BA14">
        <v>6</v>
      </c>
      <c r="BB14">
        <v>1000</v>
      </c>
      <c r="BC14" s="178" t="s">
        <v>88</v>
      </c>
      <c r="BD14" s="178" t="s">
        <v>88</v>
      </c>
      <c r="BE14" s="30"/>
      <c r="BF14" s="178" t="s">
        <v>1370</v>
      </c>
      <c r="BG14">
        <v>5.9851000000000001</v>
      </c>
      <c r="BH14" s="178" t="s">
        <v>88</v>
      </c>
      <c r="BI14" s="30">
        <v>100</v>
      </c>
      <c r="BJ14" s="30">
        <v>45315</v>
      </c>
      <c r="BK14" s="178" t="s">
        <v>1371</v>
      </c>
      <c r="BL14" s="178" t="s">
        <v>127</v>
      </c>
      <c r="BM14" s="30">
        <v>45315</v>
      </c>
      <c r="BN14" s="178" t="s">
        <v>88</v>
      </c>
      <c r="BO14" s="178" t="s">
        <v>1372</v>
      </c>
      <c r="BP14" s="178" t="s">
        <v>1373</v>
      </c>
      <c r="BQ14" s="178" t="s">
        <v>277</v>
      </c>
      <c r="BR14" s="178" t="s">
        <v>277</v>
      </c>
      <c r="BS14" s="178" t="s">
        <v>6</v>
      </c>
      <c r="BT14" s="178" t="s">
        <v>275</v>
      </c>
      <c r="BU14" s="178" t="s">
        <v>274</v>
      </c>
      <c r="BV14" s="178" t="s">
        <v>88</v>
      </c>
      <c r="BW14" s="30">
        <v>45315</v>
      </c>
      <c r="BX14" s="178" t="s">
        <v>535</v>
      </c>
      <c r="BY14" s="178" t="s">
        <v>191</v>
      </c>
      <c r="BZ14" s="178" t="s">
        <v>804</v>
      </c>
      <c r="CA14" s="178" t="s">
        <v>787</v>
      </c>
      <c r="CB14" s="178" t="s">
        <v>88</v>
      </c>
      <c r="CC14" s="178" t="s">
        <v>204</v>
      </c>
      <c r="CD14">
        <v>106</v>
      </c>
      <c r="CE14" s="30">
        <v>46411</v>
      </c>
      <c r="CF14" s="178" t="s">
        <v>1483</v>
      </c>
      <c r="CG14" s="178" t="s">
        <v>1303</v>
      </c>
      <c r="CH14" s="178" t="s">
        <v>88</v>
      </c>
      <c r="CI14" s="178" t="s">
        <v>88</v>
      </c>
      <c r="CJ14" s="178" t="s">
        <v>88</v>
      </c>
      <c r="CK14">
        <v>1700</v>
      </c>
      <c r="CL14">
        <v>1766</v>
      </c>
      <c r="CM14" s="178" t="s">
        <v>88</v>
      </c>
      <c r="CN14" s="178" t="s">
        <v>791</v>
      </c>
      <c r="CO14" s="178" t="s">
        <v>192</v>
      </c>
      <c r="CP14" s="178" t="s">
        <v>88</v>
      </c>
      <c r="CQ14" s="178" t="s">
        <v>88</v>
      </c>
      <c r="CS14" s="178" t="s">
        <v>88</v>
      </c>
      <c r="CT14" s="178" t="s">
        <v>6</v>
      </c>
      <c r="CU14" s="178" t="s">
        <v>1477</v>
      </c>
      <c r="CV14" s="178" t="s">
        <v>269</v>
      </c>
      <c r="CW14" s="178" t="s">
        <v>508</v>
      </c>
      <c r="CX14">
        <v>5</v>
      </c>
      <c r="CY14" s="178" t="s">
        <v>1203</v>
      </c>
      <c r="CZ14" s="30">
        <v>45315</v>
      </c>
      <c r="DA14" s="178" t="s">
        <v>88</v>
      </c>
      <c r="DB14" s="178" t="s">
        <v>155</v>
      </c>
      <c r="DC14" s="178" t="s">
        <v>6</v>
      </c>
      <c r="DD14" s="178" t="s">
        <v>1365</v>
      </c>
      <c r="DE14" s="178" t="s">
        <v>88</v>
      </c>
      <c r="DF14" s="30"/>
      <c r="DG14" t="s">
        <v>80</v>
      </c>
      <c r="DH14">
        <v>12</v>
      </c>
      <c r="DI14">
        <v>53</v>
      </c>
      <c r="DJ14" s="178" t="s">
        <v>1310</v>
      </c>
      <c r="DK14" s="178" t="s">
        <v>1312</v>
      </c>
      <c r="DL14">
        <v>42.917000000000002</v>
      </c>
      <c r="DM14">
        <v>46.869</v>
      </c>
      <c r="DN14" s="178" t="s">
        <v>1139</v>
      </c>
      <c r="DO14" s="30">
        <v>45406</v>
      </c>
      <c r="DP14" s="178" t="s">
        <v>1369</v>
      </c>
      <c r="DQ14" s="178" t="s">
        <v>789</v>
      </c>
      <c r="DR14" s="178" t="s">
        <v>1287</v>
      </c>
      <c r="DS14" s="178" t="s">
        <v>1368</v>
      </c>
      <c r="DT14">
        <v>6</v>
      </c>
      <c r="DU14" s="178" t="s">
        <v>88</v>
      </c>
      <c r="DV14" s="178" t="s">
        <v>88</v>
      </c>
      <c r="DW14" s="178" t="s">
        <v>88</v>
      </c>
      <c r="DX14" s="178" t="s">
        <v>88</v>
      </c>
      <c r="DY14" s="178" t="s">
        <v>1472</v>
      </c>
      <c r="DZ14" s="178" t="s">
        <v>88</v>
      </c>
      <c r="EA14" s="178" t="s">
        <v>1108</v>
      </c>
      <c r="EB14" s="123">
        <v>45313.905730613427</v>
      </c>
    </row>
    <row r="15" spans="1:132">
      <c r="A15">
        <v>18</v>
      </c>
      <c r="B15" s="178" t="s">
        <v>1130</v>
      </c>
      <c r="C15" s="178" t="s">
        <v>88</v>
      </c>
      <c r="D15" t="s">
        <v>778</v>
      </c>
      <c r="E15" t="s">
        <v>778</v>
      </c>
      <c r="F15" s="178" t="s">
        <v>88</v>
      </c>
      <c r="G15" s="178" t="s">
        <v>88</v>
      </c>
      <c r="H15" s="178" t="s">
        <v>88</v>
      </c>
      <c r="I15" s="178" t="s">
        <v>778</v>
      </c>
      <c r="J15" s="30">
        <v>45308</v>
      </c>
      <c r="K15" s="178" t="s">
        <v>1112</v>
      </c>
      <c r="L15" s="178" t="s">
        <v>79</v>
      </c>
      <c r="M15" s="178" t="s">
        <v>102</v>
      </c>
      <c r="N15">
        <v>1.9790000000000001</v>
      </c>
      <c r="O15" s="178" t="s">
        <v>1386</v>
      </c>
      <c r="P15" s="178" t="s">
        <v>279</v>
      </c>
      <c r="Q15" s="178" t="s">
        <v>279</v>
      </c>
      <c r="R15" s="178" t="s">
        <v>279</v>
      </c>
      <c r="S15" s="178" t="s">
        <v>284</v>
      </c>
      <c r="T15">
        <v>3.58</v>
      </c>
      <c r="U15" s="178" t="s">
        <v>129</v>
      </c>
      <c r="V15" s="178" t="s">
        <v>287</v>
      </c>
      <c r="W15" s="178" t="s">
        <v>88</v>
      </c>
      <c r="X15" s="178" t="s">
        <v>1131</v>
      </c>
      <c r="Z15" s="178" t="s">
        <v>282</v>
      </c>
      <c r="AA15" s="178" t="s">
        <v>708</v>
      </c>
      <c r="AB15" s="178" t="s">
        <v>1388</v>
      </c>
      <c r="AC15" s="178" t="s">
        <v>280</v>
      </c>
      <c r="AD15" s="178" t="s">
        <v>1131</v>
      </c>
      <c r="AF15" s="178" t="s">
        <v>710</v>
      </c>
      <c r="AG15" s="178" t="s">
        <v>88</v>
      </c>
      <c r="AM15" s="178" t="s">
        <v>1390</v>
      </c>
      <c r="AN15" s="178" t="s">
        <v>228</v>
      </c>
      <c r="AO15" s="178" t="s">
        <v>695</v>
      </c>
      <c r="AP15" s="178" t="s">
        <v>472</v>
      </c>
      <c r="AQ15" s="178" t="s">
        <v>279</v>
      </c>
      <c r="AR15" s="178" t="s">
        <v>107</v>
      </c>
      <c r="AS15" s="178" t="s">
        <v>199</v>
      </c>
      <c r="AT15" t="s">
        <v>693</v>
      </c>
      <c r="AU15" s="178" t="s">
        <v>1380</v>
      </c>
      <c r="AV15" s="178" t="s">
        <v>286</v>
      </c>
      <c r="AX15" s="178" t="s">
        <v>88</v>
      </c>
      <c r="AY15" s="178" t="s">
        <v>88</v>
      </c>
      <c r="AZ15" s="178" t="s">
        <v>16</v>
      </c>
      <c r="BA15">
        <v>0.27700000000000002</v>
      </c>
      <c r="BB15">
        <v>10000</v>
      </c>
      <c r="BC15" s="178" t="s">
        <v>88</v>
      </c>
      <c r="BD15" s="178" t="s">
        <v>1131</v>
      </c>
      <c r="BE15" s="30"/>
      <c r="BF15" s="178" t="s">
        <v>88</v>
      </c>
      <c r="BG15">
        <v>3.58</v>
      </c>
      <c r="BH15" s="178" t="s">
        <v>88</v>
      </c>
      <c r="BI15" s="30">
        <v>100</v>
      </c>
      <c r="BJ15" s="30">
        <v>45315</v>
      </c>
      <c r="BK15" s="178" t="s">
        <v>1131</v>
      </c>
      <c r="BL15" s="178" t="s">
        <v>6</v>
      </c>
      <c r="BM15" s="30">
        <v>45315</v>
      </c>
      <c r="BN15" s="178" t="s">
        <v>709</v>
      </c>
      <c r="BO15" s="178" t="s">
        <v>1393</v>
      </c>
      <c r="BP15" s="178" t="s">
        <v>1394</v>
      </c>
      <c r="BQ15" s="178" t="s">
        <v>277</v>
      </c>
      <c r="BR15" s="178" t="s">
        <v>277</v>
      </c>
      <c r="BS15" s="178" t="s">
        <v>6</v>
      </c>
      <c r="BT15" s="178" t="s">
        <v>275</v>
      </c>
      <c r="BU15" s="178" t="s">
        <v>274</v>
      </c>
      <c r="BV15" s="178" t="s">
        <v>88</v>
      </c>
      <c r="BW15" s="30">
        <v>45315</v>
      </c>
      <c r="BX15" s="178" t="s">
        <v>1113</v>
      </c>
      <c r="BY15" s="178" t="s">
        <v>191</v>
      </c>
      <c r="BZ15" s="178" t="s">
        <v>79</v>
      </c>
      <c r="CA15" s="178" t="s">
        <v>88</v>
      </c>
      <c r="CB15" s="178" t="s">
        <v>88</v>
      </c>
      <c r="CC15" s="178" t="s">
        <v>193</v>
      </c>
      <c r="CD15">
        <v>81</v>
      </c>
      <c r="CE15" s="30">
        <v>46411</v>
      </c>
      <c r="CF15" s="178" t="s">
        <v>88</v>
      </c>
      <c r="CG15" s="178" t="s">
        <v>1113</v>
      </c>
      <c r="CH15" s="178" t="s">
        <v>88</v>
      </c>
      <c r="CI15" s="178" t="s">
        <v>88</v>
      </c>
      <c r="CJ15" s="178" t="s">
        <v>545</v>
      </c>
      <c r="CK15">
        <v>1702</v>
      </c>
      <c r="CL15">
        <v>1768</v>
      </c>
      <c r="CM15" s="178" t="s">
        <v>88</v>
      </c>
      <c r="CN15" s="178" t="s">
        <v>88</v>
      </c>
      <c r="CO15" s="178" t="s">
        <v>192</v>
      </c>
      <c r="CP15" s="178" t="s">
        <v>88</v>
      </c>
      <c r="CQ15" s="178" t="s">
        <v>88</v>
      </c>
      <c r="CS15" s="178" t="s">
        <v>88</v>
      </c>
      <c r="CT15" s="178" t="s">
        <v>6</v>
      </c>
      <c r="CU15" s="178" t="s">
        <v>1475</v>
      </c>
      <c r="CV15" s="178" t="s">
        <v>6</v>
      </c>
      <c r="CW15" s="178" t="s">
        <v>6</v>
      </c>
      <c r="CX15">
        <v>5</v>
      </c>
      <c r="CY15" s="178" t="s">
        <v>1203</v>
      </c>
      <c r="CZ15" s="30">
        <v>45315</v>
      </c>
      <c r="DA15" s="178" t="s">
        <v>1484</v>
      </c>
      <c r="DB15" s="178" t="s">
        <v>157</v>
      </c>
      <c r="DC15" s="178" t="s">
        <v>526</v>
      </c>
      <c r="DD15" s="178" t="s">
        <v>1389</v>
      </c>
      <c r="DE15" s="178" t="s">
        <v>88</v>
      </c>
      <c r="DF15" s="30"/>
      <c r="DG15" t="s">
        <v>2</v>
      </c>
      <c r="DJ15" s="178" t="s">
        <v>88</v>
      </c>
      <c r="DK15" s="178" t="s">
        <v>88</v>
      </c>
      <c r="DL15">
        <v>1.9790000000000001</v>
      </c>
      <c r="DM15">
        <v>2.161</v>
      </c>
      <c r="DN15" s="178" t="s">
        <v>88</v>
      </c>
      <c r="DO15" s="30">
        <v>45497</v>
      </c>
      <c r="DP15" s="178" t="s">
        <v>1392</v>
      </c>
      <c r="DQ15" s="178" t="s">
        <v>113</v>
      </c>
      <c r="DR15" s="178" t="s">
        <v>276</v>
      </c>
      <c r="DS15" s="178" t="s">
        <v>1391</v>
      </c>
      <c r="DT15">
        <v>1.9790000000000001</v>
      </c>
      <c r="DU15" s="178" t="s">
        <v>88</v>
      </c>
      <c r="DV15" s="178" t="s">
        <v>88</v>
      </c>
      <c r="DW15" s="178" t="s">
        <v>88</v>
      </c>
      <c r="DX15" s="178" t="s">
        <v>88</v>
      </c>
      <c r="DY15" s="178" t="s">
        <v>1474</v>
      </c>
      <c r="DZ15" s="178" t="s">
        <v>88</v>
      </c>
      <c r="EA15" s="178" t="s">
        <v>1114</v>
      </c>
      <c r="EB15" s="123">
        <v>45313.905730613427</v>
      </c>
    </row>
    <row r="16" spans="1:132">
      <c r="A16">
        <v>17</v>
      </c>
      <c r="B16" s="178" t="s">
        <v>1134</v>
      </c>
      <c r="C16" s="178" t="s">
        <v>88</v>
      </c>
      <c r="D16" t="s">
        <v>778</v>
      </c>
      <c r="E16" t="s">
        <v>778</v>
      </c>
      <c r="F16" s="178" t="s">
        <v>88</v>
      </c>
      <c r="G16" s="178" t="s">
        <v>88</v>
      </c>
      <c r="H16" s="178" t="s">
        <v>88</v>
      </c>
      <c r="I16" s="178" t="s">
        <v>779</v>
      </c>
      <c r="J16" s="30">
        <v>45306</v>
      </c>
      <c r="K16" s="178" t="s">
        <v>1118</v>
      </c>
      <c r="L16" s="178" t="s">
        <v>79</v>
      </c>
      <c r="M16" s="178" t="s">
        <v>102</v>
      </c>
      <c r="N16">
        <v>2</v>
      </c>
      <c r="O16" s="178" t="s">
        <v>1445</v>
      </c>
      <c r="P16" s="178" t="s">
        <v>279</v>
      </c>
      <c r="Q16" s="178" t="s">
        <v>279</v>
      </c>
      <c r="R16" s="178" t="s">
        <v>279</v>
      </c>
      <c r="S16" s="178" t="s">
        <v>284</v>
      </c>
      <c r="T16">
        <v>6</v>
      </c>
      <c r="U16" s="178" t="s">
        <v>129</v>
      </c>
      <c r="V16" s="178" t="s">
        <v>287</v>
      </c>
      <c r="W16" s="178" t="s">
        <v>88</v>
      </c>
      <c r="X16" s="178" t="s">
        <v>88</v>
      </c>
      <c r="Z16" s="178" t="s">
        <v>282</v>
      </c>
      <c r="AA16" s="178" t="s">
        <v>281</v>
      </c>
      <c r="AB16" s="178" t="s">
        <v>88</v>
      </c>
      <c r="AC16" s="178" t="s">
        <v>280</v>
      </c>
      <c r="AD16" s="178" t="s">
        <v>786</v>
      </c>
      <c r="AF16" s="178" t="s">
        <v>710</v>
      </c>
      <c r="AG16" s="178" t="s">
        <v>88</v>
      </c>
      <c r="AM16" s="178" t="s">
        <v>88</v>
      </c>
      <c r="AN16" s="178" t="s">
        <v>228</v>
      </c>
      <c r="AO16" s="178" t="s">
        <v>295</v>
      </c>
      <c r="AP16" s="178" t="s">
        <v>472</v>
      </c>
      <c r="AQ16" s="178" t="s">
        <v>279</v>
      </c>
      <c r="AR16" s="178" t="s">
        <v>35</v>
      </c>
      <c r="AS16" s="178" t="s">
        <v>199</v>
      </c>
      <c r="AT16" t="s">
        <v>1533</v>
      </c>
      <c r="AU16" s="178" t="s">
        <v>1380</v>
      </c>
      <c r="AV16" s="178" t="s">
        <v>286</v>
      </c>
      <c r="AX16" s="178" t="s">
        <v>88</v>
      </c>
      <c r="AY16" s="178" t="s">
        <v>88</v>
      </c>
      <c r="AZ16" s="178" t="s">
        <v>16</v>
      </c>
      <c r="BA16">
        <v>0.28000000000000003</v>
      </c>
      <c r="BB16">
        <v>10000</v>
      </c>
      <c r="BC16" s="178" t="s">
        <v>88</v>
      </c>
      <c r="BD16" s="178" t="s">
        <v>88</v>
      </c>
      <c r="BE16" s="30"/>
      <c r="BF16" s="178" t="s">
        <v>88</v>
      </c>
      <c r="BG16">
        <v>6</v>
      </c>
      <c r="BH16" s="178" t="s">
        <v>88</v>
      </c>
      <c r="BI16" s="30">
        <v>100</v>
      </c>
      <c r="BJ16" s="30">
        <v>45309</v>
      </c>
      <c r="BK16" s="178" t="s">
        <v>88</v>
      </c>
      <c r="BL16" s="178" t="s">
        <v>6</v>
      </c>
      <c r="BM16" s="30">
        <v>45309</v>
      </c>
      <c r="BN16" s="178" t="s">
        <v>88</v>
      </c>
      <c r="BO16" s="178" t="s">
        <v>1447</v>
      </c>
      <c r="BP16" s="178" t="s">
        <v>1448</v>
      </c>
      <c r="BQ16" s="178" t="s">
        <v>277</v>
      </c>
      <c r="BR16" s="178" t="s">
        <v>277</v>
      </c>
      <c r="BS16" s="178" t="s">
        <v>6</v>
      </c>
      <c r="BT16" s="178" t="s">
        <v>275</v>
      </c>
      <c r="BU16" s="178" t="s">
        <v>274</v>
      </c>
      <c r="BV16" s="178" t="s">
        <v>88</v>
      </c>
      <c r="BW16" s="30">
        <v>45309</v>
      </c>
      <c r="BX16" s="178" t="s">
        <v>1119</v>
      </c>
      <c r="BY16" s="178" t="s">
        <v>191</v>
      </c>
      <c r="BZ16" s="178" t="s">
        <v>79</v>
      </c>
      <c r="CA16" s="178" t="s">
        <v>88</v>
      </c>
      <c r="CB16" s="178" t="s">
        <v>88</v>
      </c>
      <c r="CC16" s="178" t="s">
        <v>193</v>
      </c>
      <c r="CD16">
        <v>88</v>
      </c>
      <c r="CE16" s="30">
        <v>46405</v>
      </c>
      <c r="CF16" s="178" t="s">
        <v>88</v>
      </c>
      <c r="CG16" s="178" t="s">
        <v>1119</v>
      </c>
      <c r="CH16" s="178" t="s">
        <v>88</v>
      </c>
      <c r="CI16" s="178" t="s">
        <v>88</v>
      </c>
      <c r="CJ16" s="178" t="s">
        <v>88</v>
      </c>
      <c r="CK16">
        <v>1699</v>
      </c>
      <c r="CL16">
        <v>1765</v>
      </c>
      <c r="CM16" s="178" t="s">
        <v>88</v>
      </c>
      <c r="CN16" s="178" t="s">
        <v>88</v>
      </c>
      <c r="CO16" s="178" t="s">
        <v>192</v>
      </c>
      <c r="CP16" s="178" t="s">
        <v>88</v>
      </c>
      <c r="CQ16" s="178" t="s">
        <v>88</v>
      </c>
      <c r="CS16" s="178" t="s">
        <v>88</v>
      </c>
      <c r="CT16" s="178" t="s">
        <v>6</v>
      </c>
      <c r="CU16" s="178" t="s">
        <v>1149</v>
      </c>
      <c r="CV16" s="178" t="s">
        <v>6</v>
      </c>
      <c r="CW16" s="178" t="s">
        <v>6</v>
      </c>
      <c r="CX16">
        <v>3</v>
      </c>
      <c r="CY16" s="178" t="s">
        <v>1205</v>
      </c>
      <c r="CZ16" s="30">
        <v>45309</v>
      </c>
      <c r="DA16" s="178" t="s">
        <v>88</v>
      </c>
      <c r="DB16" s="178" t="s">
        <v>157</v>
      </c>
      <c r="DC16" s="178" t="s">
        <v>524</v>
      </c>
      <c r="DD16" s="178" t="s">
        <v>784</v>
      </c>
      <c r="DE16" s="178" t="s">
        <v>88</v>
      </c>
      <c r="DF16" s="30"/>
      <c r="DG16" t="s">
        <v>80</v>
      </c>
      <c r="DJ16" s="178" t="s">
        <v>88</v>
      </c>
      <c r="DK16" s="178" t="s">
        <v>88</v>
      </c>
      <c r="DL16">
        <v>2</v>
      </c>
      <c r="DM16">
        <v>2.1840000000000002</v>
      </c>
      <c r="DN16" s="178" t="s">
        <v>88</v>
      </c>
      <c r="DO16" s="30">
        <v>45491</v>
      </c>
      <c r="DP16" s="178" t="s">
        <v>1446</v>
      </c>
      <c r="DQ16" s="178" t="s">
        <v>113</v>
      </c>
      <c r="DR16" s="178" t="s">
        <v>276</v>
      </c>
      <c r="DS16" s="178" t="s">
        <v>88</v>
      </c>
      <c r="DT16">
        <v>2</v>
      </c>
      <c r="DU16" s="178" t="s">
        <v>88</v>
      </c>
      <c r="DV16" s="178" t="s">
        <v>88</v>
      </c>
      <c r="DW16" s="178" t="s">
        <v>88</v>
      </c>
      <c r="DX16" s="178" t="s">
        <v>88</v>
      </c>
      <c r="DY16" s="178" t="s">
        <v>783</v>
      </c>
      <c r="DZ16" s="178" t="s">
        <v>88</v>
      </c>
      <c r="EA16" s="178" t="s">
        <v>1120</v>
      </c>
      <c r="EB16" s="123">
        <v>45313.905730613427</v>
      </c>
    </row>
    <row r="17" spans="1:132">
      <c r="A17">
        <v>16</v>
      </c>
      <c r="B17" s="178" t="s">
        <v>1262</v>
      </c>
      <c r="C17" s="178" t="s">
        <v>88</v>
      </c>
      <c r="D17" t="s">
        <v>778</v>
      </c>
      <c r="E17" t="s">
        <v>778</v>
      </c>
      <c r="F17" s="178" t="s">
        <v>88</v>
      </c>
      <c r="G17" s="178" t="s">
        <v>779</v>
      </c>
      <c r="H17" s="178" t="s">
        <v>779</v>
      </c>
      <c r="I17" s="178" t="s">
        <v>778</v>
      </c>
      <c r="J17" s="30">
        <v>45303</v>
      </c>
      <c r="K17" s="178" t="s">
        <v>793</v>
      </c>
      <c r="L17" s="178" t="s">
        <v>79</v>
      </c>
      <c r="M17" s="178" t="s">
        <v>102</v>
      </c>
      <c r="N17">
        <v>4.5999999999999996</v>
      </c>
      <c r="O17" s="178" t="s">
        <v>1261</v>
      </c>
      <c r="P17" s="178" t="s">
        <v>279</v>
      </c>
      <c r="Q17" s="178" t="s">
        <v>279</v>
      </c>
      <c r="R17" s="178" t="s">
        <v>279</v>
      </c>
      <c r="S17" s="178" t="s">
        <v>284</v>
      </c>
      <c r="T17">
        <v>4.7</v>
      </c>
      <c r="U17" s="178" t="s">
        <v>129</v>
      </c>
      <c r="V17" s="178" t="s">
        <v>283</v>
      </c>
      <c r="W17" s="178" t="s">
        <v>1264</v>
      </c>
      <c r="X17" s="178" t="s">
        <v>1265</v>
      </c>
      <c r="Y17">
        <v>10</v>
      </c>
      <c r="Z17" s="178" t="s">
        <v>282</v>
      </c>
      <c r="AA17" s="178" t="s">
        <v>708</v>
      </c>
      <c r="AB17" s="178" t="s">
        <v>586</v>
      </c>
      <c r="AC17" s="178" t="s">
        <v>280</v>
      </c>
      <c r="AD17" s="178" t="s">
        <v>1265</v>
      </c>
      <c r="AF17" s="178" t="s">
        <v>795</v>
      </c>
      <c r="AG17" s="178" t="s">
        <v>1698</v>
      </c>
      <c r="AH17">
        <v>10</v>
      </c>
      <c r="AM17" s="178" t="s">
        <v>1267</v>
      </c>
      <c r="AN17" s="178" t="s">
        <v>228</v>
      </c>
      <c r="AO17" s="178" t="s">
        <v>1268</v>
      </c>
      <c r="AP17" s="178" t="s">
        <v>1699</v>
      </c>
      <c r="AQ17" s="178" t="s">
        <v>279</v>
      </c>
      <c r="AR17" s="178" t="s">
        <v>107</v>
      </c>
      <c r="AS17" s="178" t="s">
        <v>199</v>
      </c>
      <c r="AT17" t="s">
        <v>1533</v>
      </c>
      <c r="AU17" s="178" t="s">
        <v>278</v>
      </c>
      <c r="AV17" s="178" t="s">
        <v>286</v>
      </c>
      <c r="AX17" s="178" t="s">
        <v>88</v>
      </c>
      <c r="AY17" s="178" t="s">
        <v>88</v>
      </c>
      <c r="AZ17" s="178" t="s">
        <v>18</v>
      </c>
      <c r="BA17">
        <v>0.64300000000000002</v>
      </c>
      <c r="BB17">
        <v>10000</v>
      </c>
      <c r="BC17" s="178" t="s">
        <v>88</v>
      </c>
      <c r="BD17" s="178" t="s">
        <v>1265</v>
      </c>
      <c r="BE17" s="30"/>
      <c r="BF17" s="178" t="s">
        <v>88</v>
      </c>
      <c r="BG17">
        <v>4.7</v>
      </c>
      <c r="BH17" s="178" t="s">
        <v>1265</v>
      </c>
      <c r="BI17" s="30">
        <v>100</v>
      </c>
      <c r="BJ17" s="30">
        <v>45310</v>
      </c>
      <c r="BK17" s="178" t="s">
        <v>1265</v>
      </c>
      <c r="BL17" s="178" t="s">
        <v>6</v>
      </c>
      <c r="BM17" s="30">
        <v>45310</v>
      </c>
      <c r="BN17" s="178" t="s">
        <v>709</v>
      </c>
      <c r="BO17" s="178" t="s">
        <v>1271</v>
      </c>
      <c r="BP17" s="178" t="s">
        <v>1272</v>
      </c>
      <c r="BQ17" s="178" t="s">
        <v>277</v>
      </c>
      <c r="BR17" s="178" t="s">
        <v>277</v>
      </c>
      <c r="BS17" s="178" t="s">
        <v>6</v>
      </c>
      <c r="BT17" s="178" t="s">
        <v>275</v>
      </c>
      <c r="BU17" s="178" t="s">
        <v>274</v>
      </c>
      <c r="BV17" s="178" t="s">
        <v>88</v>
      </c>
      <c r="BW17" s="30">
        <v>45310</v>
      </c>
      <c r="BX17" s="178" t="s">
        <v>794</v>
      </c>
      <c r="BY17" s="178" t="s">
        <v>191</v>
      </c>
      <c r="BZ17" s="178" t="s">
        <v>79</v>
      </c>
      <c r="CA17" s="178" t="s">
        <v>88</v>
      </c>
      <c r="CB17" s="178" t="s">
        <v>88</v>
      </c>
      <c r="CC17" s="178" t="s">
        <v>204</v>
      </c>
      <c r="CD17">
        <v>1013</v>
      </c>
      <c r="CE17" s="30">
        <v>46406</v>
      </c>
      <c r="CF17" s="178" t="s">
        <v>88</v>
      </c>
      <c r="CG17" s="178" t="s">
        <v>794</v>
      </c>
      <c r="CH17" s="178" t="s">
        <v>88</v>
      </c>
      <c r="CI17" s="178" t="s">
        <v>88</v>
      </c>
      <c r="CJ17" s="178" t="s">
        <v>586</v>
      </c>
      <c r="CK17">
        <v>1698</v>
      </c>
      <c r="CL17">
        <v>1764</v>
      </c>
      <c r="CM17" s="178" t="s">
        <v>464</v>
      </c>
      <c r="CN17" s="178" t="s">
        <v>88</v>
      </c>
      <c r="CO17" s="178" t="s">
        <v>192</v>
      </c>
      <c r="CP17" s="178" t="s">
        <v>88</v>
      </c>
      <c r="CQ17" s="178" t="s">
        <v>88</v>
      </c>
      <c r="CS17" s="178" t="s">
        <v>88</v>
      </c>
      <c r="CT17" s="178" t="s">
        <v>127</v>
      </c>
      <c r="CU17" s="178" t="s">
        <v>1293</v>
      </c>
      <c r="CV17" s="178" t="s">
        <v>6</v>
      </c>
      <c r="CW17" s="178" t="s">
        <v>6</v>
      </c>
      <c r="CX17">
        <v>5</v>
      </c>
      <c r="CY17" s="178" t="s">
        <v>1203</v>
      </c>
      <c r="CZ17" s="30">
        <v>45310</v>
      </c>
      <c r="DA17" s="178" t="s">
        <v>88</v>
      </c>
      <c r="DB17" s="178" t="s">
        <v>157</v>
      </c>
      <c r="DC17" s="178" t="s">
        <v>526</v>
      </c>
      <c r="DD17" s="178" t="s">
        <v>1266</v>
      </c>
      <c r="DE17" s="178" t="s">
        <v>1451</v>
      </c>
      <c r="DF17" s="30"/>
      <c r="DG17" t="s">
        <v>1</v>
      </c>
      <c r="DJ17" s="178" t="s">
        <v>88</v>
      </c>
      <c r="DK17" s="178" t="s">
        <v>88</v>
      </c>
      <c r="DL17">
        <v>4.5999999999999996</v>
      </c>
      <c r="DM17">
        <v>5.024</v>
      </c>
      <c r="DN17" s="178" t="s">
        <v>88</v>
      </c>
      <c r="DO17" s="30">
        <v>45492</v>
      </c>
      <c r="DP17" s="178" t="s">
        <v>1270</v>
      </c>
      <c r="DQ17" s="178" t="s">
        <v>113</v>
      </c>
      <c r="DR17" s="178" t="s">
        <v>276</v>
      </c>
      <c r="DS17" s="178" t="s">
        <v>1269</v>
      </c>
      <c r="DT17">
        <v>4.5999999999999996</v>
      </c>
      <c r="DU17" s="178" t="s">
        <v>88</v>
      </c>
      <c r="DV17" s="178" t="s">
        <v>88</v>
      </c>
      <c r="DW17" s="178" t="s">
        <v>88</v>
      </c>
      <c r="DX17" s="178" t="s">
        <v>88</v>
      </c>
      <c r="DY17" s="178" t="s">
        <v>226</v>
      </c>
      <c r="DZ17" s="178" t="s">
        <v>88</v>
      </c>
      <c r="EA17" s="178" t="s">
        <v>1273</v>
      </c>
      <c r="EB17" s="123">
        <v>45313.905730613427</v>
      </c>
    </row>
    <row r="18" spans="1:132">
      <c r="A18">
        <v>15</v>
      </c>
      <c r="B18" s="178" t="s">
        <v>1455</v>
      </c>
      <c r="C18" s="178" t="s">
        <v>88</v>
      </c>
      <c r="D18" t="s">
        <v>778</v>
      </c>
      <c r="E18" t="s">
        <v>778</v>
      </c>
      <c r="F18" s="178" t="s">
        <v>88</v>
      </c>
      <c r="G18" s="178" t="s">
        <v>88</v>
      </c>
      <c r="H18" s="178" t="s">
        <v>88</v>
      </c>
      <c r="I18" s="178" t="s">
        <v>778</v>
      </c>
      <c r="J18" s="30">
        <v>45303</v>
      </c>
      <c r="K18" s="178" t="s">
        <v>1454</v>
      </c>
      <c r="L18" s="178" t="s">
        <v>1468</v>
      </c>
      <c r="M18" s="178" t="s">
        <v>102</v>
      </c>
      <c r="N18">
        <v>7</v>
      </c>
      <c r="O18" s="178" t="s">
        <v>1453</v>
      </c>
      <c r="P18" s="178" t="s">
        <v>1458</v>
      </c>
      <c r="Q18" s="178" t="s">
        <v>1457</v>
      </c>
      <c r="R18" s="178" t="s">
        <v>1458</v>
      </c>
      <c r="S18" s="178" t="s">
        <v>284</v>
      </c>
      <c r="T18">
        <v>4</v>
      </c>
      <c r="U18" s="178" t="s">
        <v>129</v>
      </c>
      <c r="V18" s="178" t="s">
        <v>287</v>
      </c>
      <c r="W18" s="178" t="s">
        <v>88</v>
      </c>
      <c r="X18" s="178" t="s">
        <v>1459</v>
      </c>
      <c r="Z18" s="178" t="s">
        <v>282</v>
      </c>
      <c r="AA18" s="178" t="s">
        <v>294</v>
      </c>
      <c r="AB18" s="178" t="s">
        <v>88</v>
      </c>
      <c r="AC18" s="178" t="s">
        <v>280</v>
      </c>
      <c r="AD18" s="178" t="s">
        <v>1459</v>
      </c>
      <c r="AF18" s="178" t="s">
        <v>792</v>
      </c>
      <c r="AG18" s="178" t="s">
        <v>88</v>
      </c>
      <c r="AM18" s="178" t="s">
        <v>1460</v>
      </c>
      <c r="AN18" s="178" t="s">
        <v>194</v>
      </c>
      <c r="AO18" s="178" t="s">
        <v>807</v>
      </c>
      <c r="AP18" s="178" t="s">
        <v>472</v>
      </c>
      <c r="AQ18" s="178" t="s">
        <v>1458</v>
      </c>
      <c r="AR18" s="178" t="s">
        <v>37</v>
      </c>
      <c r="AS18" s="178" t="s">
        <v>201</v>
      </c>
      <c r="AT18" t="s">
        <v>1536</v>
      </c>
      <c r="AU18" s="178" t="s">
        <v>278</v>
      </c>
      <c r="AV18" s="178" t="s">
        <v>285</v>
      </c>
      <c r="AX18" s="178" t="s">
        <v>88</v>
      </c>
      <c r="AY18" s="178" t="s">
        <v>88</v>
      </c>
      <c r="AZ18" s="178" t="s">
        <v>123</v>
      </c>
      <c r="BA18">
        <v>0.97899999999999998</v>
      </c>
      <c r="BB18">
        <v>10000</v>
      </c>
      <c r="BC18" s="178" t="s">
        <v>194</v>
      </c>
      <c r="BD18" s="178" t="s">
        <v>1459</v>
      </c>
      <c r="BE18" s="30"/>
      <c r="BF18" s="178" t="s">
        <v>88</v>
      </c>
      <c r="BG18">
        <v>4</v>
      </c>
      <c r="BH18" s="178" t="s">
        <v>88</v>
      </c>
      <c r="BI18" s="30">
        <v>99.995000000000005</v>
      </c>
      <c r="BJ18" s="30">
        <v>45245</v>
      </c>
      <c r="BK18" s="178" t="s">
        <v>1464</v>
      </c>
      <c r="BL18" s="178" t="s">
        <v>6</v>
      </c>
      <c r="BM18" s="30">
        <v>45245</v>
      </c>
      <c r="BN18" s="178" t="s">
        <v>88</v>
      </c>
      <c r="BO18" s="178" t="s">
        <v>1465</v>
      </c>
      <c r="BP18" s="178" t="s">
        <v>1466</v>
      </c>
      <c r="BQ18" s="178" t="s">
        <v>277</v>
      </c>
      <c r="BR18" s="178" t="s">
        <v>277</v>
      </c>
      <c r="BS18" s="178" t="s">
        <v>6</v>
      </c>
      <c r="BT18" s="178" t="s">
        <v>275</v>
      </c>
      <c r="BU18" s="178" t="s">
        <v>274</v>
      </c>
      <c r="BV18" s="178" t="s">
        <v>88</v>
      </c>
      <c r="BW18" s="30">
        <v>45245</v>
      </c>
      <c r="BX18" s="178" t="s">
        <v>319</v>
      </c>
      <c r="BY18" s="178" t="s">
        <v>191</v>
      </c>
      <c r="BZ18" s="178" t="s">
        <v>1469</v>
      </c>
      <c r="CA18" s="178" t="s">
        <v>88</v>
      </c>
      <c r="CB18" s="178" t="s">
        <v>88</v>
      </c>
      <c r="CC18" s="178" t="s">
        <v>193</v>
      </c>
      <c r="CD18">
        <v>97</v>
      </c>
      <c r="CE18" s="30">
        <v>46341</v>
      </c>
      <c r="CF18" s="178" t="s">
        <v>88</v>
      </c>
      <c r="CG18" s="178" t="s">
        <v>1463</v>
      </c>
      <c r="CH18" s="178" t="s">
        <v>319</v>
      </c>
      <c r="CI18" s="178" t="s">
        <v>88</v>
      </c>
      <c r="CJ18" s="178" t="s">
        <v>88</v>
      </c>
      <c r="CK18">
        <v>1588</v>
      </c>
      <c r="CL18">
        <v>1763</v>
      </c>
      <c r="CM18" s="178" t="s">
        <v>88</v>
      </c>
      <c r="CN18" s="178" t="s">
        <v>88</v>
      </c>
      <c r="CO18" s="178" t="s">
        <v>490</v>
      </c>
      <c r="CP18" s="178" t="s">
        <v>88</v>
      </c>
      <c r="CQ18" s="178" t="s">
        <v>88</v>
      </c>
      <c r="CS18" s="178" t="s">
        <v>88</v>
      </c>
      <c r="CT18" s="178" t="s">
        <v>6</v>
      </c>
      <c r="CU18" s="178" t="s">
        <v>1478</v>
      </c>
      <c r="CV18" s="178" t="s">
        <v>6</v>
      </c>
      <c r="CW18" s="178" t="s">
        <v>6</v>
      </c>
      <c r="CX18">
        <v>-41</v>
      </c>
      <c r="CY18" s="178" t="s">
        <v>501</v>
      </c>
      <c r="CZ18" s="30"/>
      <c r="DA18" s="178" t="s">
        <v>88</v>
      </c>
      <c r="DB18" s="178" t="s">
        <v>157</v>
      </c>
      <c r="DC18" s="178" t="s">
        <v>88</v>
      </c>
      <c r="DD18" s="178" t="s">
        <v>806</v>
      </c>
      <c r="DE18" s="178" t="s">
        <v>88</v>
      </c>
      <c r="DF18" s="30"/>
      <c r="DG18" t="s">
        <v>3</v>
      </c>
      <c r="DJ18" s="178" t="s">
        <v>88</v>
      </c>
      <c r="DK18" s="178" t="s">
        <v>88</v>
      </c>
      <c r="DL18">
        <v>7</v>
      </c>
      <c r="DM18">
        <v>7.6449999999999996</v>
      </c>
      <c r="DN18" s="178" t="s">
        <v>88</v>
      </c>
      <c r="DO18" s="30">
        <v>45427</v>
      </c>
      <c r="DP18" s="178" t="s">
        <v>1462</v>
      </c>
      <c r="DQ18" s="178" t="s">
        <v>113</v>
      </c>
      <c r="DR18" s="178" t="s">
        <v>276</v>
      </c>
      <c r="DS18" s="178" t="s">
        <v>1461</v>
      </c>
      <c r="DT18">
        <v>12.1</v>
      </c>
      <c r="DU18" s="178" t="s">
        <v>88</v>
      </c>
      <c r="DV18" s="178" t="s">
        <v>88</v>
      </c>
      <c r="DW18" s="178" t="s">
        <v>88</v>
      </c>
      <c r="DX18" s="178" t="s">
        <v>88</v>
      </c>
      <c r="DY18" s="178" t="s">
        <v>1472</v>
      </c>
      <c r="DZ18" s="178" t="s">
        <v>88</v>
      </c>
      <c r="EA18" s="178" t="s">
        <v>1467</v>
      </c>
      <c r="EB18" s="123">
        <v>45313.905730613427</v>
      </c>
    </row>
    <row r="19" spans="1:132">
      <c r="A19">
        <v>14</v>
      </c>
      <c r="B19" s="178" t="s">
        <v>1249</v>
      </c>
      <c r="C19" s="178" t="s">
        <v>88</v>
      </c>
      <c r="D19" t="s">
        <v>778</v>
      </c>
      <c r="E19" t="s">
        <v>778</v>
      </c>
      <c r="F19" s="178" t="s">
        <v>88</v>
      </c>
      <c r="G19" s="178" t="s">
        <v>88</v>
      </c>
      <c r="H19" s="178" t="s">
        <v>88</v>
      </c>
      <c r="I19" s="178" t="s">
        <v>778</v>
      </c>
      <c r="J19" s="30">
        <v>45303</v>
      </c>
      <c r="K19" s="178" t="s">
        <v>1248</v>
      </c>
      <c r="L19" s="178" t="s">
        <v>79</v>
      </c>
      <c r="M19" s="178" t="s">
        <v>102</v>
      </c>
      <c r="N19">
        <v>12.6</v>
      </c>
      <c r="O19" s="178" t="s">
        <v>1247</v>
      </c>
      <c r="P19" s="178" t="s">
        <v>279</v>
      </c>
      <c r="Q19" s="178" t="s">
        <v>279</v>
      </c>
      <c r="R19" s="178" t="s">
        <v>279</v>
      </c>
      <c r="S19" s="178" t="s">
        <v>284</v>
      </c>
      <c r="T19">
        <v>4.4000000000000004</v>
      </c>
      <c r="U19" s="178" t="s">
        <v>129</v>
      </c>
      <c r="V19" s="178" t="s">
        <v>1250</v>
      </c>
      <c r="W19" s="178" t="s">
        <v>1251</v>
      </c>
      <c r="X19" s="178" t="s">
        <v>796</v>
      </c>
      <c r="Y19">
        <v>0</v>
      </c>
      <c r="Z19" s="178" t="s">
        <v>282</v>
      </c>
      <c r="AA19" s="178" t="s">
        <v>708</v>
      </c>
      <c r="AB19" s="178" t="s">
        <v>562</v>
      </c>
      <c r="AC19" s="178" t="s">
        <v>280</v>
      </c>
      <c r="AD19" s="178" t="s">
        <v>796</v>
      </c>
      <c r="AF19" s="178" t="s">
        <v>797</v>
      </c>
      <c r="AG19" s="178" t="s">
        <v>1700</v>
      </c>
      <c r="AH19">
        <v>0</v>
      </c>
      <c r="AM19" s="178" t="s">
        <v>1253</v>
      </c>
      <c r="AN19" s="178" t="s">
        <v>228</v>
      </c>
      <c r="AO19" s="178" t="s">
        <v>695</v>
      </c>
      <c r="AP19" s="178" t="s">
        <v>1701</v>
      </c>
      <c r="AQ19" s="178" t="s">
        <v>279</v>
      </c>
      <c r="AR19" s="178" t="s">
        <v>107</v>
      </c>
      <c r="AS19" s="178" t="s">
        <v>199</v>
      </c>
      <c r="AT19" t="s">
        <v>1533</v>
      </c>
      <c r="AU19" s="178" t="s">
        <v>278</v>
      </c>
      <c r="AV19" s="178" t="s">
        <v>286</v>
      </c>
      <c r="AX19" s="178" t="s">
        <v>88</v>
      </c>
      <c r="AY19" s="178" t="s">
        <v>88</v>
      </c>
      <c r="AZ19" s="178" t="s">
        <v>13</v>
      </c>
      <c r="BA19">
        <v>1.7609999999999999</v>
      </c>
      <c r="BB19">
        <v>10000</v>
      </c>
      <c r="BC19" s="178" t="s">
        <v>88</v>
      </c>
      <c r="BD19" s="178" t="s">
        <v>796</v>
      </c>
      <c r="BE19" s="30"/>
      <c r="BF19" s="178" t="s">
        <v>88</v>
      </c>
      <c r="BG19">
        <v>4.4000000000000004</v>
      </c>
      <c r="BH19" s="178" t="s">
        <v>796</v>
      </c>
      <c r="BI19" s="30">
        <v>100</v>
      </c>
      <c r="BJ19" s="30">
        <v>45310</v>
      </c>
      <c r="BK19" s="178" t="s">
        <v>796</v>
      </c>
      <c r="BL19" s="178" t="s">
        <v>6</v>
      </c>
      <c r="BM19" s="30">
        <v>45310</v>
      </c>
      <c r="BN19" s="178" t="s">
        <v>709</v>
      </c>
      <c r="BO19" s="178" t="s">
        <v>1257</v>
      </c>
      <c r="BP19" s="178" t="s">
        <v>1258</v>
      </c>
      <c r="BQ19" s="178" t="s">
        <v>277</v>
      </c>
      <c r="BR19" s="178" t="s">
        <v>277</v>
      </c>
      <c r="BS19" s="178" t="s">
        <v>6</v>
      </c>
      <c r="BT19" s="178" t="s">
        <v>275</v>
      </c>
      <c r="BU19" s="178" t="s">
        <v>274</v>
      </c>
      <c r="BV19" s="178" t="s">
        <v>88</v>
      </c>
      <c r="BW19" s="30">
        <v>45310</v>
      </c>
      <c r="BX19" s="178" t="s">
        <v>1246</v>
      </c>
      <c r="BY19" s="178" t="s">
        <v>191</v>
      </c>
      <c r="BZ19" s="178" t="s">
        <v>79</v>
      </c>
      <c r="CA19" s="178" t="s">
        <v>88</v>
      </c>
      <c r="CB19" s="178" t="s">
        <v>88</v>
      </c>
      <c r="CC19" s="178" t="s">
        <v>1209</v>
      </c>
      <c r="CD19">
        <v>85</v>
      </c>
      <c r="CE19" s="30">
        <v>46406</v>
      </c>
      <c r="CF19" s="178" t="s">
        <v>88</v>
      </c>
      <c r="CG19" s="178" t="s">
        <v>1246</v>
      </c>
      <c r="CH19" s="178" t="s">
        <v>88</v>
      </c>
      <c r="CI19" s="178" t="s">
        <v>88</v>
      </c>
      <c r="CJ19" s="178" t="s">
        <v>562</v>
      </c>
      <c r="CK19">
        <v>1697</v>
      </c>
      <c r="CL19">
        <v>1762</v>
      </c>
      <c r="CM19" s="178" t="s">
        <v>88</v>
      </c>
      <c r="CN19" s="178" t="s">
        <v>88</v>
      </c>
      <c r="CO19" s="178" t="s">
        <v>192</v>
      </c>
      <c r="CP19" s="178" t="s">
        <v>88</v>
      </c>
      <c r="CQ19" s="178" t="s">
        <v>88</v>
      </c>
      <c r="CS19" s="178" t="s">
        <v>88</v>
      </c>
      <c r="CT19" s="178" t="s">
        <v>6</v>
      </c>
      <c r="CU19" s="178" t="s">
        <v>1294</v>
      </c>
      <c r="CV19" s="178" t="s">
        <v>6</v>
      </c>
      <c r="CW19" s="178" t="s">
        <v>6</v>
      </c>
      <c r="CX19">
        <v>5</v>
      </c>
      <c r="CY19" s="178" t="s">
        <v>1203</v>
      </c>
      <c r="CZ19" s="30">
        <v>45310</v>
      </c>
      <c r="DA19" s="178" t="s">
        <v>88</v>
      </c>
      <c r="DB19" s="178" t="s">
        <v>157</v>
      </c>
      <c r="DC19" s="178" t="s">
        <v>524</v>
      </c>
      <c r="DD19" s="178" t="s">
        <v>1252</v>
      </c>
      <c r="DE19" s="178" t="s">
        <v>88</v>
      </c>
      <c r="DF19" s="30"/>
      <c r="DG19" t="s">
        <v>2</v>
      </c>
      <c r="DJ19" s="178" t="s">
        <v>88</v>
      </c>
      <c r="DK19" s="178" t="s">
        <v>88</v>
      </c>
      <c r="DL19">
        <v>12.6</v>
      </c>
      <c r="DM19">
        <v>13.76</v>
      </c>
      <c r="DN19" s="178" t="s">
        <v>88</v>
      </c>
      <c r="DO19" s="30">
        <v>45492</v>
      </c>
      <c r="DP19" s="178" t="s">
        <v>1256</v>
      </c>
      <c r="DQ19" s="178" t="s">
        <v>113</v>
      </c>
      <c r="DR19" s="178" t="s">
        <v>276</v>
      </c>
      <c r="DS19" s="178" t="s">
        <v>1255</v>
      </c>
      <c r="DT19">
        <v>12.6</v>
      </c>
      <c r="DU19" s="178" t="s">
        <v>88</v>
      </c>
      <c r="DV19" s="178" t="s">
        <v>88</v>
      </c>
      <c r="DW19" s="178" t="s">
        <v>88</v>
      </c>
      <c r="DX19" s="178" t="s">
        <v>88</v>
      </c>
      <c r="DY19" s="178" t="s">
        <v>707</v>
      </c>
      <c r="DZ19" s="178" t="s">
        <v>88</v>
      </c>
      <c r="EA19" s="178" t="s">
        <v>1259</v>
      </c>
      <c r="EB19" s="123">
        <v>45313.905730613427</v>
      </c>
    </row>
    <row r="20" spans="1:132">
      <c r="A20">
        <v>13</v>
      </c>
      <c r="B20" s="178" t="s">
        <v>1277</v>
      </c>
      <c r="C20" s="178" t="s">
        <v>88</v>
      </c>
      <c r="D20" t="s">
        <v>778</v>
      </c>
      <c r="E20" t="s">
        <v>778</v>
      </c>
      <c r="F20" s="178" t="s">
        <v>88</v>
      </c>
      <c r="G20" s="178" t="s">
        <v>88</v>
      </c>
      <c r="H20" s="178" t="s">
        <v>88</v>
      </c>
      <c r="I20" s="178" t="s">
        <v>778</v>
      </c>
      <c r="J20" s="30">
        <v>45303</v>
      </c>
      <c r="K20" s="178" t="s">
        <v>1276</v>
      </c>
      <c r="L20" s="178" t="s">
        <v>79</v>
      </c>
      <c r="M20" s="178" t="s">
        <v>102</v>
      </c>
      <c r="N20">
        <v>6.7</v>
      </c>
      <c r="O20" s="178" t="s">
        <v>1275</v>
      </c>
      <c r="P20" s="178" t="s">
        <v>279</v>
      </c>
      <c r="Q20" s="178" t="s">
        <v>279</v>
      </c>
      <c r="R20" s="178" t="s">
        <v>279</v>
      </c>
      <c r="S20" s="178" t="s">
        <v>799</v>
      </c>
      <c r="T20">
        <v>7.6</v>
      </c>
      <c r="U20" s="178" t="s">
        <v>801</v>
      </c>
      <c r="V20" s="178" t="s">
        <v>287</v>
      </c>
      <c r="W20" s="178" t="s">
        <v>88</v>
      </c>
      <c r="X20" s="178" t="s">
        <v>1279</v>
      </c>
      <c r="Z20" s="178" t="s">
        <v>282</v>
      </c>
      <c r="AA20" s="178" t="s">
        <v>281</v>
      </c>
      <c r="AB20" s="178" t="s">
        <v>88</v>
      </c>
      <c r="AC20" s="178" t="s">
        <v>280</v>
      </c>
      <c r="AD20" s="178" t="s">
        <v>1279</v>
      </c>
      <c r="AF20" s="178" t="s">
        <v>795</v>
      </c>
      <c r="AG20" s="178" t="s">
        <v>88</v>
      </c>
      <c r="AM20" s="178" t="s">
        <v>1280</v>
      </c>
      <c r="AN20" s="178" t="s">
        <v>228</v>
      </c>
      <c r="AO20" s="178" t="s">
        <v>295</v>
      </c>
      <c r="AP20" s="178" t="s">
        <v>472</v>
      </c>
      <c r="AQ20" s="178" t="s">
        <v>279</v>
      </c>
      <c r="AR20" s="178" t="s">
        <v>35</v>
      </c>
      <c r="AS20" s="178" t="s">
        <v>199</v>
      </c>
      <c r="AT20" t="s">
        <v>1535</v>
      </c>
      <c r="AU20" s="178" t="s">
        <v>278</v>
      </c>
      <c r="AV20" s="178" t="s">
        <v>286</v>
      </c>
      <c r="AX20" s="178" t="s">
        <v>88</v>
      </c>
      <c r="AY20" s="178" t="s">
        <v>88</v>
      </c>
      <c r="AZ20" s="178" t="s">
        <v>18</v>
      </c>
      <c r="BA20">
        <v>0.93700000000000006</v>
      </c>
      <c r="BB20">
        <v>10000</v>
      </c>
      <c r="BC20" s="178" t="s">
        <v>88</v>
      </c>
      <c r="BD20" s="178" t="s">
        <v>1279</v>
      </c>
      <c r="BE20" s="30"/>
      <c r="BF20" s="178" t="s">
        <v>88</v>
      </c>
      <c r="BG20">
        <v>7.6</v>
      </c>
      <c r="BH20" s="178" t="s">
        <v>88</v>
      </c>
      <c r="BI20" s="30">
        <v>100</v>
      </c>
      <c r="BJ20" s="30">
        <v>45309</v>
      </c>
      <c r="BK20" s="178" t="s">
        <v>88</v>
      </c>
      <c r="BL20" s="178" t="s">
        <v>6</v>
      </c>
      <c r="BM20" s="30">
        <v>45309</v>
      </c>
      <c r="BN20" s="178" t="s">
        <v>692</v>
      </c>
      <c r="BO20" s="178" t="s">
        <v>1283</v>
      </c>
      <c r="BP20" s="178" t="s">
        <v>1284</v>
      </c>
      <c r="BQ20" s="178" t="s">
        <v>277</v>
      </c>
      <c r="BR20" s="178" t="s">
        <v>277</v>
      </c>
      <c r="BS20" s="178" t="s">
        <v>6</v>
      </c>
      <c r="BT20" s="178" t="s">
        <v>275</v>
      </c>
      <c r="BU20" s="178" t="s">
        <v>274</v>
      </c>
      <c r="BV20" s="178" t="s">
        <v>88</v>
      </c>
      <c r="BW20" s="30">
        <v>45309</v>
      </c>
      <c r="BX20" s="178" t="s">
        <v>1274</v>
      </c>
      <c r="BY20" s="178" t="s">
        <v>191</v>
      </c>
      <c r="BZ20" s="178" t="s">
        <v>79</v>
      </c>
      <c r="CA20" s="178" t="s">
        <v>88</v>
      </c>
      <c r="CB20" s="178" t="s">
        <v>88</v>
      </c>
      <c r="CC20" s="178" t="s">
        <v>193</v>
      </c>
      <c r="CD20">
        <v>989</v>
      </c>
      <c r="CE20" s="30">
        <v>46040</v>
      </c>
      <c r="CF20" s="178" t="s">
        <v>88</v>
      </c>
      <c r="CG20" s="178" t="s">
        <v>1274</v>
      </c>
      <c r="CH20" s="178" t="s">
        <v>88</v>
      </c>
      <c r="CI20" s="178" t="s">
        <v>88</v>
      </c>
      <c r="CJ20" s="178" t="s">
        <v>88</v>
      </c>
      <c r="CK20">
        <v>1696</v>
      </c>
      <c r="CL20">
        <v>1761</v>
      </c>
      <c r="CM20" s="178" t="s">
        <v>88</v>
      </c>
      <c r="CN20" s="178" t="s">
        <v>88</v>
      </c>
      <c r="CO20" s="178" t="s">
        <v>192</v>
      </c>
      <c r="CP20" s="178" t="s">
        <v>88</v>
      </c>
      <c r="CQ20" s="178" t="s">
        <v>88</v>
      </c>
      <c r="CS20" s="178" t="s">
        <v>88</v>
      </c>
      <c r="CT20" s="178" t="s">
        <v>6</v>
      </c>
      <c r="CU20" s="178" t="s">
        <v>1295</v>
      </c>
      <c r="CV20" s="178" t="s">
        <v>531</v>
      </c>
      <c r="CW20" s="178" t="s">
        <v>6</v>
      </c>
      <c r="CX20">
        <v>4</v>
      </c>
      <c r="CY20" s="178" t="s">
        <v>1204</v>
      </c>
      <c r="CZ20" s="30">
        <v>45309</v>
      </c>
      <c r="DA20" s="178" t="s">
        <v>88</v>
      </c>
      <c r="DB20" s="178" t="s">
        <v>157</v>
      </c>
      <c r="DC20" s="178" t="s">
        <v>526</v>
      </c>
      <c r="DD20" s="178" t="s">
        <v>1266</v>
      </c>
      <c r="DE20" s="178" t="s">
        <v>1452</v>
      </c>
      <c r="DF20" s="30"/>
      <c r="DG20" t="s">
        <v>1</v>
      </c>
      <c r="DJ20" s="178" t="s">
        <v>88</v>
      </c>
      <c r="DK20" s="178" t="s">
        <v>88</v>
      </c>
      <c r="DL20">
        <v>6.7</v>
      </c>
      <c r="DM20">
        <v>7.3170000000000002</v>
      </c>
      <c r="DN20" s="178" t="s">
        <v>88</v>
      </c>
      <c r="DO20" s="30">
        <v>45491</v>
      </c>
      <c r="DP20" s="178" t="s">
        <v>1282</v>
      </c>
      <c r="DQ20" s="178" t="s">
        <v>113</v>
      </c>
      <c r="DR20" s="178" t="s">
        <v>276</v>
      </c>
      <c r="DS20" s="178" t="s">
        <v>1281</v>
      </c>
      <c r="DT20">
        <v>6.7</v>
      </c>
      <c r="DU20" s="178" t="s">
        <v>88</v>
      </c>
      <c r="DV20" s="178" t="s">
        <v>88</v>
      </c>
      <c r="DW20" s="178" t="s">
        <v>88</v>
      </c>
      <c r="DX20" s="178" t="s">
        <v>88</v>
      </c>
      <c r="DY20" s="178" t="s">
        <v>783</v>
      </c>
      <c r="DZ20" s="178" t="s">
        <v>88</v>
      </c>
      <c r="EA20" s="178" t="s">
        <v>1285</v>
      </c>
      <c r="EB20" s="123">
        <v>45313.905730613427</v>
      </c>
    </row>
    <row r="21" spans="1:132">
      <c r="A21">
        <v>12</v>
      </c>
      <c r="B21" s="178" t="s">
        <v>1232</v>
      </c>
      <c r="C21" s="178" t="s">
        <v>465</v>
      </c>
      <c r="D21" t="s">
        <v>159</v>
      </c>
      <c r="E21" t="s">
        <v>159</v>
      </c>
      <c r="F21" s="178" t="s">
        <v>88</v>
      </c>
      <c r="G21" s="178" t="s">
        <v>88</v>
      </c>
      <c r="H21" s="178" t="s">
        <v>88</v>
      </c>
      <c r="I21" s="178" t="s">
        <v>778</v>
      </c>
      <c r="J21" s="30">
        <v>45303</v>
      </c>
      <c r="K21" s="178" t="s">
        <v>1231</v>
      </c>
      <c r="L21" s="178" t="s">
        <v>1208</v>
      </c>
      <c r="M21" s="178" t="s">
        <v>81</v>
      </c>
      <c r="N21">
        <v>0.15</v>
      </c>
      <c r="O21" s="178" t="s">
        <v>1230</v>
      </c>
      <c r="P21" s="178" t="s">
        <v>703</v>
      </c>
      <c r="Q21" s="178" t="s">
        <v>700</v>
      </c>
      <c r="R21" s="178" t="s">
        <v>279</v>
      </c>
      <c r="S21" s="178" t="s">
        <v>489</v>
      </c>
      <c r="T21">
        <v>6.05</v>
      </c>
      <c r="U21" s="178" t="s">
        <v>1145</v>
      </c>
      <c r="V21" s="178" t="s">
        <v>105</v>
      </c>
      <c r="W21" s="178" t="s">
        <v>88</v>
      </c>
      <c r="X21" s="178" t="s">
        <v>88</v>
      </c>
      <c r="Z21" s="178" t="s">
        <v>88</v>
      </c>
      <c r="AA21" s="178" t="s">
        <v>294</v>
      </c>
      <c r="AB21" s="178" t="s">
        <v>88</v>
      </c>
      <c r="AC21" s="178" t="s">
        <v>280</v>
      </c>
      <c r="AD21" s="178" t="s">
        <v>1702</v>
      </c>
      <c r="AF21" s="178" t="s">
        <v>698</v>
      </c>
      <c r="AG21" s="178" t="s">
        <v>88</v>
      </c>
      <c r="AM21" s="178" t="s">
        <v>88</v>
      </c>
      <c r="AN21" s="178" t="s">
        <v>228</v>
      </c>
      <c r="AO21" s="178" t="s">
        <v>295</v>
      </c>
      <c r="AP21" s="178" t="s">
        <v>472</v>
      </c>
      <c r="AQ21" s="178" t="s">
        <v>279</v>
      </c>
      <c r="AR21" s="178" t="s">
        <v>37</v>
      </c>
      <c r="AS21" s="178" t="s">
        <v>198</v>
      </c>
      <c r="AT21" t="s">
        <v>1534</v>
      </c>
      <c r="AU21" s="178" t="s">
        <v>704</v>
      </c>
      <c r="AV21" s="178" t="s">
        <v>285</v>
      </c>
      <c r="AX21" s="178" t="s">
        <v>88</v>
      </c>
      <c r="AY21" s="178" t="s">
        <v>88</v>
      </c>
      <c r="AZ21" s="178" t="s">
        <v>17</v>
      </c>
      <c r="BA21">
        <v>0.15</v>
      </c>
      <c r="BB21">
        <v>1000</v>
      </c>
      <c r="BC21" s="178" t="s">
        <v>88</v>
      </c>
      <c r="BD21" s="178" t="s">
        <v>88</v>
      </c>
      <c r="BE21" s="30"/>
      <c r="BF21" s="178" t="s">
        <v>88</v>
      </c>
      <c r="BG21">
        <v>6.05</v>
      </c>
      <c r="BH21" s="178" t="s">
        <v>88</v>
      </c>
      <c r="BI21" s="30">
        <v>100</v>
      </c>
      <c r="BJ21" s="30">
        <v>45309</v>
      </c>
      <c r="BK21" s="178" t="s">
        <v>88</v>
      </c>
      <c r="BL21" s="178" t="s">
        <v>6</v>
      </c>
      <c r="BM21" s="30">
        <v>45309</v>
      </c>
      <c r="BN21" s="178" t="s">
        <v>88</v>
      </c>
      <c r="BO21" s="178" t="s">
        <v>88</v>
      </c>
      <c r="BP21" s="178" t="s">
        <v>88</v>
      </c>
      <c r="BQ21" s="178" t="s">
        <v>277</v>
      </c>
      <c r="BR21" s="178" t="s">
        <v>277</v>
      </c>
      <c r="BS21" s="178" t="s">
        <v>6</v>
      </c>
      <c r="BT21" s="178" t="s">
        <v>275</v>
      </c>
      <c r="BU21" s="178" t="s">
        <v>274</v>
      </c>
      <c r="BV21" s="178" t="s">
        <v>88</v>
      </c>
      <c r="BW21" s="30">
        <v>45309</v>
      </c>
      <c r="BX21" s="178" t="s">
        <v>701</v>
      </c>
      <c r="BY21" s="178" t="s">
        <v>191</v>
      </c>
      <c r="BZ21" s="178" t="s">
        <v>773</v>
      </c>
      <c r="CA21" s="178" t="s">
        <v>88</v>
      </c>
      <c r="CB21" s="178" t="s">
        <v>88</v>
      </c>
      <c r="CC21" s="178" t="s">
        <v>105</v>
      </c>
      <c r="CD21">
        <v>733</v>
      </c>
      <c r="CE21" s="30">
        <v>45673</v>
      </c>
      <c r="CF21" s="178" t="s">
        <v>88</v>
      </c>
      <c r="CG21" s="178" t="s">
        <v>706</v>
      </c>
      <c r="CH21" s="178" t="s">
        <v>701</v>
      </c>
      <c r="CI21" s="178" t="s">
        <v>88</v>
      </c>
      <c r="CJ21" s="178" t="s">
        <v>88</v>
      </c>
      <c r="CM21" s="178" t="s">
        <v>88</v>
      </c>
      <c r="CN21" s="178" t="s">
        <v>88</v>
      </c>
      <c r="CO21" s="178" t="s">
        <v>772</v>
      </c>
      <c r="CP21" s="178" t="s">
        <v>88</v>
      </c>
      <c r="CQ21" s="178" t="s">
        <v>88</v>
      </c>
      <c r="CS21" s="178" t="s">
        <v>1689</v>
      </c>
      <c r="CT21" s="178" t="s">
        <v>6</v>
      </c>
      <c r="CU21" s="178" t="s">
        <v>735</v>
      </c>
      <c r="CV21" s="178" t="s">
        <v>505</v>
      </c>
      <c r="CW21" s="178" t="s">
        <v>518</v>
      </c>
      <c r="CX21">
        <v>4</v>
      </c>
      <c r="CY21" s="178" t="s">
        <v>1204</v>
      </c>
      <c r="CZ21" s="30">
        <v>45309</v>
      </c>
      <c r="DA21" s="178" t="s">
        <v>88</v>
      </c>
      <c r="DB21" s="178" t="s">
        <v>157</v>
      </c>
      <c r="DC21" s="178" t="s">
        <v>88</v>
      </c>
      <c r="DD21" s="178" t="s">
        <v>699</v>
      </c>
      <c r="DE21" s="178" t="s">
        <v>88</v>
      </c>
      <c r="DF21" s="30"/>
      <c r="DG21" t="s">
        <v>80</v>
      </c>
      <c r="DJ21" s="178" t="s">
        <v>88</v>
      </c>
      <c r="DK21" s="178" t="s">
        <v>88</v>
      </c>
      <c r="DL21">
        <v>1.073</v>
      </c>
      <c r="DM21">
        <v>1.1719999999999999</v>
      </c>
      <c r="DN21" s="178" t="s">
        <v>88</v>
      </c>
      <c r="DO21" s="30">
        <v>45673</v>
      </c>
      <c r="DP21" s="178" t="s">
        <v>705</v>
      </c>
      <c r="DQ21" s="178" t="s">
        <v>711</v>
      </c>
      <c r="DR21" s="178" t="s">
        <v>276</v>
      </c>
      <c r="DS21" s="178" t="s">
        <v>88</v>
      </c>
      <c r="DT21">
        <v>0.15</v>
      </c>
      <c r="DU21" s="178" t="s">
        <v>88</v>
      </c>
      <c r="DV21" s="178" t="s">
        <v>88</v>
      </c>
      <c r="DW21" s="178" t="s">
        <v>88</v>
      </c>
      <c r="DX21" s="178" t="s">
        <v>88</v>
      </c>
      <c r="DY21" s="178" t="s">
        <v>702</v>
      </c>
      <c r="DZ21" s="178" t="s">
        <v>88</v>
      </c>
      <c r="EA21" s="178" t="s">
        <v>1234</v>
      </c>
      <c r="EB21" s="123">
        <v>45313.905730613427</v>
      </c>
    </row>
    <row r="22" spans="1:132">
      <c r="A22">
        <v>11</v>
      </c>
      <c r="B22" s="178" t="s">
        <v>1606</v>
      </c>
      <c r="C22" s="178" t="s">
        <v>88</v>
      </c>
      <c r="D22" t="s">
        <v>778</v>
      </c>
      <c r="E22" t="s">
        <v>778</v>
      </c>
      <c r="F22" s="178" t="s">
        <v>88</v>
      </c>
      <c r="G22" s="178" t="s">
        <v>88</v>
      </c>
      <c r="H22" s="178" t="s">
        <v>88</v>
      </c>
      <c r="I22" s="178" t="s">
        <v>778</v>
      </c>
      <c r="J22" s="30">
        <v>45289</v>
      </c>
      <c r="K22" s="178" t="s">
        <v>1605</v>
      </c>
      <c r="L22" s="178" t="s">
        <v>79</v>
      </c>
      <c r="M22" s="178" t="s">
        <v>102</v>
      </c>
      <c r="N22">
        <v>3.43</v>
      </c>
      <c r="O22" s="178" t="s">
        <v>1604</v>
      </c>
      <c r="P22" s="178" t="s">
        <v>279</v>
      </c>
      <c r="Q22" s="178" t="s">
        <v>279</v>
      </c>
      <c r="R22" s="178" t="s">
        <v>279</v>
      </c>
      <c r="S22" s="178" t="s">
        <v>1607</v>
      </c>
      <c r="T22">
        <v>7.8</v>
      </c>
      <c r="U22" s="178" t="s">
        <v>1688</v>
      </c>
      <c r="V22" s="178" t="s">
        <v>287</v>
      </c>
      <c r="W22" s="178" t="s">
        <v>88</v>
      </c>
      <c r="X22" s="178" t="s">
        <v>88</v>
      </c>
      <c r="Z22" s="178" t="s">
        <v>282</v>
      </c>
      <c r="AA22" s="178" t="s">
        <v>294</v>
      </c>
      <c r="AB22" s="178" t="s">
        <v>88</v>
      </c>
      <c r="AC22" s="178" t="s">
        <v>280</v>
      </c>
      <c r="AD22" s="178" t="s">
        <v>1507</v>
      </c>
      <c r="AF22" s="178" t="s">
        <v>500</v>
      </c>
      <c r="AG22" s="178" t="s">
        <v>88</v>
      </c>
      <c r="AM22" s="178" t="s">
        <v>1610</v>
      </c>
      <c r="AN22" s="178" t="s">
        <v>228</v>
      </c>
      <c r="AO22" s="178" t="s">
        <v>695</v>
      </c>
      <c r="AP22" s="178" t="s">
        <v>472</v>
      </c>
      <c r="AQ22" s="178" t="s">
        <v>279</v>
      </c>
      <c r="AR22" s="178" t="s">
        <v>37</v>
      </c>
      <c r="AS22" s="178" t="s">
        <v>199</v>
      </c>
      <c r="AT22" t="s">
        <v>1611</v>
      </c>
      <c r="AU22" s="178" t="s">
        <v>278</v>
      </c>
      <c r="AV22" s="178" t="s">
        <v>286</v>
      </c>
      <c r="AX22" s="178" t="s">
        <v>88</v>
      </c>
      <c r="AY22" s="178" t="s">
        <v>88</v>
      </c>
      <c r="AZ22" s="178" t="s">
        <v>9</v>
      </c>
      <c r="BA22">
        <v>0.47</v>
      </c>
      <c r="BB22">
        <v>10000</v>
      </c>
      <c r="BC22" s="178" t="s">
        <v>88</v>
      </c>
      <c r="BD22" s="178" t="s">
        <v>88</v>
      </c>
      <c r="BE22" s="30"/>
      <c r="BF22" s="178" t="s">
        <v>88</v>
      </c>
      <c r="BG22">
        <v>7.8</v>
      </c>
      <c r="BH22" s="178" t="s">
        <v>88</v>
      </c>
      <c r="BI22" s="30">
        <v>100</v>
      </c>
      <c r="BJ22" s="30">
        <v>45296</v>
      </c>
      <c r="BK22" s="178" t="s">
        <v>88</v>
      </c>
      <c r="BL22" s="178" t="s">
        <v>6</v>
      </c>
      <c r="BM22" s="30">
        <v>45296</v>
      </c>
      <c r="BN22" s="178" t="s">
        <v>88</v>
      </c>
      <c r="BO22" s="178" t="s">
        <v>88</v>
      </c>
      <c r="BP22" s="178" t="s">
        <v>1614</v>
      </c>
      <c r="BQ22" s="178" t="s">
        <v>277</v>
      </c>
      <c r="BR22" s="178" t="s">
        <v>277</v>
      </c>
      <c r="BS22" s="178" t="s">
        <v>6</v>
      </c>
      <c r="BT22" s="178" t="s">
        <v>275</v>
      </c>
      <c r="BU22" s="178" t="s">
        <v>274</v>
      </c>
      <c r="BV22" s="178" t="s">
        <v>88</v>
      </c>
      <c r="BW22" s="30">
        <v>45296</v>
      </c>
      <c r="BX22" s="178" t="s">
        <v>1603</v>
      </c>
      <c r="BY22" s="178" t="s">
        <v>191</v>
      </c>
      <c r="BZ22" s="178" t="s">
        <v>79</v>
      </c>
      <c r="CA22" s="178" t="s">
        <v>494</v>
      </c>
      <c r="CB22" s="178" t="s">
        <v>88</v>
      </c>
      <c r="CC22" s="178" t="s">
        <v>193</v>
      </c>
      <c r="CD22">
        <v>1005</v>
      </c>
      <c r="CE22" s="30">
        <v>46292</v>
      </c>
      <c r="CF22" s="178" t="s">
        <v>88</v>
      </c>
      <c r="CG22" s="178" t="s">
        <v>1613</v>
      </c>
      <c r="CH22" s="178" t="s">
        <v>1603</v>
      </c>
      <c r="CI22" s="178" t="s">
        <v>88</v>
      </c>
      <c r="CJ22" s="178" t="s">
        <v>88</v>
      </c>
      <c r="CK22">
        <v>1681</v>
      </c>
      <c r="CL22">
        <v>1746</v>
      </c>
      <c r="CM22" s="178" t="s">
        <v>88</v>
      </c>
      <c r="CN22" s="178" t="s">
        <v>88</v>
      </c>
      <c r="CO22" s="178" t="s">
        <v>1705</v>
      </c>
      <c r="CP22" s="178" t="s">
        <v>88</v>
      </c>
      <c r="CQ22" s="178" t="s">
        <v>88</v>
      </c>
      <c r="CS22" s="178" t="s">
        <v>88</v>
      </c>
      <c r="CT22" s="178" t="s">
        <v>6</v>
      </c>
      <c r="CU22" s="178" t="s">
        <v>1678</v>
      </c>
      <c r="CV22" s="178" t="s">
        <v>6</v>
      </c>
      <c r="CW22" s="178" t="s">
        <v>6</v>
      </c>
      <c r="CX22">
        <v>4</v>
      </c>
      <c r="CY22" s="178" t="s">
        <v>1204</v>
      </c>
      <c r="CZ22" s="30">
        <v>45296</v>
      </c>
      <c r="DA22" s="178" t="s">
        <v>88</v>
      </c>
      <c r="DB22" s="178" t="s">
        <v>157</v>
      </c>
      <c r="DC22" s="178" t="s">
        <v>501</v>
      </c>
      <c r="DD22" s="178" t="s">
        <v>1608</v>
      </c>
      <c r="DE22" s="178" t="s">
        <v>1609</v>
      </c>
      <c r="DF22" s="30"/>
      <c r="DG22" t="s">
        <v>1</v>
      </c>
      <c r="DJ22" s="178" t="s">
        <v>88</v>
      </c>
      <c r="DK22" s="178" t="s">
        <v>88</v>
      </c>
      <c r="DL22">
        <v>3.43</v>
      </c>
      <c r="DM22">
        <v>3.681</v>
      </c>
      <c r="DN22" s="178" t="s">
        <v>88</v>
      </c>
      <c r="DO22" s="30">
        <v>45378</v>
      </c>
      <c r="DP22" s="178" t="s">
        <v>1612</v>
      </c>
      <c r="DQ22" s="178" t="s">
        <v>113</v>
      </c>
      <c r="DR22" s="178" t="s">
        <v>276</v>
      </c>
      <c r="DS22" s="178" t="s">
        <v>88</v>
      </c>
      <c r="DT22">
        <v>3.43</v>
      </c>
      <c r="DU22" s="178" t="s">
        <v>88</v>
      </c>
      <c r="DV22" s="178" t="s">
        <v>88</v>
      </c>
      <c r="DW22" s="178" t="s">
        <v>88</v>
      </c>
      <c r="DX22" s="178" t="s">
        <v>88</v>
      </c>
      <c r="DY22" s="178" t="s">
        <v>1472</v>
      </c>
      <c r="DZ22" s="178" t="s">
        <v>88</v>
      </c>
      <c r="EA22" s="178" t="s">
        <v>1615</v>
      </c>
      <c r="EB22" s="123">
        <v>45313.905730613427</v>
      </c>
    </row>
    <row r="23" spans="1:132">
      <c r="A23">
        <v>10</v>
      </c>
      <c r="B23" s="178" t="s">
        <v>1634</v>
      </c>
      <c r="C23" s="178" t="s">
        <v>88</v>
      </c>
      <c r="D23" t="s">
        <v>778</v>
      </c>
      <c r="E23" t="s">
        <v>778</v>
      </c>
      <c r="F23" s="178" t="s">
        <v>88</v>
      </c>
      <c r="G23" s="178" t="s">
        <v>88</v>
      </c>
      <c r="H23" s="178" t="s">
        <v>88</v>
      </c>
      <c r="I23" s="178" t="s">
        <v>778</v>
      </c>
      <c r="J23" s="30">
        <v>45289</v>
      </c>
      <c r="K23" s="178" t="s">
        <v>1633</v>
      </c>
      <c r="L23" s="178" t="s">
        <v>79</v>
      </c>
      <c r="M23" s="178" t="s">
        <v>102</v>
      </c>
      <c r="N23">
        <v>0.12</v>
      </c>
      <c r="O23" s="178" t="s">
        <v>1632</v>
      </c>
      <c r="P23" s="178" t="s">
        <v>279</v>
      </c>
      <c r="Q23" s="178" t="s">
        <v>279</v>
      </c>
      <c r="R23" s="178" t="s">
        <v>279</v>
      </c>
      <c r="S23" s="178" t="s">
        <v>489</v>
      </c>
      <c r="T23">
        <v>7.8</v>
      </c>
      <c r="U23" s="178" t="s">
        <v>1145</v>
      </c>
      <c r="V23" s="178" t="s">
        <v>287</v>
      </c>
      <c r="W23" s="178" t="s">
        <v>88</v>
      </c>
      <c r="X23" s="178" t="s">
        <v>88</v>
      </c>
      <c r="Z23" s="178" t="s">
        <v>282</v>
      </c>
      <c r="AA23" s="178" t="s">
        <v>294</v>
      </c>
      <c r="AB23" s="178" t="s">
        <v>88</v>
      </c>
      <c r="AC23" s="178" t="s">
        <v>280</v>
      </c>
      <c r="AD23" s="178" t="s">
        <v>1507</v>
      </c>
      <c r="AF23" s="178" t="s">
        <v>500</v>
      </c>
      <c r="AG23" s="178" t="s">
        <v>88</v>
      </c>
      <c r="AM23" s="178" t="s">
        <v>88</v>
      </c>
      <c r="AN23" s="178" t="s">
        <v>228</v>
      </c>
      <c r="AO23" s="178" t="s">
        <v>695</v>
      </c>
      <c r="AP23" s="178" t="s">
        <v>472</v>
      </c>
      <c r="AQ23" s="178" t="s">
        <v>279</v>
      </c>
      <c r="AR23" s="178" t="s">
        <v>37</v>
      </c>
      <c r="AS23" s="178" t="s">
        <v>199</v>
      </c>
      <c r="AT23" t="s">
        <v>1635</v>
      </c>
      <c r="AU23" s="178" t="s">
        <v>278</v>
      </c>
      <c r="AV23" s="178" t="s">
        <v>286</v>
      </c>
      <c r="AX23" s="178" t="s">
        <v>88</v>
      </c>
      <c r="AY23" s="178" t="s">
        <v>88</v>
      </c>
      <c r="AZ23" s="178" t="s">
        <v>9</v>
      </c>
      <c r="BA23">
        <v>1.6E-2</v>
      </c>
      <c r="BB23">
        <v>10000</v>
      </c>
      <c r="BC23" s="178" t="s">
        <v>88</v>
      </c>
      <c r="BD23" s="178" t="s">
        <v>88</v>
      </c>
      <c r="BE23" s="30"/>
      <c r="BF23" s="178" t="s">
        <v>88</v>
      </c>
      <c r="BG23">
        <v>7.8</v>
      </c>
      <c r="BH23" s="178" t="s">
        <v>88</v>
      </c>
      <c r="BI23" s="30"/>
      <c r="BJ23" s="30">
        <v>45295</v>
      </c>
      <c r="BK23" s="178" t="s">
        <v>88</v>
      </c>
      <c r="BL23" s="178" t="s">
        <v>6</v>
      </c>
      <c r="BM23" s="30">
        <v>45295</v>
      </c>
      <c r="BN23" s="178" t="s">
        <v>88</v>
      </c>
      <c r="BO23" s="178" t="s">
        <v>1636</v>
      </c>
      <c r="BP23" s="178" t="s">
        <v>1636</v>
      </c>
      <c r="BQ23" s="178" t="s">
        <v>277</v>
      </c>
      <c r="BR23" s="178" t="s">
        <v>277</v>
      </c>
      <c r="BS23" s="178" t="s">
        <v>6</v>
      </c>
      <c r="BT23" s="178" t="s">
        <v>275</v>
      </c>
      <c r="BU23" s="178" t="s">
        <v>274</v>
      </c>
      <c r="BV23" s="178" t="s">
        <v>88</v>
      </c>
      <c r="BW23" s="30">
        <v>45295</v>
      </c>
      <c r="BX23" s="178" t="s">
        <v>1603</v>
      </c>
      <c r="BY23" s="178" t="s">
        <v>191</v>
      </c>
      <c r="BZ23" s="178" t="s">
        <v>79</v>
      </c>
      <c r="CA23" s="178" t="s">
        <v>494</v>
      </c>
      <c r="CB23" s="178" t="s">
        <v>88</v>
      </c>
      <c r="CC23" s="178" t="s">
        <v>193</v>
      </c>
      <c r="CD23">
        <v>1005</v>
      </c>
      <c r="CE23" s="30">
        <v>45659</v>
      </c>
      <c r="CF23" s="178" t="s">
        <v>88</v>
      </c>
      <c r="CG23" s="178" t="s">
        <v>1613</v>
      </c>
      <c r="CH23" s="178" t="s">
        <v>1603</v>
      </c>
      <c r="CI23" s="178" t="s">
        <v>88</v>
      </c>
      <c r="CJ23" s="178" t="s">
        <v>88</v>
      </c>
      <c r="CK23">
        <v>1680</v>
      </c>
      <c r="CL23">
        <v>1745</v>
      </c>
      <c r="CM23" s="178" t="s">
        <v>88</v>
      </c>
      <c r="CN23" s="178" t="s">
        <v>88</v>
      </c>
      <c r="CO23" s="178" t="s">
        <v>1705</v>
      </c>
      <c r="CP23" s="178" t="s">
        <v>88</v>
      </c>
      <c r="CQ23" s="178" t="s">
        <v>88</v>
      </c>
      <c r="CS23" s="178" t="s">
        <v>1689</v>
      </c>
      <c r="CT23" s="178" t="s">
        <v>6</v>
      </c>
      <c r="CU23" s="178" t="s">
        <v>1678</v>
      </c>
      <c r="CV23" s="178" t="s">
        <v>6</v>
      </c>
      <c r="CW23" s="178" t="s">
        <v>6</v>
      </c>
      <c r="CX23">
        <v>3</v>
      </c>
      <c r="CY23" s="178" t="s">
        <v>1205</v>
      </c>
      <c r="CZ23" s="30">
        <v>45295</v>
      </c>
      <c r="DA23" s="178" t="s">
        <v>88</v>
      </c>
      <c r="DB23" s="178" t="s">
        <v>157</v>
      </c>
      <c r="DC23" s="178" t="s">
        <v>501</v>
      </c>
      <c r="DD23" s="178" t="s">
        <v>1608</v>
      </c>
      <c r="DE23" s="178" t="s">
        <v>1609</v>
      </c>
      <c r="DF23" s="30"/>
      <c r="DG23" t="s">
        <v>1</v>
      </c>
      <c r="DJ23" s="178" t="s">
        <v>88</v>
      </c>
      <c r="DK23" s="178" t="s">
        <v>88</v>
      </c>
      <c r="DL23">
        <v>0.12</v>
      </c>
      <c r="DM23">
        <v>0.129</v>
      </c>
      <c r="DN23" s="178" t="s">
        <v>88</v>
      </c>
      <c r="DO23" s="30">
        <v>45477</v>
      </c>
      <c r="DP23" s="178" t="s">
        <v>1612</v>
      </c>
      <c r="DQ23" s="178" t="s">
        <v>113</v>
      </c>
      <c r="DR23" s="178" t="s">
        <v>276</v>
      </c>
      <c r="DS23" s="178" t="s">
        <v>88</v>
      </c>
      <c r="DT23">
        <v>0.12</v>
      </c>
      <c r="DU23" s="178" t="s">
        <v>88</v>
      </c>
      <c r="DV23" s="178" t="s">
        <v>88</v>
      </c>
      <c r="DW23" s="178" t="s">
        <v>88</v>
      </c>
      <c r="DX23" s="178" t="s">
        <v>88</v>
      </c>
      <c r="DY23" s="178" t="s">
        <v>1677</v>
      </c>
      <c r="DZ23" s="178" t="s">
        <v>88</v>
      </c>
      <c r="EA23" s="178" t="s">
        <v>1637</v>
      </c>
      <c r="EB23" s="123">
        <v>45313.905730613427</v>
      </c>
    </row>
    <row r="24" spans="1:132">
      <c r="A24">
        <v>9</v>
      </c>
      <c r="B24" s="178" t="s">
        <v>1619</v>
      </c>
      <c r="C24" s="178" t="s">
        <v>88</v>
      </c>
      <c r="D24" t="s">
        <v>778</v>
      </c>
      <c r="E24" t="s">
        <v>778</v>
      </c>
      <c r="F24" s="178" t="s">
        <v>88</v>
      </c>
      <c r="G24" s="178" t="s">
        <v>88</v>
      </c>
      <c r="H24" s="178" t="s">
        <v>88</v>
      </c>
      <c r="I24" s="178" t="s">
        <v>778</v>
      </c>
      <c r="J24" s="30">
        <v>45289</v>
      </c>
      <c r="K24" s="178" t="s">
        <v>1618</v>
      </c>
      <c r="L24" s="178" t="s">
        <v>79</v>
      </c>
      <c r="M24" s="178" t="s">
        <v>81</v>
      </c>
      <c r="N24">
        <v>5.2999999999999999E-2</v>
      </c>
      <c r="O24" s="178" t="s">
        <v>1617</v>
      </c>
      <c r="P24" s="178" t="s">
        <v>279</v>
      </c>
      <c r="Q24" s="178" t="s">
        <v>1542</v>
      </c>
      <c r="R24" s="178" t="s">
        <v>279</v>
      </c>
      <c r="S24" s="178" t="s">
        <v>489</v>
      </c>
      <c r="T24">
        <v>8</v>
      </c>
      <c r="U24" s="178" t="s">
        <v>1145</v>
      </c>
      <c r="V24" s="178" t="s">
        <v>105</v>
      </c>
      <c r="W24" s="178" t="s">
        <v>88</v>
      </c>
      <c r="X24" s="178" t="s">
        <v>88</v>
      </c>
      <c r="Z24" s="178" t="s">
        <v>282</v>
      </c>
      <c r="AA24" s="178" t="s">
        <v>294</v>
      </c>
      <c r="AB24" s="178" t="s">
        <v>88</v>
      </c>
      <c r="AC24" s="178" t="s">
        <v>280</v>
      </c>
      <c r="AD24" s="178" t="s">
        <v>1160</v>
      </c>
      <c r="AF24" s="178" t="s">
        <v>698</v>
      </c>
      <c r="AG24" s="178" t="s">
        <v>88</v>
      </c>
      <c r="AM24" s="178" t="s">
        <v>1621</v>
      </c>
      <c r="AN24" s="178" t="s">
        <v>228</v>
      </c>
      <c r="AO24" s="178" t="s">
        <v>807</v>
      </c>
      <c r="AP24" s="178" t="s">
        <v>472</v>
      </c>
      <c r="AQ24" s="178" t="s">
        <v>279</v>
      </c>
      <c r="AR24" s="178" t="s">
        <v>37</v>
      </c>
      <c r="AS24" s="178" t="s">
        <v>201</v>
      </c>
      <c r="AT24" t="s">
        <v>1622</v>
      </c>
      <c r="AU24" s="178" t="s">
        <v>1423</v>
      </c>
      <c r="AV24" s="178" t="s">
        <v>286</v>
      </c>
      <c r="AX24" s="178" t="s">
        <v>88</v>
      </c>
      <c r="AY24" s="178" t="s">
        <v>88</v>
      </c>
      <c r="AZ24" s="178" t="s">
        <v>17</v>
      </c>
      <c r="BA24">
        <v>5.2999999999999999E-2</v>
      </c>
      <c r="BB24">
        <v>1000</v>
      </c>
      <c r="BC24" s="178" t="s">
        <v>88</v>
      </c>
      <c r="BD24" s="178" t="s">
        <v>88</v>
      </c>
      <c r="BE24" s="30">
        <v>45628</v>
      </c>
      <c r="BF24" s="178" t="s">
        <v>88</v>
      </c>
      <c r="BG24">
        <v>8</v>
      </c>
      <c r="BH24" s="178" t="s">
        <v>88</v>
      </c>
      <c r="BI24" s="30">
        <v>99.75</v>
      </c>
      <c r="BJ24" s="30">
        <v>45295</v>
      </c>
      <c r="BK24" s="178" t="s">
        <v>88</v>
      </c>
      <c r="BL24" s="178" t="s">
        <v>6</v>
      </c>
      <c r="BM24" s="30">
        <v>45295</v>
      </c>
      <c r="BN24" s="178" t="s">
        <v>88</v>
      </c>
      <c r="BO24" s="178" t="s">
        <v>1625</v>
      </c>
      <c r="BP24" s="178" t="s">
        <v>1626</v>
      </c>
      <c r="BQ24" s="178" t="s">
        <v>277</v>
      </c>
      <c r="BR24" s="178" t="s">
        <v>277</v>
      </c>
      <c r="BS24" s="178" t="s">
        <v>6</v>
      </c>
      <c r="BT24" s="178" t="s">
        <v>275</v>
      </c>
      <c r="BU24" s="178" t="s">
        <v>1553</v>
      </c>
      <c r="BV24" s="178" t="s">
        <v>88</v>
      </c>
      <c r="BW24" s="30">
        <v>45295</v>
      </c>
      <c r="BX24" s="178" t="s">
        <v>1616</v>
      </c>
      <c r="BY24" s="178" t="s">
        <v>191</v>
      </c>
      <c r="BZ24" s="178" t="s">
        <v>79</v>
      </c>
      <c r="CA24" s="178" t="s">
        <v>494</v>
      </c>
      <c r="CB24" s="178" t="s">
        <v>88</v>
      </c>
      <c r="CC24" s="178" t="s">
        <v>105</v>
      </c>
      <c r="CD24">
        <v>423</v>
      </c>
      <c r="CE24" s="30">
        <v>45659</v>
      </c>
      <c r="CF24" s="178" t="s">
        <v>88</v>
      </c>
      <c r="CG24" s="178" t="s">
        <v>1624</v>
      </c>
      <c r="CH24" s="178" t="s">
        <v>1616</v>
      </c>
      <c r="CI24" s="178" t="s">
        <v>88</v>
      </c>
      <c r="CJ24" s="178" t="s">
        <v>88</v>
      </c>
      <c r="CK24">
        <v>1679</v>
      </c>
      <c r="CL24">
        <v>1744</v>
      </c>
      <c r="CM24" s="178" t="s">
        <v>88</v>
      </c>
      <c r="CN24" s="178" t="s">
        <v>88</v>
      </c>
      <c r="CO24" s="178" t="s">
        <v>490</v>
      </c>
      <c r="CP24" s="178" t="s">
        <v>88</v>
      </c>
      <c r="CQ24" s="178" t="s">
        <v>88</v>
      </c>
      <c r="CS24" s="178" t="s">
        <v>1689</v>
      </c>
      <c r="CT24" s="178" t="s">
        <v>6</v>
      </c>
      <c r="CU24" s="178" t="s">
        <v>1680</v>
      </c>
      <c r="CV24" s="178" t="s">
        <v>6</v>
      </c>
      <c r="CW24" s="178" t="s">
        <v>6</v>
      </c>
      <c r="CX24">
        <v>3</v>
      </c>
      <c r="CY24" s="178" t="s">
        <v>1205</v>
      </c>
      <c r="CZ24" s="30">
        <v>45295</v>
      </c>
      <c r="DA24" s="178" t="s">
        <v>88</v>
      </c>
      <c r="DB24" s="178" t="s">
        <v>158</v>
      </c>
      <c r="DC24" s="178" t="s">
        <v>6</v>
      </c>
      <c r="DD24" s="178" t="s">
        <v>1352</v>
      </c>
      <c r="DE24" s="178" t="s">
        <v>88</v>
      </c>
      <c r="DF24" s="30"/>
      <c r="DG24" t="s">
        <v>3</v>
      </c>
      <c r="DJ24" s="178" t="s">
        <v>88</v>
      </c>
      <c r="DK24" s="178" t="s">
        <v>88</v>
      </c>
      <c r="DL24">
        <v>0.38700000000000001</v>
      </c>
      <c r="DM24">
        <v>0.41499999999999998</v>
      </c>
      <c r="DN24" s="178" t="s">
        <v>88</v>
      </c>
      <c r="DO24" s="30">
        <v>45477</v>
      </c>
      <c r="DP24" s="178" t="s">
        <v>1623</v>
      </c>
      <c r="DQ24" s="178" t="s">
        <v>113</v>
      </c>
      <c r="DR24" s="178" t="s">
        <v>276</v>
      </c>
      <c r="DS24" s="178" t="s">
        <v>88</v>
      </c>
      <c r="DT24">
        <v>5.2999999999999999E-2</v>
      </c>
      <c r="DU24" s="178" t="s">
        <v>88</v>
      </c>
      <c r="DV24" s="178" t="s">
        <v>88</v>
      </c>
      <c r="DW24" s="178" t="s">
        <v>88</v>
      </c>
      <c r="DX24" s="178" t="s">
        <v>88</v>
      </c>
      <c r="DY24" s="178" t="s">
        <v>1679</v>
      </c>
      <c r="DZ24" s="178" t="s">
        <v>88</v>
      </c>
      <c r="EA24" s="178" t="s">
        <v>1627</v>
      </c>
      <c r="EB24" s="123">
        <v>45313.905730613427</v>
      </c>
    </row>
    <row r="25" spans="1:132">
      <c r="A25">
        <v>8</v>
      </c>
      <c r="B25" s="178" t="s">
        <v>1619</v>
      </c>
      <c r="C25" s="178" t="s">
        <v>88</v>
      </c>
      <c r="D25" t="s">
        <v>778</v>
      </c>
      <c r="E25" t="s">
        <v>778</v>
      </c>
      <c r="F25" s="178" t="s">
        <v>88</v>
      </c>
      <c r="G25" s="178" t="s">
        <v>88</v>
      </c>
      <c r="H25" s="178" t="s">
        <v>88</v>
      </c>
      <c r="I25" s="178" t="s">
        <v>778</v>
      </c>
      <c r="J25" s="30">
        <v>45289</v>
      </c>
      <c r="K25" s="178" t="s">
        <v>1630</v>
      </c>
      <c r="L25" s="178" t="s">
        <v>79</v>
      </c>
      <c r="M25" s="178" t="s">
        <v>104</v>
      </c>
      <c r="N25">
        <v>1.145</v>
      </c>
      <c r="O25" s="178" t="s">
        <v>1617</v>
      </c>
      <c r="P25" s="178" t="s">
        <v>279</v>
      </c>
      <c r="Q25" s="178" t="s">
        <v>1542</v>
      </c>
      <c r="R25" s="178" t="s">
        <v>279</v>
      </c>
      <c r="S25" s="178" t="s">
        <v>489</v>
      </c>
      <c r="T25">
        <v>8</v>
      </c>
      <c r="U25" s="178" t="s">
        <v>1145</v>
      </c>
      <c r="V25" s="178" t="s">
        <v>105</v>
      </c>
      <c r="W25" s="178" t="s">
        <v>88</v>
      </c>
      <c r="X25" s="178" t="s">
        <v>88</v>
      </c>
      <c r="Z25" s="178" t="s">
        <v>282</v>
      </c>
      <c r="AA25" s="178" t="s">
        <v>294</v>
      </c>
      <c r="AB25" s="178" t="s">
        <v>88</v>
      </c>
      <c r="AC25" s="178" t="s">
        <v>280</v>
      </c>
      <c r="AD25" s="178" t="s">
        <v>1160</v>
      </c>
      <c r="AF25" s="178" t="s">
        <v>698</v>
      </c>
      <c r="AG25" s="178" t="s">
        <v>88</v>
      </c>
      <c r="AM25" s="178" t="s">
        <v>1621</v>
      </c>
      <c r="AN25" s="178" t="s">
        <v>228</v>
      </c>
      <c r="AO25" s="178" t="s">
        <v>807</v>
      </c>
      <c r="AP25" s="178" t="s">
        <v>472</v>
      </c>
      <c r="AQ25" s="178" t="s">
        <v>279</v>
      </c>
      <c r="AR25" s="178" t="s">
        <v>37</v>
      </c>
      <c r="AS25" s="178" t="s">
        <v>201</v>
      </c>
      <c r="AT25" t="s">
        <v>1622</v>
      </c>
      <c r="AU25" s="178" t="s">
        <v>1423</v>
      </c>
      <c r="AV25" s="178" t="s">
        <v>286</v>
      </c>
      <c r="AX25" s="178" t="s">
        <v>88</v>
      </c>
      <c r="AY25" s="178" t="s">
        <v>88</v>
      </c>
      <c r="AZ25" s="178" t="s">
        <v>17</v>
      </c>
      <c r="BA25">
        <v>0.14599999999999999</v>
      </c>
      <c r="BB25">
        <v>1000</v>
      </c>
      <c r="BC25" s="178" t="s">
        <v>88</v>
      </c>
      <c r="BD25" s="178" t="s">
        <v>88</v>
      </c>
      <c r="BE25" s="30">
        <v>45628</v>
      </c>
      <c r="BF25" s="178" t="s">
        <v>88</v>
      </c>
      <c r="BG25">
        <v>8</v>
      </c>
      <c r="BH25" s="178" t="s">
        <v>88</v>
      </c>
      <c r="BI25" s="30">
        <v>99.75</v>
      </c>
      <c r="BJ25" s="30">
        <v>45295</v>
      </c>
      <c r="BK25" s="178" t="s">
        <v>88</v>
      </c>
      <c r="BL25" s="178" t="s">
        <v>6</v>
      </c>
      <c r="BM25" s="30">
        <v>45295</v>
      </c>
      <c r="BN25" s="178" t="s">
        <v>88</v>
      </c>
      <c r="BO25" s="178" t="s">
        <v>1625</v>
      </c>
      <c r="BP25" s="178" t="s">
        <v>1626</v>
      </c>
      <c r="BQ25" s="178" t="s">
        <v>277</v>
      </c>
      <c r="BR25" s="178" t="s">
        <v>277</v>
      </c>
      <c r="BS25" s="178" t="s">
        <v>6</v>
      </c>
      <c r="BT25" s="178" t="s">
        <v>275</v>
      </c>
      <c r="BU25" s="178" t="s">
        <v>1553</v>
      </c>
      <c r="BV25" s="178" t="s">
        <v>88</v>
      </c>
      <c r="BW25" s="30">
        <v>45295</v>
      </c>
      <c r="BX25" s="178" t="s">
        <v>1616</v>
      </c>
      <c r="BY25" s="178" t="s">
        <v>191</v>
      </c>
      <c r="BZ25" s="178" t="s">
        <v>79</v>
      </c>
      <c r="CA25" s="178" t="s">
        <v>494</v>
      </c>
      <c r="CB25" s="178" t="s">
        <v>88</v>
      </c>
      <c r="CC25" s="178" t="s">
        <v>105</v>
      </c>
      <c r="CD25">
        <v>423</v>
      </c>
      <c r="CE25" s="30">
        <v>45659</v>
      </c>
      <c r="CF25" s="178" t="s">
        <v>88</v>
      </c>
      <c r="CG25" s="178" t="s">
        <v>1624</v>
      </c>
      <c r="CH25" s="178" t="s">
        <v>1616</v>
      </c>
      <c r="CI25" s="178" t="s">
        <v>88</v>
      </c>
      <c r="CJ25" s="178" t="s">
        <v>88</v>
      </c>
      <c r="CK25">
        <v>1678</v>
      </c>
      <c r="CL25">
        <v>1743</v>
      </c>
      <c r="CM25" s="178" t="s">
        <v>88</v>
      </c>
      <c r="CN25" s="178" t="s">
        <v>88</v>
      </c>
      <c r="CO25" s="178" t="s">
        <v>490</v>
      </c>
      <c r="CP25" s="178" t="s">
        <v>88</v>
      </c>
      <c r="CQ25" s="178" t="s">
        <v>88</v>
      </c>
      <c r="CS25" s="178" t="s">
        <v>1689</v>
      </c>
      <c r="CT25" s="178" t="s">
        <v>6</v>
      </c>
      <c r="CU25" s="178" t="s">
        <v>1680</v>
      </c>
      <c r="CV25" s="178" t="s">
        <v>6</v>
      </c>
      <c r="CW25" s="178" t="s">
        <v>6</v>
      </c>
      <c r="CX25">
        <v>3</v>
      </c>
      <c r="CY25" s="178" t="s">
        <v>1205</v>
      </c>
      <c r="CZ25" s="30">
        <v>45295</v>
      </c>
      <c r="DA25" s="178" t="s">
        <v>88</v>
      </c>
      <c r="DB25" s="178" t="s">
        <v>158</v>
      </c>
      <c r="DC25" s="178" t="s">
        <v>6</v>
      </c>
      <c r="DD25" s="178" t="s">
        <v>1352</v>
      </c>
      <c r="DE25" s="178" t="s">
        <v>88</v>
      </c>
      <c r="DF25" s="30"/>
      <c r="DG25" t="s">
        <v>3</v>
      </c>
      <c r="DJ25" s="178" t="s">
        <v>88</v>
      </c>
      <c r="DK25" s="178" t="s">
        <v>88</v>
      </c>
      <c r="DL25">
        <v>1.0669999999999999</v>
      </c>
      <c r="DM25">
        <v>1.145</v>
      </c>
      <c r="DN25" s="178" t="s">
        <v>88</v>
      </c>
      <c r="DO25" s="30">
        <v>45477</v>
      </c>
      <c r="DP25" s="178" t="s">
        <v>1623</v>
      </c>
      <c r="DQ25" s="178" t="s">
        <v>113</v>
      </c>
      <c r="DR25" s="178" t="s">
        <v>276</v>
      </c>
      <c r="DS25" s="178" t="s">
        <v>88</v>
      </c>
      <c r="DT25">
        <v>1.145</v>
      </c>
      <c r="DU25" s="178" t="s">
        <v>88</v>
      </c>
      <c r="DV25" s="178" t="s">
        <v>88</v>
      </c>
      <c r="DW25" s="178" t="s">
        <v>88</v>
      </c>
      <c r="DX25" s="178" t="s">
        <v>88</v>
      </c>
      <c r="DY25" s="178" t="s">
        <v>1679</v>
      </c>
      <c r="DZ25" s="178" t="s">
        <v>88</v>
      </c>
      <c r="EA25" s="178" t="s">
        <v>1631</v>
      </c>
      <c r="EB25" s="123">
        <v>45313.905730613427</v>
      </c>
    </row>
    <row r="26" spans="1:132">
      <c r="A26">
        <v>7</v>
      </c>
      <c r="B26" s="178" t="s">
        <v>1619</v>
      </c>
      <c r="C26" s="178" t="s">
        <v>88</v>
      </c>
      <c r="D26" t="s">
        <v>778</v>
      </c>
      <c r="E26" t="s">
        <v>778</v>
      </c>
      <c r="F26" s="178" t="s">
        <v>88</v>
      </c>
      <c r="G26" s="178" t="s">
        <v>88</v>
      </c>
      <c r="H26" s="178" t="s">
        <v>88</v>
      </c>
      <c r="I26" s="178" t="s">
        <v>778</v>
      </c>
      <c r="J26" s="30">
        <v>45289</v>
      </c>
      <c r="K26" s="178" t="s">
        <v>1628</v>
      </c>
      <c r="L26" s="178" t="s">
        <v>79</v>
      </c>
      <c r="M26" s="178" t="s">
        <v>102</v>
      </c>
      <c r="N26">
        <v>0.40500000000000003</v>
      </c>
      <c r="O26" s="178" t="s">
        <v>1617</v>
      </c>
      <c r="P26" s="178" t="s">
        <v>279</v>
      </c>
      <c r="Q26" s="178" t="s">
        <v>1542</v>
      </c>
      <c r="R26" s="178" t="s">
        <v>279</v>
      </c>
      <c r="S26" s="178" t="s">
        <v>489</v>
      </c>
      <c r="T26">
        <v>8</v>
      </c>
      <c r="U26" s="178" t="s">
        <v>1145</v>
      </c>
      <c r="V26" s="178" t="s">
        <v>105</v>
      </c>
      <c r="W26" s="178" t="s">
        <v>88</v>
      </c>
      <c r="X26" s="178" t="s">
        <v>88</v>
      </c>
      <c r="Z26" s="178" t="s">
        <v>282</v>
      </c>
      <c r="AA26" s="178" t="s">
        <v>294</v>
      </c>
      <c r="AB26" s="178" t="s">
        <v>88</v>
      </c>
      <c r="AC26" s="178" t="s">
        <v>280</v>
      </c>
      <c r="AD26" s="178" t="s">
        <v>1160</v>
      </c>
      <c r="AF26" s="178" t="s">
        <v>698</v>
      </c>
      <c r="AG26" s="178" t="s">
        <v>88</v>
      </c>
      <c r="AM26" s="178" t="s">
        <v>1621</v>
      </c>
      <c r="AN26" s="178" t="s">
        <v>228</v>
      </c>
      <c r="AO26" s="178" t="s">
        <v>807</v>
      </c>
      <c r="AP26" s="178" t="s">
        <v>472</v>
      </c>
      <c r="AQ26" s="178" t="s">
        <v>279</v>
      </c>
      <c r="AR26" s="178" t="s">
        <v>37</v>
      </c>
      <c r="AS26" s="178" t="s">
        <v>201</v>
      </c>
      <c r="AT26" t="s">
        <v>1622</v>
      </c>
      <c r="AU26" s="178" t="s">
        <v>1423</v>
      </c>
      <c r="AV26" s="178" t="s">
        <v>286</v>
      </c>
      <c r="AX26" s="178" t="s">
        <v>88</v>
      </c>
      <c r="AY26" s="178" t="s">
        <v>88</v>
      </c>
      <c r="AZ26" s="178" t="s">
        <v>17</v>
      </c>
      <c r="BA26">
        <v>5.6000000000000001E-2</v>
      </c>
      <c r="BB26">
        <v>10000</v>
      </c>
      <c r="BC26" s="178" t="s">
        <v>88</v>
      </c>
      <c r="BD26" s="178" t="s">
        <v>88</v>
      </c>
      <c r="BE26" s="30">
        <v>45628</v>
      </c>
      <c r="BF26" s="178" t="s">
        <v>88</v>
      </c>
      <c r="BG26">
        <v>8</v>
      </c>
      <c r="BH26" s="178" t="s">
        <v>88</v>
      </c>
      <c r="BI26" s="30">
        <v>99.75</v>
      </c>
      <c r="BJ26" s="30">
        <v>45295</v>
      </c>
      <c r="BK26" s="178" t="s">
        <v>88</v>
      </c>
      <c r="BL26" s="178" t="s">
        <v>6</v>
      </c>
      <c r="BM26" s="30">
        <v>45295</v>
      </c>
      <c r="BN26" s="178" t="s">
        <v>88</v>
      </c>
      <c r="BO26" s="178" t="s">
        <v>1625</v>
      </c>
      <c r="BP26" s="178" t="s">
        <v>1626</v>
      </c>
      <c r="BQ26" s="178" t="s">
        <v>277</v>
      </c>
      <c r="BR26" s="178" t="s">
        <v>277</v>
      </c>
      <c r="BS26" s="178" t="s">
        <v>6</v>
      </c>
      <c r="BT26" s="178" t="s">
        <v>275</v>
      </c>
      <c r="BU26" s="178" t="s">
        <v>1553</v>
      </c>
      <c r="BV26" s="178" t="s">
        <v>88</v>
      </c>
      <c r="BW26" s="30">
        <v>45295</v>
      </c>
      <c r="BX26" s="178" t="s">
        <v>1616</v>
      </c>
      <c r="BY26" s="178" t="s">
        <v>191</v>
      </c>
      <c r="BZ26" s="178" t="s">
        <v>79</v>
      </c>
      <c r="CA26" s="178" t="s">
        <v>494</v>
      </c>
      <c r="CB26" s="178" t="s">
        <v>88</v>
      </c>
      <c r="CC26" s="178" t="s">
        <v>105</v>
      </c>
      <c r="CD26">
        <v>423</v>
      </c>
      <c r="CE26" s="30">
        <v>45659</v>
      </c>
      <c r="CF26" s="178" t="s">
        <v>88</v>
      </c>
      <c r="CG26" s="178" t="s">
        <v>1624</v>
      </c>
      <c r="CH26" s="178" t="s">
        <v>1616</v>
      </c>
      <c r="CI26" s="178" t="s">
        <v>88</v>
      </c>
      <c r="CJ26" s="178" t="s">
        <v>88</v>
      </c>
      <c r="CK26">
        <v>1677</v>
      </c>
      <c r="CL26">
        <v>1742</v>
      </c>
      <c r="CM26" s="178" t="s">
        <v>88</v>
      </c>
      <c r="CN26" s="178" t="s">
        <v>88</v>
      </c>
      <c r="CO26" s="178" t="s">
        <v>490</v>
      </c>
      <c r="CP26" s="178" t="s">
        <v>88</v>
      </c>
      <c r="CQ26" s="178" t="s">
        <v>88</v>
      </c>
      <c r="CS26" s="178" t="s">
        <v>1689</v>
      </c>
      <c r="CT26" s="178" t="s">
        <v>6</v>
      </c>
      <c r="CU26" s="178" t="s">
        <v>1680</v>
      </c>
      <c r="CV26" s="178" t="s">
        <v>6</v>
      </c>
      <c r="CW26" s="178" t="s">
        <v>6</v>
      </c>
      <c r="CX26">
        <v>3</v>
      </c>
      <c r="CY26" s="178" t="s">
        <v>1205</v>
      </c>
      <c r="CZ26" s="30">
        <v>45295</v>
      </c>
      <c r="DA26" s="178" t="s">
        <v>88</v>
      </c>
      <c r="DB26" s="178" t="s">
        <v>158</v>
      </c>
      <c r="DC26" s="178" t="s">
        <v>6</v>
      </c>
      <c r="DD26" s="178" t="s">
        <v>1352</v>
      </c>
      <c r="DE26" s="178" t="s">
        <v>88</v>
      </c>
      <c r="DF26" s="30"/>
      <c r="DG26" t="s">
        <v>3</v>
      </c>
      <c r="DJ26" s="178" t="s">
        <v>88</v>
      </c>
      <c r="DK26" s="178" t="s">
        <v>88</v>
      </c>
      <c r="DL26">
        <v>0.40500000000000003</v>
      </c>
      <c r="DM26">
        <v>0.435</v>
      </c>
      <c r="DN26" s="178" t="s">
        <v>88</v>
      </c>
      <c r="DO26" s="30">
        <v>45477</v>
      </c>
      <c r="DP26" s="178" t="s">
        <v>1623</v>
      </c>
      <c r="DQ26" s="178" t="s">
        <v>113</v>
      </c>
      <c r="DR26" s="178" t="s">
        <v>276</v>
      </c>
      <c r="DS26" s="178" t="s">
        <v>88</v>
      </c>
      <c r="DT26">
        <v>0.40500000000000003</v>
      </c>
      <c r="DU26" s="178" t="s">
        <v>88</v>
      </c>
      <c r="DV26" s="178" t="s">
        <v>88</v>
      </c>
      <c r="DW26" s="178" t="s">
        <v>88</v>
      </c>
      <c r="DX26" s="178" t="s">
        <v>88</v>
      </c>
      <c r="DY26" s="178" t="s">
        <v>1679</v>
      </c>
      <c r="DZ26" s="178" t="s">
        <v>88</v>
      </c>
      <c r="EA26" s="178" t="s">
        <v>1629</v>
      </c>
      <c r="EB26" s="123">
        <v>45313.905730613427</v>
      </c>
    </row>
    <row r="27" spans="1:132">
      <c r="A27">
        <v>6</v>
      </c>
      <c r="B27" s="178" t="s">
        <v>1574</v>
      </c>
      <c r="C27" s="178" t="s">
        <v>88</v>
      </c>
      <c r="D27" t="s">
        <v>778</v>
      </c>
      <c r="E27" t="s">
        <v>778</v>
      </c>
      <c r="F27" s="178" t="s">
        <v>88</v>
      </c>
      <c r="G27" s="178" t="s">
        <v>88</v>
      </c>
      <c r="H27" s="178" t="s">
        <v>88</v>
      </c>
      <c r="I27" s="178" t="s">
        <v>779</v>
      </c>
      <c r="J27" s="30">
        <v>45289</v>
      </c>
      <c r="K27" s="178" t="s">
        <v>1573</v>
      </c>
      <c r="L27" s="178" t="s">
        <v>79</v>
      </c>
      <c r="M27" s="178" t="s">
        <v>102</v>
      </c>
      <c r="N27">
        <v>6.1</v>
      </c>
      <c r="O27" s="178" t="s">
        <v>1572</v>
      </c>
      <c r="P27" s="178" t="s">
        <v>279</v>
      </c>
      <c r="Q27" s="178" t="s">
        <v>279</v>
      </c>
      <c r="R27" s="178" t="s">
        <v>279</v>
      </c>
      <c r="S27" s="178" t="s">
        <v>284</v>
      </c>
      <c r="T27">
        <v>4.8</v>
      </c>
      <c r="U27" s="178" t="s">
        <v>129</v>
      </c>
      <c r="V27" s="178" t="s">
        <v>105</v>
      </c>
      <c r="W27" s="178" t="s">
        <v>88</v>
      </c>
      <c r="X27" s="178" t="s">
        <v>1576</v>
      </c>
      <c r="Z27" s="178" t="s">
        <v>282</v>
      </c>
      <c r="AA27" s="178" t="s">
        <v>708</v>
      </c>
      <c r="AB27" s="178" t="s">
        <v>569</v>
      </c>
      <c r="AC27" s="178" t="s">
        <v>280</v>
      </c>
      <c r="AD27" s="178" t="s">
        <v>1576</v>
      </c>
      <c r="AF27" s="178" t="s">
        <v>795</v>
      </c>
      <c r="AG27" s="178" t="s">
        <v>88</v>
      </c>
      <c r="AM27" s="178" t="s">
        <v>1578</v>
      </c>
      <c r="AN27" s="178" t="s">
        <v>228</v>
      </c>
      <c r="AO27" s="178" t="s">
        <v>1345</v>
      </c>
      <c r="AP27" s="178" t="s">
        <v>472</v>
      </c>
      <c r="AQ27" s="178" t="s">
        <v>279</v>
      </c>
      <c r="AR27" s="178" t="s">
        <v>107</v>
      </c>
      <c r="AS27" s="178" t="s">
        <v>199</v>
      </c>
      <c r="AT27" t="s">
        <v>1579</v>
      </c>
      <c r="AU27" s="178" t="s">
        <v>278</v>
      </c>
      <c r="AV27" s="178" t="s">
        <v>286</v>
      </c>
      <c r="AX27" s="178" t="s">
        <v>88</v>
      </c>
      <c r="AY27" s="178" t="s">
        <v>88</v>
      </c>
      <c r="AZ27" s="178" t="s">
        <v>18</v>
      </c>
      <c r="BA27">
        <v>0.83599999999999997</v>
      </c>
      <c r="BB27">
        <v>10000</v>
      </c>
      <c r="BC27" s="178" t="s">
        <v>88</v>
      </c>
      <c r="BD27" s="178" t="s">
        <v>1576</v>
      </c>
      <c r="BE27" s="30"/>
      <c r="BF27" s="178" t="s">
        <v>88</v>
      </c>
      <c r="BG27">
        <v>4.8</v>
      </c>
      <c r="BH27" s="178" t="s">
        <v>88</v>
      </c>
      <c r="BI27" s="30">
        <v>100</v>
      </c>
      <c r="BJ27" s="30">
        <v>45299</v>
      </c>
      <c r="BK27" s="178" t="s">
        <v>1576</v>
      </c>
      <c r="BL27" s="178" t="s">
        <v>6</v>
      </c>
      <c r="BM27" s="30">
        <v>45299</v>
      </c>
      <c r="BN27" s="178" t="s">
        <v>709</v>
      </c>
      <c r="BO27" s="178" t="s">
        <v>1582</v>
      </c>
      <c r="BP27" s="178" t="s">
        <v>1583</v>
      </c>
      <c r="BQ27" s="178" t="s">
        <v>277</v>
      </c>
      <c r="BR27" s="178" t="s">
        <v>277</v>
      </c>
      <c r="BS27" s="178" t="s">
        <v>6</v>
      </c>
      <c r="BT27" s="178" t="s">
        <v>275</v>
      </c>
      <c r="BU27" s="178" t="s">
        <v>274</v>
      </c>
      <c r="BV27" s="178" t="s">
        <v>88</v>
      </c>
      <c r="BW27" s="30">
        <v>45299</v>
      </c>
      <c r="BX27" s="178" t="s">
        <v>1571</v>
      </c>
      <c r="BY27" s="178" t="s">
        <v>191</v>
      </c>
      <c r="BZ27" s="178" t="s">
        <v>79</v>
      </c>
      <c r="CA27" s="178" t="s">
        <v>88</v>
      </c>
      <c r="CB27" s="178" t="s">
        <v>88</v>
      </c>
      <c r="CC27" s="178" t="s">
        <v>105</v>
      </c>
      <c r="CD27">
        <v>89</v>
      </c>
      <c r="CE27" s="30">
        <v>46395</v>
      </c>
      <c r="CF27" s="178" t="s">
        <v>88</v>
      </c>
      <c r="CG27" s="178" t="s">
        <v>1571</v>
      </c>
      <c r="CH27" s="178" t="s">
        <v>88</v>
      </c>
      <c r="CI27" s="178" t="s">
        <v>88</v>
      </c>
      <c r="CJ27" s="178" t="s">
        <v>569</v>
      </c>
      <c r="CK27">
        <v>1675</v>
      </c>
      <c r="CL27">
        <v>1740</v>
      </c>
      <c r="CM27" s="178" t="s">
        <v>88</v>
      </c>
      <c r="CN27" s="178" t="s">
        <v>88</v>
      </c>
      <c r="CO27" s="178" t="s">
        <v>192</v>
      </c>
      <c r="CP27" s="178" t="s">
        <v>88</v>
      </c>
      <c r="CQ27" s="178" t="s">
        <v>88</v>
      </c>
      <c r="CS27" s="178" t="s">
        <v>88</v>
      </c>
      <c r="CT27" s="178" t="s">
        <v>6</v>
      </c>
      <c r="CU27" s="178" t="s">
        <v>1717</v>
      </c>
      <c r="CV27" s="178" t="s">
        <v>6</v>
      </c>
      <c r="CW27" s="178" t="s">
        <v>6</v>
      </c>
      <c r="CX27">
        <v>5</v>
      </c>
      <c r="CY27" s="178" t="s">
        <v>1203</v>
      </c>
      <c r="CZ27" s="30">
        <v>45299</v>
      </c>
      <c r="DA27" s="178" t="s">
        <v>88</v>
      </c>
      <c r="DB27" s="178" t="s">
        <v>157</v>
      </c>
      <c r="DC27" s="178" t="s">
        <v>524</v>
      </c>
      <c r="DD27" s="178" t="s">
        <v>1577</v>
      </c>
      <c r="DE27" s="178" t="s">
        <v>88</v>
      </c>
      <c r="DF27" s="30"/>
      <c r="DG27" t="s">
        <v>1</v>
      </c>
      <c r="DJ27" s="178" t="s">
        <v>88</v>
      </c>
      <c r="DK27" s="178" t="s">
        <v>88</v>
      </c>
      <c r="DL27">
        <v>6.1</v>
      </c>
      <c r="DM27">
        <v>6.5469999999999997</v>
      </c>
      <c r="DN27" s="178" t="s">
        <v>88</v>
      </c>
      <c r="DO27" s="30">
        <v>45481</v>
      </c>
      <c r="DP27" s="178" t="s">
        <v>1581</v>
      </c>
      <c r="DQ27" s="178" t="s">
        <v>113</v>
      </c>
      <c r="DR27" s="178" t="s">
        <v>276</v>
      </c>
      <c r="DS27" s="178" t="s">
        <v>1580</v>
      </c>
      <c r="DT27">
        <v>6.1</v>
      </c>
      <c r="DU27" s="178" t="s">
        <v>88</v>
      </c>
      <c r="DV27" s="178" t="s">
        <v>88</v>
      </c>
      <c r="DW27" s="178" t="s">
        <v>88</v>
      </c>
      <c r="DX27" s="178" t="s">
        <v>88</v>
      </c>
      <c r="DY27" s="178" t="s">
        <v>1472</v>
      </c>
      <c r="DZ27" s="178" t="s">
        <v>88</v>
      </c>
      <c r="EA27" s="178" t="s">
        <v>1584</v>
      </c>
      <c r="EB27" s="123">
        <v>45313.905730613427</v>
      </c>
    </row>
    <row r="28" spans="1:132">
      <c r="A28">
        <v>5</v>
      </c>
      <c r="B28" s="178" t="s">
        <v>1560</v>
      </c>
      <c r="C28" s="178" t="s">
        <v>88</v>
      </c>
      <c r="D28" t="s">
        <v>778</v>
      </c>
      <c r="E28" t="s">
        <v>778</v>
      </c>
      <c r="F28" s="178" t="s">
        <v>88</v>
      </c>
      <c r="G28" s="178" t="s">
        <v>88</v>
      </c>
      <c r="H28" s="178" t="s">
        <v>88</v>
      </c>
      <c r="I28" s="178" t="s">
        <v>778</v>
      </c>
      <c r="J28" s="30">
        <v>45289</v>
      </c>
      <c r="K28" s="178" t="s">
        <v>1559</v>
      </c>
      <c r="L28" s="178" t="s">
        <v>79</v>
      </c>
      <c r="M28" s="178" t="s">
        <v>102</v>
      </c>
      <c r="N28">
        <v>1.5</v>
      </c>
      <c r="O28" s="178" t="s">
        <v>1558</v>
      </c>
      <c r="P28" s="178" t="s">
        <v>279</v>
      </c>
      <c r="Q28" s="178" t="s">
        <v>279</v>
      </c>
      <c r="R28" s="178" t="s">
        <v>279</v>
      </c>
      <c r="S28" s="178" t="s">
        <v>284</v>
      </c>
      <c r="T28">
        <v>7.8</v>
      </c>
      <c r="U28" s="178" t="s">
        <v>129</v>
      </c>
      <c r="V28" s="178" t="s">
        <v>287</v>
      </c>
      <c r="W28" s="178" t="s">
        <v>88</v>
      </c>
      <c r="X28" s="178" t="s">
        <v>88</v>
      </c>
      <c r="Z28" s="178" t="s">
        <v>282</v>
      </c>
      <c r="AA28" s="178" t="s">
        <v>294</v>
      </c>
      <c r="AB28" s="178" t="s">
        <v>88</v>
      </c>
      <c r="AC28" s="178" t="s">
        <v>280</v>
      </c>
      <c r="AD28" s="178" t="s">
        <v>1507</v>
      </c>
      <c r="AF28" s="178" t="s">
        <v>500</v>
      </c>
      <c r="AG28" s="178" t="s">
        <v>88</v>
      </c>
      <c r="AM28" s="178" t="s">
        <v>1563</v>
      </c>
      <c r="AN28" s="178" t="s">
        <v>228</v>
      </c>
      <c r="AO28" s="178" t="s">
        <v>695</v>
      </c>
      <c r="AP28" s="178" t="s">
        <v>472</v>
      </c>
      <c r="AQ28" s="178" t="s">
        <v>279</v>
      </c>
      <c r="AR28" s="178" t="s">
        <v>37</v>
      </c>
      <c r="AS28" s="178" t="s">
        <v>199</v>
      </c>
      <c r="AT28" t="s">
        <v>1564</v>
      </c>
      <c r="AU28" s="178" t="s">
        <v>278</v>
      </c>
      <c r="AV28" s="178" t="s">
        <v>286</v>
      </c>
      <c r="AX28" s="178" t="s">
        <v>88</v>
      </c>
      <c r="AY28" s="178" t="s">
        <v>88</v>
      </c>
      <c r="AZ28" s="178" t="s">
        <v>9</v>
      </c>
      <c r="BA28">
        <v>0.20599999999999999</v>
      </c>
      <c r="BB28">
        <v>10000</v>
      </c>
      <c r="BC28" s="178" t="s">
        <v>88</v>
      </c>
      <c r="BD28" s="178" t="s">
        <v>88</v>
      </c>
      <c r="BE28" s="30"/>
      <c r="BF28" s="178" t="s">
        <v>88</v>
      </c>
      <c r="BG28">
        <v>7.8</v>
      </c>
      <c r="BH28" s="178" t="s">
        <v>88</v>
      </c>
      <c r="BI28" s="30">
        <v>100</v>
      </c>
      <c r="BJ28" s="30">
        <v>45296</v>
      </c>
      <c r="BK28" s="178" t="s">
        <v>1507</v>
      </c>
      <c r="BL28" s="178" t="s">
        <v>6</v>
      </c>
      <c r="BM28" s="30">
        <v>45296</v>
      </c>
      <c r="BN28" s="178" t="s">
        <v>692</v>
      </c>
      <c r="BO28" s="178" t="s">
        <v>1568</v>
      </c>
      <c r="BP28" s="178" t="s">
        <v>1569</v>
      </c>
      <c r="BQ28" s="178" t="s">
        <v>277</v>
      </c>
      <c r="BR28" s="178" t="s">
        <v>277</v>
      </c>
      <c r="BS28" s="178" t="s">
        <v>6</v>
      </c>
      <c r="BT28" s="178" t="s">
        <v>275</v>
      </c>
      <c r="BU28" s="178" t="s">
        <v>274</v>
      </c>
      <c r="BV28" s="178" t="s">
        <v>88</v>
      </c>
      <c r="BW28" s="30">
        <v>45296</v>
      </c>
      <c r="BX28" s="178" t="s">
        <v>1557</v>
      </c>
      <c r="BY28" s="178" t="s">
        <v>191</v>
      </c>
      <c r="BZ28" s="178" t="s">
        <v>79</v>
      </c>
      <c r="CA28" s="178" t="s">
        <v>494</v>
      </c>
      <c r="CB28" s="178" t="s">
        <v>88</v>
      </c>
      <c r="CC28" s="178" t="s">
        <v>193</v>
      </c>
      <c r="CD28">
        <v>981</v>
      </c>
      <c r="CE28" s="30">
        <v>46392</v>
      </c>
      <c r="CF28" s="178" t="s">
        <v>88</v>
      </c>
      <c r="CG28" s="178" t="s">
        <v>1567</v>
      </c>
      <c r="CH28" s="178" t="s">
        <v>1557</v>
      </c>
      <c r="CI28" s="178" t="s">
        <v>88</v>
      </c>
      <c r="CJ28" s="178" t="s">
        <v>88</v>
      </c>
      <c r="CK28">
        <v>1676</v>
      </c>
      <c r="CL28">
        <v>1741</v>
      </c>
      <c r="CM28" s="178" t="s">
        <v>88</v>
      </c>
      <c r="CN28" s="178" t="s">
        <v>88</v>
      </c>
      <c r="CO28" s="178" t="s">
        <v>490</v>
      </c>
      <c r="CP28" s="178" t="s">
        <v>88</v>
      </c>
      <c r="CQ28" s="178" t="s">
        <v>88</v>
      </c>
      <c r="CS28" s="178" t="s">
        <v>88</v>
      </c>
      <c r="CT28" s="178" t="s">
        <v>6</v>
      </c>
      <c r="CU28" s="178" t="s">
        <v>1681</v>
      </c>
      <c r="CV28" s="178" t="s">
        <v>529</v>
      </c>
      <c r="CW28" s="178" t="s">
        <v>6</v>
      </c>
      <c r="CX28">
        <v>4</v>
      </c>
      <c r="CY28" s="178" t="s">
        <v>1204</v>
      </c>
      <c r="CZ28" s="30">
        <v>45296</v>
      </c>
      <c r="DA28" s="178" t="s">
        <v>88</v>
      </c>
      <c r="DB28" s="178" t="s">
        <v>157</v>
      </c>
      <c r="DC28" s="178" t="s">
        <v>526</v>
      </c>
      <c r="DD28" s="178" t="s">
        <v>1561</v>
      </c>
      <c r="DE28" s="178" t="s">
        <v>1562</v>
      </c>
      <c r="DF28" s="30"/>
      <c r="DG28" t="s">
        <v>1</v>
      </c>
      <c r="DJ28" s="178" t="s">
        <v>88</v>
      </c>
      <c r="DK28" s="178" t="s">
        <v>88</v>
      </c>
      <c r="DL28">
        <v>1.5</v>
      </c>
      <c r="DM28">
        <v>1.61</v>
      </c>
      <c r="DN28" s="178" t="s">
        <v>88</v>
      </c>
      <c r="DO28" s="30">
        <v>45478</v>
      </c>
      <c r="DP28" s="178" t="s">
        <v>1566</v>
      </c>
      <c r="DQ28" s="178" t="s">
        <v>113</v>
      </c>
      <c r="DR28" s="178" t="s">
        <v>276</v>
      </c>
      <c r="DS28" s="178" t="s">
        <v>1565</v>
      </c>
      <c r="DT28">
        <v>1.5</v>
      </c>
      <c r="DU28" s="178" t="s">
        <v>88</v>
      </c>
      <c r="DV28" s="178" t="s">
        <v>88</v>
      </c>
      <c r="DW28" s="178" t="s">
        <v>88</v>
      </c>
      <c r="DX28" s="178" t="s">
        <v>88</v>
      </c>
      <c r="DY28" s="178" t="s">
        <v>783</v>
      </c>
      <c r="DZ28" s="178" t="s">
        <v>88</v>
      </c>
      <c r="EA28" s="178" t="s">
        <v>1570</v>
      </c>
      <c r="EB28" s="123">
        <v>45313.905730613427</v>
      </c>
    </row>
    <row r="29" spans="1:132">
      <c r="A29">
        <v>4</v>
      </c>
      <c r="B29" s="178" t="s">
        <v>1588</v>
      </c>
      <c r="C29" s="178" t="s">
        <v>88</v>
      </c>
      <c r="D29" t="s">
        <v>778</v>
      </c>
      <c r="E29" t="s">
        <v>778</v>
      </c>
      <c r="F29" s="178" t="s">
        <v>88</v>
      </c>
      <c r="G29" s="178" t="s">
        <v>88</v>
      </c>
      <c r="H29" s="178" t="s">
        <v>88</v>
      </c>
      <c r="I29" s="178" t="s">
        <v>778</v>
      </c>
      <c r="J29" s="30">
        <v>45289</v>
      </c>
      <c r="K29" s="178" t="s">
        <v>1587</v>
      </c>
      <c r="L29" s="178" t="s">
        <v>1208</v>
      </c>
      <c r="M29" s="178" t="s">
        <v>81</v>
      </c>
      <c r="N29">
        <v>0.53500000000000003</v>
      </c>
      <c r="O29" s="178" t="s">
        <v>1586</v>
      </c>
      <c r="P29" s="178" t="s">
        <v>279</v>
      </c>
      <c r="Q29" s="178" t="s">
        <v>279</v>
      </c>
      <c r="R29" s="178" t="s">
        <v>279</v>
      </c>
      <c r="S29" s="178" t="s">
        <v>284</v>
      </c>
      <c r="T29">
        <v>5.6</v>
      </c>
      <c r="U29" s="178" t="s">
        <v>129</v>
      </c>
      <c r="V29" s="178" t="s">
        <v>287</v>
      </c>
      <c r="W29" s="178" t="s">
        <v>1590</v>
      </c>
      <c r="X29" s="178" t="s">
        <v>1591</v>
      </c>
      <c r="Y29">
        <v>30</v>
      </c>
      <c r="Z29" s="178" t="s">
        <v>282</v>
      </c>
      <c r="AA29" s="178" t="s">
        <v>1341</v>
      </c>
      <c r="AB29" s="178" t="s">
        <v>1592</v>
      </c>
      <c r="AC29" s="178" t="s">
        <v>280</v>
      </c>
      <c r="AD29" s="178" t="s">
        <v>1591</v>
      </c>
      <c r="AF29" s="178" t="s">
        <v>710</v>
      </c>
      <c r="AG29" s="178" t="s">
        <v>1690</v>
      </c>
      <c r="AH29">
        <v>30</v>
      </c>
      <c r="AM29" s="178" t="s">
        <v>1594</v>
      </c>
      <c r="AN29" s="178" t="s">
        <v>228</v>
      </c>
      <c r="AO29" s="178" t="s">
        <v>1595</v>
      </c>
      <c r="AP29" s="178" t="s">
        <v>472</v>
      </c>
      <c r="AQ29" s="178" t="s">
        <v>279</v>
      </c>
      <c r="AR29" s="178" t="s">
        <v>109</v>
      </c>
      <c r="AS29" s="178" t="s">
        <v>199</v>
      </c>
      <c r="AT29" t="s">
        <v>1564</v>
      </c>
      <c r="AU29" s="178" t="s">
        <v>278</v>
      </c>
      <c r="AV29" s="178" t="s">
        <v>1596</v>
      </c>
      <c r="AX29" s="178" t="s">
        <v>88</v>
      </c>
      <c r="AY29" s="178" t="s">
        <v>88</v>
      </c>
      <c r="AZ29" s="178" t="s">
        <v>16</v>
      </c>
      <c r="BA29">
        <v>0.53500000000000003</v>
      </c>
      <c r="BB29">
        <v>1000</v>
      </c>
      <c r="BC29" s="178" t="s">
        <v>88</v>
      </c>
      <c r="BD29" s="178" t="s">
        <v>1591</v>
      </c>
      <c r="BE29" s="30"/>
      <c r="BF29" s="178" t="s">
        <v>88</v>
      </c>
      <c r="BG29">
        <v>5.6</v>
      </c>
      <c r="BH29" s="178" t="s">
        <v>1591</v>
      </c>
      <c r="BI29" s="30">
        <v>100</v>
      </c>
      <c r="BJ29" s="30">
        <v>45295</v>
      </c>
      <c r="BK29" s="178" t="s">
        <v>1591</v>
      </c>
      <c r="BL29" s="178" t="s">
        <v>6</v>
      </c>
      <c r="BM29" s="30">
        <v>45295</v>
      </c>
      <c r="BN29" s="178" t="s">
        <v>709</v>
      </c>
      <c r="BO29" s="178" t="s">
        <v>1600</v>
      </c>
      <c r="BP29" s="178" t="s">
        <v>1601</v>
      </c>
      <c r="BQ29" s="178" t="s">
        <v>277</v>
      </c>
      <c r="BR29" s="178" t="s">
        <v>277</v>
      </c>
      <c r="BS29" s="178" t="s">
        <v>6</v>
      </c>
      <c r="BT29" s="178" t="s">
        <v>275</v>
      </c>
      <c r="BU29" s="178" t="s">
        <v>274</v>
      </c>
      <c r="BV29" s="178" t="s">
        <v>88</v>
      </c>
      <c r="BW29" s="30">
        <v>45295</v>
      </c>
      <c r="BX29" s="178" t="s">
        <v>1585</v>
      </c>
      <c r="BY29" s="178" t="s">
        <v>191</v>
      </c>
      <c r="BZ29" s="178" t="s">
        <v>1704</v>
      </c>
      <c r="CA29" s="178" t="s">
        <v>494</v>
      </c>
      <c r="CB29" s="178" t="s">
        <v>88</v>
      </c>
      <c r="CC29" s="178" t="s">
        <v>193</v>
      </c>
      <c r="CD29">
        <v>432</v>
      </c>
      <c r="CE29" s="30">
        <v>46391</v>
      </c>
      <c r="CF29" s="178" t="s">
        <v>88</v>
      </c>
      <c r="CG29" s="178" t="s">
        <v>1599</v>
      </c>
      <c r="CH29" s="178" t="s">
        <v>88</v>
      </c>
      <c r="CI29" s="178" t="s">
        <v>1585</v>
      </c>
      <c r="CJ29" s="178" t="s">
        <v>555</v>
      </c>
      <c r="CK29">
        <v>1674</v>
      </c>
      <c r="CL29">
        <v>1739</v>
      </c>
      <c r="CM29" s="178" t="s">
        <v>88</v>
      </c>
      <c r="CN29" s="178" t="s">
        <v>88</v>
      </c>
      <c r="CO29" s="178" t="s">
        <v>772</v>
      </c>
      <c r="CP29" s="178" t="s">
        <v>88</v>
      </c>
      <c r="CQ29" s="178" t="s">
        <v>88</v>
      </c>
      <c r="CS29" s="178" t="s">
        <v>88</v>
      </c>
      <c r="CT29" s="178" t="s">
        <v>6</v>
      </c>
      <c r="CU29" s="178" t="s">
        <v>1683</v>
      </c>
      <c r="CV29" s="178" t="s">
        <v>6</v>
      </c>
      <c r="CW29" s="178" t="s">
        <v>6</v>
      </c>
      <c r="CX29">
        <v>3</v>
      </c>
      <c r="CY29" s="178" t="s">
        <v>1205</v>
      </c>
      <c r="CZ29" s="30">
        <v>45295</v>
      </c>
      <c r="DA29" s="178" t="s">
        <v>1691</v>
      </c>
      <c r="DB29" s="178" t="s">
        <v>157</v>
      </c>
      <c r="DC29" s="178" t="s">
        <v>501</v>
      </c>
      <c r="DD29" s="178" t="s">
        <v>784</v>
      </c>
      <c r="DE29" s="178" t="s">
        <v>1682</v>
      </c>
      <c r="DF29" s="30"/>
      <c r="DG29" t="s">
        <v>1</v>
      </c>
      <c r="DJ29" s="178" t="s">
        <v>88</v>
      </c>
      <c r="DK29" s="178" t="s">
        <v>88</v>
      </c>
      <c r="DL29">
        <v>3.9020000000000001</v>
      </c>
      <c r="DM29">
        <v>4.1890000000000001</v>
      </c>
      <c r="DN29" s="178" t="s">
        <v>88</v>
      </c>
      <c r="DO29" s="30">
        <v>45477</v>
      </c>
      <c r="DP29" s="178" t="s">
        <v>1598</v>
      </c>
      <c r="DQ29" s="178" t="s">
        <v>113</v>
      </c>
      <c r="DR29" s="178" t="s">
        <v>276</v>
      </c>
      <c r="DS29" s="178" t="s">
        <v>1597</v>
      </c>
      <c r="DT29">
        <v>0.53500000000000003</v>
      </c>
      <c r="DU29" s="178" t="s">
        <v>88</v>
      </c>
      <c r="DV29" s="178" t="s">
        <v>88</v>
      </c>
      <c r="DW29" s="178" t="s">
        <v>88</v>
      </c>
      <c r="DX29" s="178" t="s">
        <v>88</v>
      </c>
      <c r="DY29" s="178" t="s">
        <v>707</v>
      </c>
      <c r="DZ29" s="178" t="s">
        <v>88</v>
      </c>
      <c r="EA29" s="178" t="s">
        <v>1602</v>
      </c>
      <c r="EB29" s="123">
        <v>45313.905730613427</v>
      </c>
    </row>
    <row r="30" spans="1:132">
      <c r="A30">
        <v>3</v>
      </c>
      <c r="B30" s="178" t="s">
        <v>1641</v>
      </c>
      <c r="C30" s="178" t="s">
        <v>465</v>
      </c>
      <c r="D30" t="s">
        <v>159</v>
      </c>
      <c r="E30" t="s">
        <v>159</v>
      </c>
      <c r="F30" s="178" t="s">
        <v>88</v>
      </c>
      <c r="G30" s="178" t="s">
        <v>88</v>
      </c>
      <c r="H30" s="178" t="s">
        <v>88</v>
      </c>
      <c r="I30" s="178" t="s">
        <v>778</v>
      </c>
      <c r="J30" s="30">
        <v>45289</v>
      </c>
      <c r="K30" s="178" t="s">
        <v>1640</v>
      </c>
      <c r="L30" s="178" t="s">
        <v>1208</v>
      </c>
      <c r="M30" s="178" t="s">
        <v>104</v>
      </c>
      <c r="N30">
        <v>0.1</v>
      </c>
      <c r="O30" s="178" t="s">
        <v>1639</v>
      </c>
      <c r="P30" s="178" t="s">
        <v>712</v>
      </c>
      <c r="Q30" s="178" t="s">
        <v>700</v>
      </c>
      <c r="R30" s="178" t="s">
        <v>279</v>
      </c>
      <c r="S30" s="178" t="s">
        <v>785</v>
      </c>
      <c r="T30">
        <v>4.55</v>
      </c>
      <c r="U30" s="178" t="s">
        <v>776</v>
      </c>
      <c r="V30" s="178" t="s">
        <v>105</v>
      </c>
      <c r="W30" s="178" t="s">
        <v>88</v>
      </c>
      <c r="X30" s="178" t="s">
        <v>88</v>
      </c>
      <c r="Z30" s="178" t="s">
        <v>88</v>
      </c>
      <c r="AA30" s="178" t="s">
        <v>294</v>
      </c>
      <c r="AB30" s="178" t="s">
        <v>88</v>
      </c>
      <c r="AC30" s="178" t="s">
        <v>280</v>
      </c>
      <c r="AD30" s="178" t="s">
        <v>1692</v>
      </c>
      <c r="AF30" s="178" t="s">
        <v>288</v>
      </c>
      <c r="AG30" s="178" t="s">
        <v>88</v>
      </c>
      <c r="AM30" s="178" t="s">
        <v>88</v>
      </c>
      <c r="AN30" s="178" t="s">
        <v>228</v>
      </c>
      <c r="AO30" s="178" t="s">
        <v>295</v>
      </c>
      <c r="AP30" s="178" t="s">
        <v>472</v>
      </c>
      <c r="AQ30" s="178" t="s">
        <v>279</v>
      </c>
      <c r="AR30" s="178" t="s">
        <v>37</v>
      </c>
      <c r="AS30" s="178" t="s">
        <v>198</v>
      </c>
      <c r="AT30" t="s">
        <v>1643</v>
      </c>
      <c r="AU30" s="178" t="s">
        <v>278</v>
      </c>
      <c r="AV30" s="178" t="s">
        <v>285</v>
      </c>
      <c r="AX30" s="178" t="s">
        <v>88</v>
      </c>
      <c r="AY30" s="178" t="s">
        <v>88</v>
      </c>
      <c r="AZ30" s="178" t="s">
        <v>11</v>
      </c>
      <c r="BA30">
        <v>1.2999999999999999E-2</v>
      </c>
      <c r="BB30">
        <v>100000</v>
      </c>
      <c r="BC30" s="178" t="s">
        <v>88</v>
      </c>
      <c r="BD30" s="178" t="s">
        <v>88</v>
      </c>
      <c r="BE30" s="30">
        <v>45327</v>
      </c>
      <c r="BF30" s="178" t="s">
        <v>88</v>
      </c>
      <c r="BG30">
        <v>4.55</v>
      </c>
      <c r="BH30" s="178" t="s">
        <v>88</v>
      </c>
      <c r="BI30" s="30"/>
      <c r="BJ30" s="30">
        <v>45294</v>
      </c>
      <c r="BK30" s="178" t="s">
        <v>88</v>
      </c>
      <c r="BL30" s="178" t="s">
        <v>6</v>
      </c>
      <c r="BM30" s="30">
        <v>45294</v>
      </c>
      <c r="BN30" s="178" t="s">
        <v>88</v>
      </c>
      <c r="BO30" s="178" t="s">
        <v>88</v>
      </c>
      <c r="BP30" s="178" t="s">
        <v>88</v>
      </c>
      <c r="BQ30" s="178" t="s">
        <v>277</v>
      </c>
      <c r="BR30" s="178" t="s">
        <v>277</v>
      </c>
      <c r="BS30" s="178" t="s">
        <v>6</v>
      </c>
      <c r="BT30" s="178" t="s">
        <v>275</v>
      </c>
      <c r="BU30" s="178" t="s">
        <v>1646</v>
      </c>
      <c r="BV30" s="178" t="s">
        <v>88</v>
      </c>
      <c r="BW30" s="30">
        <v>45294</v>
      </c>
      <c r="BX30" s="178" t="s">
        <v>1638</v>
      </c>
      <c r="BY30" s="178" t="s">
        <v>191</v>
      </c>
      <c r="BZ30" s="178" t="s">
        <v>1706</v>
      </c>
      <c r="CA30" s="178" t="s">
        <v>88</v>
      </c>
      <c r="CB30" s="178" t="s">
        <v>88</v>
      </c>
      <c r="CC30" s="178" t="s">
        <v>105</v>
      </c>
      <c r="CD30">
        <v>316</v>
      </c>
      <c r="CE30" s="30">
        <v>45385</v>
      </c>
      <c r="CF30" s="178" t="s">
        <v>88</v>
      </c>
      <c r="CG30" s="178" t="s">
        <v>1645</v>
      </c>
      <c r="CH30" s="178" t="s">
        <v>1638</v>
      </c>
      <c r="CI30" s="178" t="s">
        <v>88</v>
      </c>
      <c r="CJ30" s="178" t="s">
        <v>88</v>
      </c>
      <c r="CM30" s="178" t="s">
        <v>88</v>
      </c>
      <c r="CN30" s="178" t="s">
        <v>88</v>
      </c>
      <c r="CO30" s="178" t="s">
        <v>772</v>
      </c>
      <c r="CP30" s="178" t="s">
        <v>88</v>
      </c>
      <c r="CQ30" s="178" t="s">
        <v>88</v>
      </c>
      <c r="CS30" s="178" t="s">
        <v>1298</v>
      </c>
      <c r="CT30" s="178" t="s">
        <v>6</v>
      </c>
      <c r="CU30" s="178" t="s">
        <v>1685</v>
      </c>
      <c r="CV30" s="178" t="s">
        <v>505</v>
      </c>
      <c r="CW30" s="178" t="s">
        <v>518</v>
      </c>
      <c r="CX30">
        <v>2</v>
      </c>
      <c r="CY30" s="178" t="s">
        <v>1693</v>
      </c>
      <c r="CZ30" s="30">
        <v>45294</v>
      </c>
      <c r="DA30" s="178" t="s">
        <v>88</v>
      </c>
      <c r="DB30" s="178" t="s">
        <v>156</v>
      </c>
      <c r="DC30" s="178" t="s">
        <v>6</v>
      </c>
      <c r="DD30" s="178" t="s">
        <v>88</v>
      </c>
      <c r="DE30" s="178" t="s">
        <v>88</v>
      </c>
      <c r="DF30" s="30"/>
      <c r="DG30" t="s">
        <v>80</v>
      </c>
      <c r="DJ30" s="178" t="s">
        <v>88</v>
      </c>
      <c r="DK30" s="178" t="s">
        <v>88</v>
      </c>
      <c r="DL30">
        <v>9.2999999999999999E-2</v>
      </c>
      <c r="DM30">
        <v>0.1</v>
      </c>
      <c r="DN30" s="178" t="s">
        <v>88</v>
      </c>
      <c r="DO30" s="30">
        <v>45385</v>
      </c>
      <c r="DP30" s="178" t="s">
        <v>1644</v>
      </c>
      <c r="DQ30" s="178" t="s">
        <v>711</v>
      </c>
      <c r="DR30" s="178" t="s">
        <v>276</v>
      </c>
      <c r="DS30" s="178" t="s">
        <v>88</v>
      </c>
      <c r="DT30">
        <v>0.1</v>
      </c>
      <c r="DU30" s="178" t="s">
        <v>88</v>
      </c>
      <c r="DV30" s="178" t="s">
        <v>88</v>
      </c>
      <c r="DW30" s="178" t="s">
        <v>88</v>
      </c>
      <c r="DX30" s="178" t="s">
        <v>88</v>
      </c>
      <c r="DY30" s="178" t="s">
        <v>702</v>
      </c>
      <c r="DZ30" s="178" t="s">
        <v>88</v>
      </c>
      <c r="EA30" s="178" t="s">
        <v>1647</v>
      </c>
      <c r="EB30" s="123">
        <v>45313.905730613427</v>
      </c>
    </row>
    <row r="31" spans="1:132">
      <c r="A31">
        <v>2</v>
      </c>
      <c r="B31" s="178" t="s">
        <v>1666</v>
      </c>
      <c r="C31" s="178" t="s">
        <v>88</v>
      </c>
      <c r="D31" t="s">
        <v>778</v>
      </c>
      <c r="E31" t="s">
        <v>778</v>
      </c>
      <c r="F31" s="178" t="s">
        <v>88</v>
      </c>
      <c r="G31" s="178" t="s">
        <v>88</v>
      </c>
      <c r="H31" s="178" t="s">
        <v>88</v>
      </c>
      <c r="I31" s="178" t="s">
        <v>778</v>
      </c>
      <c r="J31" s="30">
        <v>45288</v>
      </c>
      <c r="K31" s="178" t="s">
        <v>1665</v>
      </c>
      <c r="L31" s="178" t="s">
        <v>79</v>
      </c>
      <c r="M31" s="178" t="s">
        <v>81</v>
      </c>
      <c r="N31">
        <v>0.56999999999999995</v>
      </c>
      <c r="O31" s="178" t="s">
        <v>1664</v>
      </c>
      <c r="P31" s="178" t="s">
        <v>279</v>
      </c>
      <c r="Q31" s="178" t="s">
        <v>279</v>
      </c>
      <c r="R31" s="178" t="s">
        <v>279</v>
      </c>
      <c r="S31" s="178" t="s">
        <v>284</v>
      </c>
      <c r="T31">
        <v>5.6</v>
      </c>
      <c r="U31" s="178" t="s">
        <v>129</v>
      </c>
      <c r="V31" s="178" t="s">
        <v>283</v>
      </c>
      <c r="W31" s="178" t="s">
        <v>1667</v>
      </c>
      <c r="X31" s="178" t="s">
        <v>88</v>
      </c>
      <c r="Z31" s="178" t="s">
        <v>282</v>
      </c>
      <c r="AA31" s="178" t="s">
        <v>708</v>
      </c>
      <c r="AB31" s="178" t="s">
        <v>1388</v>
      </c>
      <c r="AC31" s="178" t="s">
        <v>280</v>
      </c>
      <c r="AD31" s="178" t="s">
        <v>1591</v>
      </c>
      <c r="AF31" s="178" t="s">
        <v>710</v>
      </c>
      <c r="AG31" s="178" t="s">
        <v>1694</v>
      </c>
      <c r="AM31" s="178" t="s">
        <v>1669</v>
      </c>
      <c r="AN31" s="178" t="s">
        <v>228</v>
      </c>
      <c r="AO31" s="178" t="s">
        <v>695</v>
      </c>
      <c r="AP31" s="178" t="s">
        <v>472</v>
      </c>
      <c r="AQ31" s="178" t="s">
        <v>279</v>
      </c>
      <c r="AR31" s="178" t="s">
        <v>107</v>
      </c>
      <c r="AS31" s="178" t="s">
        <v>199</v>
      </c>
      <c r="AT31" t="s">
        <v>1564</v>
      </c>
      <c r="AU31" s="178" t="s">
        <v>278</v>
      </c>
      <c r="AV31" s="178" t="s">
        <v>286</v>
      </c>
      <c r="AX31" s="178" t="s">
        <v>88</v>
      </c>
      <c r="AY31" s="178" t="s">
        <v>88</v>
      </c>
      <c r="AZ31" s="178" t="s">
        <v>16</v>
      </c>
      <c r="BA31">
        <v>0.56999999999999995</v>
      </c>
      <c r="BB31">
        <v>1000</v>
      </c>
      <c r="BC31" s="178" t="s">
        <v>88</v>
      </c>
      <c r="BD31" s="178" t="s">
        <v>501</v>
      </c>
      <c r="BE31" s="30"/>
      <c r="BF31" s="178" t="s">
        <v>88</v>
      </c>
      <c r="BG31">
        <v>5.6</v>
      </c>
      <c r="BH31" s="178" t="s">
        <v>501</v>
      </c>
      <c r="BI31" s="30">
        <v>100</v>
      </c>
      <c r="BJ31" s="30">
        <v>45294</v>
      </c>
      <c r="BK31" s="178" t="s">
        <v>1672</v>
      </c>
      <c r="BL31" s="178" t="s">
        <v>6</v>
      </c>
      <c r="BM31" s="30">
        <v>45294</v>
      </c>
      <c r="BN31" s="178" t="s">
        <v>709</v>
      </c>
      <c r="BO31" s="178" t="s">
        <v>1673</v>
      </c>
      <c r="BP31" s="178" t="s">
        <v>1674</v>
      </c>
      <c r="BQ31" s="178" t="s">
        <v>277</v>
      </c>
      <c r="BR31" s="178" t="s">
        <v>277</v>
      </c>
      <c r="BS31" s="178" t="s">
        <v>6</v>
      </c>
      <c r="BT31" s="178" t="s">
        <v>275</v>
      </c>
      <c r="BU31" s="178" t="s">
        <v>274</v>
      </c>
      <c r="BV31" s="178" t="s">
        <v>88</v>
      </c>
      <c r="BW31" s="30">
        <v>45294</v>
      </c>
      <c r="BX31" s="178" t="s">
        <v>1663</v>
      </c>
      <c r="BY31" s="178" t="s">
        <v>191</v>
      </c>
      <c r="BZ31" s="178" t="s">
        <v>79</v>
      </c>
      <c r="CA31" s="178" t="s">
        <v>494</v>
      </c>
      <c r="CB31" s="178" t="s">
        <v>88</v>
      </c>
      <c r="CC31" s="178" t="s">
        <v>204</v>
      </c>
      <c r="CD31">
        <v>676</v>
      </c>
      <c r="CE31" s="30">
        <v>46390</v>
      </c>
      <c r="CF31" s="178" t="s">
        <v>88</v>
      </c>
      <c r="CG31" s="178" t="s">
        <v>1663</v>
      </c>
      <c r="CH31" s="178" t="s">
        <v>88</v>
      </c>
      <c r="CI31" s="178" t="s">
        <v>88</v>
      </c>
      <c r="CJ31" s="178" t="s">
        <v>545</v>
      </c>
      <c r="CK31">
        <v>1672</v>
      </c>
      <c r="CL31">
        <v>1737</v>
      </c>
      <c r="CM31" s="178" t="s">
        <v>88</v>
      </c>
      <c r="CN31" s="178" t="s">
        <v>88</v>
      </c>
      <c r="CO31" s="178" t="s">
        <v>192</v>
      </c>
      <c r="CP31" s="178" t="s">
        <v>88</v>
      </c>
      <c r="CQ31" s="178" t="s">
        <v>88</v>
      </c>
      <c r="CS31" s="178" t="s">
        <v>88</v>
      </c>
      <c r="CT31" s="178" t="s">
        <v>6</v>
      </c>
      <c r="CU31" s="178" t="s">
        <v>1686</v>
      </c>
      <c r="CV31" s="178" t="s">
        <v>6</v>
      </c>
      <c r="CW31" s="178" t="s">
        <v>6</v>
      </c>
      <c r="CX31">
        <v>3</v>
      </c>
      <c r="CY31" s="178" t="s">
        <v>1205</v>
      </c>
      <c r="CZ31" s="30">
        <v>45294</v>
      </c>
      <c r="DA31" s="178" t="s">
        <v>1484</v>
      </c>
      <c r="DB31" s="178" t="s">
        <v>157</v>
      </c>
      <c r="DC31" s="178" t="s">
        <v>501</v>
      </c>
      <c r="DD31" s="178" t="s">
        <v>1389</v>
      </c>
      <c r="DE31" s="178" t="s">
        <v>1668</v>
      </c>
      <c r="DF31" s="30"/>
      <c r="DG31" t="s">
        <v>1</v>
      </c>
      <c r="DJ31" s="178" t="s">
        <v>88</v>
      </c>
      <c r="DK31" s="178" t="s">
        <v>88</v>
      </c>
      <c r="DL31">
        <v>4.157</v>
      </c>
      <c r="DM31">
        <v>4.4630000000000001</v>
      </c>
      <c r="DN31" s="178" t="s">
        <v>88</v>
      </c>
      <c r="DO31" s="30">
        <v>45476</v>
      </c>
      <c r="DP31" s="178" t="s">
        <v>1671</v>
      </c>
      <c r="DQ31" s="178" t="s">
        <v>113</v>
      </c>
      <c r="DR31" s="178" t="s">
        <v>276</v>
      </c>
      <c r="DS31" s="178" t="s">
        <v>1670</v>
      </c>
      <c r="DT31">
        <v>0.56999999999999995</v>
      </c>
      <c r="DU31" s="178" t="s">
        <v>88</v>
      </c>
      <c r="DV31" s="178" t="s">
        <v>88</v>
      </c>
      <c r="DW31" s="178" t="s">
        <v>88</v>
      </c>
      <c r="DX31" s="178" t="s">
        <v>88</v>
      </c>
      <c r="DY31" s="178" t="s">
        <v>707</v>
      </c>
      <c r="DZ31" s="178" t="s">
        <v>88</v>
      </c>
      <c r="EA31" s="178" t="s">
        <v>1675</v>
      </c>
      <c r="EB31" s="123">
        <v>45313.905730613427</v>
      </c>
    </row>
    <row r="32" spans="1:132">
      <c r="A32">
        <v>1</v>
      </c>
      <c r="B32" s="178" t="s">
        <v>1656</v>
      </c>
      <c r="C32" s="178" t="s">
        <v>88</v>
      </c>
      <c r="D32" t="s">
        <v>778</v>
      </c>
      <c r="E32" t="s">
        <v>778</v>
      </c>
      <c r="F32" s="178" t="s">
        <v>88</v>
      </c>
      <c r="G32" s="178" t="s">
        <v>88</v>
      </c>
      <c r="H32" s="178" t="s">
        <v>88</v>
      </c>
      <c r="I32" s="178" t="s">
        <v>779</v>
      </c>
      <c r="J32" s="30">
        <v>45288</v>
      </c>
      <c r="K32" s="178" t="s">
        <v>1655</v>
      </c>
      <c r="L32" s="178" t="s">
        <v>79</v>
      </c>
      <c r="M32" s="178" t="s">
        <v>102</v>
      </c>
      <c r="N32">
        <v>3</v>
      </c>
      <c r="O32" s="178" t="s">
        <v>1654</v>
      </c>
      <c r="P32" s="178" t="s">
        <v>279</v>
      </c>
      <c r="Q32" s="178" t="s">
        <v>279</v>
      </c>
      <c r="R32" s="178" t="s">
        <v>279</v>
      </c>
      <c r="S32" s="178" t="s">
        <v>284</v>
      </c>
      <c r="T32">
        <v>4.8</v>
      </c>
      <c r="U32" s="178" t="s">
        <v>129</v>
      </c>
      <c r="V32" s="178" t="s">
        <v>283</v>
      </c>
      <c r="W32" s="178" t="s">
        <v>88</v>
      </c>
      <c r="X32" s="178" t="s">
        <v>88</v>
      </c>
      <c r="Z32" s="178" t="s">
        <v>282</v>
      </c>
      <c r="AA32" s="178" t="s">
        <v>708</v>
      </c>
      <c r="AB32" s="178" t="s">
        <v>569</v>
      </c>
      <c r="AC32" s="178" t="s">
        <v>280</v>
      </c>
      <c r="AD32" s="178" t="s">
        <v>1576</v>
      </c>
      <c r="AF32" s="178" t="s">
        <v>795</v>
      </c>
      <c r="AG32" s="178" t="s">
        <v>88</v>
      </c>
      <c r="AM32" s="178" t="s">
        <v>1658</v>
      </c>
      <c r="AN32" s="178" t="s">
        <v>228</v>
      </c>
      <c r="AO32" s="178" t="s">
        <v>695</v>
      </c>
      <c r="AP32" s="178" t="s">
        <v>472</v>
      </c>
      <c r="AQ32" s="178" t="s">
        <v>279</v>
      </c>
      <c r="AR32" s="178" t="s">
        <v>107</v>
      </c>
      <c r="AS32" s="178" t="s">
        <v>199</v>
      </c>
      <c r="AT32" t="s">
        <v>1579</v>
      </c>
      <c r="AU32" s="178" t="s">
        <v>278</v>
      </c>
      <c r="AV32" s="178" t="s">
        <v>286</v>
      </c>
      <c r="AX32" s="178" t="s">
        <v>88</v>
      </c>
      <c r="AY32" s="178" t="s">
        <v>88</v>
      </c>
      <c r="AZ32" s="178" t="s">
        <v>18</v>
      </c>
      <c r="BA32">
        <v>0.41099999999999998</v>
      </c>
      <c r="BB32">
        <v>10000</v>
      </c>
      <c r="BC32" s="178" t="s">
        <v>88</v>
      </c>
      <c r="BD32" s="178" t="s">
        <v>88</v>
      </c>
      <c r="BE32" s="30"/>
      <c r="BF32" s="178" t="s">
        <v>88</v>
      </c>
      <c r="BG32">
        <v>4.8</v>
      </c>
      <c r="BH32" s="178" t="s">
        <v>88</v>
      </c>
      <c r="BI32" s="30">
        <v>100</v>
      </c>
      <c r="BJ32" s="30">
        <v>45299</v>
      </c>
      <c r="BK32" s="178" t="s">
        <v>88</v>
      </c>
      <c r="BL32" s="178" t="s">
        <v>6</v>
      </c>
      <c r="BM32" s="30">
        <v>45299</v>
      </c>
      <c r="BN32" s="178" t="s">
        <v>88</v>
      </c>
      <c r="BO32" s="178" t="s">
        <v>1660</v>
      </c>
      <c r="BP32" s="178" t="s">
        <v>1661</v>
      </c>
      <c r="BQ32" s="178" t="s">
        <v>277</v>
      </c>
      <c r="BR32" s="178" t="s">
        <v>277</v>
      </c>
      <c r="BS32" s="178" t="s">
        <v>6</v>
      </c>
      <c r="BT32" s="178" t="s">
        <v>275</v>
      </c>
      <c r="BU32" s="178" t="s">
        <v>274</v>
      </c>
      <c r="BV32" s="178" t="s">
        <v>88</v>
      </c>
      <c r="BW32" s="30">
        <v>45299</v>
      </c>
      <c r="BX32" s="178" t="s">
        <v>1653</v>
      </c>
      <c r="BY32" s="178" t="s">
        <v>191</v>
      </c>
      <c r="BZ32" s="178" t="s">
        <v>79</v>
      </c>
      <c r="CA32" s="178" t="s">
        <v>1504</v>
      </c>
      <c r="CB32" s="178" t="s">
        <v>88</v>
      </c>
      <c r="CC32" s="178" t="s">
        <v>204</v>
      </c>
      <c r="CD32">
        <v>1047</v>
      </c>
      <c r="CE32" s="30">
        <v>46395</v>
      </c>
      <c r="CF32" s="178" t="s">
        <v>88</v>
      </c>
      <c r="CG32" s="178" t="s">
        <v>1653</v>
      </c>
      <c r="CH32" s="178" t="s">
        <v>88</v>
      </c>
      <c r="CI32" s="178" t="s">
        <v>88</v>
      </c>
      <c r="CJ32" s="178" t="s">
        <v>569</v>
      </c>
      <c r="CK32">
        <v>1673</v>
      </c>
      <c r="CL32">
        <v>1738</v>
      </c>
      <c r="CM32" s="178" t="s">
        <v>88</v>
      </c>
      <c r="CN32" s="178" t="s">
        <v>88</v>
      </c>
      <c r="CO32" s="178" t="s">
        <v>192</v>
      </c>
      <c r="CP32" s="178" t="s">
        <v>88</v>
      </c>
      <c r="CQ32" s="178" t="s">
        <v>88</v>
      </c>
      <c r="CS32" s="178" t="s">
        <v>88</v>
      </c>
      <c r="CT32" s="178" t="s">
        <v>6</v>
      </c>
      <c r="CU32" s="178" t="s">
        <v>1719</v>
      </c>
      <c r="CV32" s="178" t="s">
        <v>6</v>
      </c>
      <c r="CW32" s="178" t="s">
        <v>6</v>
      </c>
      <c r="CX32">
        <v>6</v>
      </c>
      <c r="CY32" s="178" t="s">
        <v>1695</v>
      </c>
      <c r="CZ32" s="30">
        <v>45299</v>
      </c>
      <c r="DA32" s="178" t="s">
        <v>88</v>
      </c>
      <c r="DB32" s="178" t="s">
        <v>157</v>
      </c>
      <c r="DC32" s="178" t="s">
        <v>524</v>
      </c>
      <c r="DD32" s="178" t="s">
        <v>1657</v>
      </c>
      <c r="DE32" s="178" t="s">
        <v>88</v>
      </c>
      <c r="DF32" s="30"/>
      <c r="DG32" t="s">
        <v>1</v>
      </c>
      <c r="DJ32" s="178" t="s">
        <v>88</v>
      </c>
      <c r="DK32" s="178" t="s">
        <v>88</v>
      </c>
      <c r="DL32">
        <v>3</v>
      </c>
      <c r="DM32">
        <v>3.22</v>
      </c>
      <c r="DN32" s="178" t="s">
        <v>88</v>
      </c>
      <c r="DO32" s="30">
        <v>45481</v>
      </c>
      <c r="DP32" s="178" t="s">
        <v>1659</v>
      </c>
      <c r="DQ32" s="178" t="s">
        <v>113</v>
      </c>
      <c r="DR32" s="178" t="s">
        <v>276</v>
      </c>
      <c r="DS32" s="178" t="s">
        <v>88</v>
      </c>
      <c r="DT32">
        <v>3</v>
      </c>
      <c r="DU32" s="178" t="s">
        <v>88</v>
      </c>
      <c r="DV32" s="178" t="s">
        <v>88</v>
      </c>
      <c r="DW32" s="178" t="s">
        <v>88</v>
      </c>
      <c r="DX32" s="178" t="s">
        <v>88</v>
      </c>
      <c r="DY32" s="178" t="s">
        <v>1472</v>
      </c>
      <c r="DZ32" s="178" t="s">
        <v>88</v>
      </c>
      <c r="EA32" s="178" t="s">
        <v>1662</v>
      </c>
      <c r="EB32" s="123">
        <v>45313.905730613427</v>
      </c>
    </row>
  </sheetData>
  <phoneticPr fontId="1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Q36"/>
  <sheetViews>
    <sheetView zoomScale="85" zoomScaleNormal="85" workbookViewId="0">
      <selection activeCell="H12" sqref="H12"/>
    </sheetView>
  </sheetViews>
  <sheetFormatPr defaultRowHeight="15"/>
  <cols>
    <col min="1" max="1" width="11.109375" style="1" bestFit="1" customWidth="1"/>
    <col min="2" max="2" width="7.33203125" style="1" bestFit="1" customWidth="1"/>
    <col min="3" max="3" width="8.6640625" style="1" bestFit="1" customWidth="1"/>
    <col min="4" max="4" width="13.33203125" style="1" bestFit="1" customWidth="1"/>
    <col min="5" max="5" width="7.109375" style="1" bestFit="1" customWidth="1"/>
    <col min="6" max="6" width="8.44140625" style="1" bestFit="1" customWidth="1"/>
    <col min="7" max="7" width="13.33203125" style="1" bestFit="1" customWidth="1"/>
    <col min="8" max="8" width="33.21875" style="1" bestFit="1" customWidth="1"/>
    <col min="9" max="9" width="10.33203125" style="1" bestFit="1" customWidth="1"/>
    <col min="10" max="10" width="9.21875" style="1" bestFit="1" customWidth="1"/>
    <col min="11" max="11" width="11.109375" style="1" bestFit="1" customWidth="1"/>
    <col min="12" max="12" width="12.5546875" style="1" bestFit="1" customWidth="1"/>
    <col min="13" max="13" width="5.88671875" style="1" bestFit="1" customWidth="1"/>
    <col min="14" max="14" width="8.5546875" style="1" bestFit="1" customWidth="1"/>
    <col min="15" max="15" width="5.88671875" style="1" bestFit="1" customWidth="1"/>
    <col min="16" max="16" width="8.88671875" style="1" bestFit="1" customWidth="1"/>
    <col min="17" max="17" width="11.33203125" style="1" bestFit="1" customWidth="1"/>
    <col min="18" max="18" width="5.77734375" style="1" bestFit="1" customWidth="1"/>
    <col min="19" max="19" width="9.21875" style="1" bestFit="1" customWidth="1"/>
    <col min="20" max="20" width="24.6640625" style="1" bestFit="1" customWidth="1"/>
    <col min="21" max="21" width="9.21875" style="1" bestFit="1" customWidth="1"/>
    <col min="22" max="22" width="61" style="1" bestFit="1" customWidth="1"/>
    <col min="23" max="24" width="28.109375" style="1" bestFit="1" customWidth="1"/>
    <col min="25" max="25" width="9.21875" style="1" bestFit="1" customWidth="1"/>
    <col min="26" max="26" width="10.33203125" style="1" bestFit="1" customWidth="1"/>
    <col min="27" max="27" width="13.6640625" style="1" bestFit="1" customWidth="1"/>
    <col min="28" max="28" width="8.21875" style="1" bestFit="1" customWidth="1"/>
    <col min="29" max="29" width="10.88671875" style="1" bestFit="1" customWidth="1"/>
    <col min="30" max="30" width="33.21875" style="1" bestFit="1" customWidth="1"/>
    <col min="31" max="31" width="9.21875" style="1" bestFit="1" customWidth="1"/>
    <col min="32" max="32" width="12" style="1" bestFit="1" customWidth="1"/>
    <col min="33" max="33" width="5.6640625" style="1" bestFit="1" customWidth="1"/>
    <col min="34" max="34" width="5.77734375" style="1" bestFit="1" customWidth="1"/>
    <col min="35" max="35" width="5.88671875" style="1" bestFit="1" customWidth="1"/>
    <col min="36" max="36" width="9.21875" style="1" bestFit="1" customWidth="1"/>
    <col min="37" max="37" width="7.5546875" style="1" bestFit="1" customWidth="1"/>
    <col min="38" max="39" width="10.88671875" style="1" bestFit="1" customWidth="1"/>
    <col min="40" max="40" width="9.109375" style="1" bestFit="1" customWidth="1"/>
    <col min="41" max="41" width="9.33203125" style="1" bestFit="1" customWidth="1"/>
    <col min="42" max="42" width="11.33203125" style="1" bestFit="1" customWidth="1"/>
    <col min="43" max="43" width="19.44140625" style="1" bestFit="1" customWidth="1"/>
    <col min="44" max="44" width="8.109375" style="1" bestFit="1" customWidth="1"/>
    <col min="45" max="45" width="12" style="1" bestFit="1" customWidth="1"/>
    <col min="46" max="46" width="7.5546875" style="1" bestFit="1" customWidth="1"/>
    <col min="47" max="47" width="9.21875" style="1" bestFit="1" customWidth="1"/>
    <col min="48" max="48" width="48.33203125" style="1" bestFit="1" customWidth="1"/>
    <col min="49" max="49" width="7.6640625" style="1" bestFit="1" customWidth="1"/>
    <col min="50" max="50" width="15.21875" style="1" bestFit="1" customWidth="1"/>
    <col min="51" max="51" width="5.88671875" style="1" bestFit="1" customWidth="1"/>
    <col min="52" max="52" width="11.109375" style="1" bestFit="1" customWidth="1"/>
    <col min="53" max="53" width="8.77734375" style="1" bestFit="1" customWidth="1"/>
    <col min="54" max="55" width="9.21875" style="1" bestFit="1" customWidth="1"/>
    <col min="56" max="56" width="7" style="1" bestFit="1" customWidth="1"/>
    <col min="57" max="57" width="9.21875" style="1" bestFit="1" customWidth="1"/>
    <col min="58" max="58" width="5.5546875" style="1" bestFit="1" customWidth="1"/>
    <col min="59" max="59" width="9.21875" style="1" bestFit="1" customWidth="1"/>
    <col min="60" max="60" width="11.44140625" style="1" bestFit="1" customWidth="1"/>
    <col min="61" max="61" width="9.109375" style="1" bestFit="1" customWidth="1"/>
    <col min="62" max="62" width="12.5546875" style="1" bestFit="1" customWidth="1"/>
    <col min="63" max="63" width="7.6640625" style="1" bestFit="1" customWidth="1"/>
    <col min="64" max="66" width="9.21875" style="1" bestFit="1" customWidth="1"/>
    <col min="67" max="67" width="6" style="1" bestFit="1" customWidth="1"/>
    <col min="68" max="68" width="5.88671875" style="1" bestFit="1" customWidth="1"/>
    <col min="69" max="69" width="6" style="1" bestFit="1" customWidth="1"/>
    <col min="70" max="70" width="7.6640625" style="1" bestFit="1" customWidth="1"/>
    <col min="71" max="71" width="10.88671875" style="1" bestFit="1" customWidth="1"/>
    <col min="72" max="72" width="13.33203125" style="1" bestFit="1" customWidth="1"/>
    <col min="73" max="73" width="9.33203125" style="1" bestFit="1" customWidth="1"/>
    <col min="74" max="74" width="14.21875" style="1" bestFit="1" customWidth="1"/>
    <col min="75" max="75" width="10.33203125" style="1" bestFit="1" customWidth="1"/>
    <col min="76" max="76" width="10.5546875" style="1" bestFit="1" customWidth="1"/>
    <col min="77" max="77" width="9.6640625" style="1" customWidth="1"/>
    <col min="78" max="78" width="9.5546875" style="1" bestFit="1" customWidth="1"/>
    <col min="79" max="79" width="12.109375" style="1" bestFit="1" customWidth="1"/>
    <col min="80" max="80" width="10.5546875" style="1" bestFit="1" customWidth="1"/>
    <col min="81" max="81" width="6.109375" style="1" bestFit="1" customWidth="1"/>
    <col min="82" max="83" width="9.33203125" style="1" bestFit="1" customWidth="1"/>
    <col min="84" max="84" width="11.109375" style="1" bestFit="1" customWidth="1"/>
    <col min="85" max="85" width="13.5546875" style="1" bestFit="1" customWidth="1"/>
    <col min="86" max="86" width="9.6640625" style="1" bestFit="1" customWidth="1"/>
    <col min="87" max="90" width="6.109375" style="1" bestFit="1" customWidth="1"/>
    <col min="91" max="91" width="11.109375" style="1" bestFit="1" customWidth="1"/>
    <col min="92" max="92" width="14.21875" style="1" bestFit="1" customWidth="1"/>
    <col min="93" max="93" width="9.6640625" style="1" bestFit="1" customWidth="1"/>
    <col min="94" max="94" width="9.33203125" style="1" bestFit="1" customWidth="1"/>
    <col min="95" max="95" width="5.88671875" style="1" bestFit="1" customWidth="1"/>
    <col min="96" max="96" width="77.77734375" style="1" bestFit="1" customWidth="1"/>
    <col min="97" max="97" width="9.5546875" style="1" bestFit="1" customWidth="1"/>
    <col min="98" max="98" width="13.21875" style="1" bestFit="1" customWidth="1"/>
    <col min="99" max="99" width="10.33203125" style="1" bestFit="1" customWidth="1"/>
    <col min="100" max="100" width="14" style="1" bestFit="1" customWidth="1"/>
    <col min="101" max="101" width="29" style="1" bestFit="1" customWidth="1"/>
    <col min="102" max="102" width="12.21875" style="1" bestFit="1" customWidth="1"/>
    <col min="103" max="103" width="7.77734375" style="1" bestFit="1" customWidth="1"/>
    <col min="104" max="105" width="9.44140625" style="1" bestFit="1" customWidth="1"/>
    <col min="106" max="106" width="20.109375" style="1" bestFit="1" customWidth="1"/>
    <col min="107" max="107" width="8.6640625" style="1" bestFit="1" customWidth="1"/>
    <col min="108" max="108" width="8.44140625" style="1" bestFit="1" customWidth="1"/>
    <col min="109" max="109" width="8.33203125" style="1" bestFit="1" customWidth="1"/>
    <col min="110" max="110" width="25.88671875" style="1" bestFit="1" customWidth="1"/>
    <col min="111" max="111" width="13.109375" style="1" bestFit="1" customWidth="1"/>
    <col min="112" max="112" width="15.44140625" style="1" bestFit="1" customWidth="1"/>
    <col min="113" max="113" width="6.109375" style="1" bestFit="1" customWidth="1"/>
    <col min="114" max="114" width="11.33203125" style="1" bestFit="1" customWidth="1"/>
    <col min="115" max="115" width="9" style="1" bestFit="1" customWidth="1"/>
    <col min="116" max="117" width="9.44140625" style="1" bestFit="1" customWidth="1"/>
    <col min="118" max="118" width="7.88671875" style="1" bestFit="1" customWidth="1"/>
    <col min="119" max="119" width="7.33203125" style="1" bestFit="1" customWidth="1"/>
    <col min="120" max="120" width="11.109375" style="1" bestFit="1" customWidth="1"/>
    <col min="121" max="121" width="9.44140625" style="1" bestFit="1" customWidth="1"/>
    <col min="122" max="122" width="6.109375" style="1" bestFit="1" customWidth="1"/>
    <col min="123" max="123" width="12.21875" style="1" bestFit="1" customWidth="1"/>
    <col min="124" max="124" width="6.109375" style="1" bestFit="1" customWidth="1"/>
    <col min="125" max="125" width="7.77734375" style="1" bestFit="1" customWidth="1"/>
    <col min="126" max="126" width="8.77734375" style="1" bestFit="1" customWidth="1"/>
    <col min="127" max="127" width="12.77734375" style="1" bestFit="1" customWidth="1"/>
    <col min="128" max="128" width="7.6640625" style="1" bestFit="1" customWidth="1"/>
    <col min="129" max="131" width="9.44140625" style="1" bestFit="1" customWidth="1"/>
    <col min="132" max="135" width="6.109375" style="1" bestFit="1" customWidth="1"/>
    <col min="136" max="136" width="11.109375" style="1" bestFit="1" customWidth="1"/>
    <col min="137" max="137" width="14.21875" style="1" bestFit="1" customWidth="1"/>
    <col min="138" max="138" width="9.6640625" style="1" bestFit="1" customWidth="1"/>
    <col min="139" max="139" width="9.33203125" style="1" bestFit="1" customWidth="1"/>
    <col min="140" max="140" width="5.88671875" style="1" bestFit="1" customWidth="1"/>
    <col min="141" max="141" width="77.77734375" style="1" bestFit="1" customWidth="1"/>
    <col min="142" max="142" width="9.5546875" style="1" bestFit="1" customWidth="1"/>
    <col min="143" max="143" width="12.109375" style="1" bestFit="1" customWidth="1"/>
    <col min="144" max="144" width="21.33203125" style="1" bestFit="1" customWidth="1"/>
    <col min="145" max="145" width="9.33203125" style="1" bestFit="1" customWidth="1"/>
    <col min="146" max="146" width="9.44140625" style="1" bestFit="1" customWidth="1"/>
    <col min="147" max="147" width="6.109375" style="1" bestFit="1" customWidth="1"/>
    <col min="148" max="148" width="9.44140625" style="1" bestFit="1" customWidth="1"/>
    <col min="149" max="149" width="10.21875" style="1" bestFit="1" customWidth="1"/>
    <col min="150" max="150" width="12.6640625" style="1" bestFit="1" customWidth="1"/>
    <col min="151" max="151" width="6.88671875" style="1" bestFit="1" customWidth="1"/>
    <col min="152" max="152" width="80.88671875" style="1" bestFit="1" customWidth="1"/>
    <col min="153" max="153" width="9.44140625" style="1" bestFit="1" customWidth="1"/>
    <col min="154" max="154" width="12.21875" style="1" bestFit="1" customWidth="1"/>
    <col min="155" max="155" width="20.109375" style="1" bestFit="1" customWidth="1"/>
    <col min="156" max="156" width="10.77734375" style="1" bestFit="1" customWidth="1"/>
    <col min="157" max="157" width="16.88671875" style="1" bestFit="1" customWidth="1"/>
    <col min="158" max="158" width="5.88671875" style="1" bestFit="1" customWidth="1"/>
    <col min="159" max="159" width="13.109375" style="1" bestFit="1" customWidth="1"/>
    <col min="160" max="160" width="15.44140625" style="1" bestFit="1" customWidth="1"/>
    <col min="161" max="161" width="6.109375" style="1" bestFit="1" customWidth="1"/>
    <col min="162" max="162" width="11.33203125" style="1" bestFit="1" customWidth="1"/>
    <col min="163" max="163" width="9.44140625" style="1" bestFit="1" customWidth="1"/>
    <col min="164" max="164" width="9" style="1" bestFit="1" customWidth="1"/>
    <col min="165" max="166" width="9.44140625" style="1" bestFit="1" customWidth="1"/>
    <col min="167" max="167" width="11.6640625" style="1" bestFit="1" customWidth="1"/>
    <col min="168" max="168" width="11.77734375" style="1" bestFit="1" customWidth="1"/>
    <col min="169" max="170" width="14.33203125" style="1" bestFit="1" customWidth="1"/>
    <col min="171" max="171" width="14.44140625" style="1" bestFit="1" customWidth="1"/>
    <col min="172" max="172" width="9.44140625" style="1" bestFit="1" customWidth="1"/>
    <col min="173" max="173" width="11.109375" style="1" bestFit="1" customWidth="1"/>
    <col min="174" max="174" width="9.44140625" style="1" bestFit="1" customWidth="1"/>
    <col min="175" max="175" width="11.5546875" style="1" bestFit="1" customWidth="1"/>
    <col min="176" max="176" width="14" style="1" bestFit="1" customWidth="1"/>
    <col min="177" max="177" width="10.5546875" style="1" bestFit="1" customWidth="1"/>
    <col min="178" max="178" width="7.88671875" style="1" bestFit="1" customWidth="1"/>
    <col min="179" max="179" width="8.77734375" style="1" bestFit="1" customWidth="1"/>
    <col min="180" max="180" width="12.77734375" style="1" bestFit="1" customWidth="1"/>
    <col min="181" max="181" width="7.6640625" style="1" bestFit="1" customWidth="1"/>
    <col min="182" max="184" width="9.44140625" style="1" bestFit="1" customWidth="1"/>
    <col min="185" max="188" width="6.109375" style="1" bestFit="1" customWidth="1"/>
    <col min="189" max="189" width="11.109375" style="1" bestFit="1" customWidth="1"/>
    <col min="190" max="190" width="14.21875" style="1" bestFit="1" customWidth="1"/>
    <col min="191" max="191" width="9.6640625" style="1" bestFit="1" customWidth="1"/>
    <col min="192" max="192" width="9.33203125" style="1" bestFit="1" customWidth="1"/>
    <col min="193" max="193" width="5.88671875" style="1" bestFit="1" customWidth="1"/>
    <col min="194" max="194" width="77.77734375" style="1" bestFit="1" customWidth="1"/>
    <col min="195" max="195" width="9.5546875" style="1" bestFit="1" customWidth="1"/>
    <col min="196" max="198" width="15.21875" style="1" bestFit="1" customWidth="1"/>
    <col min="199" max="199" width="9.33203125" style="1" bestFit="1" customWidth="1"/>
    <col min="200" max="200" width="10.88671875" style="1" bestFit="1" customWidth="1"/>
    <col min="201" max="201" width="13.33203125" style="1" bestFit="1" customWidth="1"/>
    <col min="202" max="202" width="9.44140625" style="1" bestFit="1" customWidth="1"/>
    <col min="203" max="203" width="9.109375" style="1" customWidth="1"/>
    <col min="204" max="204" width="9.33203125" style="1" bestFit="1" customWidth="1"/>
    <col min="205" max="205" width="11.109375" style="1" bestFit="1" customWidth="1"/>
    <col min="206" max="206" width="13.5546875" style="1" bestFit="1" customWidth="1"/>
    <col min="207" max="208" width="9.33203125" style="1" bestFit="1" customWidth="1"/>
    <col min="209" max="211" width="6.109375" style="1" bestFit="1" customWidth="1"/>
    <col min="212" max="212" width="11.109375" style="1" bestFit="1" customWidth="1"/>
    <col min="213" max="213" width="13.5546875" style="1" bestFit="1" customWidth="1"/>
    <col min="214" max="214" width="6.109375" style="1" bestFit="1" customWidth="1"/>
    <col min="215" max="215" width="9.33203125" style="1" bestFit="1" customWidth="1"/>
    <col min="216" max="216" width="9.21875" style="1" bestFit="1" customWidth="1"/>
    <col min="217" max="217" width="10.33203125" style="1" bestFit="1" customWidth="1"/>
    <col min="218" max="218" width="9.33203125" style="1" bestFit="1" customWidth="1"/>
    <col min="219" max="220" width="6" style="1" bestFit="1" customWidth="1"/>
    <col min="221" max="221" width="9.21875" style="1" bestFit="1" customWidth="1"/>
    <col min="222" max="222" width="7.5546875" style="1" bestFit="1" customWidth="1"/>
    <col min="223" max="223" width="14.88671875" style="1" bestFit="1" customWidth="1"/>
    <col min="224" max="224" width="31.5546875" style="1" bestFit="1" customWidth="1"/>
    <col min="225" max="226" width="9.21875" style="1" bestFit="1" customWidth="1"/>
    <col min="227" max="227" width="12.5546875" style="1" bestFit="1" customWidth="1"/>
    <col min="228" max="228" width="37.33203125" style="1" bestFit="1" customWidth="1"/>
    <col min="229" max="229" width="10.33203125" style="1" bestFit="1" customWidth="1"/>
    <col min="230" max="230" width="10.21875" style="1" bestFit="1" customWidth="1"/>
    <col min="231" max="231" width="12" style="1" bestFit="1" customWidth="1"/>
    <col min="232" max="232" width="9.21875" style="1" bestFit="1" customWidth="1"/>
    <col min="233" max="233" width="12.5546875" style="1" bestFit="1" customWidth="1"/>
    <col min="234" max="234" width="10" style="1" bestFit="1" customWidth="1"/>
    <col min="235" max="235" width="21.5546875" style="1" bestFit="1" customWidth="1"/>
    <col min="236" max="236" width="12" style="1" bestFit="1" customWidth="1"/>
    <col min="237" max="237" width="10.88671875" style="1" bestFit="1" customWidth="1"/>
    <col min="238" max="238" width="9.33203125" style="1" bestFit="1" customWidth="1"/>
    <col min="239" max="239" width="5.88671875" style="1" bestFit="1" customWidth="1"/>
    <col min="240" max="240" width="10.88671875" style="1" bestFit="1" customWidth="1"/>
    <col min="241" max="241" width="14.21875" style="1" bestFit="1" customWidth="1"/>
    <col min="242" max="242" width="80.88671875" style="1" bestFit="1" customWidth="1"/>
    <col min="243" max="243" width="9.21875" style="1" bestFit="1" customWidth="1"/>
    <col min="244" max="244" width="11" style="1" bestFit="1" customWidth="1"/>
    <col min="245" max="245" width="80.88671875" style="1" bestFit="1" customWidth="1"/>
    <col min="246" max="247" width="9.21875" style="1" bestFit="1" customWidth="1"/>
    <col min="248" max="248" width="7.6640625" style="1" bestFit="1" customWidth="1"/>
    <col min="249" max="250" width="6.77734375" style="1" bestFit="1" customWidth="1"/>
    <col min="251" max="251" width="5.88671875" style="1" bestFit="1" customWidth="1"/>
    <col min="252" max="252" width="7.6640625" style="1" bestFit="1" customWidth="1"/>
    <col min="253" max="254" width="6.77734375" style="1" bestFit="1" customWidth="1"/>
    <col min="255" max="255" width="6.109375" style="1" bestFit="1" customWidth="1"/>
    <col min="256" max="256" width="14.88671875" style="1" bestFit="1" customWidth="1"/>
    <col min="257" max="257" width="9.44140625" style="1" bestFit="1" customWidth="1"/>
    <col min="258" max="258" width="8.109375" style="1" bestFit="1" customWidth="1"/>
    <col min="259" max="259" width="7.33203125" style="1" bestFit="1" customWidth="1"/>
    <col min="260" max="260" width="9.44140625" style="1" bestFit="1" customWidth="1"/>
    <col min="261" max="261" width="14" style="1" bestFit="1" customWidth="1"/>
    <col min="262" max="262" width="13.109375" style="1" bestFit="1" customWidth="1"/>
    <col min="263" max="263" width="16.5546875" style="1" bestFit="1" customWidth="1"/>
    <col min="264" max="264" width="11.109375" style="1" bestFit="1" customWidth="1"/>
    <col min="265" max="265" width="14.44140625" style="1" bestFit="1" customWidth="1"/>
    <col min="266" max="266" width="10" style="1" bestFit="1" customWidth="1"/>
    <col min="267" max="267" width="10.33203125" style="1" bestFit="1" customWidth="1"/>
    <col min="268" max="268" width="9.44140625" style="1" bestFit="1" customWidth="1"/>
    <col min="269" max="269" width="12.6640625" style="1" bestFit="1" customWidth="1"/>
    <col min="270" max="270" width="15.5546875" style="1" bestFit="1" customWidth="1"/>
    <col min="271" max="271" width="9.44140625" style="1" bestFit="1" customWidth="1"/>
    <col min="272" max="272" width="7.6640625" style="1" bestFit="1" customWidth="1"/>
    <col min="273" max="273" width="8.109375" style="1" bestFit="1" customWidth="1"/>
    <col min="274" max="275" width="6.77734375" style="1" bestFit="1" customWidth="1"/>
    <col min="276" max="276" width="6.109375" style="1" bestFit="1" customWidth="1"/>
    <col min="277" max="277" width="14.88671875" style="1" bestFit="1" customWidth="1"/>
    <col min="278" max="278" width="9.44140625" style="1" bestFit="1" customWidth="1"/>
    <col min="279" max="279" width="8.109375" style="1" customWidth="1"/>
    <col min="280" max="280" width="9.44140625" style="1" bestFit="1" customWidth="1"/>
    <col min="281" max="281" width="12.77734375" style="1" bestFit="1" customWidth="1"/>
    <col min="282" max="284" width="9.44140625" style="1" bestFit="1" customWidth="1"/>
    <col min="285" max="285" width="8.33203125" style="1" bestFit="1" customWidth="1"/>
    <col min="286" max="286" width="12.77734375" style="1" bestFit="1" customWidth="1"/>
    <col min="287" max="287" width="9.33203125" style="1" bestFit="1" customWidth="1"/>
    <col min="288" max="289" width="9.44140625" style="1" bestFit="1" customWidth="1"/>
    <col min="290" max="290" width="15.33203125" style="1" bestFit="1" customWidth="1"/>
    <col min="291" max="291" width="6.109375" style="1" bestFit="1" customWidth="1"/>
    <col min="292" max="292" width="9.44140625" style="1" bestFit="1" customWidth="1"/>
    <col min="293" max="293" width="12.6640625" style="1" bestFit="1" customWidth="1"/>
    <col min="294" max="294" width="9.21875" style="1" bestFit="1" customWidth="1"/>
    <col min="295" max="296" width="10.6640625" style="1" bestFit="1" customWidth="1"/>
    <col min="297" max="297" width="6.109375" style="1" bestFit="1" customWidth="1"/>
    <col min="298" max="298" width="15.88671875" style="1" bestFit="1" customWidth="1"/>
    <col min="299" max="299" width="15.6640625" style="1" bestFit="1" customWidth="1"/>
    <col min="300" max="300" width="26.6640625" style="1" bestFit="1" customWidth="1"/>
    <col min="301" max="301" width="12.21875" style="1" bestFit="1" customWidth="1"/>
    <col min="302" max="302" width="17.44140625" style="1" bestFit="1" customWidth="1"/>
    <col min="303" max="303" width="12.21875" style="1" bestFit="1" customWidth="1"/>
    <col min="304" max="304" width="17.44140625" style="1" bestFit="1" customWidth="1"/>
    <col min="305" max="305" width="6.109375" style="1" bestFit="1" customWidth="1"/>
    <col min="306" max="306" width="9.44140625" style="1" bestFit="1" customWidth="1"/>
    <col min="307" max="307" width="12.6640625" style="1" bestFit="1" customWidth="1"/>
    <col min="308" max="308" width="9.21875" style="1" bestFit="1" customWidth="1"/>
    <col min="309" max="309" width="9.33203125" style="1" bestFit="1" customWidth="1"/>
    <col min="310" max="310" width="9.44140625" style="1" bestFit="1" customWidth="1"/>
    <col min="311" max="311" width="6.109375" style="1" bestFit="1" customWidth="1"/>
    <col min="312" max="312" width="15.88671875" style="1" bestFit="1" customWidth="1"/>
    <col min="313" max="313" width="15.6640625" style="1" bestFit="1" customWidth="1"/>
    <col min="314" max="314" width="26" style="1" bestFit="1" customWidth="1"/>
    <col min="315" max="315" width="13.77734375" style="1" bestFit="1" customWidth="1"/>
    <col min="316" max="316" width="10.77734375" style="1" bestFit="1" customWidth="1"/>
    <col min="317" max="317" width="17.44140625" style="1" bestFit="1" customWidth="1"/>
    <col min="318" max="16384" width="8.88671875" style="1"/>
  </cols>
  <sheetData>
    <row r="1" spans="1:95" ht="23.25" customHeight="1">
      <c r="A1" s="135"/>
    </row>
    <row r="2" spans="1:95" ht="45" customHeight="1">
      <c r="E2" s="136" t="s">
        <v>1189</v>
      </c>
    </row>
    <row r="3" spans="1:95" ht="45" customHeight="1"/>
    <row r="4" spans="1:95" ht="45" customHeight="1"/>
    <row r="5" spans="1:95">
      <c r="E5" t="s">
        <v>82</v>
      </c>
      <c r="F5" t="s">
        <v>769</v>
      </c>
      <c r="G5" t="s">
        <v>45</v>
      </c>
      <c r="H5" t="s">
        <v>90</v>
      </c>
      <c r="I5" t="s">
        <v>46</v>
      </c>
      <c r="J5" t="s">
        <v>117</v>
      </c>
      <c r="K5" t="s">
        <v>141</v>
      </c>
      <c r="L5" t="s">
        <v>48</v>
      </c>
      <c r="M5" t="s">
        <v>83</v>
      </c>
      <c r="N5" t="s">
        <v>112</v>
      </c>
      <c r="O5" t="s">
        <v>61</v>
      </c>
      <c r="P5" t="s">
        <v>86</v>
      </c>
      <c r="Q5" t="s">
        <v>87</v>
      </c>
      <c r="R5" t="s">
        <v>118</v>
      </c>
      <c r="S5" t="s">
        <v>292</v>
      </c>
      <c r="T5" t="s">
        <v>540</v>
      </c>
      <c r="U5" t="s">
        <v>169</v>
      </c>
      <c r="V5" t="s">
        <v>67</v>
      </c>
      <c r="W5" t="s">
        <v>68</v>
      </c>
      <c r="X5" t="s">
        <v>78</v>
      </c>
      <c r="Y5" t="s">
        <v>170</v>
      </c>
      <c r="Z5" t="s">
        <v>49</v>
      </c>
      <c r="AA5" t="s">
        <v>1308</v>
      </c>
      <c r="AB5" t="s">
        <v>770</v>
      </c>
      <c r="AC5" t="s">
        <v>261</v>
      </c>
      <c r="AD5" t="s">
        <v>44</v>
      </c>
      <c r="AE5" t="s">
        <v>120</v>
      </c>
      <c r="AF5" t="s">
        <v>54</v>
      </c>
      <c r="AG5" t="s">
        <v>84</v>
      </c>
      <c r="AH5" t="s">
        <v>50</v>
      </c>
      <c r="AI5" t="s">
        <v>130</v>
      </c>
      <c r="AJ5" t="s">
        <v>132</v>
      </c>
      <c r="AK5" t="s">
        <v>56</v>
      </c>
      <c r="AL5" t="s">
        <v>148</v>
      </c>
      <c r="AM5" t="s">
        <v>149</v>
      </c>
      <c r="AN5" t="s">
        <v>1201</v>
      </c>
      <c r="AO5" t="s">
        <v>1202</v>
      </c>
      <c r="AP5" t="s">
        <v>716</v>
      </c>
      <c r="AQ5" t="s">
        <v>119</v>
      </c>
      <c r="AR5" t="s">
        <v>771</v>
      </c>
      <c r="AS5" t="s">
        <v>717</v>
      </c>
      <c r="AT5" t="s">
        <v>718</v>
      </c>
      <c r="AU5" t="s">
        <v>719</v>
      </c>
      <c r="AV5" t="s">
        <v>720</v>
      </c>
      <c r="AW5" t="s">
        <v>466</v>
      </c>
      <c r="AX5" t="s">
        <v>145</v>
      </c>
      <c r="AY5" t="s">
        <v>134</v>
      </c>
      <c r="AZ5" t="s">
        <v>126</v>
      </c>
      <c r="BA5" t="s">
        <v>162</v>
      </c>
      <c r="BB5" t="s">
        <v>161</v>
      </c>
      <c r="BC5" t="s">
        <v>163</v>
      </c>
      <c r="BD5" t="s">
        <v>721</v>
      </c>
      <c r="BE5" t="s">
        <v>165</v>
      </c>
      <c r="BF5" t="s">
        <v>488</v>
      </c>
      <c r="BG5" t="s">
        <v>135</v>
      </c>
      <c r="BH5" t="s">
        <v>136</v>
      </c>
      <c r="BI5" t="s">
        <v>467</v>
      </c>
      <c r="BJ5" t="s">
        <v>537</v>
      </c>
      <c r="BK5" t="s">
        <v>182</v>
      </c>
      <c r="BL5" t="s">
        <v>502</v>
      </c>
      <c r="BM5" t="s">
        <v>503</v>
      </c>
      <c r="BN5" t="s">
        <v>166</v>
      </c>
      <c r="BO5" t="s">
        <v>504</v>
      </c>
      <c r="BP5" t="s">
        <v>85</v>
      </c>
      <c r="BQ5" t="s">
        <v>42</v>
      </c>
      <c r="BR5" t="s">
        <v>43</v>
      </c>
      <c r="BS5" t="s">
        <v>184</v>
      </c>
      <c r="BT5" t="s">
        <v>538</v>
      </c>
      <c r="BU5" t="s">
        <v>133</v>
      </c>
      <c r="BV5" t="s">
        <v>174</v>
      </c>
      <c r="BW5" t="s">
        <v>768</v>
      </c>
    </row>
    <row r="6" spans="1:95">
      <c r="E6">
        <v>31</v>
      </c>
      <c r="F6" t="s">
        <v>1151</v>
      </c>
      <c r="G6" t="s">
        <v>1712</v>
      </c>
      <c r="H6" t="s">
        <v>1711</v>
      </c>
      <c r="I6" s="30">
        <v>45310</v>
      </c>
      <c r="J6" t="s">
        <v>79</v>
      </c>
      <c r="K6" t="s">
        <v>79</v>
      </c>
      <c r="L6" t="s">
        <v>6</v>
      </c>
      <c r="M6" t="s">
        <v>801</v>
      </c>
      <c r="N6" t="s">
        <v>697</v>
      </c>
      <c r="O6" t="s">
        <v>102</v>
      </c>
      <c r="P6" t="s">
        <v>35</v>
      </c>
      <c r="Q6" t="s">
        <v>105</v>
      </c>
      <c r="R6" t="s">
        <v>88</v>
      </c>
      <c r="S6" t="s">
        <v>88</v>
      </c>
      <c r="T6" t="s">
        <v>88</v>
      </c>
      <c r="U6" t="s">
        <v>88</v>
      </c>
      <c r="V6" t="s">
        <v>1715</v>
      </c>
      <c r="W6" t="s">
        <v>88</v>
      </c>
      <c r="X6" t="s">
        <v>88</v>
      </c>
      <c r="Y6" t="s">
        <v>88</v>
      </c>
      <c r="Z6" s="30"/>
      <c r="AA6" s="178" t="s">
        <v>6</v>
      </c>
      <c r="AB6" t="s">
        <v>1151</v>
      </c>
      <c r="AC6" t="s">
        <v>88</v>
      </c>
      <c r="AD6" t="s">
        <v>1711</v>
      </c>
      <c r="AE6" t="s">
        <v>88</v>
      </c>
      <c r="AF6">
        <v>7.57</v>
      </c>
      <c r="AG6" t="s">
        <v>6</v>
      </c>
      <c r="AH6" t="s">
        <v>6</v>
      </c>
      <c r="AI6" t="s">
        <v>6</v>
      </c>
      <c r="AJ6" t="s">
        <v>6</v>
      </c>
      <c r="AK6"/>
      <c r="AL6" t="s">
        <v>6</v>
      </c>
      <c r="AM6" t="s">
        <v>6</v>
      </c>
      <c r="AN6" s="178" t="s">
        <v>1204</v>
      </c>
      <c r="AO6" s="30">
        <v>45316</v>
      </c>
      <c r="AP6" t="s">
        <v>88</v>
      </c>
      <c r="AQ6" t="s">
        <v>1713</v>
      </c>
      <c r="AR6" t="s">
        <v>88</v>
      </c>
      <c r="AS6"/>
      <c r="AT6"/>
      <c r="AU6" t="s">
        <v>88</v>
      </c>
      <c r="AV6" t="s">
        <v>88</v>
      </c>
      <c r="AW6" t="s">
        <v>88</v>
      </c>
      <c r="AX6" t="s">
        <v>88</v>
      </c>
      <c r="AY6" t="s">
        <v>88</v>
      </c>
      <c r="AZ6" t="s">
        <v>6</v>
      </c>
      <c r="BA6" t="s">
        <v>6</v>
      </c>
      <c r="BB6" t="s">
        <v>6</v>
      </c>
      <c r="BC6" t="s">
        <v>6</v>
      </c>
      <c r="BD6" s="178" t="s">
        <v>88</v>
      </c>
      <c r="BE6" t="s">
        <v>88</v>
      </c>
      <c r="BF6" t="s">
        <v>88</v>
      </c>
      <c r="BG6" t="s">
        <v>88</v>
      </c>
      <c r="BH6" t="s">
        <v>88</v>
      </c>
      <c r="BI6" t="s">
        <v>88</v>
      </c>
      <c r="BJ6" t="s">
        <v>88</v>
      </c>
      <c r="BK6" t="s">
        <v>88</v>
      </c>
      <c r="BL6" t="s">
        <v>6</v>
      </c>
      <c r="BM6" t="s">
        <v>6</v>
      </c>
      <c r="BN6" t="s">
        <v>88</v>
      </c>
      <c r="BO6" t="s">
        <v>88</v>
      </c>
      <c r="BP6" t="s">
        <v>88</v>
      </c>
      <c r="BQ6" t="s">
        <v>6</v>
      </c>
      <c r="BR6" t="s">
        <v>6</v>
      </c>
      <c r="BS6" s="123"/>
      <c r="BT6" s="30"/>
      <c r="BU6" t="s">
        <v>185</v>
      </c>
      <c r="BV6" s="123">
        <v>45313.637034560183</v>
      </c>
      <c r="BW6"/>
    </row>
    <row r="7" spans="1:95">
      <c r="E7">
        <v>30</v>
      </c>
      <c r="F7" t="s">
        <v>1151</v>
      </c>
      <c r="G7" t="s">
        <v>1499</v>
      </c>
      <c r="H7" t="s">
        <v>1497</v>
      </c>
      <c r="I7" s="30">
        <v>45310</v>
      </c>
      <c r="J7" t="s">
        <v>79</v>
      </c>
      <c r="K7" t="s">
        <v>79</v>
      </c>
      <c r="L7" t="s">
        <v>1504</v>
      </c>
      <c r="M7" t="s">
        <v>801</v>
      </c>
      <c r="N7" t="s">
        <v>1507</v>
      </c>
      <c r="O7" t="s">
        <v>102</v>
      </c>
      <c r="P7" t="s">
        <v>35</v>
      </c>
      <c r="Q7" t="s">
        <v>193</v>
      </c>
      <c r="R7" t="s">
        <v>88</v>
      </c>
      <c r="S7" t="s">
        <v>88</v>
      </c>
      <c r="T7" t="s">
        <v>88</v>
      </c>
      <c r="U7" t="s">
        <v>88</v>
      </c>
      <c r="V7" t="s">
        <v>1497</v>
      </c>
      <c r="W7" t="s">
        <v>88</v>
      </c>
      <c r="X7" t="s">
        <v>88</v>
      </c>
      <c r="Y7" t="s">
        <v>88</v>
      </c>
      <c r="Z7" s="30">
        <v>46047</v>
      </c>
      <c r="AA7" s="178" t="s">
        <v>6</v>
      </c>
      <c r="AB7" t="s">
        <v>1151</v>
      </c>
      <c r="AC7" t="s">
        <v>88</v>
      </c>
      <c r="AD7" t="s">
        <v>1500</v>
      </c>
      <c r="AE7" t="s">
        <v>88</v>
      </c>
      <c r="AF7">
        <v>5.27</v>
      </c>
      <c r="AG7" t="s">
        <v>6</v>
      </c>
      <c r="AH7" t="s">
        <v>6</v>
      </c>
      <c r="AI7" t="s">
        <v>6</v>
      </c>
      <c r="AJ7" t="s">
        <v>6</v>
      </c>
      <c r="AK7">
        <v>100</v>
      </c>
      <c r="AL7" t="s">
        <v>6</v>
      </c>
      <c r="AM7" t="s">
        <v>6</v>
      </c>
      <c r="AN7" s="178" t="s">
        <v>1204</v>
      </c>
      <c r="AO7" s="30">
        <v>45316</v>
      </c>
      <c r="AP7" t="s">
        <v>88</v>
      </c>
      <c r="AQ7" t="s">
        <v>1510</v>
      </c>
      <c r="AR7" t="s">
        <v>88</v>
      </c>
      <c r="AS7"/>
      <c r="AT7"/>
      <c r="AU7" t="s">
        <v>88</v>
      </c>
      <c r="AV7" t="s">
        <v>88</v>
      </c>
      <c r="AW7" t="s">
        <v>88</v>
      </c>
      <c r="AX7" t="s">
        <v>88</v>
      </c>
      <c r="AY7" t="s">
        <v>88</v>
      </c>
      <c r="AZ7" t="s">
        <v>6</v>
      </c>
      <c r="BA7" t="s">
        <v>6</v>
      </c>
      <c r="BB7" t="s">
        <v>6</v>
      </c>
      <c r="BC7" t="s">
        <v>6</v>
      </c>
      <c r="BD7" s="178"/>
      <c r="BE7" t="s">
        <v>88</v>
      </c>
      <c r="BF7" t="s">
        <v>88</v>
      </c>
      <c r="BG7" t="s">
        <v>88</v>
      </c>
      <c r="BH7" t="s">
        <v>88</v>
      </c>
      <c r="BI7" t="s">
        <v>88</v>
      </c>
      <c r="BJ7" t="s">
        <v>88</v>
      </c>
      <c r="BK7" t="s">
        <v>88</v>
      </c>
      <c r="BL7" t="s">
        <v>6</v>
      </c>
      <c r="BM7" t="s">
        <v>6</v>
      </c>
      <c r="BN7" t="s">
        <v>88</v>
      </c>
      <c r="BO7" t="s">
        <v>88</v>
      </c>
      <c r="BP7" t="s">
        <v>88</v>
      </c>
      <c r="BQ7" t="s">
        <v>6</v>
      </c>
      <c r="BR7" t="s">
        <v>6</v>
      </c>
      <c r="BS7" s="123"/>
      <c r="BT7" s="30"/>
      <c r="BU7" t="s">
        <v>185</v>
      </c>
      <c r="BV7" s="123">
        <v>45313.637034560183</v>
      </c>
      <c r="BW7"/>
      <c r="CH7" s="17"/>
      <c r="CP7" s="17"/>
    </row>
    <row r="8" spans="1:95">
      <c r="E8">
        <v>29</v>
      </c>
      <c r="F8" t="s">
        <v>1151</v>
      </c>
      <c r="G8" t="s">
        <v>1513</v>
      </c>
      <c r="H8" t="s">
        <v>1511</v>
      </c>
      <c r="I8" s="30">
        <v>45310</v>
      </c>
      <c r="J8" t="s">
        <v>79</v>
      </c>
      <c r="K8" t="s">
        <v>79</v>
      </c>
      <c r="L8" t="s">
        <v>1504</v>
      </c>
      <c r="M8" t="s">
        <v>129</v>
      </c>
      <c r="N8" t="s">
        <v>1517</v>
      </c>
      <c r="O8" t="s">
        <v>102</v>
      </c>
      <c r="P8" t="s">
        <v>35</v>
      </c>
      <c r="Q8" t="s">
        <v>193</v>
      </c>
      <c r="R8" t="s">
        <v>88</v>
      </c>
      <c r="S8" t="s">
        <v>88</v>
      </c>
      <c r="T8" t="s">
        <v>88</v>
      </c>
      <c r="U8" t="s">
        <v>88</v>
      </c>
      <c r="V8" t="s">
        <v>1511</v>
      </c>
      <c r="W8" t="s">
        <v>88</v>
      </c>
      <c r="X8" t="s">
        <v>88</v>
      </c>
      <c r="Y8" t="s">
        <v>88</v>
      </c>
      <c r="Z8" s="30">
        <v>46413</v>
      </c>
      <c r="AA8" s="178" t="s">
        <v>6</v>
      </c>
      <c r="AB8" t="s">
        <v>1151</v>
      </c>
      <c r="AC8" t="s">
        <v>88</v>
      </c>
      <c r="AD8" t="s">
        <v>1514</v>
      </c>
      <c r="AE8" t="s">
        <v>88</v>
      </c>
      <c r="AF8">
        <v>10.5</v>
      </c>
      <c r="AG8" t="s">
        <v>1687</v>
      </c>
      <c r="AH8" t="s">
        <v>1517</v>
      </c>
      <c r="AI8" t="s">
        <v>1517</v>
      </c>
      <c r="AJ8">
        <v>15</v>
      </c>
      <c r="AK8">
        <v>100</v>
      </c>
      <c r="AL8" t="s">
        <v>6</v>
      </c>
      <c r="AM8" t="s">
        <v>6</v>
      </c>
      <c r="AN8" s="178" t="s">
        <v>1203</v>
      </c>
      <c r="AO8" s="30">
        <v>45317</v>
      </c>
      <c r="AP8" t="s">
        <v>88</v>
      </c>
      <c r="AQ8" t="s">
        <v>1527</v>
      </c>
      <c r="AR8" t="s">
        <v>88</v>
      </c>
      <c r="AS8"/>
      <c r="AT8"/>
      <c r="AU8" t="s">
        <v>88</v>
      </c>
      <c r="AV8" t="s">
        <v>88</v>
      </c>
      <c r="AW8" t="s">
        <v>88</v>
      </c>
      <c r="AX8" t="s">
        <v>88</v>
      </c>
      <c r="AY8" t="s">
        <v>88</v>
      </c>
      <c r="AZ8" t="s">
        <v>6</v>
      </c>
      <c r="BA8" t="s">
        <v>6</v>
      </c>
      <c r="BB8" t="s">
        <v>6</v>
      </c>
      <c r="BC8" t="s">
        <v>6</v>
      </c>
      <c r="BD8" s="178"/>
      <c r="BE8" t="s">
        <v>88</v>
      </c>
      <c r="BF8" t="s">
        <v>88</v>
      </c>
      <c r="BG8" t="s">
        <v>88</v>
      </c>
      <c r="BH8" t="s">
        <v>88</v>
      </c>
      <c r="BI8" t="s">
        <v>1151</v>
      </c>
      <c r="BJ8" t="s">
        <v>1718</v>
      </c>
      <c r="BK8" t="s">
        <v>199</v>
      </c>
      <c r="BL8" t="s">
        <v>6</v>
      </c>
      <c r="BM8" t="s">
        <v>6</v>
      </c>
      <c r="BN8" t="s">
        <v>157</v>
      </c>
      <c r="BO8" t="s">
        <v>524</v>
      </c>
      <c r="BP8" t="s">
        <v>15</v>
      </c>
      <c r="BQ8" t="s">
        <v>1519</v>
      </c>
      <c r="BR8" t="s">
        <v>6</v>
      </c>
      <c r="BS8" s="123"/>
      <c r="BT8" s="30">
        <v>45310</v>
      </c>
      <c r="BU8" t="s">
        <v>185</v>
      </c>
      <c r="BV8" s="123">
        <v>45313.637034560183</v>
      </c>
      <c r="BW8"/>
      <c r="CI8" s="17"/>
      <c r="CQ8" s="17"/>
    </row>
    <row r="9" spans="1:95">
      <c r="E9">
        <v>28</v>
      </c>
      <c r="F9" t="s">
        <v>1151</v>
      </c>
      <c r="G9" t="s">
        <v>1095</v>
      </c>
      <c r="H9" t="s">
        <v>1096</v>
      </c>
      <c r="I9" s="30">
        <v>45309</v>
      </c>
      <c r="J9" t="s">
        <v>79</v>
      </c>
      <c r="K9" t="s">
        <v>79</v>
      </c>
      <c r="L9" t="s">
        <v>494</v>
      </c>
      <c r="M9" t="s">
        <v>129</v>
      </c>
      <c r="N9" t="s">
        <v>1122</v>
      </c>
      <c r="O9" t="s">
        <v>102</v>
      </c>
      <c r="P9" t="s">
        <v>109</v>
      </c>
      <c r="Q9" t="s">
        <v>193</v>
      </c>
      <c r="R9" t="s">
        <v>88</v>
      </c>
      <c r="S9" t="s">
        <v>88</v>
      </c>
      <c r="T9" t="s">
        <v>553</v>
      </c>
      <c r="U9" t="s">
        <v>88</v>
      </c>
      <c r="V9" t="s">
        <v>1301</v>
      </c>
      <c r="W9" t="s">
        <v>88</v>
      </c>
      <c r="X9" t="s">
        <v>1096</v>
      </c>
      <c r="Y9" t="s">
        <v>88</v>
      </c>
      <c r="Z9" s="30">
        <v>46412</v>
      </c>
      <c r="AA9" s="178" t="s">
        <v>6</v>
      </c>
      <c r="AB9" t="s">
        <v>1151</v>
      </c>
      <c r="AC9" t="s">
        <v>88</v>
      </c>
      <c r="AD9" t="s">
        <v>1121</v>
      </c>
      <c r="AE9" t="s">
        <v>88</v>
      </c>
      <c r="AF9">
        <v>9</v>
      </c>
      <c r="AG9" t="s">
        <v>1141</v>
      </c>
      <c r="AH9" t="s">
        <v>1122</v>
      </c>
      <c r="AI9" t="s">
        <v>1122</v>
      </c>
      <c r="AJ9">
        <v>45</v>
      </c>
      <c r="AK9">
        <v>100</v>
      </c>
      <c r="AL9" t="s">
        <v>6</v>
      </c>
      <c r="AM9" t="s">
        <v>6</v>
      </c>
      <c r="AN9" s="178" t="s">
        <v>1203</v>
      </c>
      <c r="AO9" s="30">
        <v>45316</v>
      </c>
      <c r="AP9" t="s">
        <v>88</v>
      </c>
      <c r="AQ9" t="s">
        <v>1097</v>
      </c>
      <c r="AR9" t="s">
        <v>88</v>
      </c>
      <c r="AS9"/>
      <c r="AT9"/>
      <c r="AU9" t="s">
        <v>88</v>
      </c>
      <c r="AV9" t="s">
        <v>88</v>
      </c>
      <c r="AW9" t="s">
        <v>88</v>
      </c>
      <c r="AX9" t="s">
        <v>88</v>
      </c>
      <c r="AY9" t="s">
        <v>88</v>
      </c>
      <c r="AZ9" t="s">
        <v>6</v>
      </c>
      <c r="BA9" t="s">
        <v>6</v>
      </c>
      <c r="BB9" t="s">
        <v>6</v>
      </c>
      <c r="BC9" t="s">
        <v>6</v>
      </c>
      <c r="BD9" s="178"/>
      <c r="BE9" t="s">
        <v>88</v>
      </c>
      <c r="BF9" t="s">
        <v>88</v>
      </c>
      <c r="BG9" t="s">
        <v>88</v>
      </c>
      <c r="BH9" t="s">
        <v>88</v>
      </c>
      <c r="BI9" t="s">
        <v>88</v>
      </c>
      <c r="BJ9" t="s">
        <v>88</v>
      </c>
      <c r="BK9" t="s">
        <v>88</v>
      </c>
      <c r="BL9" t="s">
        <v>6</v>
      </c>
      <c r="BM9" t="s">
        <v>6</v>
      </c>
      <c r="BN9" t="s">
        <v>88</v>
      </c>
      <c r="BO9" t="s">
        <v>88</v>
      </c>
      <c r="BP9" t="s">
        <v>88</v>
      </c>
      <c r="BQ9" t="s">
        <v>6</v>
      </c>
      <c r="BR9" t="s">
        <v>6</v>
      </c>
      <c r="BS9" s="123"/>
      <c r="BT9" s="30"/>
      <c r="BU9" t="s">
        <v>185</v>
      </c>
      <c r="BV9" s="123">
        <v>45313.637034560183</v>
      </c>
      <c r="BW9"/>
      <c r="CI9" s="17"/>
      <c r="CQ9" s="17"/>
    </row>
    <row r="10" spans="1:95">
      <c r="E10">
        <v>27</v>
      </c>
      <c r="F10" t="s">
        <v>1151</v>
      </c>
      <c r="G10" t="s">
        <v>1092</v>
      </c>
      <c r="H10" t="s">
        <v>1093</v>
      </c>
      <c r="I10" s="30">
        <v>45309</v>
      </c>
      <c r="J10" t="s">
        <v>79</v>
      </c>
      <c r="K10" t="s">
        <v>79</v>
      </c>
      <c r="L10" t="s">
        <v>6</v>
      </c>
      <c r="M10" t="s">
        <v>129</v>
      </c>
      <c r="N10" t="s">
        <v>1124</v>
      </c>
      <c r="O10" t="s">
        <v>203</v>
      </c>
      <c r="P10" t="s">
        <v>107</v>
      </c>
      <c r="Q10" t="s">
        <v>204</v>
      </c>
      <c r="R10" t="s">
        <v>464</v>
      </c>
      <c r="S10" t="s">
        <v>88</v>
      </c>
      <c r="T10" t="s">
        <v>555</v>
      </c>
      <c r="U10" t="s">
        <v>88</v>
      </c>
      <c r="V10" t="s">
        <v>1093</v>
      </c>
      <c r="W10" t="s">
        <v>88</v>
      </c>
      <c r="X10" t="s">
        <v>88</v>
      </c>
      <c r="Y10" t="s">
        <v>88</v>
      </c>
      <c r="Z10" s="30">
        <v>46411</v>
      </c>
      <c r="AA10" s="178" t="s">
        <v>6</v>
      </c>
      <c r="AB10" t="s">
        <v>1151</v>
      </c>
      <c r="AC10" t="s">
        <v>88</v>
      </c>
      <c r="AD10" t="s">
        <v>1123</v>
      </c>
      <c r="AE10" t="s">
        <v>88</v>
      </c>
      <c r="AF10">
        <v>72</v>
      </c>
      <c r="AG10" t="s">
        <v>1140</v>
      </c>
      <c r="AH10" t="s">
        <v>1124</v>
      </c>
      <c r="AI10" t="s">
        <v>1124</v>
      </c>
      <c r="AJ10">
        <v>12</v>
      </c>
      <c r="AK10">
        <v>100</v>
      </c>
      <c r="AL10" t="s">
        <v>6</v>
      </c>
      <c r="AM10" t="s">
        <v>6</v>
      </c>
      <c r="AN10" s="178" t="s">
        <v>1204</v>
      </c>
      <c r="AO10" s="30">
        <v>45315</v>
      </c>
      <c r="AP10" t="s">
        <v>88</v>
      </c>
      <c r="AQ10" t="s">
        <v>1094</v>
      </c>
      <c r="AR10" t="s">
        <v>88</v>
      </c>
      <c r="AS10"/>
      <c r="AT10"/>
      <c r="AU10" t="s">
        <v>88</v>
      </c>
      <c r="AV10" t="s">
        <v>88</v>
      </c>
      <c r="AW10" t="s">
        <v>88</v>
      </c>
      <c r="AX10" t="s">
        <v>88</v>
      </c>
      <c r="AY10" t="s">
        <v>88</v>
      </c>
      <c r="AZ10" t="s">
        <v>6</v>
      </c>
      <c r="BA10" t="s">
        <v>6</v>
      </c>
      <c r="BB10" t="s">
        <v>6</v>
      </c>
      <c r="BC10" t="s">
        <v>6</v>
      </c>
      <c r="BD10" s="178"/>
      <c r="BE10" t="s">
        <v>88</v>
      </c>
      <c r="BF10" t="s">
        <v>88</v>
      </c>
      <c r="BG10" t="s">
        <v>88</v>
      </c>
      <c r="BH10" t="s">
        <v>88</v>
      </c>
      <c r="BI10" t="s">
        <v>1151</v>
      </c>
      <c r="BJ10" t="s">
        <v>1150</v>
      </c>
      <c r="BK10" t="s">
        <v>199</v>
      </c>
      <c r="BL10" t="s">
        <v>6</v>
      </c>
      <c r="BM10" t="s">
        <v>6</v>
      </c>
      <c r="BN10" t="s">
        <v>157</v>
      </c>
      <c r="BO10" t="s">
        <v>524</v>
      </c>
      <c r="BP10" t="s">
        <v>16</v>
      </c>
      <c r="BQ10" t="s">
        <v>1125</v>
      </c>
      <c r="BR10" t="s">
        <v>6</v>
      </c>
      <c r="BS10" s="123"/>
      <c r="BT10" s="30">
        <v>45309</v>
      </c>
      <c r="BU10" t="s">
        <v>185</v>
      </c>
      <c r="BV10" s="123">
        <v>45313.637034560183</v>
      </c>
      <c r="BW10"/>
      <c r="CI10" s="17"/>
      <c r="CQ10" s="17"/>
    </row>
    <row r="11" spans="1:95">
      <c r="E11">
        <v>26</v>
      </c>
      <c r="F11" t="s">
        <v>1151</v>
      </c>
      <c r="G11" t="s">
        <v>1152</v>
      </c>
      <c r="H11" t="s">
        <v>1153</v>
      </c>
      <c r="I11" s="30">
        <v>45309</v>
      </c>
      <c r="J11" t="s">
        <v>79</v>
      </c>
      <c r="K11" t="s">
        <v>79</v>
      </c>
      <c r="L11" t="s">
        <v>6</v>
      </c>
      <c r="M11" t="s">
        <v>1145</v>
      </c>
      <c r="N11" t="s">
        <v>1160</v>
      </c>
      <c r="O11" t="s">
        <v>102</v>
      </c>
      <c r="P11" t="s">
        <v>35</v>
      </c>
      <c r="Q11" t="s">
        <v>105</v>
      </c>
      <c r="R11" t="s">
        <v>88</v>
      </c>
      <c r="S11" t="s">
        <v>88</v>
      </c>
      <c r="T11" t="s">
        <v>88</v>
      </c>
      <c r="U11" t="s">
        <v>88</v>
      </c>
      <c r="V11" t="s">
        <v>1153</v>
      </c>
      <c r="W11" t="s">
        <v>88</v>
      </c>
      <c r="X11" t="s">
        <v>88</v>
      </c>
      <c r="Y11" t="s">
        <v>88</v>
      </c>
      <c r="Z11" s="30"/>
      <c r="AA11" s="178" t="s">
        <v>6</v>
      </c>
      <c r="AB11" t="s">
        <v>1151</v>
      </c>
      <c r="AC11" t="s">
        <v>88</v>
      </c>
      <c r="AD11" t="s">
        <v>1153</v>
      </c>
      <c r="AE11" t="s">
        <v>88</v>
      </c>
      <c r="AF11">
        <v>1.075</v>
      </c>
      <c r="AG11" t="s">
        <v>6</v>
      </c>
      <c r="AH11" t="s">
        <v>1160</v>
      </c>
      <c r="AI11" t="s">
        <v>6</v>
      </c>
      <c r="AJ11" t="s">
        <v>6</v>
      </c>
      <c r="AK11"/>
      <c r="AL11" t="s">
        <v>6</v>
      </c>
      <c r="AM11" t="s">
        <v>6</v>
      </c>
      <c r="AN11" s="178" t="s">
        <v>1205</v>
      </c>
      <c r="AO11" s="30">
        <v>45314</v>
      </c>
      <c r="AP11" t="s">
        <v>88</v>
      </c>
      <c r="AQ11" t="s">
        <v>1154</v>
      </c>
      <c r="AR11" t="s">
        <v>88</v>
      </c>
      <c r="AS11"/>
      <c r="AT11"/>
      <c r="AU11" t="s">
        <v>88</v>
      </c>
      <c r="AV11" t="s">
        <v>88</v>
      </c>
      <c r="AW11" t="s">
        <v>1151</v>
      </c>
      <c r="AX11" t="s">
        <v>1159</v>
      </c>
      <c r="AY11" t="s">
        <v>6</v>
      </c>
      <c r="AZ11" t="s">
        <v>127</v>
      </c>
      <c r="BA11" t="s">
        <v>6</v>
      </c>
      <c r="BB11" t="s">
        <v>6</v>
      </c>
      <c r="BC11" t="s">
        <v>6</v>
      </c>
      <c r="BD11" s="178" t="s">
        <v>1151</v>
      </c>
      <c r="BE11" t="s">
        <v>1170</v>
      </c>
      <c r="BF11" t="s">
        <v>4</v>
      </c>
      <c r="BG11" t="s">
        <v>143</v>
      </c>
      <c r="BH11" t="s">
        <v>147</v>
      </c>
      <c r="BI11" t="s">
        <v>1151</v>
      </c>
      <c r="BJ11" t="s">
        <v>1157</v>
      </c>
      <c r="BK11" t="s">
        <v>199</v>
      </c>
      <c r="BL11" t="s">
        <v>6</v>
      </c>
      <c r="BM11" t="s">
        <v>6</v>
      </c>
      <c r="BN11" t="s">
        <v>157</v>
      </c>
      <c r="BO11" t="s">
        <v>526</v>
      </c>
      <c r="BP11" t="s">
        <v>9</v>
      </c>
      <c r="BQ11" t="s">
        <v>1156</v>
      </c>
      <c r="BR11" t="s">
        <v>1158</v>
      </c>
      <c r="BS11" s="123"/>
      <c r="BT11" s="30">
        <v>45309</v>
      </c>
      <c r="BU11" t="s">
        <v>185</v>
      </c>
      <c r="BV11" s="123">
        <v>45313.637034560183</v>
      </c>
      <c r="BW11">
        <v>24007</v>
      </c>
      <c r="CI11" s="17"/>
      <c r="CQ11" s="17"/>
    </row>
    <row r="12" spans="1:95">
      <c r="E12">
        <v>25</v>
      </c>
      <c r="F12" t="s">
        <v>1151</v>
      </c>
      <c r="G12" t="s">
        <v>1089</v>
      </c>
      <c r="H12" t="s">
        <v>601</v>
      </c>
      <c r="I12" s="30">
        <v>45309</v>
      </c>
      <c r="J12" t="s">
        <v>1146</v>
      </c>
      <c r="K12" t="s">
        <v>1090</v>
      </c>
      <c r="L12" t="s">
        <v>787</v>
      </c>
      <c r="M12" t="s">
        <v>801</v>
      </c>
      <c r="N12" t="s">
        <v>1135</v>
      </c>
      <c r="O12" t="s">
        <v>102</v>
      </c>
      <c r="P12" t="s">
        <v>37</v>
      </c>
      <c r="Q12" t="s">
        <v>204</v>
      </c>
      <c r="R12" t="s">
        <v>88</v>
      </c>
      <c r="S12" t="s">
        <v>88</v>
      </c>
      <c r="T12" t="s">
        <v>88</v>
      </c>
      <c r="U12" t="s">
        <v>88</v>
      </c>
      <c r="V12" t="s">
        <v>1300</v>
      </c>
      <c r="W12" t="s">
        <v>601</v>
      </c>
      <c r="X12" t="s">
        <v>88</v>
      </c>
      <c r="Y12" t="s">
        <v>88</v>
      </c>
      <c r="Z12" s="30">
        <v>46047</v>
      </c>
      <c r="AA12" s="178" t="s">
        <v>6</v>
      </c>
      <c r="AB12" t="s">
        <v>1151</v>
      </c>
      <c r="AC12" t="s">
        <v>88</v>
      </c>
      <c r="AD12" t="s">
        <v>1126</v>
      </c>
      <c r="AE12" t="s">
        <v>88</v>
      </c>
      <c r="AF12">
        <v>10</v>
      </c>
      <c r="AG12" t="s">
        <v>1142</v>
      </c>
      <c r="AH12" t="s">
        <v>1135</v>
      </c>
      <c r="AI12" t="s">
        <v>1135</v>
      </c>
      <c r="AJ12">
        <v>40</v>
      </c>
      <c r="AK12">
        <v>100</v>
      </c>
      <c r="AL12" t="s">
        <v>128</v>
      </c>
      <c r="AM12" t="s">
        <v>6</v>
      </c>
      <c r="AN12" s="178" t="s">
        <v>1203</v>
      </c>
      <c r="AO12" s="30">
        <v>45316</v>
      </c>
      <c r="AP12" t="s">
        <v>88</v>
      </c>
      <c r="AQ12" t="s">
        <v>1091</v>
      </c>
      <c r="AR12" t="s">
        <v>88</v>
      </c>
      <c r="AS12"/>
      <c r="AT12"/>
      <c r="AU12" t="s">
        <v>88</v>
      </c>
      <c r="AV12" t="s">
        <v>88</v>
      </c>
      <c r="AW12" t="s">
        <v>88</v>
      </c>
      <c r="AX12" t="s">
        <v>88</v>
      </c>
      <c r="AY12" t="s">
        <v>88</v>
      </c>
      <c r="AZ12" t="s">
        <v>6</v>
      </c>
      <c r="BA12" t="s">
        <v>6</v>
      </c>
      <c r="BB12" t="s">
        <v>6</v>
      </c>
      <c r="BC12" t="s">
        <v>6</v>
      </c>
      <c r="BD12" s="178"/>
      <c r="BE12" t="s">
        <v>88</v>
      </c>
      <c r="BF12" t="s">
        <v>88</v>
      </c>
      <c r="BG12" t="s">
        <v>88</v>
      </c>
      <c r="BH12" t="s">
        <v>88</v>
      </c>
      <c r="BI12" t="s">
        <v>88</v>
      </c>
      <c r="BJ12" t="s">
        <v>88</v>
      </c>
      <c r="BK12" t="s">
        <v>88</v>
      </c>
      <c r="BL12" t="s">
        <v>6</v>
      </c>
      <c r="BM12" t="s">
        <v>6</v>
      </c>
      <c r="BN12" t="s">
        <v>88</v>
      </c>
      <c r="BO12" t="s">
        <v>88</v>
      </c>
      <c r="BP12" t="s">
        <v>88</v>
      </c>
      <c r="BQ12" t="s">
        <v>6</v>
      </c>
      <c r="BR12" t="s">
        <v>6</v>
      </c>
      <c r="BS12" s="123"/>
      <c r="BT12" s="30"/>
      <c r="BU12" t="s">
        <v>185</v>
      </c>
      <c r="BV12" s="123">
        <v>45313.637034560183</v>
      </c>
      <c r="BW12"/>
      <c r="CI12" s="17"/>
      <c r="CQ12" s="17"/>
    </row>
    <row r="13" spans="1:95">
      <c r="E13">
        <v>24</v>
      </c>
      <c r="F13" t="s">
        <v>1151</v>
      </c>
      <c r="G13" t="s">
        <v>1098</v>
      </c>
      <c r="H13" t="s">
        <v>1099</v>
      </c>
      <c r="I13" s="30">
        <v>45309</v>
      </c>
      <c r="J13" t="s">
        <v>1100</v>
      </c>
      <c r="K13" t="s">
        <v>1100</v>
      </c>
      <c r="L13" t="s">
        <v>6</v>
      </c>
      <c r="M13" t="s">
        <v>129</v>
      </c>
      <c r="N13" t="s">
        <v>1136</v>
      </c>
      <c r="O13" t="s">
        <v>203</v>
      </c>
      <c r="P13" t="s">
        <v>37</v>
      </c>
      <c r="Q13" t="s">
        <v>1137</v>
      </c>
      <c r="R13" t="s">
        <v>88</v>
      </c>
      <c r="S13" t="s">
        <v>88</v>
      </c>
      <c r="T13" t="s">
        <v>88</v>
      </c>
      <c r="U13" t="s">
        <v>88</v>
      </c>
      <c r="V13" t="s">
        <v>1302</v>
      </c>
      <c r="W13" t="s">
        <v>1099</v>
      </c>
      <c r="X13" t="s">
        <v>88</v>
      </c>
      <c r="Y13" t="s">
        <v>88</v>
      </c>
      <c r="Z13" s="30">
        <v>46412</v>
      </c>
      <c r="AA13" s="178" t="s">
        <v>1710</v>
      </c>
      <c r="AB13" t="s">
        <v>1151</v>
      </c>
      <c r="AC13" t="s">
        <v>88</v>
      </c>
      <c r="AD13" t="s">
        <v>1127</v>
      </c>
      <c r="AE13" t="s">
        <v>88</v>
      </c>
      <c r="AF13">
        <v>147</v>
      </c>
      <c r="AG13" t="s">
        <v>6</v>
      </c>
      <c r="AH13" t="s">
        <v>6</v>
      </c>
      <c r="AI13" t="s">
        <v>6</v>
      </c>
      <c r="AJ13" t="s">
        <v>6</v>
      </c>
      <c r="AK13">
        <v>100</v>
      </c>
      <c r="AL13" t="s">
        <v>128</v>
      </c>
      <c r="AM13" t="s">
        <v>6</v>
      </c>
      <c r="AN13" s="178" t="s">
        <v>1203</v>
      </c>
      <c r="AO13" s="30">
        <v>45316</v>
      </c>
      <c r="AP13" t="s">
        <v>88</v>
      </c>
      <c r="AQ13" t="s">
        <v>1101</v>
      </c>
      <c r="AR13" t="s">
        <v>88</v>
      </c>
      <c r="AS13"/>
      <c r="AT13"/>
      <c r="AU13" t="s">
        <v>88</v>
      </c>
      <c r="AV13" t="s">
        <v>88</v>
      </c>
      <c r="AW13" t="s">
        <v>88</v>
      </c>
      <c r="AX13" t="s">
        <v>88</v>
      </c>
      <c r="AY13" t="s">
        <v>88</v>
      </c>
      <c r="AZ13" t="s">
        <v>6</v>
      </c>
      <c r="BA13" t="s">
        <v>6</v>
      </c>
      <c r="BB13" t="s">
        <v>6</v>
      </c>
      <c r="BC13" t="s">
        <v>6</v>
      </c>
      <c r="BD13" s="178"/>
      <c r="BE13" t="s">
        <v>88</v>
      </c>
      <c r="BF13" t="s">
        <v>88</v>
      </c>
      <c r="BG13" t="s">
        <v>88</v>
      </c>
      <c r="BH13" t="s">
        <v>88</v>
      </c>
      <c r="BI13" t="s">
        <v>88</v>
      </c>
      <c r="BJ13" t="s">
        <v>88</v>
      </c>
      <c r="BK13" t="s">
        <v>88</v>
      </c>
      <c r="BL13" t="s">
        <v>6</v>
      </c>
      <c r="BM13" t="s">
        <v>6</v>
      </c>
      <c r="BN13" t="s">
        <v>88</v>
      </c>
      <c r="BO13" t="s">
        <v>88</v>
      </c>
      <c r="BP13" t="s">
        <v>88</v>
      </c>
      <c r="BQ13" t="s">
        <v>6</v>
      </c>
      <c r="BR13" t="s">
        <v>6</v>
      </c>
      <c r="BS13" s="123"/>
      <c r="BT13" s="30"/>
      <c r="BU13" t="s">
        <v>185</v>
      </c>
      <c r="BV13" s="123">
        <v>45313.637034560183</v>
      </c>
      <c r="BW13"/>
      <c r="CI13" s="17"/>
      <c r="CQ13" s="17"/>
    </row>
    <row r="14" spans="1:95">
      <c r="E14">
        <v>23</v>
      </c>
      <c r="F14" t="s">
        <v>1151</v>
      </c>
      <c r="G14" t="s">
        <v>1109</v>
      </c>
      <c r="H14" t="s">
        <v>1110</v>
      </c>
      <c r="I14" s="30">
        <v>45308</v>
      </c>
      <c r="J14" t="s">
        <v>79</v>
      </c>
      <c r="K14" t="s">
        <v>79</v>
      </c>
      <c r="L14" t="s">
        <v>494</v>
      </c>
      <c r="M14" t="s">
        <v>129</v>
      </c>
      <c r="N14" t="s">
        <v>1138</v>
      </c>
      <c r="O14" t="s">
        <v>102</v>
      </c>
      <c r="P14" t="s">
        <v>35</v>
      </c>
      <c r="Q14" t="s">
        <v>193</v>
      </c>
      <c r="R14" t="s">
        <v>88</v>
      </c>
      <c r="S14" t="s">
        <v>88</v>
      </c>
      <c r="T14" t="s">
        <v>88</v>
      </c>
      <c r="U14" t="s">
        <v>88</v>
      </c>
      <c r="V14" t="s">
        <v>1110</v>
      </c>
      <c r="W14" t="s">
        <v>88</v>
      </c>
      <c r="X14" t="s">
        <v>88</v>
      </c>
      <c r="Y14" t="s">
        <v>88</v>
      </c>
      <c r="Z14" s="30">
        <v>46411</v>
      </c>
      <c r="AA14" s="178" t="s">
        <v>6</v>
      </c>
      <c r="AB14" t="s">
        <v>1151</v>
      </c>
      <c r="AC14" t="s">
        <v>88</v>
      </c>
      <c r="AD14" t="s">
        <v>1128</v>
      </c>
      <c r="AE14" t="s">
        <v>88</v>
      </c>
      <c r="AF14">
        <v>20</v>
      </c>
      <c r="AG14" t="s">
        <v>1143</v>
      </c>
      <c r="AH14" t="s">
        <v>1138</v>
      </c>
      <c r="AI14" t="s">
        <v>1138</v>
      </c>
      <c r="AJ14">
        <v>14</v>
      </c>
      <c r="AK14">
        <v>100</v>
      </c>
      <c r="AL14" t="s">
        <v>6</v>
      </c>
      <c r="AM14" t="s">
        <v>6</v>
      </c>
      <c r="AN14" s="178" t="s">
        <v>1203</v>
      </c>
      <c r="AO14" s="30">
        <v>45315</v>
      </c>
      <c r="AP14" t="s">
        <v>88</v>
      </c>
      <c r="AQ14" t="s">
        <v>1111</v>
      </c>
      <c r="AR14" t="s">
        <v>88</v>
      </c>
      <c r="AS14"/>
      <c r="AT14"/>
      <c r="AU14" t="s">
        <v>88</v>
      </c>
      <c r="AV14" t="s">
        <v>88</v>
      </c>
      <c r="AW14" t="s">
        <v>88</v>
      </c>
      <c r="AX14" t="s">
        <v>88</v>
      </c>
      <c r="AY14" t="s">
        <v>88</v>
      </c>
      <c r="AZ14" t="s">
        <v>6</v>
      </c>
      <c r="BA14" t="s">
        <v>6</v>
      </c>
      <c r="BB14" t="s">
        <v>6</v>
      </c>
      <c r="BC14" t="s">
        <v>6</v>
      </c>
      <c r="BD14" s="178"/>
      <c r="BE14" t="s">
        <v>88</v>
      </c>
      <c r="BF14" t="s">
        <v>88</v>
      </c>
      <c r="BG14" t="s">
        <v>88</v>
      </c>
      <c r="BH14" t="s">
        <v>88</v>
      </c>
      <c r="BI14" t="s">
        <v>1151</v>
      </c>
      <c r="BJ14" t="s">
        <v>1155</v>
      </c>
      <c r="BK14" t="s">
        <v>199</v>
      </c>
      <c r="BL14" t="s">
        <v>6</v>
      </c>
      <c r="BM14" t="s">
        <v>6</v>
      </c>
      <c r="BN14" t="s">
        <v>157</v>
      </c>
      <c r="BO14" t="s">
        <v>524</v>
      </c>
      <c r="BP14" t="s">
        <v>13</v>
      </c>
      <c r="BQ14" t="s">
        <v>1129</v>
      </c>
      <c r="BR14" t="s">
        <v>6</v>
      </c>
      <c r="BS14" s="123"/>
      <c r="BT14" s="30">
        <v>45308</v>
      </c>
      <c r="BU14" t="s">
        <v>185</v>
      </c>
      <c r="BV14" s="123">
        <v>45313.637034560183</v>
      </c>
      <c r="BW14"/>
      <c r="CI14" s="17"/>
      <c r="CQ14" s="17"/>
    </row>
    <row r="15" spans="1:95">
      <c r="E15">
        <v>22</v>
      </c>
      <c r="F15" t="s">
        <v>1151</v>
      </c>
      <c r="G15" t="s">
        <v>1112</v>
      </c>
      <c r="H15" t="s">
        <v>1113</v>
      </c>
      <c r="I15" s="30">
        <v>45308</v>
      </c>
      <c r="J15" t="s">
        <v>79</v>
      </c>
      <c r="K15" t="s">
        <v>79</v>
      </c>
      <c r="L15" t="s">
        <v>6</v>
      </c>
      <c r="M15" t="s">
        <v>129</v>
      </c>
      <c r="N15" t="s">
        <v>1131</v>
      </c>
      <c r="O15" t="s">
        <v>102</v>
      </c>
      <c r="P15" t="s">
        <v>107</v>
      </c>
      <c r="Q15" t="s">
        <v>193</v>
      </c>
      <c r="R15" t="s">
        <v>88</v>
      </c>
      <c r="S15" t="s">
        <v>88</v>
      </c>
      <c r="T15" t="s">
        <v>545</v>
      </c>
      <c r="U15" t="s">
        <v>88</v>
      </c>
      <c r="V15" t="s">
        <v>1113</v>
      </c>
      <c r="W15" t="s">
        <v>88</v>
      </c>
      <c r="X15" t="s">
        <v>88</v>
      </c>
      <c r="Y15" t="s">
        <v>88</v>
      </c>
      <c r="Z15" s="30">
        <v>46411</v>
      </c>
      <c r="AA15" s="178" t="s">
        <v>6</v>
      </c>
      <c r="AB15" t="s">
        <v>1151</v>
      </c>
      <c r="AC15" t="s">
        <v>88</v>
      </c>
      <c r="AD15" t="s">
        <v>1130</v>
      </c>
      <c r="AE15" t="s">
        <v>88</v>
      </c>
      <c r="AF15">
        <v>1.9790000000000001</v>
      </c>
      <c r="AG15" t="s">
        <v>6</v>
      </c>
      <c r="AH15" t="s">
        <v>1131</v>
      </c>
      <c r="AI15" t="s">
        <v>6</v>
      </c>
      <c r="AJ15" t="s">
        <v>6</v>
      </c>
      <c r="AK15">
        <v>100</v>
      </c>
      <c r="AL15" t="s">
        <v>6</v>
      </c>
      <c r="AM15" t="s">
        <v>6</v>
      </c>
      <c r="AN15" s="178" t="s">
        <v>1203</v>
      </c>
      <c r="AO15" s="30">
        <v>45315</v>
      </c>
      <c r="AP15" t="s">
        <v>88</v>
      </c>
      <c r="AQ15" t="s">
        <v>1114</v>
      </c>
      <c r="AR15" t="s">
        <v>88</v>
      </c>
      <c r="AS15"/>
      <c r="AT15"/>
      <c r="AU15" t="s">
        <v>88</v>
      </c>
      <c r="AV15" t="s">
        <v>88</v>
      </c>
      <c r="AW15" t="s">
        <v>88</v>
      </c>
      <c r="AX15" t="s">
        <v>88</v>
      </c>
      <c r="AY15" t="s">
        <v>88</v>
      </c>
      <c r="AZ15" t="s">
        <v>6</v>
      </c>
      <c r="BA15" t="s">
        <v>6</v>
      </c>
      <c r="BB15" t="s">
        <v>6</v>
      </c>
      <c r="BC15" t="s">
        <v>6</v>
      </c>
      <c r="BD15" s="178"/>
      <c r="BE15" t="s">
        <v>88</v>
      </c>
      <c r="BF15" t="s">
        <v>88</v>
      </c>
      <c r="BG15" t="s">
        <v>88</v>
      </c>
      <c r="BH15" t="s">
        <v>88</v>
      </c>
      <c r="BI15" t="s">
        <v>88</v>
      </c>
      <c r="BJ15" t="s">
        <v>88</v>
      </c>
      <c r="BK15" t="s">
        <v>88</v>
      </c>
      <c r="BL15" t="s">
        <v>6</v>
      </c>
      <c r="BM15" t="s">
        <v>6</v>
      </c>
      <c r="BN15" t="s">
        <v>88</v>
      </c>
      <c r="BO15" t="s">
        <v>88</v>
      </c>
      <c r="BP15" t="s">
        <v>88</v>
      </c>
      <c r="BQ15" t="s">
        <v>6</v>
      </c>
      <c r="BR15" t="s">
        <v>6</v>
      </c>
      <c r="BS15" s="123"/>
      <c r="BT15" s="30"/>
      <c r="BU15" t="s">
        <v>185</v>
      </c>
      <c r="BV15" s="123">
        <v>45313.637034560183</v>
      </c>
      <c r="BW15"/>
    </row>
    <row r="16" spans="1:95">
      <c r="E16">
        <v>21</v>
      </c>
      <c r="F16" t="s">
        <v>1151</v>
      </c>
      <c r="G16" t="s">
        <v>1115</v>
      </c>
      <c r="H16" t="s">
        <v>1116</v>
      </c>
      <c r="I16" s="30">
        <v>45308</v>
      </c>
      <c r="J16" t="s">
        <v>79</v>
      </c>
      <c r="K16" t="s">
        <v>79</v>
      </c>
      <c r="L16" t="s">
        <v>494</v>
      </c>
      <c r="M16" t="s">
        <v>129</v>
      </c>
      <c r="N16" t="s">
        <v>1131</v>
      </c>
      <c r="O16" t="s">
        <v>102</v>
      </c>
      <c r="P16" t="s">
        <v>108</v>
      </c>
      <c r="Q16" t="s">
        <v>204</v>
      </c>
      <c r="R16" t="s">
        <v>88</v>
      </c>
      <c r="S16" t="s">
        <v>88</v>
      </c>
      <c r="T16" t="s">
        <v>555</v>
      </c>
      <c r="U16" t="s">
        <v>88</v>
      </c>
      <c r="V16" t="s">
        <v>1304</v>
      </c>
      <c r="W16" t="s">
        <v>1116</v>
      </c>
      <c r="X16" t="s">
        <v>88</v>
      </c>
      <c r="Y16" t="s">
        <v>88</v>
      </c>
      <c r="Z16" s="30">
        <v>46411</v>
      </c>
      <c r="AA16" s="178" t="s">
        <v>6</v>
      </c>
      <c r="AB16" t="s">
        <v>1151</v>
      </c>
      <c r="AC16" t="s">
        <v>88</v>
      </c>
      <c r="AD16" t="s">
        <v>1132</v>
      </c>
      <c r="AE16" t="s">
        <v>88</v>
      </c>
      <c r="AF16">
        <v>7.5</v>
      </c>
      <c r="AG16" t="s">
        <v>1144</v>
      </c>
      <c r="AH16" t="s">
        <v>1131</v>
      </c>
      <c r="AI16" t="s">
        <v>1131</v>
      </c>
      <c r="AJ16">
        <v>42</v>
      </c>
      <c r="AK16">
        <v>100</v>
      </c>
      <c r="AL16" t="s">
        <v>6</v>
      </c>
      <c r="AM16" t="s">
        <v>6</v>
      </c>
      <c r="AN16" s="178" t="s">
        <v>1203</v>
      </c>
      <c r="AO16" s="30">
        <v>45315</v>
      </c>
      <c r="AP16" t="s">
        <v>88</v>
      </c>
      <c r="AQ16" t="s">
        <v>1117</v>
      </c>
      <c r="AR16" t="s">
        <v>88</v>
      </c>
      <c r="AS16"/>
      <c r="AT16"/>
      <c r="AU16" t="s">
        <v>88</v>
      </c>
      <c r="AV16" t="s">
        <v>88</v>
      </c>
      <c r="AW16" t="s">
        <v>88</v>
      </c>
      <c r="AX16" t="s">
        <v>88</v>
      </c>
      <c r="AY16" t="s">
        <v>88</v>
      </c>
      <c r="AZ16" t="s">
        <v>6</v>
      </c>
      <c r="BA16" t="s">
        <v>6</v>
      </c>
      <c r="BB16" t="s">
        <v>6</v>
      </c>
      <c r="BC16" t="s">
        <v>6</v>
      </c>
      <c r="BD16" s="178"/>
      <c r="BE16" t="s">
        <v>88</v>
      </c>
      <c r="BF16" t="s">
        <v>88</v>
      </c>
      <c r="BG16" t="s">
        <v>88</v>
      </c>
      <c r="BH16" t="s">
        <v>88</v>
      </c>
      <c r="BI16" t="s">
        <v>88</v>
      </c>
      <c r="BJ16" t="s">
        <v>88</v>
      </c>
      <c r="BK16" t="s">
        <v>88</v>
      </c>
      <c r="BL16" t="s">
        <v>6</v>
      </c>
      <c r="BM16" t="s">
        <v>6</v>
      </c>
      <c r="BN16" t="s">
        <v>88</v>
      </c>
      <c r="BO16" t="s">
        <v>88</v>
      </c>
      <c r="BP16" t="s">
        <v>88</v>
      </c>
      <c r="BQ16" t="s">
        <v>6</v>
      </c>
      <c r="BR16" t="s">
        <v>6</v>
      </c>
      <c r="BS16" s="123"/>
      <c r="BT16" s="30"/>
      <c r="BU16" t="s">
        <v>185</v>
      </c>
      <c r="BV16" s="123">
        <v>45313.637034560183</v>
      </c>
      <c r="BW16"/>
    </row>
    <row r="17" spans="5:75">
      <c r="E17">
        <v>20</v>
      </c>
      <c r="F17"/>
      <c r="G17" t="s">
        <v>1102</v>
      </c>
      <c r="H17" t="s">
        <v>701</v>
      </c>
      <c r="I17" s="30">
        <v>45308</v>
      </c>
      <c r="J17" t="s">
        <v>79</v>
      </c>
      <c r="K17" t="s">
        <v>88</v>
      </c>
      <c r="L17" t="s">
        <v>6</v>
      </c>
      <c r="M17" t="s">
        <v>774</v>
      </c>
      <c r="N17" t="s">
        <v>88</v>
      </c>
      <c r="O17" t="s">
        <v>81</v>
      </c>
      <c r="P17" t="s">
        <v>88</v>
      </c>
      <c r="Q17" t="s">
        <v>6</v>
      </c>
      <c r="R17" t="s">
        <v>88</v>
      </c>
      <c r="S17" t="s">
        <v>88</v>
      </c>
      <c r="T17" t="s">
        <v>88</v>
      </c>
      <c r="U17" t="s">
        <v>88</v>
      </c>
      <c r="V17" t="s">
        <v>88</v>
      </c>
      <c r="W17" t="s">
        <v>88</v>
      </c>
      <c r="X17" t="s">
        <v>88</v>
      </c>
      <c r="Y17" t="s">
        <v>775</v>
      </c>
      <c r="Z17" s="30">
        <v>45491</v>
      </c>
      <c r="AA17" s="178" t="s">
        <v>6</v>
      </c>
      <c r="AB17"/>
      <c r="AC17" t="s">
        <v>465</v>
      </c>
      <c r="AD17" t="s">
        <v>88</v>
      </c>
      <c r="AE17" t="s">
        <v>88</v>
      </c>
      <c r="AF17">
        <v>0.1</v>
      </c>
      <c r="AG17" t="s">
        <v>6</v>
      </c>
      <c r="AH17" t="s">
        <v>6</v>
      </c>
      <c r="AI17" t="s">
        <v>6</v>
      </c>
      <c r="AJ17" t="s">
        <v>6</v>
      </c>
      <c r="AK17">
        <v>100</v>
      </c>
      <c r="AL17" t="s">
        <v>6</v>
      </c>
      <c r="AM17" t="s">
        <v>6</v>
      </c>
      <c r="AN17" s="178" t="s">
        <v>88</v>
      </c>
      <c r="AO17" s="30"/>
      <c r="AP17" t="s">
        <v>88</v>
      </c>
      <c r="AQ17" t="s">
        <v>1103</v>
      </c>
      <c r="AR17"/>
      <c r="AS17"/>
      <c r="AT17"/>
      <c r="AU17" t="s">
        <v>88</v>
      </c>
      <c r="AV17" t="s">
        <v>88</v>
      </c>
      <c r="AW17" t="s">
        <v>88</v>
      </c>
      <c r="AX17" t="s">
        <v>88</v>
      </c>
      <c r="AY17" t="s">
        <v>88</v>
      </c>
      <c r="AZ17" t="s">
        <v>6</v>
      </c>
      <c r="BA17" t="s">
        <v>6</v>
      </c>
      <c r="BB17" t="s">
        <v>6</v>
      </c>
      <c r="BC17" t="s">
        <v>6</v>
      </c>
      <c r="BD17" s="178"/>
      <c r="BE17" t="s">
        <v>88</v>
      </c>
      <c r="BF17" t="s">
        <v>88</v>
      </c>
      <c r="BG17" t="s">
        <v>88</v>
      </c>
      <c r="BH17" t="s">
        <v>88</v>
      </c>
      <c r="BI17" t="s">
        <v>88</v>
      </c>
      <c r="BJ17" t="s">
        <v>88</v>
      </c>
      <c r="BK17" t="s">
        <v>88</v>
      </c>
      <c r="BL17" t="s">
        <v>6</v>
      </c>
      <c r="BM17" t="s">
        <v>6</v>
      </c>
      <c r="BN17" t="s">
        <v>88</v>
      </c>
      <c r="BO17" t="s">
        <v>88</v>
      </c>
      <c r="BP17" t="s">
        <v>88</v>
      </c>
      <c r="BQ17" t="s">
        <v>6</v>
      </c>
      <c r="BR17" t="s">
        <v>6</v>
      </c>
      <c r="BS17" s="123"/>
      <c r="BT17" s="30"/>
      <c r="BU17" t="s">
        <v>185</v>
      </c>
      <c r="BV17" s="123">
        <v>45313.637034560183</v>
      </c>
      <c r="BW17"/>
    </row>
    <row r="18" spans="5:75">
      <c r="E18">
        <v>19</v>
      </c>
      <c r="F18"/>
      <c r="G18" t="s">
        <v>1104</v>
      </c>
      <c r="H18" t="s">
        <v>701</v>
      </c>
      <c r="I18" s="30">
        <v>45308</v>
      </c>
      <c r="J18" t="s">
        <v>79</v>
      </c>
      <c r="K18" t="s">
        <v>88</v>
      </c>
      <c r="L18" t="s">
        <v>6</v>
      </c>
      <c r="M18" t="s">
        <v>776</v>
      </c>
      <c r="N18" t="s">
        <v>88</v>
      </c>
      <c r="O18" t="s">
        <v>102</v>
      </c>
      <c r="P18" t="s">
        <v>88</v>
      </c>
      <c r="Q18" t="s">
        <v>6</v>
      </c>
      <c r="R18" t="s">
        <v>88</v>
      </c>
      <c r="S18" t="s">
        <v>88</v>
      </c>
      <c r="T18" t="s">
        <v>88</v>
      </c>
      <c r="U18" t="s">
        <v>88</v>
      </c>
      <c r="V18" t="s">
        <v>88</v>
      </c>
      <c r="W18" t="s">
        <v>88</v>
      </c>
      <c r="X18" t="s">
        <v>88</v>
      </c>
      <c r="Y18" t="s">
        <v>1298</v>
      </c>
      <c r="Z18" s="30">
        <v>45400</v>
      </c>
      <c r="AA18" s="178" t="s">
        <v>6</v>
      </c>
      <c r="AB18"/>
      <c r="AC18" t="s">
        <v>465</v>
      </c>
      <c r="AD18" t="s">
        <v>88</v>
      </c>
      <c r="AE18" t="s">
        <v>88</v>
      </c>
      <c r="AF18">
        <v>1.2</v>
      </c>
      <c r="AG18" t="s">
        <v>6</v>
      </c>
      <c r="AH18" t="s">
        <v>6</v>
      </c>
      <c r="AI18" t="s">
        <v>6</v>
      </c>
      <c r="AJ18" t="s">
        <v>6</v>
      </c>
      <c r="AK18">
        <v>100</v>
      </c>
      <c r="AL18" t="s">
        <v>6</v>
      </c>
      <c r="AM18" t="s">
        <v>6</v>
      </c>
      <c r="AN18" s="178" t="s">
        <v>88</v>
      </c>
      <c r="AO18" s="30"/>
      <c r="AP18" t="s">
        <v>88</v>
      </c>
      <c r="AQ18" t="s">
        <v>1105</v>
      </c>
      <c r="AR18"/>
      <c r="AS18"/>
      <c r="AT18"/>
      <c r="AU18" t="s">
        <v>88</v>
      </c>
      <c r="AV18" t="s">
        <v>88</v>
      </c>
      <c r="AW18" t="s">
        <v>88</v>
      </c>
      <c r="AX18" t="s">
        <v>88</v>
      </c>
      <c r="AY18" t="s">
        <v>88</v>
      </c>
      <c r="AZ18" t="s">
        <v>6</v>
      </c>
      <c r="BA18" t="s">
        <v>6</v>
      </c>
      <c r="BB18" t="s">
        <v>6</v>
      </c>
      <c r="BC18" t="s">
        <v>6</v>
      </c>
      <c r="BD18" s="178"/>
      <c r="BE18" t="s">
        <v>88</v>
      </c>
      <c r="BF18" t="s">
        <v>88</v>
      </c>
      <c r="BG18" t="s">
        <v>88</v>
      </c>
      <c r="BH18" t="s">
        <v>88</v>
      </c>
      <c r="BI18" t="s">
        <v>88</v>
      </c>
      <c r="BJ18" t="s">
        <v>88</v>
      </c>
      <c r="BK18" t="s">
        <v>88</v>
      </c>
      <c r="BL18" t="s">
        <v>6</v>
      </c>
      <c r="BM18" t="s">
        <v>6</v>
      </c>
      <c r="BN18" t="s">
        <v>88</v>
      </c>
      <c r="BO18" t="s">
        <v>88</v>
      </c>
      <c r="BP18" t="s">
        <v>88</v>
      </c>
      <c r="BQ18" t="s">
        <v>6</v>
      </c>
      <c r="BR18" t="s">
        <v>6</v>
      </c>
      <c r="BS18" s="123"/>
      <c r="BT18" s="30"/>
      <c r="BU18" t="s">
        <v>185</v>
      </c>
      <c r="BV18" s="123">
        <v>45313.637034560183</v>
      </c>
      <c r="BW18"/>
    </row>
    <row r="19" spans="5:75">
      <c r="E19">
        <v>18</v>
      </c>
      <c r="F19" t="s">
        <v>1151</v>
      </c>
      <c r="G19" t="s">
        <v>1106</v>
      </c>
      <c r="H19" t="s">
        <v>535</v>
      </c>
      <c r="I19" s="30">
        <v>45308</v>
      </c>
      <c r="J19" t="s">
        <v>1107</v>
      </c>
      <c r="K19" t="s">
        <v>804</v>
      </c>
      <c r="L19" t="s">
        <v>787</v>
      </c>
      <c r="M19" t="s">
        <v>129</v>
      </c>
      <c r="N19" t="s">
        <v>1139</v>
      </c>
      <c r="O19" t="s">
        <v>81</v>
      </c>
      <c r="P19" t="s">
        <v>35</v>
      </c>
      <c r="Q19" t="s">
        <v>204</v>
      </c>
      <c r="R19" t="s">
        <v>88</v>
      </c>
      <c r="S19" t="s">
        <v>791</v>
      </c>
      <c r="T19" t="s">
        <v>88</v>
      </c>
      <c r="U19" t="s">
        <v>1483</v>
      </c>
      <c r="V19" t="s">
        <v>1303</v>
      </c>
      <c r="W19" t="s">
        <v>88</v>
      </c>
      <c r="X19" t="s">
        <v>88</v>
      </c>
      <c r="Y19" t="s">
        <v>88</v>
      </c>
      <c r="Z19" s="30">
        <v>46411</v>
      </c>
      <c r="AA19" s="178" t="s">
        <v>6</v>
      </c>
      <c r="AB19" t="s">
        <v>1151</v>
      </c>
      <c r="AC19" t="s">
        <v>88</v>
      </c>
      <c r="AD19" t="s">
        <v>1133</v>
      </c>
      <c r="AE19" t="s">
        <v>88</v>
      </c>
      <c r="AF19">
        <v>6</v>
      </c>
      <c r="AG19" t="s">
        <v>6</v>
      </c>
      <c r="AH19" t="s">
        <v>6</v>
      </c>
      <c r="AI19" t="s">
        <v>6</v>
      </c>
      <c r="AJ19" t="s">
        <v>6</v>
      </c>
      <c r="AK19">
        <v>100</v>
      </c>
      <c r="AL19" t="s">
        <v>127</v>
      </c>
      <c r="AM19" t="s">
        <v>6</v>
      </c>
      <c r="AN19" s="178" t="s">
        <v>1203</v>
      </c>
      <c r="AO19" s="30">
        <v>45315</v>
      </c>
      <c r="AP19" t="s">
        <v>88</v>
      </c>
      <c r="AQ19" t="s">
        <v>1108</v>
      </c>
      <c r="AR19" t="s">
        <v>1151</v>
      </c>
      <c r="AS19">
        <v>12</v>
      </c>
      <c r="AT19">
        <v>53</v>
      </c>
      <c r="AU19" t="s">
        <v>1310</v>
      </c>
      <c r="AV19" t="s">
        <v>1312</v>
      </c>
      <c r="AW19" t="s">
        <v>88</v>
      </c>
      <c r="AX19" t="s">
        <v>88</v>
      </c>
      <c r="AY19" t="s">
        <v>88</v>
      </c>
      <c r="AZ19" t="s">
        <v>6</v>
      </c>
      <c r="BA19" t="s">
        <v>6</v>
      </c>
      <c r="BB19" t="s">
        <v>6</v>
      </c>
      <c r="BC19" t="s">
        <v>6</v>
      </c>
      <c r="BD19" s="178"/>
      <c r="BE19" t="s">
        <v>88</v>
      </c>
      <c r="BF19" t="s">
        <v>88</v>
      </c>
      <c r="BG19" t="s">
        <v>88</v>
      </c>
      <c r="BH19" t="s">
        <v>88</v>
      </c>
      <c r="BI19" t="s">
        <v>88</v>
      </c>
      <c r="BJ19" t="s">
        <v>88</v>
      </c>
      <c r="BK19" t="s">
        <v>88</v>
      </c>
      <c r="BL19" t="s">
        <v>6</v>
      </c>
      <c r="BM19" t="s">
        <v>6</v>
      </c>
      <c r="BN19" t="s">
        <v>88</v>
      </c>
      <c r="BO19" t="s">
        <v>88</v>
      </c>
      <c r="BP19" t="s">
        <v>88</v>
      </c>
      <c r="BQ19" t="s">
        <v>6</v>
      </c>
      <c r="BR19" t="s">
        <v>6</v>
      </c>
      <c r="BS19" s="123"/>
      <c r="BT19" s="30"/>
      <c r="BU19" t="s">
        <v>185</v>
      </c>
      <c r="BV19" s="123">
        <v>45313.637034560183</v>
      </c>
      <c r="BW19"/>
    </row>
    <row r="20" spans="5:75">
      <c r="E20">
        <v>17</v>
      </c>
      <c r="F20" t="s">
        <v>1151</v>
      </c>
      <c r="G20" t="s">
        <v>1118</v>
      </c>
      <c r="H20" t="s">
        <v>1119</v>
      </c>
      <c r="I20" s="30">
        <v>45306</v>
      </c>
      <c r="J20" t="s">
        <v>79</v>
      </c>
      <c r="K20" t="s">
        <v>79</v>
      </c>
      <c r="L20" t="s">
        <v>6</v>
      </c>
      <c r="M20" t="s">
        <v>129</v>
      </c>
      <c r="N20" t="s">
        <v>786</v>
      </c>
      <c r="O20" t="s">
        <v>102</v>
      </c>
      <c r="P20" t="s">
        <v>35</v>
      </c>
      <c r="Q20" t="s">
        <v>193</v>
      </c>
      <c r="R20" t="s">
        <v>88</v>
      </c>
      <c r="S20" t="s">
        <v>88</v>
      </c>
      <c r="T20" t="s">
        <v>88</v>
      </c>
      <c r="U20" t="s">
        <v>88</v>
      </c>
      <c r="V20" t="s">
        <v>1119</v>
      </c>
      <c r="W20" t="s">
        <v>88</v>
      </c>
      <c r="X20" t="s">
        <v>88</v>
      </c>
      <c r="Y20" t="s">
        <v>88</v>
      </c>
      <c r="Z20" s="30">
        <v>46405</v>
      </c>
      <c r="AA20" s="178" t="s">
        <v>6</v>
      </c>
      <c r="AB20" t="s">
        <v>1151</v>
      </c>
      <c r="AC20" t="s">
        <v>88</v>
      </c>
      <c r="AD20" t="s">
        <v>1134</v>
      </c>
      <c r="AE20" t="s">
        <v>88</v>
      </c>
      <c r="AF20">
        <v>2</v>
      </c>
      <c r="AG20" t="s">
        <v>6</v>
      </c>
      <c r="AH20" t="s">
        <v>6</v>
      </c>
      <c r="AI20" t="s">
        <v>6</v>
      </c>
      <c r="AJ20" t="s">
        <v>6</v>
      </c>
      <c r="AK20">
        <v>100</v>
      </c>
      <c r="AL20" t="s">
        <v>6</v>
      </c>
      <c r="AM20" t="s">
        <v>6</v>
      </c>
      <c r="AN20" s="178" t="s">
        <v>1205</v>
      </c>
      <c r="AO20" s="30">
        <v>45309</v>
      </c>
      <c r="AP20" t="s">
        <v>88</v>
      </c>
      <c r="AQ20" t="s">
        <v>1120</v>
      </c>
      <c r="AR20" t="s">
        <v>88</v>
      </c>
      <c r="AS20"/>
      <c r="AT20"/>
      <c r="AU20" t="s">
        <v>88</v>
      </c>
      <c r="AV20" t="s">
        <v>88</v>
      </c>
      <c r="AW20" t="s">
        <v>88</v>
      </c>
      <c r="AX20" t="s">
        <v>88</v>
      </c>
      <c r="AY20" t="s">
        <v>88</v>
      </c>
      <c r="AZ20" t="s">
        <v>6</v>
      </c>
      <c r="BA20" t="s">
        <v>6</v>
      </c>
      <c r="BB20" t="s">
        <v>6</v>
      </c>
      <c r="BC20" t="s">
        <v>6</v>
      </c>
      <c r="BD20" s="178"/>
      <c r="BE20" t="s">
        <v>88</v>
      </c>
      <c r="BF20" t="s">
        <v>88</v>
      </c>
      <c r="BG20" t="s">
        <v>88</v>
      </c>
      <c r="BH20" t="s">
        <v>88</v>
      </c>
      <c r="BI20" t="s">
        <v>1151</v>
      </c>
      <c r="BJ20" t="s">
        <v>1149</v>
      </c>
      <c r="BK20" t="s">
        <v>199</v>
      </c>
      <c r="BL20" t="s">
        <v>6</v>
      </c>
      <c r="BM20" t="s">
        <v>6</v>
      </c>
      <c r="BN20" t="s">
        <v>157</v>
      </c>
      <c r="BO20" t="s">
        <v>524</v>
      </c>
      <c r="BP20" t="s">
        <v>16</v>
      </c>
      <c r="BQ20" t="s">
        <v>784</v>
      </c>
      <c r="BR20" t="s">
        <v>6</v>
      </c>
      <c r="BS20" s="123"/>
      <c r="BT20" s="30">
        <v>45306</v>
      </c>
      <c r="BU20" t="s">
        <v>185</v>
      </c>
      <c r="BV20" s="123">
        <v>45313.637034560183</v>
      </c>
      <c r="BW20"/>
    </row>
    <row r="21" spans="5:75">
      <c r="E21">
        <v>16</v>
      </c>
      <c r="F21" t="s">
        <v>778</v>
      </c>
      <c r="G21" t="s">
        <v>793</v>
      </c>
      <c r="H21" t="s">
        <v>794</v>
      </c>
      <c r="I21" s="30">
        <v>45303</v>
      </c>
      <c r="J21" t="s">
        <v>79</v>
      </c>
      <c r="K21" t="s">
        <v>79</v>
      </c>
      <c r="L21" t="s">
        <v>6</v>
      </c>
      <c r="M21" t="s">
        <v>129</v>
      </c>
      <c r="N21" t="s">
        <v>1265</v>
      </c>
      <c r="O21" t="s">
        <v>102</v>
      </c>
      <c r="P21" t="s">
        <v>107</v>
      </c>
      <c r="Q21" t="s">
        <v>204</v>
      </c>
      <c r="R21" t="s">
        <v>464</v>
      </c>
      <c r="S21" t="s">
        <v>88</v>
      </c>
      <c r="T21" t="s">
        <v>586</v>
      </c>
      <c r="U21" t="s">
        <v>88</v>
      </c>
      <c r="V21" t="s">
        <v>794</v>
      </c>
      <c r="W21" t="s">
        <v>88</v>
      </c>
      <c r="X21" t="s">
        <v>88</v>
      </c>
      <c r="Y21" t="s">
        <v>88</v>
      </c>
      <c r="Z21" s="30">
        <v>46406</v>
      </c>
      <c r="AA21" s="178" t="s">
        <v>6</v>
      </c>
      <c r="AB21" t="s">
        <v>1151</v>
      </c>
      <c r="AC21" t="s">
        <v>88</v>
      </c>
      <c r="AD21" t="s">
        <v>1262</v>
      </c>
      <c r="AE21" t="s">
        <v>88</v>
      </c>
      <c r="AF21">
        <v>4.5999999999999996</v>
      </c>
      <c r="AG21" t="s">
        <v>1698</v>
      </c>
      <c r="AH21" t="s">
        <v>1265</v>
      </c>
      <c r="AI21" t="s">
        <v>1265</v>
      </c>
      <c r="AJ21">
        <v>10</v>
      </c>
      <c r="AK21">
        <v>100</v>
      </c>
      <c r="AL21" t="s">
        <v>6</v>
      </c>
      <c r="AM21" t="s">
        <v>6</v>
      </c>
      <c r="AN21" s="178" t="s">
        <v>1203</v>
      </c>
      <c r="AO21" s="30">
        <v>45310</v>
      </c>
      <c r="AP21" t="s">
        <v>88</v>
      </c>
      <c r="AQ21" t="s">
        <v>1273</v>
      </c>
      <c r="AR21" t="s">
        <v>88</v>
      </c>
      <c r="AS21"/>
      <c r="AT21"/>
      <c r="AU21" t="s">
        <v>88</v>
      </c>
      <c r="AV21" t="s">
        <v>88</v>
      </c>
      <c r="AW21" t="s">
        <v>1151</v>
      </c>
      <c r="AX21" t="s">
        <v>88</v>
      </c>
      <c r="AY21" t="s">
        <v>88</v>
      </c>
      <c r="AZ21" t="s">
        <v>127</v>
      </c>
      <c r="BA21" t="s">
        <v>6</v>
      </c>
      <c r="BB21" t="s">
        <v>6</v>
      </c>
      <c r="BC21" t="s">
        <v>6</v>
      </c>
      <c r="BD21" s="178" t="s">
        <v>1151</v>
      </c>
      <c r="BE21" t="s">
        <v>805</v>
      </c>
      <c r="BF21" t="s">
        <v>88</v>
      </c>
      <c r="BG21" t="s">
        <v>143</v>
      </c>
      <c r="BH21" t="s">
        <v>147</v>
      </c>
      <c r="BI21" t="s">
        <v>88</v>
      </c>
      <c r="BJ21" t="s">
        <v>88</v>
      </c>
      <c r="BK21" t="s">
        <v>88</v>
      </c>
      <c r="BL21" t="s">
        <v>6</v>
      </c>
      <c r="BM21" t="s">
        <v>6</v>
      </c>
      <c r="BN21" t="s">
        <v>88</v>
      </c>
      <c r="BO21" t="s">
        <v>88</v>
      </c>
      <c r="BP21" t="s">
        <v>88</v>
      </c>
      <c r="BQ21" t="s">
        <v>6</v>
      </c>
      <c r="BR21" t="s">
        <v>6</v>
      </c>
      <c r="BS21" s="123"/>
      <c r="BT21" s="30"/>
      <c r="BU21" t="s">
        <v>185</v>
      </c>
      <c r="BV21" s="123">
        <v>45313.637034560183</v>
      </c>
      <c r="BW21">
        <v>24006</v>
      </c>
    </row>
    <row r="22" spans="5:75">
      <c r="E22">
        <v>15</v>
      </c>
      <c r="F22" t="s">
        <v>778</v>
      </c>
      <c r="G22" t="s">
        <v>1454</v>
      </c>
      <c r="H22" t="s">
        <v>319</v>
      </c>
      <c r="I22" s="30">
        <v>45303</v>
      </c>
      <c r="J22" t="s">
        <v>1468</v>
      </c>
      <c r="K22" t="s">
        <v>1469</v>
      </c>
      <c r="L22" t="s">
        <v>6</v>
      </c>
      <c r="M22" t="s">
        <v>129</v>
      </c>
      <c r="N22" t="s">
        <v>1459</v>
      </c>
      <c r="O22" t="s">
        <v>102</v>
      </c>
      <c r="P22" t="s">
        <v>37</v>
      </c>
      <c r="Q22" t="s">
        <v>193</v>
      </c>
      <c r="R22" t="s">
        <v>88</v>
      </c>
      <c r="S22" t="s">
        <v>88</v>
      </c>
      <c r="T22" t="s">
        <v>88</v>
      </c>
      <c r="U22" t="s">
        <v>88</v>
      </c>
      <c r="V22" t="s">
        <v>1463</v>
      </c>
      <c r="W22" t="s">
        <v>319</v>
      </c>
      <c r="X22" t="s">
        <v>88</v>
      </c>
      <c r="Y22" t="s">
        <v>88</v>
      </c>
      <c r="Z22" s="30">
        <v>46341</v>
      </c>
      <c r="AA22" s="178" t="s">
        <v>6</v>
      </c>
      <c r="AB22" t="s">
        <v>1151</v>
      </c>
      <c r="AC22" t="s">
        <v>88</v>
      </c>
      <c r="AD22" t="s">
        <v>1455</v>
      </c>
      <c r="AE22" t="s">
        <v>194</v>
      </c>
      <c r="AF22">
        <v>7</v>
      </c>
      <c r="AG22" t="s">
        <v>6</v>
      </c>
      <c r="AH22" t="s">
        <v>1459</v>
      </c>
      <c r="AI22" t="s">
        <v>6</v>
      </c>
      <c r="AJ22" t="s">
        <v>6</v>
      </c>
      <c r="AK22">
        <v>99.995000000000005</v>
      </c>
      <c r="AL22" t="s">
        <v>6</v>
      </c>
      <c r="AM22" t="s">
        <v>6</v>
      </c>
      <c r="AN22" s="178" t="s">
        <v>1203</v>
      </c>
      <c r="AO22" s="30">
        <v>45310</v>
      </c>
      <c r="AP22" t="s">
        <v>88</v>
      </c>
      <c r="AQ22" t="s">
        <v>1467</v>
      </c>
      <c r="AR22" t="s">
        <v>88</v>
      </c>
      <c r="AS22"/>
      <c r="AT22"/>
      <c r="AU22" t="s">
        <v>88</v>
      </c>
      <c r="AV22" t="s">
        <v>88</v>
      </c>
      <c r="AW22" t="s">
        <v>88</v>
      </c>
      <c r="AX22" t="s">
        <v>88</v>
      </c>
      <c r="AY22" t="s">
        <v>88</v>
      </c>
      <c r="AZ22" t="s">
        <v>6</v>
      </c>
      <c r="BA22" t="s">
        <v>6</v>
      </c>
      <c r="BB22" t="s">
        <v>6</v>
      </c>
      <c r="BC22" t="s">
        <v>6</v>
      </c>
      <c r="BD22" s="178"/>
      <c r="BE22" t="s">
        <v>88</v>
      </c>
      <c r="BF22" t="s">
        <v>88</v>
      </c>
      <c r="BG22" t="s">
        <v>88</v>
      </c>
      <c r="BH22" t="s">
        <v>88</v>
      </c>
      <c r="BI22" t="s">
        <v>88</v>
      </c>
      <c r="BJ22" t="s">
        <v>88</v>
      </c>
      <c r="BK22" t="s">
        <v>88</v>
      </c>
      <c r="BL22" t="s">
        <v>6</v>
      </c>
      <c r="BM22" t="s">
        <v>6</v>
      </c>
      <c r="BN22" t="s">
        <v>88</v>
      </c>
      <c r="BO22" t="s">
        <v>88</v>
      </c>
      <c r="BP22" t="s">
        <v>88</v>
      </c>
      <c r="BQ22" t="s">
        <v>6</v>
      </c>
      <c r="BR22" t="s">
        <v>6</v>
      </c>
      <c r="BS22" s="123"/>
      <c r="BT22" s="30"/>
      <c r="BU22" t="s">
        <v>185</v>
      </c>
      <c r="BV22" s="123">
        <v>45313.637034560183</v>
      </c>
      <c r="BW22"/>
    </row>
    <row r="23" spans="5:75">
      <c r="E23">
        <v>14</v>
      </c>
      <c r="F23" t="s">
        <v>778</v>
      </c>
      <c r="G23" t="s">
        <v>1248</v>
      </c>
      <c r="H23" t="s">
        <v>1246</v>
      </c>
      <c r="I23" s="30">
        <v>45303</v>
      </c>
      <c r="J23" t="s">
        <v>79</v>
      </c>
      <c r="K23" t="s">
        <v>79</v>
      </c>
      <c r="L23" t="s">
        <v>6</v>
      </c>
      <c r="M23" t="s">
        <v>129</v>
      </c>
      <c r="N23" t="s">
        <v>796</v>
      </c>
      <c r="O23" t="s">
        <v>102</v>
      </c>
      <c r="P23" t="s">
        <v>107</v>
      </c>
      <c r="Q23" t="s">
        <v>1209</v>
      </c>
      <c r="R23" t="s">
        <v>88</v>
      </c>
      <c r="S23" t="s">
        <v>88</v>
      </c>
      <c r="T23" t="s">
        <v>562</v>
      </c>
      <c r="U23" t="s">
        <v>88</v>
      </c>
      <c r="V23" t="s">
        <v>1246</v>
      </c>
      <c r="W23" t="s">
        <v>88</v>
      </c>
      <c r="X23" t="s">
        <v>88</v>
      </c>
      <c r="Y23" t="s">
        <v>88</v>
      </c>
      <c r="Z23" s="30">
        <v>46406</v>
      </c>
      <c r="AA23" s="178" t="s">
        <v>6</v>
      </c>
      <c r="AB23" t="s">
        <v>1151</v>
      </c>
      <c r="AC23" t="s">
        <v>88</v>
      </c>
      <c r="AD23" t="s">
        <v>1249</v>
      </c>
      <c r="AE23" t="s">
        <v>88</v>
      </c>
      <c r="AF23">
        <v>12.6</v>
      </c>
      <c r="AG23" t="s">
        <v>1700</v>
      </c>
      <c r="AH23" t="s">
        <v>796</v>
      </c>
      <c r="AI23" t="s">
        <v>796</v>
      </c>
      <c r="AJ23">
        <v>0</v>
      </c>
      <c r="AK23">
        <v>100</v>
      </c>
      <c r="AL23" t="s">
        <v>6</v>
      </c>
      <c r="AM23" t="s">
        <v>6</v>
      </c>
      <c r="AN23" s="178" t="s">
        <v>1203</v>
      </c>
      <c r="AO23" s="30">
        <v>45310</v>
      </c>
      <c r="AP23" t="s">
        <v>88</v>
      </c>
      <c r="AQ23" t="s">
        <v>1259</v>
      </c>
      <c r="AR23" t="s">
        <v>88</v>
      </c>
      <c r="AS23"/>
      <c r="AT23"/>
      <c r="AU23" t="s">
        <v>88</v>
      </c>
      <c r="AV23" t="s">
        <v>88</v>
      </c>
      <c r="AW23" t="s">
        <v>88</v>
      </c>
      <c r="AX23" t="s">
        <v>88</v>
      </c>
      <c r="AY23" t="s">
        <v>88</v>
      </c>
      <c r="AZ23" t="s">
        <v>6</v>
      </c>
      <c r="BA23" t="s">
        <v>6</v>
      </c>
      <c r="BB23" t="s">
        <v>6</v>
      </c>
      <c r="BC23" t="s">
        <v>6</v>
      </c>
      <c r="BD23" s="178"/>
      <c r="BE23" t="s">
        <v>88</v>
      </c>
      <c r="BF23" t="s">
        <v>88</v>
      </c>
      <c r="BG23" t="s">
        <v>88</v>
      </c>
      <c r="BH23" t="s">
        <v>88</v>
      </c>
      <c r="BI23" t="s">
        <v>88</v>
      </c>
      <c r="BJ23" t="s">
        <v>88</v>
      </c>
      <c r="BK23" t="s">
        <v>88</v>
      </c>
      <c r="BL23" t="s">
        <v>6</v>
      </c>
      <c r="BM23" t="s">
        <v>6</v>
      </c>
      <c r="BN23" t="s">
        <v>88</v>
      </c>
      <c r="BO23" t="s">
        <v>88</v>
      </c>
      <c r="BP23" t="s">
        <v>88</v>
      </c>
      <c r="BQ23" t="s">
        <v>6</v>
      </c>
      <c r="BR23" t="s">
        <v>6</v>
      </c>
      <c r="BS23" s="123"/>
      <c r="BT23" s="30"/>
      <c r="BU23" t="s">
        <v>185</v>
      </c>
      <c r="BV23" s="123">
        <v>45313.637034560183</v>
      </c>
      <c r="BW23"/>
    </row>
    <row r="24" spans="5:75">
      <c r="E24">
        <v>13</v>
      </c>
      <c r="F24" t="s">
        <v>778</v>
      </c>
      <c r="G24" t="s">
        <v>1276</v>
      </c>
      <c r="H24" t="s">
        <v>1274</v>
      </c>
      <c r="I24" s="30">
        <v>45303</v>
      </c>
      <c r="J24" t="s">
        <v>79</v>
      </c>
      <c r="K24" t="s">
        <v>79</v>
      </c>
      <c r="L24" t="s">
        <v>6</v>
      </c>
      <c r="M24" t="s">
        <v>801</v>
      </c>
      <c r="N24" t="s">
        <v>1279</v>
      </c>
      <c r="O24" t="s">
        <v>102</v>
      </c>
      <c r="P24" t="s">
        <v>35</v>
      </c>
      <c r="Q24" t="s">
        <v>193</v>
      </c>
      <c r="R24" t="s">
        <v>88</v>
      </c>
      <c r="S24" t="s">
        <v>88</v>
      </c>
      <c r="T24" t="s">
        <v>88</v>
      </c>
      <c r="U24" t="s">
        <v>88</v>
      </c>
      <c r="V24" t="s">
        <v>1274</v>
      </c>
      <c r="W24" t="s">
        <v>88</v>
      </c>
      <c r="X24" t="s">
        <v>88</v>
      </c>
      <c r="Y24" t="s">
        <v>88</v>
      </c>
      <c r="Z24" s="30">
        <v>46040</v>
      </c>
      <c r="AA24" s="178" t="s">
        <v>6</v>
      </c>
      <c r="AB24" t="s">
        <v>1151</v>
      </c>
      <c r="AC24" t="s">
        <v>88</v>
      </c>
      <c r="AD24" t="s">
        <v>1277</v>
      </c>
      <c r="AE24" t="s">
        <v>88</v>
      </c>
      <c r="AF24">
        <v>6.7</v>
      </c>
      <c r="AG24" t="s">
        <v>6</v>
      </c>
      <c r="AH24" t="s">
        <v>1279</v>
      </c>
      <c r="AI24" t="s">
        <v>6</v>
      </c>
      <c r="AJ24" t="s">
        <v>6</v>
      </c>
      <c r="AK24">
        <v>100</v>
      </c>
      <c r="AL24" t="s">
        <v>6</v>
      </c>
      <c r="AM24" t="s">
        <v>6</v>
      </c>
      <c r="AN24" s="178" t="s">
        <v>1204</v>
      </c>
      <c r="AO24" s="30">
        <v>45309</v>
      </c>
      <c r="AP24" t="s">
        <v>88</v>
      </c>
      <c r="AQ24" t="s">
        <v>1285</v>
      </c>
      <c r="AR24" t="s">
        <v>88</v>
      </c>
      <c r="AS24"/>
      <c r="AT24"/>
      <c r="AU24" t="s">
        <v>88</v>
      </c>
      <c r="AV24" t="s">
        <v>88</v>
      </c>
      <c r="AW24" t="s">
        <v>88</v>
      </c>
      <c r="AX24" t="s">
        <v>88</v>
      </c>
      <c r="AY24" t="s">
        <v>88</v>
      </c>
      <c r="AZ24" t="s">
        <v>6</v>
      </c>
      <c r="BA24" t="s">
        <v>6</v>
      </c>
      <c r="BB24" t="s">
        <v>6</v>
      </c>
      <c r="BC24" t="s">
        <v>6</v>
      </c>
      <c r="BD24" s="178"/>
      <c r="BE24" t="s">
        <v>88</v>
      </c>
      <c r="BF24" t="s">
        <v>88</v>
      </c>
      <c r="BG24" t="s">
        <v>88</v>
      </c>
      <c r="BH24" t="s">
        <v>88</v>
      </c>
      <c r="BI24" t="s">
        <v>88</v>
      </c>
      <c r="BJ24" t="s">
        <v>88</v>
      </c>
      <c r="BK24" t="s">
        <v>88</v>
      </c>
      <c r="BL24" t="s">
        <v>6</v>
      </c>
      <c r="BM24" t="s">
        <v>6</v>
      </c>
      <c r="BN24" t="s">
        <v>88</v>
      </c>
      <c r="BO24" t="s">
        <v>88</v>
      </c>
      <c r="BP24" t="s">
        <v>88</v>
      </c>
      <c r="BQ24" t="s">
        <v>6</v>
      </c>
      <c r="BR24" t="s">
        <v>6</v>
      </c>
      <c r="BS24" s="123"/>
      <c r="BT24" s="30"/>
      <c r="BU24" t="s">
        <v>185</v>
      </c>
      <c r="BV24" s="123">
        <v>45313.637034560183</v>
      </c>
      <c r="BW24"/>
    </row>
    <row r="25" spans="5:75">
      <c r="E25">
        <v>12</v>
      </c>
      <c r="F25"/>
      <c r="G25" t="s">
        <v>1231</v>
      </c>
      <c r="H25" t="s">
        <v>701</v>
      </c>
      <c r="I25" s="30">
        <v>45303</v>
      </c>
      <c r="J25" t="s">
        <v>79</v>
      </c>
      <c r="K25" t="s">
        <v>88</v>
      </c>
      <c r="L25" t="s">
        <v>6</v>
      </c>
      <c r="M25" t="s">
        <v>1145</v>
      </c>
      <c r="N25" t="s">
        <v>88</v>
      </c>
      <c r="O25" t="s">
        <v>81</v>
      </c>
      <c r="P25" t="s">
        <v>88</v>
      </c>
      <c r="Q25" t="s">
        <v>6</v>
      </c>
      <c r="R25" t="s">
        <v>88</v>
      </c>
      <c r="S25" t="s">
        <v>88</v>
      </c>
      <c r="T25" t="s">
        <v>88</v>
      </c>
      <c r="U25" t="s">
        <v>88</v>
      </c>
      <c r="V25" t="s">
        <v>88</v>
      </c>
      <c r="W25" t="s">
        <v>88</v>
      </c>
      <c r="X25" t="s">
        <v>88</v>
      </c>
      <c r="Y25" t="s">
        <v>1689</v>
      </c>
      <c r="Z25" s="30">
        <v>45673</v>
      </c>
      <c r="AA25" s="178" t="s">
        <v>6</v>
      </c>
      <c r="AB25"/>
      <c r="AC25" t="s">
        <v>465</v>
      </c>
      <c r="AD25" t="s">
        <v>88</v>
      </c>
      <c r="AE25" t="s">
        <v>88</v>
      </c>
      <c r="AF25">
        <v>0.15</v>
      </c>
      <c r="AG25" t="s">
        <v>6</v>
      </c>
      <c r="AH25" t="s">
        <v>6</v>
      </c>
      <c r="AI25" t="s">
        <v>6</v>
      </c>
      <c r="AJ25" t="s">
        <v>6</v>
      </c>
      <c r="AK25">
        <v>100</v>
      </c>
      <c r="AL25" t="s">
        <v>6</v>
      </c>
      <c r="AM25" t="s">
        <v>6</v>
      </c>
      <c r="AN25" s="178" t="s">
        <v>88</v>
      </c>
      <c r="AO25" s="30"/>
      <c r="AP25" t="s">
        <v>88</v>
      </c>
      <c r="AQ25" t="s">
        <v>1234</v>
      </c>
      <c r="AR25"/>
      <c r="AS25"/>
      <c r="AT25"/>
      <c r="AU25" t="s">
        <v>88</v>
      </c>
      <c r="AV25" t="s">
        <v>88</v>
      </c>
      <c r="AW25" t="s">
        <v>88</v>
      </c>
      <c r="AX25" t="s">
        <v>88</v>
      </c>
      <c r="AY25" t="s">
        <v>88</v>
      </c>
      <c r="AZ25" t="s">
        <v>6</v>
      </c>
      <c r="BA25" t="s">
        <v>6</v>
      </c>
      <c r="BB25" t="s">
        <v>6</v>
      </c>
      <c r="BC25" t="s">
        <v>6</v>
      </c>
      <c r="BD25" s="178"/>
      <c r="BE25" t="s">
        <v>88</v>
      </c>
      <c r="BF25" t="s">
        <v>88</v>
      </c>
      <c r="BG25" t="s">
        <v>88</v>
      </c>
      <c r="BH25" t="s">
        <v>88</v>
      </c>
      <c r="BI25" t="s">
        <v>88</v>
      </c>
      <c r="BJ25" t="s">
        <v>88</v>
      </c>
      <c r="BK25" t="s">
        <v>88</v>
      </c>
      <c r="BL25" t="s">
        <v>6</v>
      </c>
      <c r="BM25" t="s">
        <v>6</v>
      </c>
      <c r="BN25" t="s">
        <v>88</v>
      </c>
      <c r="BO25" t="s">
        <v>88</v>
      </c>
      <c r="BP25" t="s">
        <v>88</v>
      </c>
      <c r="BQ25" t="s">
        <v>6</v>
      </c>
      <c r="BR25" t="s">
        <v>6</v>
      </c>
      <c r="BS25" s="123"/>
      <c r="BT25" s="30"/>
      <c r="BU25" t="s">
        <v>185</v>
      </c>
      <c r="BV25" s="123">
        <v>45313.637034560183</v>
      </c>
      <c r="BW25"/>
    </row>
    <row r="26" spans="5:75">
      <c r="E26">
        <v>11</v>
      </c>
      <c r="F26" t="s">
        <v>1151</v>
      </c>
      <c r="G26" t="s">
        <v>1605</v>
      </c>
      <c r="H26" t="s">
        <v>1603</v>
      </c>
      <c r="I26" s="30">
        <v>45289</v>
      </c>
      <c r="J26" t="s">
        <v>79</v>
      </c>
      <c r="K26" t="s">
        <v>79</v>
      </c>
      <c r="L26" t="s">
        <v>494</v>
      </c>
      <c r="M26" t="s">
        <v>1688</v>
      </c>
      <c r="N26" t="s">
        <v>1507</v>
      </c>
      <c r="O26" t="s">
        <v>102</v>
      </c>
      <c r="P26" t="s">
        <v>37</v>
      </c>
      <c r="Q26" t="s">
        <v>193</v>
      </c>
      <c r="R26" t="s">
        <v>88</v>
      </c>
      <c r="S26" t="s">
        <v>88</v>
      </c>
      <c r="T26" t="s">
        <v>88</v>
      </c>
      <c r="U26" t="s">
        <v>88</v>
      </c>
      <c r="V26" t="s">
        <v>1613</v>
      </c>
      <c r="W26" t="s">
        <v>1603</v>
      </c>
      <c r="X26" t="s">
        <v>88</v>
      </c>
      <c r="Y26" t="s">
        <v>88</v>
      </c>
      <c r="Z26" s="30">
        <v>46292</v>
      </c>
      <c r="AA26" s="178" t="s">
        <v>6</v>
      </c>
      <c r="AB26" t="s">
        <v>1151</v>
      </c>
      <c r="AC26" t="s">
        <v>88</v>
      </c>
      <c r="AD26" t="s">
        <v>1606</v>
      </c>
      <c r="AE26" t="s">
        <v>88</v>
      </c>
      <c r="AF26">
        <v>3.43</v>
      </c>
      <c r="AG26" t="s">
        <v>6</v>
      </c>
      <c r="AH26" t="s">
        <v>6</v>
      </c>
      <c r="AI26" t="s">
        <v>6</v>
      </c>
      <c r="AJ26" t="s">
        <v>6</v>
      </c>
      <c r="AK26">
        <v>100</v>
      </c>
      <c r="AL26" t="s">
        <v>6</v>
      </c>
      <c r="AM26" t="s">
        <v>6</v>
      </c>
      <c r="AN26" s="178" t="s">
        <v>1204</v>
      </c>
      <c r="AO26" s="30">
        <v>45296</v>
      </c>
      <c r="AP26" t="s">
        <v>88</v>
      </c>
      <c r="AQ26" t="s">
        <v>1615</v>
      </c>
      <c r="AR26" t="s">
        <v>88</v>
      </c>
      <c r="AS26"/>
      <c r="AT26"/>
      <c r="AU26" t="s">
        <v>88</v>
      </c>
      <c r="AV26" t="s">
        <v>88</v>
      </c>
      <c r="AW26" t="s">
        <v>88</v>
      </c>
      <c r="AX26" t="s">
        <v>88</v>
      </c>
      <c r="AY26" t="s">
        <v>88</v>
      </c>
      <c r="AZ26" t="s">
        <v>6</v>
      </c>
      <c r="BA26" t="s">
        <v>6</v>
      </c>
      <c r="BB26" t="s">
        <v>6</v>
      </c>
      <c r="BC26" t="s">
        <v>6</v>
      </c>
      <c r="BD26" s="178"/>
      <c r="BE26" t="s">
        <v>88</v>
      </c>
      <c r="BF26" t="s">
        <v>88</v>
      </c>
      <c r="BG26" t="s">
        <v>88</v>
      </c>
      <c r="BH26" t="s">
        <v>88</v>
      </c>
      <c r="BI26" t="s">
        <v>88</v>
      </c>
      <c r="BJ26" t="s">
        <v>88</v>
      </c>
      <c r="BK26" t="s">
        <v>88</v>
      </c>
      <c r="BL26" t="s">
        <v>6</v>
      </c>
      <c r="BM26" t="s">
        <v>6</v>
      </c>
      <c r="BN26" t="s">
        <v>88</v>
      </c>
      <c r="BO26" t="s">
        <v>88</v>
      </c>
      <c r="BP26" t="s">
        <v>88</v>
      </c>
      <c r="BQ26" t="s">
        <v>6</v>
      </c>
      <c r="BR26" t="s">
        <v>6</v>
      </c>
      <c r="BS26" s="123"/>
      <c r="BT26" s="30"/>
      <c r="BU26" t="s">
        <v>185</v>
      </c>
      <c r="BV26" s="123">
        <v>45313.637034560183</v>
      </c>
      <c r="BW26"/>
    </row>
    <row r="27" spans="5:75">
      <c r="E27">
        <v>10</v>
      </c>
      <c r="F27" t="s">
        <v>1151</v>
      </c>
      <c r="G27" t="s">
        <v>1633</v>
      </c>
      <c r="H27" t="s">
        <v>1603</v>
      </c>
      <c r="I27" s="30">
        <v>45289</v>
      </c>
      <c r="J27" t="s">
        <v>79</v>
      </c>
      <c r="K27" t="s">
        <v>79</v>
      </c>
      <c r="L27" t="s">
        <v>494</v>
      </c>
      <c r="M27" t="s">
        <v>1145</v>
      </c>
      <c r="N27" t="s">
        <v>1507</v>
      </c>
      <c r="O27" t="s">
        <v>102</v>
      </c>
      <c r="P27" t="s">
        <v>37</v>
      </c>
      <c r="Q27" t="s">
        <v>193</v>
      </c>
      <c r="R27" t="s">
        <v>88</v>
      </c>
      <c r="S27" t="s">
        <v>88</v>
      </c>
      <c r="T27" t="s">
        <v>88</v>
      </c>
      <c r="U27" t="s">
        <v>88</v>
      </c>
      <c r="V27" t="s">
        <v>1613</v>
      </c>
      <c r="W27" t="s">
        <v>1603</v>
      </c>
      <c r="X27" t="s">
        <v>88</v>
      </c>
      <c r="Y27" t="s">
        <v>1689</v>
      </c>
      <c r="Z27" s="30">
        <v>45659</v>
      </c>
      <c r="AA27" s="178" t="s">
        <v>6</v>
      </c>
      <c r="AB27" t="s">
        <v>1151</v>
      </c>
      <c r="AC27" t="s">
        <v>88</v>
      </c>
      <c r="AD27" t="s">
        <v>1634</v>
      </c>
      <c r="AE27" t="s">
        <v>88</v>
      </c>
      <c r="AF27">
        <v>0.12</v>
      </c>
      <c r="AG27" t="s">
        <v>6</v>
      </c>
      <c r="AH27" t="s">
        <v>6</v>
      </c>
      <c r="AI27" t="s">
        <v>6</v>
      </c>
      <c r="AJ27" t="s">
        <v>6</v>
      </c>
      <c r="AK27"/>
      <c r="AL27" t="s">
        <v>6</v>
      </c>
      <c r="AM27" t="s">
        <v>6</v>
      </c>
      <c r="AN27" s="178" t="s">
        <v>1205</v>
      </c>
      <c r="AO27" s="30">
        <v>45295</v>
      </c>
      <c r="AP27" t="s">
        <v>88</v>
      </c>
      <c r="AQ27" t="s">
        <v>1637</v>
      </c>
      <c r="AR27" t="s">
        <v>88</v>
      </c>
      <c r="AS27"/>
      <c r="AT27"/>
      <c r="AU27" t="s">
        <v>88</v>
      </c>
      <c r="AV27" t="s">
        <v>88</v>
      </c>
      <c r="AW27" t="s">
        <v>88</v>
      </c>
      <c r="AX27" t="s">
        <v>88</v>
      </c>
      <c r="AY27" t="s">
        <v>88</v>
      </c>
      <c r="AZ27" t="s">
        <v>6</v>
      </c>
      <c r="BA27" t="s">
        <v>6</v>
      </c>
      <c r="BB27" t="s">
        <v>6</v>
      </c>
      <c r="BC27" t="s">
        <v>6</v>
      </c>
      <c r="BD27" s="178"/>
      <c r="BE27" t="s">
        <v>88</v>
      </c>
      <c r="BF27" t="s">
        <v>88</v>
      </c>
      <c r="BG27" t="s">
        <v>88</v>
      </c>
      <c r="BH27" t="s">
        <v>88</v>
      </c>
      <c r="BI27" t="s">
        <v>88</v>
      </c>
      <c r="BJ27" t="s">
        <v>88</v>
      </c>
      <c r="BK27" t="s">
        <v>88</v>
      </c>
      <c r="BL27" t="s">
        <v>6</v>
      </c>
      <c r="BM27" t="s">
        <v>6</v>
      </c>
      <c r="BN27" t="s">
        <v>88</v>
      </c>
      <c r="BO27" t="s">
        <v>88</v>
      </c>
      <c r="BP27" t="s">
        <v>88</v>
      </c>
      <c r="BQ27" t="s">
        <v>6</v>
      </c>
      <c r="BR27" t="s">
        <v>6</v>
      </c>
      <c r="BS27" s="123"/>
      <c r="BT27" s="30"/>
      <c r="BU27" t="s">
        <v>185</v>
      </c>
      <c r="BV27" s="123">
        <v>45313.637034560183</v>
      </c>
      <c r="BW27"/>
    </row>
    <row r="28" spans="5:75">
      <c r="E28">
        <v>9</v>
      </c>
      <c r="F28" t="s">
        <v>1151</v>
      </c>
      <c r="G28" t="s">
        <v>1618</v>
      </c>
      <c r="H28" t="s">
        <v>1616</v>
      </c>
      <c r="I28" s="30">
        <v>45289</v>
      </c>
      <c r="J28" t="s">
        <v>79</v>
      </c>
      <c r="K28" t="s">
        <v>79</v>
      </c>
      <c r="L28" t="s">
        <v>494</v>
      </c>
      <c r="M28" t="s">
        <v>1145</v>
      </c>
      <c r="N28" t="s">
        <v>1160</v>
      </c>
      <c r="O28" t="s">
        <v>81</v>
      </c>
      <c r="P28" t="s">
        <v>37</v>
      </c>
      <c r="Q28" t="s">
        <v>105</v>
      </c>
      <c r="R28" t="s">
        <v>88</v>
      </c>
      <c r="S28" t="s">
        <v>88</v>
      </c>
      <c r="T28" t="s">
        <v>88</v>
      </c>
      <c r="U28" t="s">
        <v>88</v>
      </c>
      <c r="V28" t="s">
        <v>1624</v>
      </c>
      <c r="W28" t="s">
        <v>1616</v>
      </c>
      <c r="X28" t="s">
        <v>88</v>
      </c>
      <c r="Y28" t="s">
        <v>1689</v>
      </c>
      <c r="Z28" s="30">
        <v>45659</v>
      </c>
      <c r="AA28" s="178" t="s">
        <v>6</v>
      </c>
      <c r="AB28" t="s">
        <v>1151</v>
      </c>
      <c r="AC28" t="s">
        <v>88</v>
      </c>
      <c r="AD28" t="s">
        <v>1619</v>
      </c>
      <c r="AE28" t="s">
        <v>88</v>
      </c>
      <c r="AF28">
        <v>5.2999999999999999E-2</v>
      </c>
      <c r="AG28" t="s">
        <v>6</v>
      </c>
      <c r="AH28" t="s">
        <v>6</v>
      </c>
      <c r="AI28" t="s">
        <v>6</v>
      </c>
      <c r="AJ28" t="s">
        <v>6</v>
      </c>
      <c r="AK28">
        <v>99.75</v>
      </c>
      <c r="AL28" t="s">
        <v>6</v>
      </c>
      <c r="AM28" t="s">
        <v>6</v>
      </c>
      <c r="AN28" s="178" t="s">
        <v>1205</v>
      </c>
      <c r="AO28" s="30">
        <v>45295</v>
      </c>
      <c r="AP28" t="s">
        <v>88</v>
      </c>
      <c r="AQ28" t="s">
        <v>1627</v>
      </c>
      <c r="AR28" t="s">
        <v>88</v>
      </c>
      <c r="AS28"/>
      <c r="AT28"/>
      <c r="AU28" t="s">
        <v>88</v>
      </c>
      <c r="AV28" t="s">
        <v>88</v>
      </c>
      <c r="AW28" t="s">
        <v>88</v>
      </c>
      <c r="AX28" t="s">
        <v>88</v>
      </c>
      <c r="AY28" t="s">
        <v>88</v>
      </c>
      <c r="AZ28" t="s">
        <v>6</v>
      </c>
      <c r="BA28" t="s">
        <v>6</v>
      </c>
      <c r="BB28" t="s">
        <v>6</v>
      </c>
      <c r="BC28" t="s">
        <v>6</v>
      </c>
      <c r="BD28" s="178"/>
      <c r="BE28" t="s">
        <v>88</v>
      </c>
      <c r="BF28" t="s">
        <v>88</v>
      </c>
      <c r="BG28" t="s">
        <v>88</v>
      </c>
      <c r="BH28" t="s">
        <v>88</v>
      </c>
      <c r="BI28" t="s">
        <v>88</v>
      </c>
      <c r="BJ28" t="s">
        <v>88</v>
      </c>
      <c r="BK28" t="s">
        <v>88</v>
      </c>
      <c r="BL28" t="s">
        <v>6</v>
      </c>
      <c r="BM28" t="s">
        <v>6</v>
      </c>
      <c r="BN28" t="s">
        <v>88</v>
      </c>
      <c r="BO28" t="s">
        <v>88</v>
      </c>
      <c r="BP28" t="s">
        <v>88</v>
      </c>
      <c r="BQ28" t="s">
        <v>6</v>
      </c>
      <c r="BR28" t="s">
        <v>6</v>
      </c>
      <c r="BS28" s="123"/>
      <c r="BT28" s="30"/>
      <c r="BU28" t="s">
        <v>185</v>
      </c>
      <c r="BV28" s="123">
        <v>45313.637034560183</v>
      </c>
      <c r="BW28"/>
    </row>
    <row r="29" spans="5:75">
      <c r="E29">
        <v>8</v>
      </c>
      <c r="F29" t="s">
        <v>1151</v>
      </c>
      <c r="G29" t="s">
        <v>1630</v>
      </c>
      <c r="H29" t="s">
        <v>1616</v>
      </c>
      <c r="I29" s="30">
        <v>45289</v>
      </c>
      <c r="J29" t="s">
        <v>79</v>
      </c>
      <c r="K29" t="s">
        <v>79</v>
      </c>
      <c r="L29" t="s">
        <v>494</v>
      </c>
      <c r="M29" t="s">
        <v>1145</v>
      </c>
      <c r="N29" t="s">
        <v>1160</v>
      </c>
      <c r="O29" t="s">
        <v>104</v>
      </c>
      <c r="P29" t="s">
        <v>37</v>
      </c>
      <c r="Q29" t="s">
        <v>105</v>
      </c>
      <c r="R29" t="s">
        <v>88</v>
      </c>
      <c r="S29" t="s">
        <v>88</v>
      </c>
      <c r="T29" t="s">
        <v>88</v>
      </c>
      <c r="U29" t="s">
        <v>88</v>
      </c>
      <c r="V29" t="s">
        <v>1624</v>
      </c>
      <c r="W29" t="s">
        <v>1616</v>
      </c>
      <c r="X29" t="s">
        <v>88</v>
      </c>
      <c r="Y29" t="s">
        <v>1689</v>
      </c>
      <c r="Z29" s="30">
        <v>45659</v>
      </c>
      <c r="AA29" s="178" t="s">
        <v>6</v>
      </c>
      <c r="AB29" t="s">
        <v>1151</v>
      </c>
      <c r="AC29" t="s">
        <v>88</v>
      </c>
      <c r="AD29" t="s">
        <v>1619</v>
      </c>
      <c r="AE29" t="s">
        <v>88</v>
      </c>
      <c r="AF29">
        <v>1.145</v>
      </c>
      <c r="AG29" t="s">
        <v>6</v>
      </c>
      <c r="AH29" t="s">
        <v>6</v>
      </c>
      <c r="AI29" t="s">
        <v>6</v>
      </c>
      <c r="AJ29" t="s">
        <v>6</v>
      </c>
      <c r="AK29">
        <v>99.75</v>
      </c>
      <c r="AL29" t="s">
        <v>6</v>
      </c>
      <c r="AM29" t="s">
        <v>6</v>
      </c>
      <c r="AN29" s="178" t="s">
        <v>1205</v>
      </c>
      <c r="AO29" s="30">
        <v>45295</v>
      </c>
      <c r="AP29" t="s">
        <v>88</v>
      </c>
      <c r="AQ29" t="s">
        <v>1631</v>
      </c>
      <c r="AR29" t="s">
        <v>88</v>
      </c>
      <c r="AS29"/>
      <c r="AT29"/>
      <c r="AU29" t="s">
        <v>88</v>
      </c>
      <c r="AV29" t="s">
        <v>88</v>
      </c>
      <c r="AW29" t="s">
        <v>88</v>
      </c>
      <c r="AX29" t="s">
        <v>88</v>
      </c>
      <c r="AY29" t="s">
        <v>88</v>
      </c>
      <c r="AZ29" t="s">
        <v>6</v>
      </c>
      <c r="BA29" t="s">
        <v>6</v>
      </c>
      <c r="BB29" t="s">
        <v>6</v>
      </c>
      <c r="BC29" t="s">
        <v>6</v>
      </c>
      <c r="BD29" s="178"/>
      <c r="BE29" t="s">
        <v>88</v>
      </c>
      <c r="BF29" t="s">
        <v>88</v>
      </c>
      <c r="BG29" t="s">
        <v>88</v>
      </c>
      <c r="BH29" t="s">
        <v>88</v>
      </c>
      <c r="BI29" t="s">
        <v>88</v>
      </c>
      <c r="BJ29" t="s">
        <v>88</v>
      </c>
      <c r="BK29" t="s">
        <v>88</v>
      </c>
      <c r="BL29" t="s">
        <v>6</v>
      </c>
      <c r="BM29" t="s">
        <v>6</v>
      </c>
      <c r="BN29" t="s">
        <v>88</v>
      </c>
      <c r="BO29" t="s">
        <v>88</v>
      </c>
      <c r="BP29" t="s">
        <v>88</v>
      </c>
      <c r="BQ29" t="s">
        <v>6</v>
      </c>
      <c r="BR29" t="s">
        <v>6</v>
      </c>
      <c r="BS29" s="123"/>
      <c r="BT29" s="30"/>
      <c r="BU29" t="s">
        <v>185</v>
      </c>
      <c r="BV29" s="123">
        <v>45313.637034560183</v>
      </c>
      <c r="BW29"/>
    </row>
    <row r="30" spans="5:75">
      <c r="E30">
        <v>7</v>
      </c>
      <c r="F30" t="s">
        <v>1151</v>
      </c>
      <c r="G30" t="s">
        <v>1628</v>
      </c>
      <c r="H30" t="s">
        <v>1616</v>
      </c>
      <c r="I30" s="30">
        <v>45289</v>
      </c>
      <c r="J30" t="s">
        <v>79</v>
      </c>
      <c r="K30" t="s">
        <v>79</v>
      </c>
      <c r="L30" t="s">
        <v>494</v>
      </c>
      <c r="M30" t="s">
        <v>1145</v>
      </c>
      <c r="N30" t="s">
        <v>1160</v>
      </c>
      <c r="O30" t="s">
        <v>102</v>
      </c>
      <c r="P30" t="s">
        <v>37</v>
      </c>
      <c r="Q30" t="s">
        <v>105</v>
      </c>
      <c r="R30" t="s">
        <v>88</v>
      </c>
      <c r="S30" t="s">
        <v>88</v>
      </c>
      <c r="T30" t="s">
        <v>88</v>
      </c>
      <c r="U30" t="s">
        <v>88</v>
      </c>
      <c r="V30" t="s">
        <v>1624</v>
      </c>
      <c r="W30" t="s">
        <v>1616</v>
      </c>
      <c r="X30" t="s">
        <v>88</v>
      </c>
      <c r="Y30" t="s">
        <v>1689</v>
      </c>
      <c r="Z30" s="30">
        <v>45659</v>
      </c>
      <c r="AA30" s="178" t="s">
        <v>6</v>
      </c>
      <c r="AB30" t="s">
        <v>1151</v>
      </c>
      <c r="AC30" t="s">
        <v>88</v>
      </c>
      <c r="AD30" t="s">
        <v>1619</v>
      </c>
      <c r="AE30" t="s">
        <v>88</v>
      </c>
      <c r="AF30">
        <v>0.40500000000000003</v>
      </c>
      <c r="AG30" t="s">
        <v>6</v>
      </c>
      <c r="AH30" t="s">
        <v>6</v>
      </c>
      <c r="AI30" t="s">
        <v>6</v>
      </c>
      <c r="AJ30" t="s">
        <v>6</v>
      </c>
      <c r="AK30">
        <v>99.75</v>
      </c>
      <c r="AL30" t="s">
        <v>6</v>
      </c>
      <c r="AM30" t="s">
        <v>6</v>
      </c>
      <c r="AN30" s="178" t="s">
        <v>1205</v>
      </c>
      <c r="AO30" s="30">
        <v>45295</v>
      </c>
      <c r="AP30" t="s">
        <v>88</v>
      </c>
      <c r="AQ30" t="s">
        <v>1629</v>
      </c>
      <c r="AR30" t="s">
        <v>88</v>
      </c>
      <c r="AS30"/>
      <c r="AT30"/>
      <c r="AU30" t="s">
        <v>88</v>
      </c>
      <c r="AV30" t="s">
        <v>88</v>
      </c>
      <c r="AW30" t="s">
        <v>88</v>
      </c>
      <c r="AX30" t="s">
        <v>88</v>
      </c>
      <c r="AY30" t="s">
        <v>88</v>
      </c>
      <c r="AZ30" t="s">
        <v>6</v>
      </c>
      <c r="BA30" t="s">
        <v>6</v>
      </c>
      <c r="BB30" t="s">
        <v>6</v>
      </c>
      <c r="BC30" t="s">
        <v>6</v>
      </c>
      <c r="BD30" s="178"/>
      <c r="BE30" t="s">
        <v>88</v>
      </c>
      <c r="BF30" t="s">
        <v>88</v>
      </c>
      <c r="BG30" t="s">
        <v>88</v>
      </c>
      <c r="BH30" t="s">
        <v>88</v>
      </c>
      <c r="BI30" t="s">
        <v>88</v>
      </c>
      <c r="BJ30" t="s">
        <v>88</v>
      </c>
      <c r="BK30" t="s">
        <v>88</v>
      </c>
      <c r="BL30" t="s">
        <v>6</v>
      </c>
      <c r="BM30" t="s">
        <v>6</v>
      </c>
      <c r="BN30" t="s">
        <v>88</v>
      </c>
      <c r="BO30" t="s">
        <v>88</v>
      </c>
      <c r="BP30" t="s">
        <v>88</v>
      </c>
      <c r="BQ30" t="s">
        <v>6</v>
      </c>
      <c r="BR30" t="s">
        <v>6</v>
      </c>
      <c r="BS30" s="123"/>
      <c r="BT30" s="30"/>
      <c r="BU30" t="s">
        <v>185</v>
      </c>
      <c r="BV30" s="123">
        <v>45313.637034560183</v>
      </c>
      <c r="BW30"/>
    </row>
    <row r="31" spans="5:75">
      <c r="E31">
        <v>6</v>
      </c>
      <c r="F31" t="s">
        <v>1151</v>
      </c>
      <c r="G31" t="s">
        <v>1559</v>
      </c>
      <c r="H31" t="s">
        <v>1557</v>
      </c>
      <c r="I31" s="30">
        <v>45289</v>
      </c>
      <c r="J31" t="s">
        <v>79</v>
      </c>
      <c r="K31" t="s">
        <v>79</v>
      </c>
      <c r="L31" t="s">
        <v>494</v>
      </c>
      <c r="M31" t="s">
        <v>129</v>
      </c>
      <c r="N31" t="s">
        <v>1507</v>
      </c>
      <c r="O31" t="s">
        <v>102</v>
      </c>
      <c r="P31" t="s">
        <v>37</v>
      </c>
      <c r="Q31" t="s">
        <v>193</v>
      </c>
      <c r="R31" t="s">
        <v>88</v>
      </c>
      <c r="S31" t="s">
        <v>88</v>
      </c>
      <c r="T31" t="s">
        <v>88</v>
      </c>
      <c r="U31" t="s">
        <v>88</v>
      </c>
      <c r="V31" t="s">
        <v>1567</v>
      </c>
      <c r="W31" t="s">
        <v>1557</v>
      </c>
      <c r="X31" t="s">
        <v>88</v>
      </c>
      <c r="Y31" t="s">
        <v>88</v>
      </c>
      <c r="Z31" s="30">
        <v>46392</v>
      </c>
      <c r="AA31" s="178" t="s">
        <v>6</v>
      </c>
      <c r="AB31" t="s">
        <v>1151</v>
      </c>
      <c r="AC31" t="s">
        <v>88</v>
      </c>
      <c r="AD31" t="s">
        <v>1560</v>
      </c>
      <c r="AE31" t="s">
        <v>88</v>
      </c>
      <c r="AF31">
        <v>1.5</v>
      </c>
      <c r="AG31" t="s">
        <v>6</v>
      </c>
      <c r="AH31" t="s">
        <v>6</v>
      </c>
      <c r="AI31" t="s">
        <v>6</v>
      </c>
      <c r="AJ31" t="s">
        <v>6</v>
      </c>
      <c r="AK31">
        <v>100</v>
      </c>
      <c r="AL31" t="s">
        <v>6</v>
      </c>
      <c r="AM31" t="s">
        <v>6</v>
      </c>
      <c r="AN31" s="178" t="s">
        <v>1204</v>
      </c>
      <c r="AO31" s="30">
        <v>45296</v>
      </c>
      <c r="AP31" t="s">
        <v>88</v>
      </c>
      <c r="AQ31" t="s">
        <v>1570</v>
      </c>
      <c r="AR31" t="s">
        <v>88</v>
      </c>
      <c r="AS31"/>
      <c r="AT31"/>
      <c r="AU31" t="s">
        <v>88</v>
      </c>
      <c r="AV31" t="s">
        <v>88</v>
      </c>
      <c r="AW31" t="s">
        <v>88</v>
      </c>
      <c r="AX31" t="s">
        <v>88</v>
      </c>
      <c r="AY31" t="s">
        <v>88</v>
      </c>
      <c r="AZ31" t="s">
        <v>6</v>
      </c>
      <c r="BA31" t="s">
        <v>6</v>
      </c>
      <c r="BB31" t="s">
        <v>6</v>
      </c>
      <c r="BC31" t="s">
        <v>6</v>
      </c>
      <c r="BD31" s="178"/>
      <c r="BE31" t="s">
        <v>88</v>
      </c>
      <c r="BF31" t="s">
        <v>88</v>
      </c>
      <c r="BG31" t="s">
        <v>88</v>
      </c>
      <c r="BH31" t="s">
        <v>88</v>
      </c>
      <c r="BI31" t="s">
        <v>88</v>
      </c>
      <c r="BJ31" t="s">
        <v>88</v>
      </c>
      <c r="BK31" t="s">
        <v>88</v>
      </c>
      <c r="BL31" t="s">
        <v>6</v>
      </c>
      <c r="BM31" t="s">
        <v>6</v>
      </c>
      <c r="BN31" t="s">
        <v>88</v>
      </c>
      <c r="BO31" t="s">
        <v>88</v>
      </c>
      <c r="BP31" t="s">
        <v>88</v>
      </c>
      <c r="BQ31" t="s">
        <v>6</v>
      </c>
      <c r="BR31" t="s">
        <v>6</v>
      </c>
      <c r="BS31" s="123"/>
      <c r="BT31" s="30"/>
      <c r="BU31" t="s">
        <v>185</v>
      </c>
      <c r="BV31" s="123">
        <v>45313.637034560183</v>
      </c>
      <c r="BW31"/>
    </row>
    <row r="32" spans="5:75">
      <c r="E32">
        <v>5</v>
      </c>
      <c r="F32" t="s">
        <v>1151</v>
      </c>
      <c r="G32" t="s">
        <v>1573</v>
      </c>
      <c r="H32" t="s">
        <v>1571</v>
      </c>
      <c r="I32" s="30">
        <v>45289</v>
      </c>
      <c r="J32" t="s">
        <v>79</v>
      </c>
      <c r="K32" t="s">
        <v>79</v>
      </c>
      <c r="L32" t="s">
        <v>6</v>
      </c>
      <c r="M32" t="s">
        <v>129</v>
      </c>
      <c r="N32" t="s">
        <v>1576</v>
      </c>
      <c r="O32" t="s">
        <v>102</v>
      </c>
      <c r="P32" t="s">
        <v>107</v>
      </c>
      <c r="Q32" t="s">
        <v>105</v>
      </c>
      <c r="R32" t="s">
        <v>88</v>
      </c>
      <c r="S32" t="s">
        <v>88</v>
      </c>
      <c r="T32" t="s">
        <v>569</v>
      </c>
      <c r="U32" t="s">
        <v>88</v>
      </c>
      <c r="V32" t="s">
        <v>1571</v>
      </c>
      <c r="W32" t="s">
        <v>88</v>
      </c>
      <c r="X32" t="s">
        <v>88</v>
      </c>
      <c r="Y32" t="s">
        <v>88</v>
      </c>
      <c r="Z32" s="30">
        <v>46395</v>
      </c>
      <c r="AA32" s="178" t="s">
        <v>6</v>
      </c>
      <c r="AB32" t="s">
        <v>1151</v>
      </c>
      <c r="AC32" t="s">
        <v>88</v>
      </c>
      <c r="AD32" t="s">
        <v>1574</v>
      </c>
      <c r="AE32" t="s">
        <v>88</v>
      </c>
      <c r="AF32">
        <v>6.1</v>
      </c>
      <c r="AG32" t="s">
        <v>6</v>
      </c>
      <c r="AH32" t="s">
        <v>1576</v>
      </c>
      <c r="AI32" t="s">
        <v>6</v>
      </c>
      <c r="AJ32" t="s">
        <v>6</v>
      </c>
      <c r="AK32">
        <v>100</v>
      </c>
      <c r="AL32" t="s">
        <v>6</v>
      </c>
      <c r="AM32" t="s">
        <v>6</v>
      </c>
      <c r="AN32" s="178" t="s">
        <v>1203</v>
      </c>
      <c r="AO32" s="30">
        <v>45299</v>
      </c>
      <c r="AP32" t="s">
        <v>88</v>
      </c>
      <c r="AQ32" t="s">
        <v>1584</v>
      </c>
      <c r="AR32" t="s">
        <v>88</v>
      </c>
      <c r="AS32"/>
      <c r="AT32"/>
      <c r="AU32" t="s">
        <v>88</v>
      </c>
      <c r="AV32" t="s">
        <v>88</v>
      </c>
      <c r="AW32" t="s">
        <v>88</v>
      </c>
      <c r="AX32" t="s">
        <v>88</v>
      </c>
      <c r="AY32" t="s">
        <v>88</v>
      </c>
      <c r="AZ32" t="s">
        <v>6</v>
      </c>
      <c r="BA32" t="s">
        <v>6</v>
      </c>
      <c r="BB32" t="s">
        <v>6</v>
      </c>
      <c r="BC32" t="s">
        <v>6</v>
      </c>
      <c r="BD32" s="178"/>
      <c r="BE32" t="s">
        <v>88</v>
      </c>
      <c r="BF32" t="s">
        <v>88</v>
      </c>
      <c r="BG32" t="s">
        <v>88</v>
      </c>
      <c r="BH32" t="s">
        <v>88</v>
      </c>
      <c r="BI32" t="s">
        <v>1151</v>
      </c>
      <c r="BJ32" t="s">
        <v>1717</v>
      </c>
      <c r="BK32" t="s">
        <v>199</v>
      </c>
      <c r="BL32" t="s">
        <v>6</v>
      </c>
      <c r="BM32" t="s">
        <v>6</v>
      </c>
      <c r="BN32" t="s">
        <v>157</v>
      </c>
      <c r="BO32" t="s">
        <v>524</v>
      </c>
      <c r="BP32" t="s">
        <v>18</v>
      </c>
      <c r="BQ32" t="s">
        <v>1577</v>
      </c>
      <c r="BR32" t="s">
        <v>6</v>
      </c>
      <c r="BS32" s="123"/>
      <c r="BT32" s="30">
        <v>45289</v>
      </c>
      <c r="BU32" t="s">
        <v>185</v>
      </c>
      <c r="BV32" s="123">
        <v>45313.637034560183</v>
      </c>
      <c r="BW32"/>
    </row>
    <row r="33" spans="5:75">
      <c r="E33">
        <v>4</v>
      </c>
      <c r="F33" t="s">
        <v>1151</v>
      </c>
      <c r="G33" t="s">
        <v>1587</v>
      </c>
      <c r="H33" t="s">
        <v>1585</v>
      </c>
      <c r="I33" s="30">
        <v>45289</v>
      </c>
      <c r="J33" t="s">
        <v>79</v>
      </c>
      <c r="K33" t="s">
        <v>1704</v>
      </c>
      <c r="L33" t="s">
        <v>494</v>
      </c>
      <c r="M33" t="s">
        <v>129</v>
      </c>
      <c r="N33" t="s">
        <v>1591</v>
      </c>
      <c r="O33" t="s">
        <v>81</v>
      </c>
      <c r="P33" t="s">
        <v>109</v>
      </c>
      <c r="Q33" t="s">
        <v>193</v>
      </c>
      <c r="R33" t="s">
        <v>88</v>
      </c>
      <c r="S33" t="s">
        <v>88</v>
      </c>
      <c r="T33" t="s">
        <v>555</v>
      </c>
      <c r="U33" t="s">
        <v>88</v>
      </c>
      <c r="V33" t="s">
        <v>1599</v>
      </c>
      <c r="W33" t="s">
        <v>88</v>
      </c>
      <c r="X33" t="s">
        <v>1585</v>
      </c>
      <c r="Y33" t="s">
        <v>88</v>
      </c>
      <c r="Z33" s="30">
        <v>46391</v>
      </c>
      <c r="AA33" s="178" t="s">
        <v>6</v>
      </c>
      <c r="AB33" t="s">
        <v>1151</v>
      </c>
      <c r="AC33" t="s">
        <v>88</v>
      </c>
      <c r="AD33" t="s">
        <v>1588</v>
      </c>
      <c r="AE33" t="s">
        <v>88</v>
      </c>
      <c r="AF33">
        <v>0.53500000000000003</v>
      </c>
      <c r="AG33" t="s">
        <v>1690</v>
      </c>
      <c r="AH33" t="s">
        <v>1591</v>
      </c>
      <c r="AI33" t="s">
        <v>1591</v>
      </c>
      <c r="AJ33">
        <v>30</v>
      </c>
      <c r="AK33">
        <v>100</v>
      </c>
      <c r="AL33" t="s">
        <v>6</v>
      </c>
      <c r="AM33" t="s">
        <v>6</v>
      </c>
      <c r="AN33" s="178" t="s">
        <v>1205</v>
      </c>
      <c r="AO33" s="30">
        <v>45295</v>
      </c>
      <c r="AP33" t="s">
        <v>88</v>
      </c>
      <c r="AQ33" t="s">
        <v>1602</v>
      </c>
      <c r="AR33" t="s">
        <v>88</v>
      </c>
      <c r="AS33"/>
      <c r="AT33"/>
      <c r="AU33" t="s">
        <v>88</v>
      </c>
      <c r="AV33" t="s">
        <v>88</v>
      </c>
      <c r="AW33" t="s">
        <v>88</v>
      </c>
      <c r="AX33" t="s">
        <v>88</v>
      </c>
      <c r="AY33" t="s">
        <v>88</v>
      </c>
      <c r="AZ33" t="s">
        <v>6</v>
      </c>
      <c r="BA33" t="s">
        <v>6</v>
      </c>
      <c r="BB33" t="s">
        <v>6</v>
      </c>
      <c r="BC33" t="s">
        <v>6</v>
      </c>
      <c r="BD33" s="178"/>
      <c r="BE33" t="s">
        <v>88</v>
      </c>
      <c r="BF33" t="s">
        <v>88</v>
      </c>
      <c r="BG33" t="s">
        <v>88</v>
      </c>
      <c r="BH33" t="s">
        <v>88</v>
      </c>
      <c r="BI33" t="s">
        <v>88</v>
      </c>
      <c r="BJ33" t="s">
        <v>88</v>
      </c>
      <c r="BK33" t="s">
        <v>88</v>
      </c>
      <c r="BL33" t="s">
        <v>6</v>
      </c>
      <c r="BM33" t="s">
        <v>6</v>
      </c>
      <c r="BN33" t="s">
        <v>88</v>
      </c>
      <c r="BO33" t="s">
        <v>88</v>
      </c>
      <c r="BP33" t="s">
        <v>88</v>
      </c>
      <c r="BQ33" t="s">
        <v>6</v>
      </c>
      <c r="BR33" t="s">
        <v>6</v>
      </c>
      <c r="BS33" s="123"/>
      <c r="BT33" s="30"/>
      <c r="BU33" t="s">
        <v>185</v>
      </c>
      <c r="BV33" s="123">
        <v>45313.637034560183</v>
      </c>
      <c r="BW33"/>
    </row>
    <row r="34" spans="5:75">
      <c r="E34">
        <v>3</v>
      </c>
      <c r="F34"/>
      <c r="G34" t="s">
        <v>1640</v>
      </c>
      <c r="H34" t="s">
        <v>1638</v>
      </c>
      <c r="I34" s="30">
        <v>45289</v>
      </c>
      <c r="J34" t="s">
        <v>79</v>
      </c>
      <c r="K34" t="s">
        <v>88</v>
      </c>
      <c r="L34" t="s">
        <v>6</v>
      </c>
      <c r="M34" t="s">
        <v>776</v>
      </c>
      <c r="N34" t="s">
        <v>88</v>
      </c>
      <c r="O34" t="s">
        <v>104</v>
      </c>
      <c r="P34" t="s">
        <v>88</v>
      </c>
      <c r="Q34" t="s">
        <v>6</v>
      </c>
      <c r="R34" t="s">
        <v>88</v>
      </c>
      <c r="S34" t="s">
        <v>88</v>
      </c>
      <c r="T34" t="s">
        <v>88</v>
      </c>
      <c r="U34" t="s">
        <v>88</v>
      </c>
      <c r="V34" t="s">
        <v>88</v>
      </c>
      <c r="W34" t="s">
        <v>88</v>
      </c>
      <c r="X34" t="s">
        <v>88</v>
      </c>
      <c r="Y34" t="s">
        <v>1298</v>
      </c>
      <c r="Z34" s="30">
        <v>45385</v>
      </c>
      <c r="AA34" s="178" t="s">
        <v>6</v>
      </c>
      <c r="AB34"/>
      <c r="AC34" t="s">
        <v>465</v>
      </c>
      <c r="AD34" t="s">
        <v>88</v>
      </c>
      <c r="AE34" t="s">
        <v>88</v>
      </c>
      <c r="AF34">
        <v>0.1</v>
      </c>
      <c r="AG34" t="s">
        <v>6</v>
      </c>
      <c r="AH34" t="s">
        <v>6</v>
      </c>
      <c r="AI34" t="s">
        <v>6</v>
      </c>
      <c r="AJ34" t="s">
        <v>6</v>
      </c>
      <c r="AK34"/>
      <c r="AL34" t="s">
        <v>6</v>
      </c>
      <c r="AM34" t="s">
        <v>6</v>
      </c>
      <c r="AN34" s="178" t="s">
        <v>88</v>
      </c>
      <c r="AO34" s="30"/>
      <c r="AP34" t="s">
        <v>88</v>
      </c>
      <c r="AQ34" t="s">
        <v>1647</v>
      </c>
      <c r="AR34"/>
      <c r="AS34"/>
      <c r="AT34"/>
      <c r="AU34" t="s">
        <v>88</v>
      </c>
      <c r="AV34" t="s">
        <v>88</v>
      </c>
      <c r="AW34" t="s">
        <v>88</v>
      </c>
      <c r="AX34" t="s">
        <v>88</v>
      </c>
      <c r="AY34" t="s">
        <v>88</v>
      </c>
      <c r="AZ34" t="s">
        <v>6</v>
      </c>
      <c r="BA34" t="s">
        <v>6</v>
      </c>
      <c r="BB34" t="s">
        <v>6</v>
      </c>
      <c r="BC34" t="s">
        <v>6</v>
      </c>
      <c r="BD34" s="178"/>
      <c r="BE34" t="s">
        <v>88</v>
      </c>
      <c r="BF34" t="s">
        <v>88</v>
      </c>
      <c r="BG34" t="s">
        <v>88</v>
      </c>
      <c r="BH34" t="s">
        <v>88</v>
      </c>
      <c r="BI34" t="s">
        <v>88</v>
      </c>
      <c r="BJ34" t="s">
        <v>88</v>
      </c>
      <c r="BK34" t="s">
        <v>88</v>
      </c>
      <c r="BL34" t="s">
        <v>6</v>
      </c>
      <c r="BM34" t="s">
        <v>6</v>
      </c>
      <c r="BN34" t="s">
        <v>88</v>
      </c>
      <c r="BO34" t="s">
        <v>88</v>
      </c>
      <c r="BP34" t="s">
        <v>88</v>
      </c>
      <c r="BQ34" t="s">
        <v>6</v>
      </c>
      <c r="BR34" t="s">
        <v>6</v>
      </c>
      <c r="BS34" s="123"/>
      <c r="BT34" s="30"/>
      <c r="BU34" t="s">
        <v>185</v>
      </c>
      <c r="BV34" s="123">
        <v>45313.637034560183</v>
      </c>
      <c r="BW34"/>
    </row>
    <row r="35" spans="5:75">
      <c r="E35">
        <v>2</v>
      </c>
      <c r="F35" t="s">
        <v>1151</v>
      </c>
      <c r="G35" t="s">
        <v>1655</v>
      </c>
      <c r="H35" t="s">
        <v>1653</v>
      </c>
      <c r="I35" s="30">
        <v>45288</v>
      </c>
      <c r="J35" t="s">
        <v>79</v>
      </c>
      <c r="K35" t="s">
        <v>79</v>
      </c>
      <c r="L35" t="s">
        <v>1504</v>
      </c>
      <c r="M35" t="s">
        <v>129</v>
      </c>
      <c r="N35" t="s">
        <v>1576</v>
      </c>
      <c r="O35" t="s">
        <v>102</v>
      </c>
      <c r="P35" t="s">
        <v>107</v>
      </c>
      <c r="Q35" t="s">
        <v>204</v>
      </c>
      <c r="R35" t="s">
        <v>88</v>
      </c>
      <c r="S35" t="s">
        <v>88</v>
      </c>
      <c r="T35" t="s">
        <v>569</v>
      </c>
      <c r="U35" t="s">
        <v>88</v>
      </c>
      <c r="V35" t="s">
        <v>1653</v>
      </c>
      <c r="W35" t="s">
        <v>88</v>
      </c>
      <c r="X35" t="s">
        <v>88</v>
      </c>
      <c r="Y35" t="s">
        <v>88</v>
      </c>
      <c r="Z35" s="30">
        <v>46395</v>
      </c>
      <c r="AA35" s="178" t="s">
        <v>6</v>
      </c>
      <c r="AB35" t="s">
        <v>1151</v>
      </c>
      <c r="AC35" t="s">
        <v>88</v>
      </c>
      <c r="AD35" t="s">
        <v>1656</v>
      </c>
      <c r="AE35" t="s">
        <v>88</v>
      </c>
      <c r="AF35">
        <v>3</v>
      </c>
      <c r="AG35" t="s">
        <v>6</v>
      </c>
      <c r="AH35" t="s">
        <v>6</v>
      </c>
      <c r="AI35" t="s">
        <v>6</v>
      </c>
      <c r="AJ35" t="s">
        <v>6</v>
      </c>
      <c r="AK35">
        <v>100</v>
      </c>
      <c r="AL35" t="s">
        <v>6</v>
      </c>
      <c r="AM35" t="s">
        <v>6</v>
      </c>
      <c r="AN35" s="178" t="s">
        <v>1695</v>
      </c>
      <c r="AO35" s="30">
        <v>45299</v>
      </c>
      <c r="AP35" t="s">
        <v>88</v>
      </c>
      <c r="AQ35" t="s">
        <v>1662</v>
      </c>
      <c r="AR35" t="s">
        <v>88</v>
      </c>
      <c r="AS35"/>
      <c r="AT35"/>
      <c r="AU35" t="s">
        <v>88</v>
      </c>
      <c r="AV35" t="s">
        <v>88</v>
      </c>
      <c r="AW35" t="s">
        <v>88</v>
      </c>
      <c r="AX35" t="s">
        <v>88</v>
      </c>
      <c r="AY35" t="s">
        <v>88</v>
      </c>
      <c r="AZ35" t="s">
        <v>6</v>
      </c>
      <c r="BA35" t="s">
        <v>6</v>
      </c>
      <c r="BB35" t="s">
        <v>6</v>
      </c>
      <c r="BC35" t="s">
        <v>6</v>
      </c>
      <c r="BD35" s="178"/>
      <c r="BE35" t="s">
        <v>88</v>
      </c>
      <c r="BF35" t="s">
        <v>88</v>
      </c>
      <c r="BG35" t="s">
        <v>88</v>
      </c>
      <c r="BH35" t="s">
        <v>88</v>
      </c>
      <c r="BI35" t="s">
        <v>1151</v>
      </c>
      <c r="BJ35" t="s">
        <v>1719</v>
      </c>
      <c r="BK35" t="s">
        <v>199</v>
      </c>
      <c r="BL35" t="s">
        <v>6</v>
      </c>
      <c r="BM35" t="s">
        <v>6</v>
      </c>
      <c r="BN35" t="s">
        <v>157</v>
      </c>
      <c r="BO35" t="s">
        <v>524</v>
      </c>
      <c r="BP35" t="s">
        <v>18</v>
      </c>
      <c r="BQ35" t="s">
        <v>1657</v>
      </c>
      <c r="BR35" t="s">
        <v>6</v>
      </c>
      <c r="BS35" s="123"/>
      <c r="BT35" s="30">
        <v>45288</v>
      </c>
      <c r="BU35" t="s">
        <v>185</v>
      </c>
      <c r="BV35" s="123">
        <v>45313.637034560183</v>
      </c>
      <c r="BW35"/>
    </row>
    <row r="36" spans="5:75">
      <c r="E36">
        <v>1</v>
      </c>
      <c r="F36" t="s">
        <v>1151</v>
      </c>
      <c r="G36" t="s">
        <v>1665</v>
      </c>
      <c r="H36" t="s">
        <v>1663</v>
      </c>
      <c r="I36" s="30">
        <v>45288</v>
      </c>
      <c r="J36" t="s">
        <v>79</v>
      </c>
      <c r="K36" t="s">
        <v>79</v>
      </c>
      <c r="L36" t="s">
        <v>494</v>
      </c>
      <c r="M36" t="s">
        <v>129</v>
      </c>
      <c r="N36" t="s">
        <v>1591</v>
      </c>
      <c r="O36" t="s">
        <v>81</v>
      </c>
      <c r="P36" t="s">
        <v>107</v>
      </c>
      <c r="Q36" t="s">
        <v>204</v>
      </c>
      <c r="R36" t="s">
        <v>88</v>
      </c>
      <c r="S36" t="s">
        <v>88</v>
      </c>
      <c r="T36" t="s">
        <v>545</v>
      </c>
      <c r="U36" t="s">
        <v>88</v>
      </c>
      <c r="V36" t="s">
        <v>1663</v>
      </c>
      <c r="W36" t="s">
        <v>88</v>
      </c>
      <c r="X36" t="s">
        <v>88</v>
      </c>
      <c r="Y36" t="s">
        <v>88</v>
      </c>
      <c r="Z36" s="30">
        <v>46390</v>
      </c>
      <c r="AA36" s="178" t="s">
        <v>6</v>
      </c>
      <c r="AB36" t="s">
        <v>1151</v>
      </c>
      <c r="AC36" t="s">
        <v>88</v>
      </c>
      <c r="AD36" t="s">
        <v>1666</v>
      </c>
      <c r="AE36" t="s">
        <v>88</v>
      </c>
      <c r="AF36">
        <v>0.56999999999999995</v>
      </c>
      <c r="AG36" t="s">
        <v>1694</v>
      </c>
      <c r="AH36" t="s">
        <v>6</v>
      </c>
      <c r="AI36" t="s">
        <v>6</v>
      </c>
      <c r="AJ36" t="s">
        <v>6</v>
      </c>
      <c r="AK36">
        <v>100</v>
      </c>
      <c r="AL36" t="s">
        <v>6</v>
      </c>
      <c r="AM36" t="s">
        <v>6</v>
      </c>
      <c r="AN36" s="178" t="s">
        <v>1205</v>
      </c>
      <c r="AO36" s="30">
        <v>45294</v>
      </c>
      <c r="AP36" t="s">
        <v>88</v>
      </c>
      <c r="AQ36" t="s">
        <v>1675</v>
      </c>
      <c r="AR36" t="s">
        <v>88</v>
      </c>
      <c r="AS36"/>
      <c r="AT36"/>
      <c r="AU36" t="s">
        <v>88</v>
      </c>
      <c r="AV36" t="s">
        <v>88</v>
      </c>
      <c r="AW36" t="s">
        <v>88</v>
      </c>
      <c r="AX36" t="s">
        <v>88</v>
      </c>
      <c r="AY36" t="s">
        <v>88</v>
      </c>
      <c r="AZ36" t="s">
        <v>6</v>
      </c>
      <c r="BA36" t="s">
        <v>6</v>
      </c>
      <c r="BB36" t="s">
        <v>6</v>
      </c>
      <c r="BC36" t="s">
        <v>6</v>
      </c>
      <c r="BD36" s="178"/>
      <c r="BE36" t="s">
        <v>88</v>
      </c>
      <c r="BF36" t="s">
        <v>88</v>
      </c>
      <c r="BG36" t="s">
        <v>88</v>
      </c>
      <c r="BH36" t="s">
        <v>88</v>
      </c>
      <c r="BI36" t="s">
        <v>88</v>
      </c>
      <c r="BJ36" t="s">
        <v>88</v>
      </c>
      <c r="BK36" t="s">
        <v>88</v>
      </c>
      <c r="BL36" t="s">
        <v>6</v>
      </c>
      <c r="BM36" t="s">
        <v>6</v>
      </c>
      <c r="BN36" t="s">
        <v>88</v>
      </c>
      <c r="BO36" t="s">
        <v>88</v>
      </c>
      <c r="BP36" t="s">
        <v>88</v>
      </c>
      <c r="BQ36" t="s">
        <v>6</v>
      </c>
      <c r="BR36" t="s">
        <v>6</v>
      </c>
      <c r="BS36" s="123"/>
      <c r="BT36" s="30"/>
      <c r="BU36" t="s">
        <v>185</v>
      </c>
      <c r="BV36" s="123">
        <v>45313.637034560183</v>
      </c>
      <c r="BW36"/>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0</xdr:col>
                    <xdr:colOff>180975</xdr:colOff>
                    <xdr:row>1</xdr:row>
                    <xdr:rowOff>295275</xdr:rowOff>
                  </from>
                  <to>
                    <xdr:col>3</xdr:col>
                    <xdr:colOff>304800</xdr:colOff>
                    <xdr:row>16</xdr:row>
                    <xdr:rowOff>180975</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D1:F22"/>
  <sheetViews>
    <sheetView topLeftCell="A4" zoomScale="115" zoomScaleNormal="115" workbookViewId="0">
      <selection activeCell="J8" sqref="J8"/>
    </sheetView>
  </sheetViews>
  <sheetFormatPr defaultRowHeight="15"/>
  <cols>
    <col min="1" max="3" width="3.33203125" style="1" customWidth="1"/>
    <col min="4" max="4" width="9.6640625" style="1" customWidth="1"/>
    <col min="5" max="5" width="50.6640625" style="1" customWidth="1"/>
    <col min="6" max="6" width="45.5546875" style="1" customWidth="1"/>
    <col min="7" max="16384" width="8.88671875" style="1"/>
  </cols>
  <sheetData>
    <row r="1" spans="4:6" ht="40.5" customHeight="1">
      <c r="D1" s="57" t="s">
        <v>473</v>
      </c>
    </row>
    <row r="2" spans="4:6" ht="40.5" customHeight="1"/>
    <row r="3" spans="4:6" ht="40.5" customHeight="1"/>
    <row r="4" spans="4:6" ht="40.5" customHeight="1"/>
    <row r="5" spans="4:6">
      <c r="D5" t="s">
        <v>82</v>
      </c>
      <c r="E5" t="s">
        <v>474</v>
      </c>
      <c r="F5" t="s">
        <v>475</v>
      </c>
    </row>
    <row r="6" spans="4:6" ht="92.25" customHeight="1">
      <c r="D6" s="99">
        <v>1</v>
      </c>
      <c r="E6" s="175" t="s">
        <v>1487</v>
      </c>
      <c r="F6" s="101" t="s">
        <v>1488</v>
      </c>
    </row>
    <row r="7" spans="4:6" ht="107.25" customHeight="1">
      <c r="D7" s="99">
        <v>2</v>
      </c>
      <c r="E7" s="134" t="s">
        <v>1489</v>
      </c>
      <c r="F7" s="101" t="s">
        <v>1490</v>
      </c>
    </row>
    <row r="8" spans="4:6" ht="63" customHeight="1">
      <c r="D8" s="99">
        <v>3</v>
      </c>
      <c r="E8" s="134" t="s">
        <v>1491</v>
      </c>
      <c r="F8" s="101" t="s">
        <v>1492</v>
      </c>
    </row>
    <row r="9" spans="4:6" ht="54" customHeight="1">
      <c r="D9" s="99">
        <v>4</v>
      </c>
      <c r="E9" s="176" t="s">
        <v>1493</v>
      </c>
      <c r="F9" s="101" t="s">
        <v>1494</v>
      </c>
    </row>
    <row r="10" spans="4:6" ht="63" customHeight="1">
      <c r="D10" s="99">
        <v>5</v>
      </c>
      <c r="E10" s="177" t="s">
        <v>1495</v>
      </c>
      <c r="F10" s="101" t="s">
        <v>1496</v>
      </c>
    </row>
    <row r="11" spans="4:6" ht="30">
      <c r="D11" s="95" t="s">
        <v>485</v>
      </c>
      <c r="E11" s="97"/>
      <c r="F11" s="96"/>
    </row>
    <row r="16" spans="4:6">
      <c r="D16" s="140" t="s">
        <v>82</v>
      </c>
      <c r="E16" s="140" t="s">
        <v>474</v>
      </c>
      <c r="F16" s="140" t="s">
        <v>475</v>
      </c>
    </row>
    <row r="17" spans="4:6">
      <c r="D17" s="140">
        <v>1</v>
      </c>
      <c r="E17" s="140"/>
      <c r="F17" s="140"/>
    </row>
    <row r="18" spans="4:6">
      <c r="D18" s="140">
        <v>2</v>
      </c>
      <c r="E18" s="140"/>
      <c r="F18" s="140"/>
    </row>
    <row r="19" spans="4:6">
      <c r="D19" s="140">
        <v>3</v>
      </c>
      <c r="E19" s="140"/>
      <c r="F19" s="140"/>
    </row>
    <row r="20" spans="4:6">
      <c r="D20" s="140">
        <v>4</v>
      </c>
      <c r="E20" s="140"/>
      <c r="F20" s="140"/>
    </row>
    <row r="21" spans="4:6">
      <c r="D21" s="140">
        <v>5</v>
      </c>
      <c r="E21" s="140"/>
      <c r="F21" s="140"/>
    </row>
    <row r="22" spans="4:6">
      <c r="D22" s="140" t="s">
        <v>485</v>
      </c>
      <c r="E22" s="140"/>
      <c r="F22" s="140"/>
    </row>
  </sheetData>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5571-A566-4287-A357-0EF2AE7726EE}">
  <sheetPr codeName="Sheet12"/>
  <dimension ref="A1:K53"/>
  <sheetViews>
    <sheetView workbookViewId="0">
      <selection activeCell="H28" sqref="A1:K53"/>
    </sheetView>
  </sheetViews>
  <sheetFormatPr defaultRowHeight="15"/>
  <cols>
    <col min="1" max="1" width="7.33203125" bestFit="1" customWidth="1"/>
    <col min="2" max="2" width="13" bestFit="1" customWidth="1"/>
    <col min="3" max="3" width="11.109375" bestFit="1" customWidth="1"/>
    <col min="4" max="4" width="10.5546875" bestFit="1" customWidth="1"/>
    <col min="5" max="5" width="14.88671875" bestFit="1" customWidth="1"/>
    <col min="6" max="6" width="11.33203125" bestFit="1" customWidth="1"/>
    <col min="7" max="7" width="10.44140625" bestFit="1" customWidth="1"/>
    <col min="8" max="8" width="20.77734375" bestFit="1" customWidth="1"/>
    <col min="9" max="9" width="26.44140625" bestFit="1" customWidth="1"/>
    <col min="10" max="10" width="11.33203125" bestFit="1" customWidth="1"/>
    <col min="11" max="11" width="12.77734375" bestFit="1" customWidth="1"/>
  </cols>
  <sheetData>
    <row r="1" spans="1:11">
      <c r="A1" t="s">
        <v>82</v>
      </c>
      <c r="B1" t="s">
        <v>808</v>
      </c>
      <c r="C1" t="s">
        <v>809</v>
      </c>
      <c r="D1" t="s">
        <v>810</v>
      </c>
      <c r="E1" t="s">
        <v>811</v>
      </c>
      <c r="F1" t="s">
        <v>206</v>
      </c>
      <c r="G1" t="s">
        <v>812</v>
      </c>
      <c r="H1" t="s">
        <v>813</v>
      </c>
      <c r="I1" t="s">
        <v>814</v>
      </c>
      <c r="J1" t="s">
        <v>815</v>
      </c>
      <c r="K1" t="s">
        <v>816</v>
      </c>
    </row>
    <row r="2" spans="1:11">
      <c r="A2">
        <v>1</v>
      </c>
      <c r="B2" t="s">
        <v>1034</v>
      </c>
      <c r="C2" t="s">
        <v>936</v>
      </c>
      <c r="D2" t="s">
        <v>937</v>
      </c>
      <c r="E2" t="s">
        <v>88</v>
      </c>
      <c r="F2" t="s">
        <v>817</v>
      </c>
      <c r="G2" t="s">
        <v>818</v>
      </c>
      <c r="H2" t="s">
        <v>819</v>
      </c>
      <c r="I2" t="s">
        <v>820</v>
      </c>
      <c r="J2" t="s">
        <v>5</v>
      </c>
    </row>
    <row r="3" spans="1:11">
      <c r="A3">
        <v>2</v>
      </c>
      <c r="B3" t="s">
        <v>1035</v>
      </c>
      <c r="C3" t="s">
        <v>938</v>
      </c>
      <c r="D3" t="s">
        <v>939</v>
      </c>
      <c r="E3" t="s">
        <v>88</v>
      </c>
      <c r="F3" t="s">
        <v>817</v>
      </c>
      <c r="G3" t="s">
        <v>818</v>
      </c>
      <c r="H3" t="s">
        <v>821</v>
      </c>
      <c r="I3" t="s">
        <v>822</v>
      </c>
      <c r="J3" t="s">
        <v>4</v>
      </c>
      <c r="K3" t="s">
        <v>5</v>
      </c>
    </row>
    <row r="4" spans="1:11">
      <c r="A4">
        <v>3</v>
      </c>
      <c r="B4" t="s">
        <v>1036</v>
      </c>
      <c r="C4" t="s">
        <v>940</v>
      </c>
      <c r="D4" t="s">
        <v>941</v>
      </c>
      <c r="E4" t="s">
        <v>88</v>
      </c>
      <c r="F4" t="s">
        <v>817</v>
      </c>
      <c r="G4" t="s">
        <v>818</v>
      </c>
      <c r="H4" t="s">
        <v>823</v>
      </c>
      <c r="I4" t="s">
        <v>824</v>
      </c>
      <c r="J4" t="s">
        <v>185</v>
      </c>
      <c r="K4" t="s">
        <v>4</v>
      </c>
    </row>
    <row r="5" spans="1:11">
      <c r="A5">
        <v>4</v>
      </c>
      <c r="B5" t="s">
        <v>1037</v>
      </c>
      <c r="C5" t="s">
        <v>942</v>
      </c>
      <c r="D5" t="s">
        <v>943</v>
      </c>
      <c r="E5" t="s">
        <v>88</v>
      </c>
      <c r="F5" t="s">
        <v>817</v>
      </c>
      <c r="G5" t="s">
        <v>818</v>
      </c>
      <c r="H5" t="s">
        <v>825</v>
      </c>
      <c r="I5" t="s">
        <v>826</v>
      </c>
      <c r="J5" t="s">
        <v>5</v>
      </c>
      <c r="K5" t="s">
        <v>185</v>
      </c>
    </row>
    <row r="6" spans="1:11">
      <c r="A6">
        <v>5</v>
      </c>
      <c r="B6" t="s">
        <v>1038</v>
      </c>
      <c r="C6" t="s">
        <v>944</v>
      </c>
      <c r="D6" t="s">
        <v>945</v>
      </c>
      <c r="E6" t="s">
        <v>88</v>
      </c>
      <c r="F6" t="s">
        <v>817</v>
      </c>
      <c r="G6" t="s">
        <v>818</v>
      </c>
      <c r="H6" t="s">
        <v>827</v>
      </c>
      <c r="I6" t="s">
        <v>828</v>
      </c>
      <c r="J6" t="s">
        <v>4</v>
      </c>
      <c r="K6" t="s">
        <v>5</v>
      </c>
    </row>
    <row r="7" spans="1:11">
      <c r="A7">
        <v>6</v>
      </c>
      <c r="B7" t="s">
        <v>1039</v>
      </c>
      <c r="C7" t="s">
        <v>946</v>
      </c>
      <c r="D7" t="s">
        <v>947</v>
      </c>
      <c r="E7" t="s">
        <v>829</v>
      </c>
      <c r="F7" t="s">
        <v>817</v>
      </c>
      <c r="G7" t="s">
        <v>818</v>
      </c>
      <c r="H7" t="s">
        <v>830</v>
      </c>
      <c r="I7" t="s">
        <v>831</v>
      </c>
      <c r="J7" t="s">
        <v>185</v>
      </c>
      <c r="K7" t="s">
        <v>4</v>
      </c>
    </row>
    <row r="8" spans="1:11">
      <c r="A8">
        <v>7</v>
      </c>
      <c r="B8" t="s">
        <v>1040</v>
      </c>
      <c r="C8" t="s">
        <v>948</v>
      </c>
      <c r="D8" t="s">
        <v>949</v>
      </c>
      <c r="E8" t="s">
        <v>88</v>
      </c>
      <c r="F8" t="s">
        <v>817</v>
      </c>
      <c r="G8" t="s">
        <v>818</v>
      </c>
      <c r="H8" t="s">
        <v>832</v>
      </c>
      <c r="I8" t="s">
        <v>833</v>
      </c>
      <c r="J8" t="s">
        <v>5</v>
      </c>
      <c r="K8" t="s">
        <v>185</v>
      </c>
    </row>
    <row r="9" spans="1:11">
      <c r="A9">
        <v>8</v>
      </c>
      <c r="B9" t="s">
        <v>1041</v>
      </c>
      <c r="C9" t="s">
        <v>950</v>
      </c>
      <c r="D9" t="s">
        <v>951</v>
      </c>
      <c r="E9" t="s">
        <v>88</v>
      </c>
      <c r="F9" t="s">
        <v>817</v>
      </c>
      <c r="G9" t="s">
        <v>818</v>
      </c>
      <c r="H9" t="s">
        <v>834</v>
      </c>
      <c r="I9" t="s">
        <v>835</v>
      </c>
      <c r="J9" t="s">
        <v>4</v>
      </c>
      <c r="K9" t="s">
        <v>5</v>
      </c>
    </row>
    <row r="10" spans="1:11">
      <c r="A10">
        <v>9</v>
      </c>
      <c r="B10" t="s">
        <v>1042</v>
      </c>
      <c r="C10" t="s">
        <v>952</v>
      </c>
      <c r="D10" t="s">
        <v>953</v>
      </c>
      <c r="E10" t="s">
        <v>88</v>
      </c>
      <c r="F10" t="s">
        <v>817</v>
      </c>
      <c r="G10" t="s">
        <v>818</v>
      </c>
      <c r="H10" t="s">
        <v>836</v>
      </c>
      <c r="I10" t="s">
        <v>837</v>
      </c>
      <c r="J10" t="s">
        <v>185</v>
      </c>
      <c r="K10" t="s">
        <v>4</v>
      </c>
    </row>
    <row r="11" spans="1:11">
      <c r="A11">
        <v>10</v>
      </c>
      <c r="B11" t="s">
        <v>1043</v>
      </c>
      <c r="C11" t="s">
        <v>954</v>
      </c>
      <c r="D11" t="s">
        <v>955</v>
      </c>
      <c r="E11" t="s">
        <v>88</v>
      </c>
      <c r="F11" t="s">
        <v>817</v>
      </c>
      <c r="G11" t="s">
        <v>818</v>
      </c>
      <c r="H11" t="s">
        <v>838</v>
      </c>
      <c r="I11" t="s">
        <v>839</v>
      </c>
      <c r="J11" t="s">
        <v>5</v>
      </c>
      <c r="K11" t="s">
        <v>185</v>
      </c>
    </row>
    <row r="12" spans="1:11">
      <c r="A12">
        <v>11</v>
      </c>
      <c r="B12" t="s">
        <v>1044</v>
      </c>
      <c r="C12" t="s">
        <v>956</v>
      </c>
      <c r="D12" t="s">
        <v>957</v>
      </c>
      <c r="E12" t="s">
        <v>88</v>
      </c>
      <c r="F12" t="s">
        <v>817</v>
      </c>
      <c r="G12" t="s">
        <v>818</v>
      </c>
      <c r="H12" t="s">
        <v>840</v>
      </c>
      <c r="I12" t="s">
        <v>841</v>
      </c>
      <c r="J12" t="s">
        <v>4</v>
      </c>
      <c r="K12" t="s">
        <v>5</v>
      </c>
    </row>
    <row r="13" spans="1:11">
      <c r="A13">
        <v>12</v>
      </c>
      <c r="B13" t="s">
        <v>1045</v>
      </c>
      <c r="C13" t="s">
        <v>958</v>
      </c>
      <c r="D13" t="s">
        <v>959</v>
      </c>
      <c r="E13" t="s">
        <v>88</v>
      </c>
      <c r="F13" t="s">
        <v>817</v>
      </c>
      <c r="G13" t="s">
        <v>818</v>
      </c>
      <c r="H13" t="s">
        <v>842</v>
      </c>
      <c r="I13" t="s">
        <v>843</v>
      </c>
      <c r="J13" t="s">
        <v>185</v>
      </c>
      <c r="K13" t="s">
        <v>4</v>
      </c>
    </row>
    <row r="14" spans="1:11">
      <c r="A14">
        <v>13</v>
      </c>
      <c r="B14" t="s">
        <v>1046</v>
      </c>
      <c r="C14" t="s">
        <v>960</v>
      </c>
      <c r="D14" t="s">
        <v>961</v>
      </c>
      <c r="E14" t="s">
        <v>844</v>
      </c>
      <c r="F14" t="s">
        <v>845</v>
      </c>
      <c r="G14" t="s">
        <v>818</v>
      </c>
      <c r="H14" t="s">
        <v>846</v>
      </c>
      <c r="I14" t="s">
        <v>847</v>
      </c>
      <c r="J14" t="s">
        <v>5</v>
      </c>
      <c r="K14" t="s">
        <v>185</v>
      </c>
    </row>
    <row r="15" spans="1:11">
      <c r="A15">
        <v>14</v>
      </c>
      <c r="B15" t="s">
        <v>1047</v>
      </c>
      <c r="C15" t="s">
        <v>962</v>
      </c>
      <c r="D15" t="s">
        <v>963</v>
      </c>
      <c r="E15" t="s">
        <v>88</v>
      </c>
      <c r="F15" t="s">
        <v>817</v>
      </c>
      <c r="G15" t="s">
        <v>818</v>
      </c>
      <c r="H15" t="s">
        <v>848</v>
      </c>
      <c r="I15" t="s">
        <v>849</v>
      </c>
      <c r="J15" t="s">
        <v>4</v>
      </c>
      <c r="K15" t="s">
        <v>5</v>
      </c>
    </row>
    <row r="16" spans="1:11">
      <c r="A16">
        <v>15</v>
      </c>
      <c r="B16" t="s">
        <v>1048</v>
      </c>
      <c r="C16" t="s">
        <v>964</v>
      </c>
      <c r="D16" t="s">
        <v>965</v>
      </c>
      <c r="E16" t="s">
        <v>88</v>
      </c>
      <c r="F16" t="s">
        <v>817</v>
      </c>
      <c r="G16" t="s">
        <v>818</v>
      </c>
      <c r="H16" t="s">
        <v>850</v>
      </c>
      <c r="I16" t="s">
        <v>851</v>
      </c>
      <c r="J16" t="s">
        <v>185</v>
      </c>
      <c r="K16" t="s">
        <v>4</v>
      </c>
    </row>
    <row r="17" spans="1:11">
      <c r="A17">
        <v>16</v>
      </c>
      <c r="B17" t="s">
        <v>1049</v>
      </c>
      <c r="C17" t="s">
        <v>966</v>
      </c>
      <c r="D17" t="s">
        <v>967</v>
      </c>
      <c r="E17" t="s">
        <v>88</v>
      </c>
      <c r="F17" t="s">
        <v>817</v>
      </c>
      <c r="G17" t="s">
        <v>818</v>
      </c>
      <c r="H17" t="s">
        <v>852</v>
      </c>
      <c r="I17" t="s">
        <v>853</v>
      </c>
      <c r="J17" t="s">
        <v>5</v>
      </c>
      <c r="K17" t="s">
        <v>185</v>
      </c>
    </row>
    <row r="18" spans="1:11">
      <c r="A18">
        <v>17</v>
      </c>
      <c r="B18" t="s">
        <v>1050</v>
      </c>
      <c r="C18" t="s">
        <v>968</v>
      </c>
      <c r="D18" t="s">
        <v>969</v>
      </c>
      <c r="E18" t="s">
        <v>88</v>
      </c>
      <c r="F18" t="s">
        <v>817</v>
      </c>
      <c r="G18" t="s">
        <v>818</v>
      </c>
      <c r="H18" t="s">
        <v>854</v>
      </c>
      <c r="I18" t="s">
        <v>855</v>
      </c>
      <c r="J18" t="s">
        <v>4</v>
      </c>
      <c r="K18" t="s">
        <v>5</v>
      </c>
    </row>
    <row r="19" spans="1:11">
      <c r="A19">
        <v>18</v>
      </c>
      <c r="B19" t="s">
        <v>1051</v>
      </c>
      <c r="C19" t="s">
        <v>970</v>
      </c>
      <c r="D19" t="s">
        <v>971</v>
      </c>
      <c r="E19" t="s">
        <v>88</v>
      </c>
      <c r="F19" t="s">
        <v>817</v>
      </c>
      <c r="G19" t="s">
        <v>818</v>
      </c>
      <c r="H19" t="s">
        <v>856</v>
      </c>
      <c r="I19" t="s">
        <v>857</v>
      </c>
      <c r="J19" t="s">
        <v>185</v>
      </c>
      <c r="K19" t="s">
        <v>4</v>
      </c>
    </row>
    <row r="20" spans="1:11">
      <c r="A20">
        <v>19</v>
      </c>
      <c r="B20" t="s">
        <v>1052</v>
      </c>
      <c r="C20" t="s">
        <v>972</v>
      </c>
      <c r="D20" t="s">
        <v>973</v>
      </c>
      <c r="E20" t="s">
        <v>88</v>
      </c>
      <c r="F20" t="s">
        <v>817</v>
      </c>
      <c r="G20" t="s">
        <v>818</v>
      </c>
      <c r="H20" t="s">
        <v>858</v>
      </c>
      <c r="I20" t="s">
        <v>859</v>
      </c>
      <c r="J20" t="s">
        <v>5</v>
      </c>
      <c r="K20" t="s">
        <v>185</v>
      </c>
    </row>
    <row r="21" spans="1:11">
      <c r="A21">
        <v>20</v>
      </c>
      <c r="B21" t="s">
        <v>1053</v>
      </c>
      <c r="C21" t="s">
        <v>974</v>
      </c>
      <c r="D21" t="s">
        <v>975</v>
      </c>
      <c r="E21" t="s">
        <v>88</v>
      </c>
      <c r="F21" t="s">
        <v>817</v>
      </c>
      <c r="G21" t="s">
        <v>818</v>
      </c>
      <c r="H21" t="s">
        <v>860</v>
      </c>
      <c r="I21" t="s">
        <v>861</v>
      </c>
      <c r="J21" t="s">
        <v>4</v>
      </c>
      <c r="K21" t="s">
        <v>5</v>
      </c>
    </row>
    <row r="22" spans="1:11">
      <c r="A22">
        <v>21</v>
      </c>
      <c r="B22" t="s">
        <v>1054</v>
      </c>
      <c r="C22" t="s">
        <v>976</v>
      </c>
      <c r="D22" t="s">
        <v>977</v>
      </c>
      <c r="E22" t="s">
        <v>88</v>
      </c>
      <c r="F22" t="s">
        <v>817</v>
      </c>
      <c r="G22" t="s">
        <v>818</v>
      </c>
      <c r="H22" t="s">
        <v>862</v>
      </c>
      <c r="I22" t="s">
        <v>863</v>
      </c>
      <c r="J22" t="s">
        <v>185</v>
      </c>
      <c r="K22" t="s">
        <v>4</v>
      </c>
    </row>
    <row r="23" spans="1:11">
      <c r="A23">
        <v>22</v>
      </c>
      <c r="B23" t="s">
        <v>1055</v>
      </c>
      <c r="C23" t="s">
        <v>978</v>
      </c>
      <c r="D23" t="s">
        <v>979</v>
      </c>
      <c r="E23" t="s">
        <v>88</v>
      </c>
      <c r="F23" t="s">
        <v>817</v>
      </c>
      <c r="G23" t="s">
        <v>818</v>
      </c>
      <c r="H23" t="s">
        <v>864</v>
      </c>
      <c r="I23" t="s">
        <v>865</v>
      </c>
      <c r="J23" t="s">
        <v>5</v>
      </c>
      <c r="K23" t="s">
        <v>185</v>
      </c>
    </row>
    <row r="24" spans="1:11">
      <c r="A24">
        <v>23</v>
      </c>
      <c r="B24" t="s">
        <v>1056</v>
      </c>
      <c r="C24" t="s">
        <v>980</v>
      </c>
      <c r="D24" t="s">
        <v>981</v>
      </c>
      <c r="E24" t="s">
        <v>844</v>
      </c>
      <c r="F24" t="s">
        <v>817</v>
      </c>
      <c r="G24" t="s">
        <v>818</v>
      </c>
      <c r="H24" t="s">
        <v>866</v>
      </c>
      <c r="I24" t="s">
        <v>867</v>
      </c>
      <c r="J24" t="s">
        <v>4</v>
      </c>
      <c r="K24" t="s">
        <v>5</v>
      </c>
    </row>
    <row r="25" spans="1:11">
      <c r="A25">
        <v>24</v>
      </c>
      <c r="B25" t="s">
        <v>1057</v>
      </c>
      <c r="C25" t="s">
        <v>982</v>
      </c>
      <c r="D25" t="s">
        <v>983</v>
      </c>
      <c r="E25" t="s">
        <v>88</v>
      </c>
      <c r="F25" t="s">
        <v>817</v>
      </c>
      <c r="G25" t="s">
        <v>818</v>
      </c>
      <c r="H25" t="s">
        <v>868</v>
      </c>
      <c r="I25" t="s">
        <v>869</v>
      </c>
      <c r="J25" t="s">
        <v>185</v>
      </c>
      <c r="K25" t="s">
        <v>4</v>
      </c>
    </row>
    <row r="26" spans="1:11">
      <c r="A26">
        <v>25</v>
      </c>
      <c r="B26" t="s">
        <v>1058</v>
      </c>
      <c r="C26" t="s">
        <v>984</v>
      </c>
      <c r="D26" t="s">
        <v>985</v>
      </c>
      <c r="E26" t="s">
        <v>88</v>
      </c>
      <c r="F26" t="s">
        <v>817</v>
      </c>
      <c r="G26" t="s">
        <v>818</v>
      </c>
      <c r="H26" t="s">
        <v>870</v>
      </c>
      <c r="I26" t="s">
        <v>871</v>
      </c>
      <c r="J26" t="s">
        <v>5</v>
      </c>
      <c r="K26" t="s">
        <v>185</v>
      </c>
    </row>
    <row r="27" spans="1:11">
      <c r="A27">
        <v>26</v>
      </c>
      <c r="B27" t="s">
        <v>1059</v>
      </c>
      <c r="C27" t="s">
        <v>986</v>
      </c>
      <c r="D27" t="s">
        <v>987</v>
      </c>
      <c r="E27" t="s">
        <v>844</v>
      </c>
      <c r="F27" t="s">
        <v>817</v>
      </c>
      <c r="G27" t="s">
        <v>818</v>
      </c>
      <c r="H27" t="s">
        <v>872</v>
      </c>
      <c r="I27" t="s">
        <v>873</v>
      </c>
      <c r="J27" t="s">
        <v>4</v>
      </c>
      <c r="K27" t="s">
        <v>5</v>
      </c>
    </row>
    <row r="28" spans="1:11">
      <c r="A28">
        <v>27</v>
      </c>
      <c r="B28" t="s">
        <v>1060</v>
      </c>
      <c r="C28" t="s">
        <v>988</v>
      </c>
      <c r="D28" t="s">
        <v>989</v>
      </c>
      <c r="E28" t="s">
        <v>88</v>
      </c>
      <c r="F28" t="s">
        <v>817</v>
      </c>
      <c r="G28" t="s">
        <v>818</v>
      </c>
      <c r="H28" t="s">
        <v>874</v>
      </c>
      <c r="I28" t="s">
        <v>875</v>
      </c>
      <c r="J28" t="s">
        <v>185</v>
      </c>
      <c r="K28" t="s">
        <v>4</v>
      </c>
    </row>
    <row r="29" spans="1:11">
      <c r="A29">
        <v>28</v>
      </c>
      <c r="B29" t="s">
        <v>1061</v>
      </c>
      <c r="C29" t="s">
        <v>990</v>
      </c>
      <c r="D29" t="s">
        <v>991</v>
      </c>
      <c r="E29" t="s">
        <v>88</v>
      </c>
      <c r="F29" t="s">
        <v>817</v>
      </c>
      <c r="G29" t="s">
        <v>818</v>
      </c>
      <c r="H29" t="s">
        <v>876</v>
      </c>
      <c r="I29" t="s">
        <v>877</v>
      </c>
      <c r="J29" t="s">
        <v>5</v>
      </c>
      <c r="K29" t="s">
        <v>185</v>
      </c>
    </row>
    <row r="30" spans="1:11">
      <c r="A30">
        <v>29</v>
      </c>
      <c r="B30" t="s">
        <v>1062</v>
      </c>
      <c r="C30" t="s">
        <v>992</v>
      </c>
      <c r="D30" t="s">
        <v>993</v>
      </c>
      <c r="E30" t="s">
        <v>88</v>
      </c>
      <c r="F30" t="s">
        <v>817</v>
      </c>
      <c r="G30" t="s">
        <v>818</v>
      </c>
      <c r="H30" t="s">
        <v>878</v>
      </c>
      <c r="I30" t="s">
        <v>879</v>
      </c>
      <c r="J30" t="s">
        <v>4</v>
      </c>
      <c r="K30" t="s">
        <v>5</v>
      </c>
    </row>
    <row r="31" spans="1:11">
      <c r="A31">
        <v>30</v>
      </c>
      <c r="B31" t="s">
        <v>1063</v>
      </c>
      <c r="C31" t="s">
        <v>994</v>
      </c>
      <c r="D31" t="s">
        <v>995</v>
      </c>
      <c r="E31" t="s">
        <v>88</v>
      </c>
      <c r="F31" t="s">
        <v>817</v>
      </c>
      <c r="G31" t="s">
        <v>818</v>
      </c>
      <c r="H31" t="s">
        <v>880</v>
      </c>
      <c r="I31" t="s">
        <v>881</v>
      </c>
      <c r="J31" t="s">
        <v>185</v>
      </c>
      <c r="K31" t="s">
        <v>4</v>
      </c>
    </row>
    <row r="32" spans="1:11">
      <c r="A32">
        <v>31</v>
      </c>
      <c r="B32" t="s">
        <v>1064</v>
      </c>
      <c r="C32" t="s">
        <v>996</v>
      </c>
      <c r="D32" t="s">
        <v>997</v>
      </c>
      <c r="E32" t="s">
        <v>88</v>
      </c>
      <c r="F32" t="s">
        <v>817</v>
      </c>
      <c r="G32" t="s">
        <v>818</v>
      </c>
      <c r="H32" t="s">
        <v>882</v>
      </c>
      <c r="I32" t="s">
        <v>883</v>
      </c>
      <c r="J32" t="s">
        <v>5</v>
      </c>
      <c r="K32" t="s">
        <v>185</v>
      </c>
    </row>
    <row r="33" spans="1:11">
      <c r="A33">
        <v>32</v>
      </c>
      <c r="B33" t="s">
        <v>1065</v>
      </c>
      <c r="C33" t="s">
        <v>998</v>
      </c>
      <c r="D33" t="s">
        <v>999</v>
      </c>
      <c r="E33" t="s">
        <v>88</v>
      </c>
      <c r="F33" t="s">
        <v>817</v>
      </c>
      <c r="G33" t="s">
        <v>818</v>
      </c>
      <c r="H33" t="s">
        <v>884</v>
      </c>
      <c r="I33" t="s">
        <v>885</v>
      </c>
      <c r="J33" t="s">
        <v>4</v>
      </c>
      <c r="K33" t="s">
        <v>5</v>
      </c>
    </row>
    <row r="34" spans="1:11">
      <c r="A34">
        <v>33</v>
      </c>
      <c r="B34" t="s">
        <v>1066</v>
      </c>
      <c r="C34" t="s">
        <v>1000</v>
      </c>
      <c r="D34" t="s">
        <v>1001</v>
      </c>
      <c r="E34" t="s">
        <v>88</v>
      </c>
      <c r="F34" t="s">
        <v>817</v>
      </c>
      <c r="G34" t="s">
        <v>818</v>
      </c>
      <c r="H34" t="s">
        <v>886</v>
      </c>
      <c r="I34" t="s">
        <v>887</v>
      </c>
      <c r="J34" t="s">
        <v>185</v>
      </c>
      <c r="K34" t="s">
        <v>4</v>
      </c>
    </row>
    <row r="35" spans="1:11">
      <c r="A35">
        <v>34</v>
      </c>
      <c r="B35" t="s">
        <v>1067</v>
      </c>
      <c r="C35" t="s">
        <v>1002</v>
      </c>
      <c r="D35" t="s">
        <v>1003</v>
      </c>
      <c r="E35" t="s">
        <v>88</v>
      </c>
      <c r="F35" t="s">
        <v>817</v>
      </c>
      <c r="G35" t="s">
        <v>818</v>
      </c>
      <c r="H35" t="s">
        <v>888</v>
      </c>
      <c r="I35" t="s">
        <v>889</v>
      </c>
      <c r="J35" t="s">
        <v>5</v>
      </c>
      <c r="K35" t="s">
        <v>185</v>
      </c>
    </row>
    <row r="36" spans="1:11">
      <c r="A36">
        <v>35</v>
      </c>
      <c r="B36" t="s">
        <v>1068</v>
      </c>
      <c r="C36" t="s">
        <v>1004</v>
      </c>
      <c r="D36" t="s">
        <v>1005</v>
      </c>
      <c r="E36" t="s">
        <v>88</v>
      </c>
      <c r="F36" t="s">
        <v>817</v>
      </c>
      <c r="G36" t="s">
        <v>818</v>
      </c>
      <c r="H36" t="s">
        <v>890</v>
      </c>
      <c r="I36" t="s">
        <v>891</v>
      </c>
      <c r="J36" t="s">
        <v>4</v>
      </c>
      <c r="K36" t="s">
        <v>5</v>
      </c>
    </row>
    <row r="37" spans="1:11">
      <c r="A37">
        <v>36</v>
      </c>
      <c r="B37" t="s">
        <v>1069</v>
      </c>
      <c r="C37" t="s">
        <v>1006</v>
      </c>
      <c r="D37" t="s">
        <v>1007</v>
      </c>
      <c r="E37" t="s">
        <v>88</v>
      </c>
      <c r="F37" t="s">
        <v>817</v>
      </c>
      <c r="G37" t="s">
        <v>818</v>
      </c>
      <c r="H37" t="s">
        <v>892</v>
      </c>
      <c r="I37" t="s">
        <v>893</v>
      </c>
      <c r="J37" t="s">
        <v>185</v>
      </c>
      <c r="K37" t="s">
        <v>4</v>
      </c>
    </row>
    <row r="38" spans="1:11">
      <c r="A38">
        <v>37</v>
      </c>
      <c r="B38" t="s">
        <v>1070</v>
      </c>
      <c r="C38" t="s">
        <v>1008</v>
      </c>
      <c r="D38" t="s">
        <v>1009</v>
      </c>
      <c r="E38" t="s">
        <v>88</v>
      </c>
      <c r="F38" t="s">
        <v>817</v>
      </c>
      <c r="G38" t="s">
        <v>818</v>
      </c>
      <c r="H38" t="s">
        <v>894</v>
      </c>
      <c r="I38" t="s">
        <v>895</v>
      </c>
      <c r="J38" t="s">
        <v>5</v>
      </c>
      <c r="K38" t="s">
        <v>185</v>
      </c>
    </row>
    <row r="39" spans="1:11">
      <c r="A39">
        <v>38</v>
      </c>
      <c r="B39" t="s">
        <v>1071</v>
      </c>
      <c r="C39" t="s">
        <v>1010</v>
      </c>
      <c r="D39" t="s">
        <v>1011</v>
      </c>
      <c r="E39" t="s">
        <v>88</v>
      </c>
      <c r="F39" t="s">
        <v>817</v>
      </c>
      <c r="G39" t="s">
        <v>818</v>
      </c>
      <c r="H39" t="s">
        <v>896</v>
      </c>
      <c r="I39" t="s">
        <v>897</v>
      </c>
      <c r="J39" t="s">
        <v>4</v>
      </c>
      <c r="K39" t="s">
        <v>5</v>
      </c>
    </row>
    <row r="40" spans="1:11">
      <c r="A40">
        <v>39</v>
      </c>
      <c r="B40" t="s">
        <v>1072</v>
      </c>
      <c r="C40" t="s">
        <v>1012</v>
      </c>
      <c r="D40" t="s">
        <v>1013</v>
      </c>
      <c r="E40" t="s">
        <v>88</v>
      </c>
      <c r="F40" t="s">
        <v>817</v>
      </c>
      <c r="G40" t="s">
        <v>818</v>
      </c>
      <c r="H40" t="s">
        <v>898</v>
      </c>
      <c r="I40" t="s">
        <v>899</v>
      </c>
      <c r="J40" t="s">
        <v>185</v>
      </c>
      <c r="K40" t="s">
        <v>4</v>
      </c>
    </row>
    <row r="41" spans="1:11">
      <c r="A41">
        <v>40</v>
      </c>
      <c r="B41" t="s">
        <v>1073</v>
      </c>
      <c r="C41" t="s">
        <v>1014</v>
      </c>
      <c r="D41" t="s">
        <v>1015</v>
      </c>
      <c r="E41" t="s">
        <v>88</v>
      </c>
      <c r="F41" t="s">
        <v>817</v>
      </c>
      <c r="G41" t="s">
        <v>818</v>
      </c>
      <c r="H41" t="s">
        <v>900</v>
      </c>
      <c r="I41" t="s">
        <v>901</v>
      </c>
      <c r="J41" t="s">
        <v>5</v>
      </c>
      <c r="K41" t="s">
        <v>185</v>
      </c>
    </row>
    <row r="42" spans="1:11">
      <c r="A42">
        <v>41</v>
      </c>
      <c r="B42" t="s">
        <v>1074</v>
      </c>
      <c r="C42" t="s">
        <v>1016</v>
      </c>
      <c r="D42" t="s">
        <v>902</v>
      </c>
      <c r="E42" t="s">
        <v>88</v>
      </c>
      <c r="F42" t="s">
        <v>845</v>
      </c>
      <c r="G42" t="s">
        <v>818</v>
      </c>
      <c r="H42" t="s">
        <v>903</v>
      </c>
      <c r="I42" t="s">
        <v>904</v>
      </c>
      <c r="J42" t="s">
        <v>4</v>
      </c>
      <c r="K42" t="s">
        <v>5</v>
      </c>
    </row>
    <row r="43" spans="1:11">
      <c r="A43">
        <v>42</v>
      </c>
      <c r="B43" t="s">
        <v>1075</v>
      </c>
      <c r="C43" t="s">
        <v>1017</v>
      </c>
      <c r="D43" t="s">
        <v>905</v>
      </c>
      <c r="E43" t="s">
        <v>88</v>
      </c>
      <c r="F43" t="s">
        <v>817</v>
      </c>
      <c r="G43" t="s">
        <v>818</v>
      </c>
      <c r="H43" t="s">
        <v>906</v>
      </c>
      <c r="I43" t="s">
        <v>907</v>
      </c>
      <c r="J43" t="s">
        <v>185</v>
      </c>
      <c r="K43" t="s">
        <v>4</v>
      </c>
    </row>
    <row r="44" spans="1:11">
      <c r="A44">
        <v>43</v>
      </c>
      <c r="B44" t="s">
        <v>1076</v>
      </c>
      <c r="C44" t="s">
        <v>1018</v>
      </c>
      <c r="D44" t="s">
        <v>908</v>
      </c>
      <c r="E44" t="s">
        <v>88</v>
      </c>
      <c r="F44" t="s">
        <v>817</v>
      </c>
      <c r="G44" t="s">
        <v>818</v>
      </c>
      <c r="H44" t="s">
        <v>909</v>
      </c>
      <c r="I44" t="s">
        <v>910</v>
      </c>
      <c r="J44" t="s">
        <v>5</v>
      </c>
      <c r="K44" t="s">
        <v>185</v>
      </c>
    </row>
    <row r="45" spans="1:11">
      <c r="A45">
        <v>44</v>
      </c>
      <c r="B45" t="s">
        <v>1077</v>
      </c>
      <c r="C45" t="s">
        <v>1019</v>
      </c>
      <c r="D45" t="s">
        <v>1020</v>
      </c>
      <c r="E45" t="s">
        <v>88</v>
      </c>
      <c r="F45" t="s">
        <v>817</v>
      </c>
      <c r="G45" t="s">
        <v>818</v>
      </c>
      <c r="H45" t="s">
        <v>911</v>
      </c>
      <c r="I45" t="s">
        <v>912</v>
      </c>
      <c r="J45" t="s">
        <v>4</v>
      </c>
      <c r="K45" t="s">
        <v>5</v>
      </c>
    </row>
    <row r="46" spans="1:11">
      <c r="A46">
        <v>45</v>
      </c>
      <c r="B46" t="s">
        <v>1078</v>
      </c>
      <c r="C46" t="s">
        <v>1021</v>
      </c>
      <c r="D46" t="s">
        <v>913</v>
      </c>
      <c r="E46" t="s">
        <v>88</v>
      </c>
      <c r="F46" t="s">
        <v>817</v>
      </c>
      <c r="G46" t="s">
        <v>818</v>
      </c>
      <c r="H46" t="s">
        <v>914</v>
      </c>
      <c r="I46" t="s">
        <v>915</v>
      </c>
      <c r="J46" t="s">
        <v>185</v>
      </c>
      <c r="K46" t="s">
        <v>4</v>
      </c>
    </row>
    <row r="47" spans="1:11">
      <c r="A47">
        <v>46</v>
      </c>
      <c r="B47" t="s">
        <v>1079</v>
      </c>
      <c r="C47" t="s">
        <v>1022</v>
      </c>
      <c r="D47" t="s">
        <v>916</v>
      </c>
      <c r="E47" t="s">
        <v>88</v>
      </c>
      <c r="F47" t="s">
        <v>817</v>
      </c>
      <c r="G47" t="s">
        <v>818</v>
      </c>
      <c r="H47" t="s">
        <v>917</v>
      </c>
      <c r="I47" t="s">
        <v>918</v>
      </c>
      <c r="J47" t="s">
        <v>5</v>
      </c>
      <c r="K47" t="s">
        <v>185</v>
      </c>
    </row>
    <row r="48" spans="1:11">
      <c r="A48">
        <v>47</v>
      </c>
      <c r="B48" t="s">
        <v>1080</v>
      </c>
      <c r="C48" t="s">
        <v>1023</v>
      </c>
      <c r="D48" t="s">
        <v>919</v>
      </c>
      <c r="E48" t="s">
        <v>88</v>
      </c>
      <c r="F48" t="s">
        <v>817</v>
      </c>
      <c r="G48" t="s">
        <v>818</v>
      </c>
      <c r="H48" t="s">
        <v>920</v>
      </c>
      <c r="I48" t="s">
        <v>921</v>
      </c>
      <c r="J48" t="s">
        <v>4</v>
      </c>
      <c r="K48" t="s">
        <v>5</v>
      </c>
    </row>
    <row r="49" spans="1:11">
      <c r="A49">
        <v>48</v>
      </c>
      <c r="B49" t="s">
        <v>1081</v>
      </c>
      <c r="C49" t="s">
        <v>1024</v>
      </c>
      <c r="D49" t="s">
        <v>1025</v>
      </c>
      <c r="E49" t="s">
        <v>88</v>
      </c>
      <c r="F49" t="s">
        <v>817</v>
      </c>
      <c r="G49" t="s">
        <v>818</v>
      </c>
      <c r="H49" t="s">
        <v>922</v>
      </c>
      <c r="I49" t="s">
        <v>923</v>
      </c>
      <c r="J49" t="s">
        <v>185</v>
      </c>
      <c r="K49" t="s">
        <v>4</v>
      </c>
    </row>
    <row r="50" spans="1:11">
      <c r="A50">
        <v>49</v>
      </c>
      <c r="B50" t="s">
        <v>1082</v>
      </c>
      <c r="C50" t="s">
        <v>1026</v>
      </c>
      <c r="D50" t="s">
        <v>1027</v>
      </c>
      <c r="E50" t="s">
        <v>88</v>
      </c>
      <c r="F50" t="s">
        <v>817</v>
      </c>
      <c r="G50" t="s">
        <v>818</v>
      </c>
      <c r="H50" t="s">
        <v>924</v>
      </c>
      <c r="I50" t="s">
        <v>925</v>
      </c>
      <c r="J50" t="s">
        <v>5</v>
      </c>
      <c r="K50" t="s">
        <v>185</v>
      </c>
    </row>
    <row r="51" spans="1:11">
      <c r="A51">
        <v>50</v>
      </c>
      <c r="B51" t="s">
        <v>1083</v>
      </c>
      <c r="C51" t="s">
        <v>1028</v>
      </c>
      <c r="D51" t="s">
        <v>926</v>
      </c>
      <c r="E51" t="s">
        <v>88</v>
      </c>
      <c r="F51" t="s">
        <v>817</v>
      </c>
      <c r="G51" t="s">
        <v>818</v>
      </c>
      <c r="H51" t="s">
        <v>927</v>
      </c>
      <c r="I51" t="s">
        <v>928</v>
      </c>
      <c r="J51" t="s">
        <v>4</v>
      </c>
      <c r="K51" t="s">
        <v>5</v>
      </c>
    </row>
    <row r="52" spans="1:11">
      <c r="A52">
        <v>51</v>
      </c>
      <c r="B52" t="s">
        <v>1084</v>
      </c>
      <c r="C52" t="s">
        <v>1029</v>
      </c>
      <c r="D52" t="s">
        <v>929</v>
      </c>
      <c r="E52" t="s">
        <v>88</v>
      </c>
      <c r="F52" t="s">
        <v>817</v>
      </c>
      <c r="G52" t="s">
        <v>818</v>
      </c>
      <c r="H52" t="s">
        <v>930</v>
      </c>
      <c r="I52" t="s">
        <v>931</v>
      </c>
      <c r="J52" t="s">
        <v>185</v>
      </c>
      <c r="K52" t="s">
        <v>4</v>
      </c>
    </row>
    <row r="53" spans="1:11">
      <c r="A53">
        <v>52</v>
      </c>
      <c r="B53" t="s">
        <v>1085</v>
      </c>
      <c r="C53" t="s">
        <v>1030</v>
      </c>
      <c r="D53" t="s">
        <v>932</v>
      </c>
      <c r="E53" t="s">
        <v>88</v>
      </c>
      <c r="F53" t="s">
        <v>817</v>
      </c>
      <c r="G53" t="s">
        <v>818</v>
      </c>
      <c r="H53" t="s">
        <v>933</v>
      </c>
      <c r="I53" t="s">
        <v>934</v>
      </c>
      <c r="J53" t="s">
        <v>5</v>
      </c>
      <c r="K53" t="s">
        <v>185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B1" zoomScale="85" zoomScaleNormal="85" workbookViewId="0">
      <selection activeCell="B3" sqref="B3"/>
    </sheetView>
  </sheetViews>
  <sheetFormatPr defaultRowHeight="15" outlineLevelRow="1"/>
  <cols>
    <col min="1" max="1" width="8.109375" style="1" customWidth="1"/>
    <col min="2" max="2" width="27.21875" style="1" bestFit="1" customWidth="1"/>
    <col min="3" max="3" width="26.5546875" style="1" bestFit="1" customWidth="1"/>
    <col min="4" max="4" width="21.77734375" style="51"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c r="F1" s="40" t="s">
        <v>223</v>
      </c>
      <c r="G1" s="48">
        <v>45167</v>
      </c>
      <c r="H1" s="40" t="s">
        <v>46</v>
      </c>
      <c r="I1" s="40" t="s">
        <v>225</v>
      </c>
      <c r="J1" s="40" t="s">
        <v>50</v>
      </c>
      <c r="K1" s="40" t="s">
        <v>62</v>
      </c>
      <c r="L1" s="40" t="s">
        <v>71</v>
      </c>
    </row>
    <row r="2" spans="2:125" ht="51.75" customHeight="1">
      <c r="B2" s="57" t="s">
        <v>495</v>
      </c>
      <c r="D2" s="52"/>
      <c r="E2" s="47"/>
      <c r="F2" s="47"/>
      <c r="M2" s="47"/>
      <c r="N2" s="45"/>
      <c r="O2" s="45"/>
      <c r="P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5"/>
      <c r="DO2" s="45"/>
      <c r="DP2" s="45"/>
      <c r="DQ2" s="45"/>
      <c r="DR2" s="45"/>
      <c r="DS2" s="45"/>
      <c r="DT2" s="45"/>
      <c r="DU2" s="45"/>
    </row>
    <row r="3" spans="2:125" ht="51.75" customHeight="1">
      <c r="B3" s="56" t="s">
        <v>498</v>
      </c>
      <c r="C3" s="49"/>
      <c r="D3" s="53"/>
      <c r="E3" s="49"/>
      <c r="F3" s="49"/>
      <c r="G3" s="49"/>
      <c r="H3" s="49"/>
      <c r="I3" s="49"/>
      <c r="J3" s="49"/>
      <c r="K3" s="49"/>
      <c r="L3" s="49"/>
      <c r="M3" s="49"/>
      <c r="N3" s="49"/>
      <c r="O3" s="45"/>
      <c r="P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row>
    <row r="4" spans="2:125">
      <c r="B4" s="104" t="s">
        <v>493</v>
      </c>
      <c r="C4" t="s">
        <v>131</v>
      </c>
      <c r="D4" s="50" t="s">
        <v>46</v>
      </c>
      <c r="E4" t="s">
        <v>117</v>
      </c>
      <c r="F4" t="s">
        <v>61</v>
      </c>
      <c r="G4" t="s">
        <v>54</v>
      </c>
      <c r="H4" t="s">
        <v>83</v>
      </c>
      <c r="I4" t="s">
        <v>112</v>
      </c>
      <c r="J4" t="s">
        <v>118</v>
      </c>
      <c r="K4" t="s">
        <v>292</v>
      </c>
    </row>
    <row r="5" spans="2:125">
      <c r="B5" s="21"/>
      <c r="C5"/>
      <c r="D5" s="50"/>
      <c r="E5"/>
      <c r="F5"/>
      <c r="G5"/>
      <c r="H5"/>
      <c r="I5"/>
      <c r="J5"/>
      <c r="K5"/>
    </row>
    <row r="6" spans="2:125">
      <c r="B6" s="103"/>
      <c r="C6"/>
      <c r="D6" s="50"/>
      <c r="E6"/>
      <c r="F6"/>
      <c r="G6"/>
      <c r="H6"/>
      <c r="I6"/>
      <c r="J6"/>
      <c r="K6"/>
    </row>
    <row r="8" spans="2:125" ht="51.75" customHeight="1">
      <c r="B8" s="55" t="s">
        <v>497</v>
      </c>
      <c r="C8" s="46"/>
      <c r="D8" s="54"/>
      <c r="E8" s="46"/>
      <c r="F8" s="46"/>
      <c r="G8" s="46"/>
      <c r="H8" s="46"/>
      <c r="I8" s="46"/>
      <c r="J8" s="46"/>
      <c r="K8" s="46"/>
    </row>
    <row r="9" spans="2:125" s="42" customFormat="1" ht="35.25" customHeight="1">
      <c r="B9" t="s">
        <v>223</v>
      </c>
      <c r="C9" t="s">
        <v>222</v>
      </c>
      <c r="D9" s="50" t="s">
        <v>120</v>
      </c>
      <c r="E9" t="s">
        <v>224</v>
      </c>
      <c r="F9" t="s">
        <v>46</v>
      </c>
      <c r="G9" t="s">
        <v>54</v>
      </c>
      <c r="H9" t="s">
        <v>225</v>
      </c>
      <c r="I9" t="s">
        <v>50</v>
      </c>
      <c r="J9" t="s">
        <v>247</v>
      </c>
      <c r="K9" t="s">
        <v>248</v>
      </c>
    </row>
    <row r="10" spans="2:125" ht="27.75">
      <c r="B10" s="67"/>
      <c r="C10" s="67"/>
      <c r="D10" s="68"/>
      <c r="E10" s="67"/>
      <c r="F10" s="69"/>
      <c r="G10" s="67"/>
      <c r="H10" s="102"/>
      <c r="I10" s="70"/>
      <c r="J10" s="71"/>
      <c r="K10" s="71"/>
      <c r="L10" s="46"/>
      <c r="M10" s="46"/>
    </row>
    <row r="11" spans="2:125" ht="18.75">
      <c r="B11" s="67"/>
      <c r="C11" s="67"/>
      <c r="D11" s="68"/>
      <c r="E11" s="67"/>
      <c r="F11" s="69"/>
      <c r="G11" s="67"/>
      <c r="H11" s="102"/>
      <c r="I11" s="70"/>
      <c r="J11" s="71"/>
      <c r="K11" s="71"/>
    </row>
    <row r="13" spans="2:125" ht="51.75" customHeight="1">
      <c r="B13" s="57" t="s">
        <v>496</v>
      </c>
      <c r="C13" s="47"/>
      <c r="D13" s="52"/>
      <c r="E13" s="47"/>
      <c r="F13" s="56"/>
      <c r="G13" s="47"/>
      <c r="H13" s="47"/>
      <c r="I13" s="47"/>
      <c r="J13" s="47"/>
      <c r="K13" s="47"/>
    </row>
    <row r="14" spans="2:125" ht="51.75" customHeight="1">
      <c r="B14" s="56" t="s">
        <v>499</v>
      </c>
      <c r="C14" s="47"/>
      <c r="D14" s="52"/>
      <c r="E14" s="47"/>
      <c r="F14" s="56"/>
      <c r="G14" s="47"/>
      <c r="H14" s="47"/>
      <c r="I14" s="47"/>
      <c r="J14" s="47"/>
      <c r="K14" s="47"/>
    </row>
    <row r="15" spans="2:125" ht="27.75">
      <c r="B15" t="s">
        <v>220</v>
      </c>
      <c r="C15" t="s">
        <v>221</v>
      </c>
      <c r="D15" s="1"/>
      <c r="K15" s="47"/>
      <c r="L15" s="47"/>
    </row>
    <row r="16" spans="2:125">
      <c r="B16"/>
      <c r="C16" s="29"/>
      <c r="D16" s="1"/>
    </row>
    <row r="17" spans="2:4">
      <c r="B17"/>
      <c r="C17" s="29"/>
      <c r="D17" s="1"/>
    </row>
    <row r="18" spans="2:4">
      <c r="B18"/>
      <c r="C18" s="29"/>
      <c r="D18" s="1"/>
    </row>
    <row r="19" spans="2:4">
      <c r="B19"/>
      <c r="C19" s="29"/>
      <c r="D19" s="1"/>
    </row>
    <row r="20" spans="2:4">
      <c r="B20"/>
      <c r="C20" s="29"/>
      <c r="D20" s="1"/>
    </row>
    <row r="21" spans="2:4">
      <c r="B21"/>
      <c r="C21" s="29"/>
      <c r="D21" s="1"/>
    </row>
    <row r="22" spans="2:4">
      <c r="B22"/>
      <c r="C22" s="29"/>
      <c r="D22" s="1"/>
    </row>
    <row r="23" spans="2:4">
      <c r="B23"/>
      <c r="C23" s="29"/>
      <c r="D23" s="1"/>
    </row>
    <row r="24" spans="2:4">
      <c r="B24"/>
      <c r="C24" s="29"/>
      <c r="D24" s="1"/>
    </row>
    <row r="25" spans="2:4">
      <c r="B25"/>
      <c r="C25" s="29"/>
      <c r="D25" s="1"/>
    </row>
    <row r="26" spans="2:4">
      <c r="B26"/>
      <c r="C26" s="29"/>
      <c r="D26" s="1"/>
    </row>
    <row r="27" spans="2:4">
      <c r="B27"/>
      <c r="C27" s="29"/>
      <c r="D27" s="1"/>
    </row>
    <row r="28" spans="2:4">
      <c r="B28"/>
      <c r="C28" s="29"/>
      <c r="D28" s="1"/>
    </row>
    <row r="29" spans="2:4">
      <c r="B29"/>
      <c r="C29" s="29"/>
      <c r="D29" s="1"/>
    </row>
    <row r="30" spans="2:4">
      <c r="B30"/>
      <c r="C30" s="29"/>
      <c r="D30" s="1"/>
    </row>
    <row r="31" spans="2:4">
      <c r="B31"/>
      <c r="C31" s="29"/>
      <c r="D31" s="1"/>
    </row>
    <row r="32" spans="2:4">
      <c r="B32"/>
      <c r="C32" s="29"/>
      <c r="D32" s="1"/>
    </row>
    <row r="33" spans="2:4">
      <c r="B33"/>
      <c r="C33" s="29"/>
      <c r="D33" s="1"/>
    </row>
    <row r="34" spans="2:4">
      <c r="B34"/>
      <c r="C34" s="29"/>
      <c r="D34" s="1"/>
    </row>
    <row r="35" spans="2:4">
      <c r="B35"/>
      <c r="C35" s="29"/>
      <c r="D35" s="1"/>
    </row>
    <row r="36" spans="2:4">
      <c r="B36"/>
      <c r="C36" s="29"/>
      <c r="D36" s="1"/>
    </row>
    <row r="37" spans="2:4">
      <c r="B37"/>
      <c r="C37" s="29"/>
      <c r="D37" s="1"/>
    </row>
    <row r="38" spans="2:4">
      <c r="B38"/>
      <c r="C38" s="29"/>
      <c r="D38" s="1"/>
    </row>
    <row r="39" spans="2:4">
      <c r="B39"/>
      <c r="C39" s="29"/>
      <c r="D39" s="1"/>
    </row>
    <row r="40" spans="2:4">
      <c r="B40"/>
      <c r="C40" s="29"/>
      <c r="D40" s="1"/>
    </row>
    <row r="41" spans="2:4">
      <c r="B41"/>
      <c r="C41" s="29"/>
      <c r="D41" s="1"/>
    </row>
    <row r="42" spans="2:4">
      <c r="B42"/>
      <c r="C42" s="29"/>
      <c r="D42" s="1"/>
    </row>
    <row r="43" spans="2:4">
      <c r="B43"/>
      <c r="C43" s="29"/>
      <c r="D43" s="1"/>
    </row>
    <row r="44" spans="2:4">
      <c r="B44"/>
      <c r="C44" s="29"/>
      <c r="D44" s="1"/>
    </row>
    <row r="45" spans="2:4">
      <c r="B45"/>
      <c r="C45" s="29"/>
      <c r="D45" s="1"/>
    </row>
    <row r="46" spans="2:4">
      <c r="B46"/>
      <c r="C46" s="29"/>
      <c r="D46" s="1"/>
    </row>
    <row r="47" spans="2:4">
      <c r="B47"/>
      <c r="C47" s="29"/>
      <c r="D47" s="1"/>
    </row>
    <row r="48" spans="2:4">
      <c r="B48"/>
      <c r="C48" s="29"/>
      <c r="D48" s="1"/>
    </row>
    <row r="49" spans="4:4">
      <c r="D49" s="1"/>
    </row>
    <row r="50" spans="4:4">
      <c r="D50" s="1"/>
    </row>
    <row r="51" spans="4:4">
      <c r="D51" s="1"/>
    </row>
  </sheetData>
  <phoneticPr fontId="14" type="noConversion"/>
  <conditionalFormatting sqref="C5:K5 B6:K6">
    <cfRule type="expression" dxfId="182" priority="3">
      <formula>ISNUMBER(FIND(#REF!,"【"))</formula>
    </cfRule>
  </conditionalFormatting>
  <conditionalFormatting sqref="B5">
    <cfRule type="containsText" dxfId="181"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X188"/>
  <sheetViews>
    <sheetView topLeftCell="L5" zoomScale="70" zoomScaleNormal="70" workbookViewId="0">
      <selection activeCell="L36" sqref="L36:M41"/>
    </sheetView>
  </sheetViews>
  <sheetFormatPr defaultColWidth="8.21875" defaultRowHeight="18" customHeight="1" outlineLevelRow="1" outlineLevelCol="1"/>
  <cols>
    <col min="1" max="1" width="4.5546875" style="16" customWidth="1" outlineLevel="1"/>
    <col min="2" max="2" width="8.109375" style="15" bestFit="1" customWidth="1"/>
    <col min="3" max="3" width="8.109375" style="15" customWidth="1"/>
    <col min="4" max="4" width="11.33203125" style="16" bestFit="1" customWidth="1"/>
    <col min="5" max="5" width="10.44140625" style="9" bestFit="1" customWidth="1"/>
    <col min="6" max="6" width="15" style="9" bestFit="1" customWidth="1"/>
    <col min="7" max="7" width="23.33203125" style="9" bestFit="1" customWidth="1"/>
    <col min="8" max="8" width="8.33203125" style="9" bestFit="1" customWidth="1"/>
    <col min="9" max="9" width="8.44140625" style="9" bestFit="1" customWidth="1"/>
    <col min="10" max="10" width="8.88671875" style="9" bestFit="1" customWidth="1"/>
    <col min="11" max="11" width="10.44140625" style="9" bestFit="1" customWidth="1"/>
    <col min="12" max="12" width="16.88671875" style="9" bestFit="1" customWidth="1"/>
    <col min="13" max="13" width="12.6640625" style="9" bestFit="1" customWidth="1"/>
    <col min="14" max="14" width="13.44140625" style="9" customWidth="1"/>
    <col min="15" max="15" width="31.5546875" style="9" bestFit="1" customWidth="1"/>
    <col min="16" max="16" width="29.21875" style="9" bestFit="1" customWidth="1"/>
    <col min="17" max="17" width="7.88671875" style="9" bestFit="1" customWidth="1"/>
    <col min="18" max="18" width="12.6640625" style="9" bestFit="1" customWidth="1"/>
    <col min="19" max="19" width="9.77734375" style="9" bestFit="1" customWidth="1"/>
    <col min="20" max="20" width="11" style="9" bestFit="1" customWidth="1"/>
    <col min="21" max="21" width="13.109375" style="9" bestFit="1" customWidth="1"/>
    <col min="22" max="22" width="12.77734375" style="9" bestFit="1" customWidth="1"/>
    <col min="23" max="23" width="12.77734375" style="9" customWidth="1"/>
    <col min="24" max="24" width="13.4414062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4" ht="18" hidden="1" customHeight="1" outlineLevel="1">
      <c r="A1" s="89" t="str">
        <f ca="1" xml:space="preserve"> IF(ISNUMBER(FIND("ktkt",CELL("filename"))),"Remote",IF(ISNUMBER(FIND("http",CELL("filename"))),"Remote","Global"))</f>
        <v>Global</v>
      </c>
      <c r="B1" s="89" t="str">
        <f ca="1">CELL("filename")</f>
        <v>Z:\Team Folder\Execution Team\Weekly\20240122\Data\[2.Dynamic List Generator.xlsm]【FINAL】</v>
      </c>
      <c r="C1" s="89"/>
      <c r="D1" s="9"/>
    </row>
    <row r="2" spans="1:24" ht="18" customHeight="1" collapsed="1">
      <c r="B2" s="9"/>
      <c r="C2" s="9"/>
      <c r="D2" s="9"/>
    </row>
    <row r="3" spans="1:24" ht="18" customHeight="1">
      <c r="B3" s="9"/>
      <c r="C3" s="9"/>
      <c r="D3" s="9"/>
    </row>
    <row r="4" spans="1:24" ht="18" customHeight="1">
      <c r="B4" s="9"/>
      <c r="C4" s="9"/>
      <c r="D4" s="59" t="s">
        <v>245</v>
      </c>
      <c r="F4" s="59" t="s">
        <v>246</v>
      </c>
      <c r="G4" s="59"/>
      <c r="I4" s="59" t="s">
        <v>234</v>
      </c>
      <c r="O4" s="59" t="s">
        <v>254</v>
      </c>
      <c r="S4" s="59" t="s">
        <v>255</v>
      </c>
      <c r="V4" s="59"/>
      <c r="W4" s="59" t="s">
        <v>254</v>
      </c>
    </row>
    <row r="5" spans="1:24" ht="18" customHeight="1">
      <c r="A5" s="7"/>
      <c r="D5" s="15"/>
      <c r="E5" s="16"/>
      <c r="I5" s="16"/>
    </row>
    <row r="6" spans="1:24" ht="15">
      <c r="D6" s="58" t="s">
        <v>85</v>
      </c>
      <c r="E6" s="15"/>
      <c r="F6" s="61" t="s">
        <v>243</v>
      </c>
      <c r="G6" s="22" t="s">
        <v>244</v>
      </c>
      <c r="I6" s="22" t="s">
        <v>133</v>
      </c>
      <c r="J6" t="s">
        <v>206</v>
      </c>
      <c r="L6" s="22" t="s">
        <v>126</v>
      </c>
      <c r="M6" t="s">
        <v>210</v>
      </c>
      <c r="O6" t="s">
        <v>463</v>
      </c>
      <c r="P6" t="s">
        <v>462</v>
      </c>
      <c r="R6" t="s">
        <v>256</v>
      </c>
      <c r="S6" t="s">
        <v>257</v>
      </c>
      <c r="U6" s="1"/>
      <c r="V6" s="74"/>
      <c r="W6" s="22" t="s">
        <v>253</v>
      </c>
      <c r="X6" s="22" t="s">
        <v>220</v>
      </c>
    </row>
    <row r="7" spans="1:24" ht="15">
      <c r="A7" s="8"/>
      <c r="D7" s="58" t="s">
        <v>11</v>
      </c>
      <c r="E7" s="15"/>
      <c r="F7" s="61" t="s">
        <v>186</v>
      </c>
      <c r="G7" s="22" t="s">
        <v>238</v>
      </c>
      <c r="I7" s="22" t="s">
        <v>0</v>
      </c>
      <c r="J7" t="s">
        <v>211</v>
      </c>
      <c r="L7" s="22" t="s">
        <v>172</v>
      </c>
      <c r="M7">
        <v>1</v>
      </c>
      <c r="O7" t="s">
        <v>290</v>
      </c>
      <c r="P7" t="s">
        <v>291</v>
      </c>
      <c r="R7" t="s">
        <v>130</v>
      </c>
      <c r="S7" t="s">
        <v>181</v>
      </c>
      <c r="U7" s="1"/>
      <c r="V7" s="1"/>
      <c r="W7" t="s">
        <v>112</v>
      </c>
      <c r="X7" t="str">
        <f>DMIRenamed[[#This Row],[DMIRenamed]]&amp;"_DMI"</f>
        <v>票息_DMI</v>
      </c>
    </row>
    <row r="8" spans="1:24" ht="15">
      <c r="D8" s="58" t="s">
        <v>27</v>
      </c>
      <c r="E8" s="15"/>
      <c r="F8" s="61" t="s">
        <v>187</v>
      </c>
      <c r="G8" s="22" t="s">
        <v>240</v>
      </c>
      <c r="I8" s="22" t="s">
        <v>4</v>
      </c>
      <c r="J8" t="s">
        <v>207</v>
      </c>
      <c r="L8" s="22" t="s">
        <v>128</v>
      </c>
      <c r="M8">
        <v>2</v>
      </c>
      <c r="O8" t="s">
        <v>296</v>
      </c>
      <c r="P8" t="s">
        <v>298</v>
      </c>
      <c r="R8" t="s">
        <v>225</v>
      </c>
      <c r="S8" t="s">
        <v>167</v>
      </c>
      <c r="U8" s="1"/>
      <c r="V8" s="1"/>
      <c r="W8" t="s">
        <v>225</v>
      </c>
      <c r="X8" t="str">
        <f>DMIRenamed[[#This Row],[DMIRenamed]]&amp;"_DMI"</f>
        <v>IPT_DMI</v>
      </c>
    </row>
    <row r="9" spans="1:24" ht="15">
      <c r="A9" s="13"/>
      <c r="D9" s="58" t="s">
        <v>32</v>
      </c>
      <c r="E9" s="15"/>
      <c r="F9" s="61" t="s">
        <v>188</v>
      </c>
      <c r="G9" s="22" t="s">
        <v>239</v>
      </c>
      <c r="I9" s="22" t="s">
        <v>5</v>
      </c>
      <c r="J9" t="s">
        <v>208</v>
      </c>
      <c r="L9" s="22" t="s">
        <v>127</v>
      </c>
      <c r="M9">
        <v>3</v>
      </c>
      <c r="O9" t="s">
        <v>297</v>
      </c>
      <c r="P9" t="s">
        <v>299</v>
      </c>
      <c r="R9" t="s">
        <v>50</v>
      </c>
      <c r="S9" t="s">
        <v>168</v>
      </c>
      <c r="U9" s="1"/>
      <c r="V9" s="1"/>
      <c r="W9" t="s">
        <v>50</v>
      </c>
      <c r="X9" t="str">
        <f>DMIRenamed[[#This Row],[DMIRenamed]]&amp;"_DMI"</f>
        <v>FPG_DMI</v>
      </c>
    </row>
    <row r="10" spans="1:24" ht="15">
      <c r="D10" s="58" t="s">
        <v>28</v>
      </c>
      <c r="E10" s="15"/>
      <c r="F10" s="61" t="s">
        <v>241</v>
      </c>
      <c r="G10" s="60"/>
      <c r="I10" s="22" t="s">
        <v>185</v>
      </c>
      <c r="J10" t="s">
        <v>209</v>
      </c>
      <c r="L10" s="22" t="s">
        <v>173</v>
      </c>
      <c r="M10">
        <v>4</v>
      </c>
      <c r="O10" t="s">
        <v>300</v>
      </c>
      <c r="P10" t="s">
        <v>302</v>
      </c>
      <c r="R10" t="s">
        <v>40</v>
      </c>
      <c r="S10" t="s">
        <v>491</v>
      </c>
      <c r="U10" s="1"/>
      <c r="V10" s="1"/>
      <c r="W10" t="s">
        <v>130</v>
      </c>
      <c r="X10" t="str">
        <f>DMIRenamed[[#This Row],[DMIRenamed]]&amp;"_DMI"</f>
        <v>定价_DMI</v>
      </c>
    </row>
    <row r="11" spans="1:24" ht="15">
      <c r="A11" s="10"/>
      <c r="D11" s="58" t="s">
        <v>33</v>
      </c>
      <c r="F11" s="61" t="s">
        <v>242</v>
      </c>
      <c r="G11" s="22"/>
      <c r="L11" s="22" t="s">
        <v>152</v>
      </c>
      <c r="M11">
        <v>5</v>
      </c>
      <c r="O11" t="s">
        <v>301</v>
      </c>
      <c r="P11" t="s">
        <v>303</v>
      </c>
      <c r="R11" t="s">
        <v>112</v>
      </c>
      <c r="S11" t="s">
        <v>251</v>
      </c>
      <c r="U11" s="1"/>
      <c r="V11" s="1"/>
    </row>
    <row r="12" spans="1:24" ht="15">
      <c r="D12" s="58" t="s">
        <v>8</v>
      </c>
      <c r="F12" s="66" t="s">
        <v>6</v>
      </c>
      <c r="G12" s="66" t="s">
        <v>6</v>
      </c>
      <c r="L12" s="22" t="s">
        <v>151</v>
      </c>
      <c r="M12">
        <v>6</v>
      </c>
      <c r="O12" t="s">
        <v>304</v>
      </c>
      <c r="P12" t="s">
        <v>305</v>
      </c>
      <c r="R12" t="s">
        <v>781</v>
      </c>
      <c r="S12" t="s">
        <v>469</v>
      </c>
      <c r="U12" s="1"/>
      <c r="V12" s="1"/>
    </row>
    <row r="13" spans="1:24" ht="15">
      <c r="A13" s="11"/>
      <c r="D13" s="58" t="s">
        <v>29</v>
      </c>
      <c r="G13" s="62"/>
      <c r="I13" s="22" t="s">
        <v>166</v>
      </c>
      <c r="J13" t="s">
        <v>210</v>
      </c>
      <c r="O13" t="s">
        <v>307</v>
      </c>
      <c r="P13" t="s">
        <v>306</v>
      </c>
      <c r="R13" t="s">
        <v>782</v>
      </c>
      <c r="S13" t="s">
        <v>96</v>
      </c>
      <c r="U13" s="1"/>
      <c r="V13" s="1"/>
    </row>
    <row r="14" spans="1:24" ht="15">
      <c r="D14" s="58" t="s">
        <v>31</v>
      </c>
      <c r="F14" s="27" t="s">
        <v>89</v>
      </c>
      <c r="G14" s="62"/>
      <c r="I14" s="22" t="s">
        <v>155</v>
      </c>
      <c r="J14">
        <v>1</v>
      </c>
      <c r="L14" s="22" t="s">
        <v>61</v>
      </c>
      <c r="M14" s="22" t="s">
        <v>210</v>
      </c>
      <c r="O14" t="s">
        <v>308</v>
      </c>
      <c r="P14" t="s">
        <v>315</v>
      </c>
      <c r="R14" t="s">
        <v>780</v>
      </c>
      <c r="S14" t="s">
        <v>716</v>
      </c>
      <c r="U14" s="1"/>
      <c r="V14" s="1"/>
    </row>
    <row r="15" spans="1:24" ht="15">
      <c r="A15" s="14"/>
      <c r="D15" s="58" t="s">
        <v>12</v>
      </c>
      <c r="F15" s="27" t="s">
        <v>115</v>
      </c>
      <c r="G15" s="63"/>
      <c r="I15" s="22" t="s">
        <v>156</v>
      </c>
      <c r="J15">
        <v>2</v>
      </c>
      <c r="L15" s="22" t="s">
        <v>81</v>
      </c>
      <c r="M15">
        <v>1</v>
      </c>
      <c r="O15" t="s">
        <v>309</v>
      </c>
      <c r="P15" t="s">
        <v>318</v>
      </c>
      <c r="R15" t="s">
        <v>90</v>
      </c>
      <c r="S15" t="s">
        <v>258</v>
      </c>
      <c r="U15" s="1"/>
      <c r="V15" s="1"/>
    </row>
    <row r="16" spans="1:24" ht="15">
      <c r="D16" s="58" t="s">
        <v>16</v>
      </c>
      <c r="F16" s="27" t="s">
        <v>116</v>
      </c>
      <c r="G16" s="63"/>
      <c r="I16" s="22" t="s">
        <v>157</v>
      </c>
      <c r="J16">
        <v>3</v>
      </c>
      <c r="L16" s="22" t="s">
        <v>102</v>
      </c>
      <c r="M16">
        <v>2</v>
      </c>
      <c r="O16" t="s">
        <v>310</v>
      </c>
      <c r="P16" t="s">
        <v>319</v>
      </c>
      <c r="R16" t="s">
        <v>189</v>
      </c>
      <c r="S16" t="s">
        <v>260</v>
      </c>
      <c r="U16" s="1"/>
      <c r="V16" s="1"/>
    </row>
    <row r="17" spans="1:22" ht="15">
      <c r="A17" s="12"/>
      <c r="D17" s="58" t="s">
        <v>7</v>
      </c>
      <c r="F17" s="27" t="s">
        <v>110</v>
      </c>
      <c r="G17" s="62"/>
      <c r="I17" s="22" t="s">
        <v>158</v>
      </c>
      <c r="J17">
        <v>4</v>
      </c>
      <c r="L17" s="22" t="s">
        <v>104</v>
      </c>
      <c r="M17">
        <v>3</v>
      </c>
      <c r="O17" t="s">
        <v>311</v>
      </c>
      <c r="P17" t="s">
        <v>322</v>
      </c>
      <c r="R17" t="s">
        <v>45</v>
      </c>
      <c r="S17" t="s">
        <v>258</v>
      </c>
      <c r="U17" s="1"/>
      <c r="V17" s="1"/>
    </row>
    <row r="18" spans="1:22" ht="15">
      <c r="D18" s="58" t="s">
        <v>21</v>
      </c>
      <c r="G18" s="62"/>
      <c r="I18" s="22" t="s">
        <v>2</v>
      </c>
      <c r="J18">
        <v>5</v>
      </c>
      <c r="L18" s="22" t="s">
        <v>106</v>
      </c>
      <c r="M18">
        <v>4</v>
      </c>
      <c r="O18" t="s">
        <v>312</v>
      </c>
      <c r="P18" t="s">
        <v>326</v>
      </c>
      <c r="R18" t="s">
        <v>46</v>
      </c>
      <c r="S18" t="s">
        <v>258</v>
      </c>
      <c r="U18" s="1"/>
      <c r="V18" s="1"/>
    </row>
    <row r="19" spans="1:22" ht="15">
      <c r="A19" s="13"/>
      <c r="D19" s="58" t="s">
        <v>15</v>
      </c>
      <c r="F19" s="28" t="s">
        <v>40</v>
      </c>
      <c r="I19" s="22" t="s">
        <v>159</v>
      </c>
      <c r="J19">
        <v>6</v>
      </c>
      <c r="L19" s="22" t="s">
        <v>203</v>
      </c>
      <c r="M19">
        <v>5</v>
      </c>
      <c r="O19" t="s">
        <v>313</v>
      </c>
      <c r="P19" t="s">
        <v>327</v>
      </c>
      <c r="R19" t="s">
        <v>44</v>
      </c>
      <c r="S19" t="s">
        <v>259</v>
      </c>
      <c r="U19" s="1"/>
      <c r="V19" s="1"/>
    </row>
    <row r="20" spans="1:22" ht="15">
      <c r="D20" s="58" t="s">
        <v>19</v>
      </c>
      <c r="F20" s="28" t="s">
        <v>1</v>
      </c>
      <c r="G20" s="64"/>
      <c r="L20" s="22" t="s">
        <v>212</v>
      </c>
      <c r="M20">
        <v>6</v>
      </c>
      <c r="O20" t="s">
        <v>314</v>
      </c>
      <c r="P20" t="s">
        <v>328</v>
      </c>
      <c r="R20" t="s">
        <v>94</v>
      </c>
      <c r="S20" t="s">
        <v>259</v>
      </c>
      <c r="U20" s="1"/>
      <c r="V20" s="1"/>
    </row>
    <row r="21" spans="1:22" ht="15">
      <c r="A21" s="22" t="s">
        <v>220</v>
      </c>
      <c r="D21" s="58" t="s">
        <v>9</v>
      </c>
      <c r="F21" s="28" t="s">
        <v>80</v>
      </c>
      <c r="G21" s="64"/>
      <c r="I21" s="22" t="s">
        <v>182</v>
      </c>
      <c r="J21" t="s">
        <v>210</v>
      </c>
      <c r="L21" s="22" t="s">
        <v>213</v>
      </c>
      <c r="M21">
        <v>7</v>
      </c>
      <c r="O21" t="s">
        <v>316</v>
      </c>
      <c r="P21" t="s">
        <v>329</v>
      </c>
      <c r="R21" t="s">
        <v>95</v>
      </c>
      <c r="S21" t="s">
        <v>260</v>
      </c>
      <c r="U21" s="1"/>
      <c r="V21" s="1"/>
    </row>
    <row r="22" spans="1:22" ht="15">
      <c r="A22" s="22"/>
      <c r="D22" s="58" t="s">
        <v>25</v>
      </c>
      <c r="F22" s="58" t="s">
        <v>232</v>
      </c>
      <c r="G22" s="64"/>
      <c r="I22" s="22" t="s">
        <v>183</v>
      </c>
      <c r="J22">
        <v>1</v>
      </c>
      <c r="L22" s="22" t="s">
        <v>214</v>
      </c>
      <c r="M22">
        <v>8</v>
      </c>
      <c r="O22" t="s">
        <v>317</v>
      </c>
      <c r="P22" t="s">
        <v>330</v>
      </c>
      <c r="R22" t="s">
        <v>47</v>
      </c>
      <c r="S22" t="s">
        <v>259</v>
      </c>
      <c r="U22" s="1"/>
      <c r="V22" s="1"/>
    </row>
    <row r="23" spans="1:22" ht="15">
      <c r="A23" s="91"/>
      <c r="D23" s="58" t="s">
        <v>20</v>
      </c>
      <c r="F23" s="58" t="s">
        <v>233</v>
      </c>
      <c r="G23" s="64"/>
      <c r="I23" s="22" t="s">
        <v>198</v>
      </c>
      <c r="J23">
        <v>2</v>
      </c>
      <c r="L23" s="22" t="s">
        <v>215</v>
      </c>
      <c r="M23">
        <v>9</v>
      </c>
      <c r="O23" t="s">
        <v>320</v>
      </c>
      <c r="P23" t="s">
        <v>333</v>
      </c>
      <c r="R23" t="s">
        <v>54</v>
      </c>
      <c r="S23" t="s">
        <v>258</v>
      </c>
      <c r="U23" s="1"/>
      <c r="V23" s="1"/>
    </row>
    <row r="24" spans="1:22" ht="15">
      <c r="A24" s="22" t="s">
        <v>220</v>
      </c>
      <c r="D24" s="58" t="s">
        <v>13</v>
      </c>
      <c r="E24" s="15"/>
      <c r="F24" s="28" t="s">
        <v>2</v>
      </c>
      <c r="G24" s="64"/>
      <c r="I24" s="22" t="s">
        <v>199</v>
      </c>
      <c r="J24">
        <v>3</v>
      </c>
      <c r="L24" s="22" t="s">
        <v>216</v>
      </c>
      <c r="M24">
        <v>10</v>
      </c>
      <c r="O24" t="s">
        <v>321</v>
      </c>
      <c r="P24" t="s">
        <v>334</v>
      </c>
      <c r="R24" t="s">
        <v>61</v>
      </c>
      <c r="S24" t="s">
        <v>258</v>
      </c>
      <c r="U24" s="1"/>
      <c r="V24" s="1"/>
    </row>
    <row r="25" spans="1:22" ht="15">
      <c r="A25" s="22"/>
      <c r="D25" s="58" t="s">
        <v>17</v>
      </c>
      <c r="E25" s="15"/>
      <c r="F25" s="28" t="s">
        <v>3</v>
      </c>
      <c r="I25" s="22" t="s">
        <v>200</v>
      </c>
      <c r="J25">
        <v>4</v>
      </c>
      <c r="L25" s="22" t="s">
        <v>217</v>
      </c>
      <c r="M25">
        <v>11</v>
      </c>
      <c r="O25" t="s">
        <v>323</v>
      </c>
      <c r="P25" t="s">
        <v>338</v>
      </c>
      <c r="R25" t="s">
        <v>55</v>
      </c>
      <c r="S25" t="s">
        <v>259</v>
      </c>
      <c r="U25" s="1"/>
      <c r="V25" s="1"/>
    </row>
    <row r="26" spans="1:22" ht="15">
      <c r="A26" s="91"/>
      <c r="D26" s="58" t="s">
        <v>23</v>
      </c>
      <c r="E26" s="15"/>
      <c r="G26" s="64"/>
      <c r="I26" s="22" t="s">
        <v>201</v>
      </c>
      <c r="J26">
        <v>5</v>
      </c>
      <c r="O26" t="s">
        <v>324</v>
      </c>
      <c r="P26" t="s">
        <v>339</v>
      </c>
      <c r="R26" t="s">
        <v>49</v>
      </c>
      <c r="S26" t="s">
        <v>258</v>
      </c>
      <c r="U26" s="1"/>
      <c r="V26" s="1"/>
    </row>
    <row r="27" spans="1:22" ht="15">
      <c r="A27" s="22" t="s">
        <v>220</v>
      </c>
      <c r="D27" s="58" t="s">
        <v>26</v>
      </c>
      <c r="E27" s="15"/>
      <c r="F27" s="22" t="s">
        <v>92</v>
      </c>
      <c r="G27" s="64"/>
      <c r="I27" s="18"/>
      <c r="J27" s="18"/>
      <c r="L27" s="22" t="s">
        <v>135</v>
      </c>
      <c r="M27" t="s">
        <v>210</v>
      </c>
      <c r="O27" t="s">
        <v>325</v>
      </c>
      <c r="P27" t="s">
        <v>345</v>
      </c>
      <c r="R27" t="s">
        <v>77</v>
      </c>
      <c r="S27" t="s">
        <v>258</v>
      </c>
      <c r="U27" s="1"/>
      <c r="V27" s="1"/>
    </row>
    <row r="28" spans="1:22" ht="15">
      <c r="A28" s="22"/>
      <c r="D28" s="58" t="s">
        <v>10</v>
      </c>
      <c r="E28" s="15"/>
      <c r="F28" s="22" t="s">
        <v>226</v>
      </c>
      <c r="G28" s="64"/>
      <c r="I28" t="s">
        <v>118</v>
      </c>
      <c r="J28" t="s">
        <v>210</v>
      </c>
      <c r="L28" s="22" t="s">
        <v>146</v>
      </c>
      <c r="M28">
        <v>1</v>
      </c>
      <c r="O28" t="s">
        <v>331</v>
      </c>
      <c r="P28" t="s">
        <v>346</v>
      </c>
      <c r="R28" t="s">
        <v>51</v>
      </c>
      <c r="S28" t="s">
        <v>260</v>
      </c>
      <c r="U28" s="1"/>
      <c r="V28" s="1"/>
    </row>
    <row r="29" spans="1:22" ht="15">
      <c r="A29" s="91"/>
      <c r="D29" s="58" t="s">
        <v>18</v>
      </c>
      <c r="E29" s="15"/>
      <c r="F29" s="22" t="s">
        <v>235</v>
      </c>
      <c r="G29" s="64"/>
      <c r="I29" t="s">
        <v>464</v>
      </c>
      <c r="J29">
        <v>1</v>
      </c>
      <c r="L29" s="22" t="s">
        <v>143</v>
      </c>
      <c r="M29">
        <v>2</v>
      </c>
      <c r="O29" t="s">
        <v>332</v>
      </c>
      <c r="P29" t="s">
        <v>348</v>
      </c>
      <c r="R29" t="s">
        <v>227</v>
      </c>
      <c r="S29" t="s">
        <v>259</v>
      </c>
      <c r="U29" s="1"/>
      <c r="V29" s="1"/>
    </row>
    <row r="30" spans="1:22" ht="15">
      <c r="A30" s="22" t="s">
        <v>220</v>
      </c>
      <c r="D30" s="58" t="s">
        <v>24</v>
      </c>
      <c r="E30" s="15"/>
      <c r="F30" s="22" t="s">
        <v>236</v>
      </c>
      <c r="G30" s="65"/>
      <c r="I30" t="s">
        <v>1222</v>
      </c>
      <c r="J30">
        <v>2</v>
      </c>
      <c r="L30" s="22" t="s">
        <v>196</v>
      </c>
      <c r="M30">
        <v>3</v>
      </c>
      <c r="O30" t="s">
        <v>335</v>
      </c>
      <c r="P30" t="s">
        <v>351</v>
      </c>
      <c r="R30" t="s">
        <v>190</v>
      </c>
      <c r="S30" t="s">
        <v>259</v>
      </c>
      <c r="U30" s="1"/>
      <c r="V30" s="1"/>
    </row>
    <row r="31" spans="1:22" ht="15">
      <c r="A31" s="22"/>
      <c r="D31" s="58" t="s">
        <v>22</v>
      </c>
      <c r="E31" s="15"/>
      <c r="F31" s="22" t="s">
        <v>237</v>
      </c>
      <c r="I31" t="s">
        <v>470</v>
      </c>
      <c r="J31">
        <v>3</v>
      </c>
      <c r="L31" s="22" t="s">
        <v>195</v>
      </c>
      <c r="M31">
        <v>4</v>
      </c>
      <c r="O31" t="s">
        <v>336</v>
      </c>
      <c r="P31" t="s">
        <v>359</v>
      </c>
      <c r="R31" t="s">
        <v>52</v>
      </c>
      <c r="S31" t="s">
        <v>259</v>
      </c>
      <c r="U31" s="1"/>
      <c r="V31" s="1"/>
    </row>
    <row r="32" spans="1:22" ht="15">
      <c r="A32" s="91"/>
      <c r="D32" s="58" t="s">
        <v>122</v>
      </c>
      <c r="E32" s="15"/>
      <c r="I32" t="s">
        <v>471</v>
      </c>
      <c r="J32">
        <v>4</v>
      </c>
      <c r="L32" s="22" t="s">
        <v>153</v>
      </c>
      <c r="M32">
        <v>5</v>
      </c>
      <c r="O32" t="s">
        <v>337</v>
      </c>
      <c r="P32" t="s">
        <v>364</v>
      </c>
      <c r="R32" t="s">
        <v>101</v>
      </c>
      <c r="S32" t="s">
        <v>260</v>
      </c>
      <c r="U32" s="1"/>
      <c r="V32" s="1"/>
    </row>
    <row r="33" spans="1:22" ht="15">
      <c r="A33" s="22" t="s">
        <v>220</v>
      </c>
      <c r="D33" s="58" t="s">
        <v>14</v>
      </c>
      <c r="E33" s="15"/>
      <c r="F33" s="22" t="s">
        <v>136</v>
      </c>
      <c r="I33" t="s">
        <v>1223</v>
      </c>
      <c r="J33">
        <v>5</v>
      </c>
      <c r="L33" s="22" t="s">
        <v>159</v>
      </c>
      <c r="M33">
        <v>6</v>
      </c>
      <c r="O33" t="s">
        <v>340</v>
      </c>
      <c r="P33" t="s">
        <v>368</v>
      </c>
      <c r="R33" t="s">
        <v>53</v>
      </c>
      <c r="S33" t="s">
        <v>259</v>
      </c>
      <c r="U33" s="1"/>
      <c r="V33" s="1"/>
    </row>
    <row r="34" spans="1:22" ht="15">
      <c r="A34" s="22"/>
      <c r="D34" s="58" t="s">
        <v>34</v>
      </c>
      <c r="E34" s="15"/>
      <c r="F34" s="22" t="s">
        <v>144</v>
      </c>
      <c r="O34" t="s">
        <v>341</v>
      </c>
      <c r="P34" t="s">
        <v>371</v>
      </c>
      <c r="R34" t="s">
        <v>56</v>
      </c>
      <c r="S34" t="s">
        <v>258</v>
      </c>
      <c r="U34" s="1"/>
      <c r="V34" s="1"/>
    </row>
    <row r="35" spans="1:22" ht="15">
      <c r="A35" s="91"/>
      <c r="D35" s="58" t="s">
        <v>121</v>
      </c>
      <c r="E35" s="15"/>
      <c r="F35" s="22" t="s">
        <v>147</v>
      </c>
      <c r="O35" t="s">
        <v>342</v>
      </c>
      <c r="P35" t="s">
        <v>372</v>
      </c>
      <c r="R35" t="s">
        <v>57</v>
      </c>
      <c r="S35" t="s">
        <v>260</v>
      </c>
      <c r="U35" s="1"/>
      <c r="V35" s="1"/>
    </row>
    <row r="36" spans="1:22" ht="15">
      <c r="A36" s="22" t="s">
        <v>220</v>
      </c>
      <c r="D36" s="58" t="s">
        <v>30</v>
      </c>
      <c r="E36" s="15"/>
      <c r="F36" s="22" t="s">
        <v>154</v>
      </c>
      <c r="I36" s="58" t="s">
        <v>198</v>
      </c>
      <c r="J36" s="22" t="s">
        <v>210</v>
      </c>
      <c r="L36" t="s">
        <v>148</v>
      </c>
      <c r="M36" t="s">
        <v>210</v>
      </c>
      <c r="O36" t="s">
        <v>343</v>
      </c>
      <c r="P36" t="s">
        <v>373</v>
      </c>
      <c r="R36" t="s">
        <v>76</v>
      </c>
      <c r="S36" t="s">
        <v>259</v>
      </c>
      <c r="U36" s="1"/>
      <c r="V36" s="1"/>
    </row>
    <row r="37" spans="1:22" ht="15">
      <c r="A37" s="22"/>
      <c r="D37" s="58" t="s">
        <v>123</v>
      </c>
      <c r="E37" s="15"/>
      <c r="F37" s="60" t="s">
        <v>6</v>
      </c>
      <c r="I37" s="22" t="s">
        <v>269</v>
      </c>
      <c r="J37">
        <v>1</v>
      </c>
      <c r="L37" t="s">
        <v>128</v>
      </c>
      <c r="M37">
        <v>1</v>
      </c>
      <c r="O37" t="s">
        <v>344</v>
      </c>
      <c r="P37" t="s">
        <v>375</v>
      </c>
      <c r="R37" t="s">
        <v>91</v>
      </c>
      <c r="S37" t="s">
        <v>259</v>
      </c>
      <c r="U37" s="1"/>
      <c r="V37" s="1"/>
    </row>
    <row r="38" spans="1:22" ht="15">
      <c r="A38" s="91"/>
      <c r="D38" s="58" t="s">
        <v>230</v>
      </c>
      <c r="E38" s="15"/>
      <c r="I38" s="22" t="s">
        <v>505</v>
      </c>
      <c r="J38">
        <v>2</v>
      </c>
      <c r="L38" t="s">
        <v>127</v>
      </c>
      <c r="M38">
        <v>2</v>
      </c>
      <c r="O38" t="s">
        <v>347</v>
      </c>
      <c r="P38" t="s">
        <v>379</v>
      </c>
      <c r="R38" t="s">
        <v>42</v>
      </c>
      <c r="S38" t="s">
        <v>258</v>
      </c>
      <c r="U38" s="1"/>
      <c r="V38" s="1"/>
    </row>
    <row r="39" spans="1:22" ht="15">
      <c r="A39" s="22" t="s">
        <v>220</v>
      </c>
      <c r="D39" s="58" t="s">
        <v>231</v>
      </c>
      <c r="E39" s="15"/>
      <c r="F39" s="22" t="s">
        <v>731</v>
      </c>
      <c r="I39" s="22" t="s">
        <v>506</v>
      </c>
      <c r="J39">
        <v>3</v>
      </c>
      <c r="L39" t="s">
        <v>486</v>
      </c>
      <c r="M39">
        <v>3</v>
      </c>
      <c r="O39" t="s">
        <v>349</v>
      </c>
      <c r="P39" t="s">
        <v>381</v>
      </c>
      <c r="R39" t="s">
        <v>43</v>
      </c>
      <c r="S39" t="s">
        <v>258</v>
      </c>
      <c r="U39" s="1"/>
      <c r="V39" s="1"/>
    </row>
    <row r="40" spans="1:22" ht="15">
      <c r="A40" s="22"/>
      <c r="E40" s="15"/>
      <c r="F40" s="60" t="s">
        <v>6</v>
      </c>
      <c r="L40" t="s">
        <v>1311</v>
      </c>
      <c r="M40">
        <v>4</v>
      </c>
      <c r="O40" t="s">
        <v>350</v>
      </c>
      <c r="P40" t="s">
        <v>385</v>
      </c>
      <c r="R40" t="s">
        <v>75</v>
      </c>
      <c r="S40" t="s">
        <v>260</v>
      </c>
      <c r="U40" s="1"/>
      <c r="V40" s="1"/>
    </row>
    <row r="41" spans="1:22" ht="15">
      <c r="A41" s="91"/>
      <c r="E41" s="15"/>
      <c r="F41" s="22" t="s">
        <v>777</v>
      </c>
      <c r="G41" s="22"/>
      <c r="I41" s="22" t="s">
        <v>269</v>
      </c>
      <c r="J41" s="22" t="s">
        <v>210</v>
      </c>
      <c r="L41" t="s">
        <v>487</v>
      </c>
      <c r="M41">
        <v>5</v>
      </c>
      <c r="O41" t="s">
        <v>352</v>
      </c>
      <c r="P41" t="s">
        <v>386</v>
      </c>
      <c r="R41" t="s">
        <v>114</v>
      </c>
      <c r="S41" t="s">
        <v>259</v>
      </c>
      <c r="U41" s="1"/>
      <c r="V41" s="1"/>
    </row>
    <row r="42" spans="1:22" ht="15">
      <c r="A42" s="22" t="s">
        <v>220</v>
      </c>
      <c r="D42" t="s">
        <v>293</v>
      </c>
      <c r="E42" s="15"/>
      <c r="I42" s="22" t="s">
        <v>507</v>
      </c>
      <c r="J42">
        <v>1</v>
      </c>
      <c r="O42" t="s">
        <v>353</v>
      </c>
      <c r="P42" t="s">
        <v>389</v>
      </c>
      <c r="R42" t="s">
        <v>58</v>
      </c>
      <c r="S42" t="s">
        <v>259</v>
      </c>
      <c r="U42" s="1"/>
      <c r="V42" s="1"/>
    </row>
    <row r="43" spans="1:22" ht="15">
      <c r="A43" s="22"/>
      <c r="D43" t="s">
        <v>107</v>
      </c>
      <c r="E43" s="15"/>
      <c r="F43" s="60"/>
      <c r="I43" s="22" t="s">
        <v>508</v>
      </c>
      <c r="J43">
        <v>2</v>
      </c>
      <c r="L43" t="s">
        <v>87</v>
      </c>
      <c r="M43" s="22" t="s">
        <v>210</v>
      </c>
      <c r="O43" t="s">
        <v>354</v>
      </c>
      <c r="P43" t="s">
        <v>394</v>
      </c>
      <c r="R43" t="s">
        <v>74</v>
      </c>
      <c r="S43" t="s">
        <v>259</v>
      </c>
      <c r="U43" s="1"/>
      <c r="V43" s="1"/>
    </row>
    <row r="44" spans="1:22" ht="15">
      <c r="A44" s="91"/>
      <c r="D44" t="s">
        <v>108</v>
      </c>
      <c r="E44" s="15"/>
      <c r="I44" s="22" t="s">
        <v>509</v>
      </c>
      <c r="J44">
        <v>3</v>
      </c>
      <c r="L44" t="s">
        <v>204</v>
      </c>
      <c r="M44">
        <v>-918</v>
      </c>
      <c r="O44" t="s">
        <v>355</v>
      </c>
      <c r="P44" t="s">
        <v>396</v>
      </c>
      <c r="R44" t="s">
        <v>59</v>
      </c>
      <c r="S44" t="s">
        <v>259</v>
      </c>
      <c r="U44" s="1"/>
      <c r="V44" s="1"/>
    </row>
    <row r="45" spans="1:22" ht="15">
      <c r="A45" s="22" t="s">
        <v>220</v>
      </c>
      <c r="D45" t="s">
        <v>219</v>
      </c>
      <c r="E45" s="15"/>
      <c r="I45" s="22" t="s">
        <v>510</v>
      </c>
      <c r="J45">
        <v>4</v>
      </c>
      <c r="L45" t="s">
        <v>193</v>
      </c>
      <c r="M45">
        <v>-256</v>
      </c>
      <c r="O45" t="s">
        <v>356</v>
      </c>
      <c r="P45" t="s">
        <v>397</v>
      </c>
      <c r="R45" t="s">
        <v>60</v>
      </c>
      <c r="S45" t="s">
        <v>259</v>
      </c>
      <c r="U45" s="1"/>
      <c r="V45" s="1"/>
    </row>
    <row r="46" spans="1:22" ht="15">
      <c r="A46" s="22"/>
      <c r="D46" t="s">
        <v>109</v>
      </c>
      <c r="E46" s="15"/>
      <c r="I46" s="22" t="s">
        <v>511</v>
      </c>
      <c r="J46">
        <v>5</v>
      </c>
      <c r="L46" t="s">
        <v>218</v>
      </c>
      <c r="M46">
        <v>-246</v>
      </c>
      <c r="O46" t="s">
        <v>357</v>
      </c>
      <c r="P46" t="s">
        <v>406</v>
      </c>
      <c r="R46" t="s">
        <v>62</v>
      </c>
      <c r="S46" t="s">
        <v>259</v>
      </c>
      <c r="U46" s="1"/>
      <c r="V46" s="1"/>
    </row>
    <row r="47" spans="1:22" ht="15">
      <c r="D47" t="s">
        <v>37</v>
      </c>
      <c r="E47" s="15"/>
      <c r="I47" s="58" t="s">
        <v>512</v>
      </c>
      <c r="J47">
        <v>6</v>
      </c>
      <c r="L47" t="s">
        <v>105</v>
      </c>
      <c r="M47">
        <v>-170</v>
      </c>
      <c r="O47" t="s">
        <v>358</v>
      </c>
      <c r="P47" t="s">
        <v>411</v>
      </c>
      <c r="R47" t="s">
        <v>73</v>
      </c>
      <c r="S47" t="s">
        <v>260</v>
      </c>
      <c r="U47" s="1"/>
      <c r="V47" s="1"/>
    </row>
    <row r="48" spans="1:22" ht="15">
      <c r="D48" t="s">
        <v>35</v>
      </c>
      <c r="E48" s="15"/>
      <c r="I48" s="58" t="s">
        <v>513</v>
      </c>
      <c r="J48">
        <v>7</v>
      </c>
      <c r="L48" t="s">
        <v>1209</v>
      </c>
      <c r="M48">
        <v>-51</v>
      </c>
      <c r="O48" t="s">
        <v>360</v>
      </c>
      <c r="P48" t="s">
        <v>413</v>
      </c>
      <c r="R48" t="s">
        <v>160</v>
      </c>
      <c r="S48" t="s">
        <v>259</v>
      </c>
      <c r="U48" s="1"/>
      <c r="V48" s="1"/>
    </row>
    <row r="49" spans="4:22" ht="15">
      <c r="D49" t="s">
        <v>197</v>
      </c>
      <c r="E49" s="15"/>
      <c r="I49" s="16"/>
      <c r="L49" t="s">
        <v>1210</v>
      </c>
      <c r="M49">
        <v>-10</v>
      </c>
      <c r="O49" t="s">
        <v>361</v>
      </c>
      <c r="P49" t="s">
        <v>415</v>
      </c>
      <c r="R49" t="s">
        <v>41</v>
      </c>
      <c r="S49" t="s">
        <v>258</v>
      </c>
      <c r="U49" s="1"/>
      <c r="V49" s="1"/>
    </row>
    <row r="50" spans="4:22" ht="15">
      <c r="D50" t="s">
        <v>38</v>
      </c>
      <c r="E50" s="15"/>
      <c r="I50" s="58" t="s">
        <v>505</v>
      </c>
      <c r="J50" s="22" t="s">
        <v>210</v>
      </c>
      <c r="L50" t="s">
        <v>1211</v>
      </c>
      <c r="M50">
        <v>-9</v>
      </c>
      <c r="O50" t="s">
        <v>362</v>
      </c>
      <c r="P50" t="s">
        <v>421</v>
      </c>
      <c r="R50" t="s">
        <v>92</v>
      </c>
      <c r="S50" t="s">
        <v>259</v>
      </c>
      <c r="U50" s="1"/>
      <c r="V50" s="1"/>
    </row>
    <row r="51" spans="4:22" ht="15">
      <c r="D51" t="s">
        <v>36</v>
      </c>
      <c r="E51" s="15"/>
      <c r="I51" s="58" t="s">
        <v>514</v>
      </c>
      <c r="J51">
        <v>1</v>
      </c>
      <c r="L51" t="s">
        <v>1212</v>
      </c>
      <c r="M51">
        <v>-8</v>
      </c>
      <c r="O51" t="s">
        <v>363</v>
      </c>
      <c r="P51" t="s">
        <v>431</v>
      </c>
      <c r="R51" t="s">
        <v>72</v>
      </c>
      <c r="S51" t="s">
        <v>259</v>
      </c>
      <c r="U51" s="1"/>
      <c r="V51" s="1"/>
    </row>
    <row r="52" spans="4:22" ht="15">
      <c r="E52" s="15"/>
      <c r="I52" s="58" t="s">
        <v>515</v>
      </c>
      <c r="J52">
        <v>2</v>
      </c>
      <c r="L52" t="s">
        <v>1213</v>
      </c>
      <c r="M52">
        <v>-6</v>
      </c>
      <c r="O52" t="s">
        <v>365</v>
      </c>
      <c r="P52" t="s">
        <v>438</v>
      </c>
      <c r="R52" t="s">
        <v>140</v>
      </c>
      <c r="S52" t="s">
        <v>260</v>
      </c>
      <c r="U52" s="1"/>
      <c r="V52" s="1"/>
    </row>
    <row r="53" spans="4:22" ht="15">
      <c r="D53" s="58" t="s">
        <v>270</v>
      </c>
      <c r="E53" s="15"/>
      <c r="I53" s="58" t="s">
        <v>516</v>
      </c>
      <c r="J53">
        <v>3</v>
      </c>
      <c r="L53" t="s">
        <v>1214</v>
      </c>
      <c r="M53">
        <v>-5</v>
      </c>
      <c r="O53" t="s">
        <v>366</v>
      </c>
      <c r="P53" t="s">
        <v>446</v>
      </c>
      <c r="R53" t="s">
        <v>48</v>
      </c>
      <c r="S53" t="s">
        <v>259</v>
      </c>
      <c r="U53" s="1"/>
      <c r="V53" s="1"/>
    </row>
    <row r="54" spans="4:22" ht="15">
      <c r="D54" s="179" t="s">
        <v>1031</v>
      </c>
      <c r="E54" s="15"/>
      <c r="I54" s="58" t="s">
        <v>517</v>
      </c>
      <c r="J54">
        <v>4</v>
      </c>
      <c r="O54" t="s">
        <v>367</v>
      </c>
      <c r="P54" t="s">
        <v>451</v>
      </c>
      <c r="R54" t="s">
        <v>180</v>
      </c>
      <c r="S54" t="s">
        <v>259</v>
      </c>
      <c r="U54" s="1"/>
      <c r="V54" s="1"/>
    </row>
    <row r="55" spans="4:22" ht="15">
      <c r="D55" s="179" t="s">
        <v>1032</v>
      </c>
      <c r="E55" s="15"/>
      <c r="I55" s="58" t="s">
        <v>518</v>
      </c>
      <c r="J55">
        <v>5</v>
      </c>
      <c r="L55" s="22" t="s">
        <v>292</v>
      </c>
      <c r="M55" s="22" t="s">
        <v>210</v>
      </c>
      <c r="O55" t="s">
        <v>369</v>
      </c>
      <c r="P55" t="s">
        <v>407</v>
      </c>
      <c r="R55" t="s">
        <v>175</v>
      </c>
      <c r="S55" t="s">
        <v>260</v>
      </c>
      <c r="U55" s="1"/>
      <c r="V55" s="1"/>
    </row>
    <row r="56" spans="4:22" ht="15">
      <c r="D56" s="179" t="s">
        <v>1033</v>
      </c>
      <c r="E56" s="15"/>
      <c r="I56" s="58" t="s">
        <v>519</v>
      </c>
      <c r="J56">
        <v>6</v>
      </c>
      <c r="L56" s="22" t="s">
        <v>1215</v>
      </c>
      <c r="M56">
        <v>1</v>
      </c>
      <c r="O56" t="s">
        <v>370</v>
      </c>
      <c r="P56"/>
      <c r="R56" t="s">
        <v>39</v>
      </c>
      <c r="S56" t="s">
        <v>258</v>
      </c>
      <c r="U56" s="1"/>
    </row>
    <row r="57" spans="4:22" ht="15">
      <c r="D57" s="179" t="s">
        <v>1034</v>
      </c>
      <c r="E57" s="15"/>
      <c r="I57" s="58" t="s">
        <v>520</v>
      </c>
      <c r="J57">
        <v>7</v>
      </c>
      <c r="L57" s="22" t="s">
        <v>236</v>
      </c>
      <c r="M57">
        <v>2</v>
      </c>
      <c r="O57" t="s">
        <v>374</v>
      </c>
      <c r="P57"/>
      <c r="R57" t="s">
        <v>93</v>
      </c>
      <c r="S57" t="s">
        <v>260</v>
      </c>
      <c r="U57" s="1"/>
    </row>
    <row r="58" spans="4:22" ht="15">
      <c r="D58" s="179" t="s">
        <v>1035</v>
      </c>
      <c r="E58" s="15"/>
      <c r="I58" s="16"/>
      <c r="L58" s="22" t="s">
        <v>1216</v>
      </c>
      <c r="M58">
        <v>3</v>
      </c>
      <c r="O58" t="s">
        <v>376</v>
      </c>
      <c r="P58"/>
      <c r="R58" t="s">
        <v>71</v>
      </c>
      <c r="S58" t="s">
        <v>259</v>
      </c>
      <c r="U58" s="1"/>
    </row>
    <row r="59" spans="4:22" ht="15">
      <c r="D59" s="179" t="s">
        <v>1036</v>
      </c>
      <c r="E59" s="15"/>
      <c r="I59" s="58" t="s">
        <v>157</v>
      </c>
      <c r="J59" s="22" t="s">
        <v>210</v>
      </c>
      <c r="L59" s="22" t="s">
        <v>237</v>
      </c>
      <c r="M59">
        <v>4</v>
      </c>
      <c r="O59" t="s">
        <v>377</v>
      </c>
      <c r="P59"/>
      <c r="R59" t="s">
        <v>176</v>
      </c>
      <c r="S59" t="s">
        <v>259</v>
      </c>
      <c r="U59" s="1"/>
    </row>
    <row r="60" spans="4:22" ht="15">
      <c r="D60" s="179" t="s">
        <v>1037</v>
      </c>
      <c r="E60" s="15"/>
      <c r="I60" s="58" t="s">
        <v>521</v>
      </c>
      <c r="J60">
        <v>1</v>
      </c>
      <c r="L60" s="22" t="s">
        <v>1217</v>
      </c>
      <c r="M60">
        <v>5</v>
      </c>
      <c r="O60" t="s">
        <v>378</v>
      </c>
      <c r="P60"/>
      <c r="R60" t="s">
        <v>177</v>
      </c>
      <c r="S60" t="s">
        <v>259</v>
      </c>
      <c r="U60" s="1"/>
    </row>
    <row r="61" spans="4:22" ht="15">
      <c r="D61" s="179" t="s">
        <v>1038</v>
      </c>
      <c r="E61" s="15"/>
      <c r="I61" s="58" t="s">
        <v>522</v>
      </c>
      <c r="J61">
        <v>2</v>
      </c>
      <c r="L61" s="22" t="s">
        <v>1218</v>
      </c>
      <c r="M61">
        <v>6</v>
      </c>
      <c r="O61" t="s">
        <v>380</v>
      </c>
      <c r="P61"/>
      <c r="R61" t="s">
        <v>178</v>
      </c>
      <c r="S61" t="s">
        <v>259</v>
      </c>
      <c r="U61" s="1"/>
    </row>
    <row r="62" spans="4:22" ht="15">
      <c r="E62" s="15"/>
      <c r="I62" s="58" t="s">
        <v>523</v>
      </c>
      <c r="J62">
        <v>3</v>
      </c>
      <c r="L62" s="22" t="s">
        <v>1219</v>
      </c>
      <c r="M62">
        <v>7</v>
      </c>
      <c r="O62" t="s">
        <v>382</v>
      </c>
      <c r="P62"/>
      <c r="R62" t="s">
        <v>100</v>
      </c>
      <c r="S62" t="s">
        <v>259</v>
      </c>
      <c r="U62" s="1"/>
    </row>
    <row r="63" spans="4:22" ht="15">
      <c r="D63" t="s">
        <v>483</v>
      </c>
      <c r="E63" s="15"/>
      <c r="I63" s="58" t="s">
        <v>524</v>
      </c>
      <c r="J63">
        <v>4</v>
      </c>
      <c r="L63" s="22" t="s">
        <v>791</v>
      </c>
      <c r="M63">
        <v>8</v>
      </c>
      <c r="O63" t="s">
        <v>383</v>
      </c>
      <c r="P63"/>
      <c r="R63" t="s">
        <v>179</v>
      </c>
      <c r="S63" t="s">
        <v>258</v>
      </c>
      <c r="U63" s="1"/>
    </row>
    <row r="64" spans="4:22" ht="15">
      <c r="D64" t="s">
        <v>476</v>
      </c>
      <c r="E64" s="15"/>
      <c r="I64" s="58" t="s">
        <v>525</v>
      </c>
      <c r="J64">
        <v>5</v>
      </c>
      <c r="L64" s="22" t="s">
        <v>1220</v>
      </c>
      <c r="M64">
        <v>9</v>
      </c>
      <c r="O64" t="s">
        <v>384</v>
      </c>
      <c r="P64"/>
      <c r="R64" t="s">
        <v>97</v>
      </c>
      <c r="S64" t="s">
        <v>260</v>
      </c>
      <c r="U64" s="1"/>
    </row>
    <row r="65" spans="4:22" ht="15">
      <c r="D65" t="s">
        <v>477</v>
      </c>
      <c r="E65" s="15"/>
      <c r="I65" s="58" t="s">
        <v>526</v>
      </c>
      <c r="J65">
        <v>6</v>
      </c>
      <c r="L65" s="22" t="s">
        <v>1221</v>
      </c>
      <c r="M65">
        <v>10</v>
      </c>
      <c r="O65" t="s">
        <v>387</v>
      </c>
      <c r="P65"/>
      <c r="R65" t="s">
        <v>70</v>
      </c>
      <c r="S65" t="s">
        <v>260</v>
      </c>
      <c r="U65" s="1"/>
    </row>
    <row r="66" spans="4:22" ht="15">
      <c r="D66" t="s">
        <v>478</v>
      </c>
      <c r="E66" s="15"/>
      <c r="I66" s="58" t="s">
        <v>527</v>
      </c>
      <c r="J66">
        <v>7</v>
      </c>
      <c r="O66" t="s">
        <v>388</v>
      </c>
      <c r="P66"/>
      <c r="R66" t="s">
        <v>98</v>
      </c>
      <c r="S66" t="s">
        <v>260</v>
      </c>
      <c r="U66" s="1"/>
    </row>
    <row r="67" spans="4:22" ht="15">
      <c r="D67" t="s">
        <v>482</v>
      </c>
      <c r="E67" s="15"/>
      <c r="I67" s="16"/>
      <c r="O67" t="s">
        <v>390</v>
      </c>
      <c r="P67"/>
      <c r="R67" t="s">
        <v>63</v>
      </c>
      <c r="S67" t="s">
        <v>258</v>
      </c>
      <c r="U67" s="1"/>
    </row>
    <row r="68" spans="4:22" ht="15">
      <c r="D68" t="s">
        <v>481</v>
      </c>
      <c r="E68" s="15"/>
      <c r="I68" s="58" t="s">
        <v>199</v>
      </c>
      <c r="J68" s="22" t="s">
        <v>210</v>
      </c>
      <c r="O68" t="s">
        <v>391</v>
      </c>
      <c r="P68"/>
      <c r="R68" t="s">
        <v>64</v>
      </c>
      <c r="S68" t="s">
        <v>259</v>
      </c>
      <c r="U68" s="1"/>
    </row>
    <row r="69" spans="4:22" ht="15">
      <c r="D69" t="s">
        <v>480</v>
      </c>
      <c r="E69" s="15"/>
      <c r="I69" s="58" t="s">
        <v>528</v>
      </c>
      <c r="J69">
        <v>1</v>
      </c>
      <c r="O69" t="s">
        <v>392</v>
      </c>
      <c r="P69"/>
      <c r="R69" t="s">
        <v>65</v>
      </c>
      <c r="S69" t="s">
        <v>259</v>
      </c>
      <c r="U69" s="1"/>
    </row>
    <row r="70" spans="4:22" ht="15">
      <c r="D70" t="s">
        <v>2</v>
      </c>
      <c r="E70" s="15"/>
      <c r="I70" s="58" t="s">
        <v>529</v>
      </c>
      <c r="J70">
        <v>2</v>
      </c>
      <c r="O70" t="s">
        <v>393</v>
      </c>
      <c r="P70"/>
      <c r="R70" t="s">
        <v>99</v>
      </c>
      <c r="S70" t="s">
        <v>260</v>
      </c>
      <c r="U70" s="1"/>
    </row>
    <row r="71" spans="4:22" ht="15">
      <c r="E71" s="15"/>
      <c r="I71" s="58" t="s">
        <v>530</v>
      </c>
      <c r="J71">
        <v>3</v>
      </c>
      <c r="O71" t="s">
        <v>395</v>
      </c>
      <c r="P71"/>
      <c r="R71" t="s">
        <v>66</v>
      </c>
      <c r="S71" t="s">
        <v>258</v>
      </c>
      <c r="U71" s="1"/>
    </row>
    <row r="72" spans="4:22" ht="15">
      <c r="D72" t="s">
        <v>484</v>
      </c>
      <c r="E72" s="15"/>
      <c r="I72" s="22" t="s">
        <v>531</v>
      </c>
      <c r="J72">
        <v>4</v>
      </c>
      <c r="O72" t="s">
        <v>398</v>
      </c>
      <c r="P72"/>
      <c r="R72" t="s">
        <v>69</v>
      </c>
      <c r="S72" t="s">
        <v>260</v>
      </c>
      <c r="U72" s="1"/>
    </row>
    <row r="73" spans="4:22" ht="15">
      <c r="D73" t="s">
        <v>249</v>
      </c>
      <c r="E73" s="15"/>
      <c r="I73" s="22" t="s">
        <v>532</v>
      </c>
      <c r="J73">
        <v>5</v>
      </c>
      <c r="O73" t="s">
        <v>399</v>
      </c>
      <c r="P73"/>
      <c r="R73" t="s">
        <v>67</v>
      </c>
      <c r="S73" t="s">
        <v>258</v>
      </c>
      <c r="U73" s="1"/>
    </row>
    <row r="74" spans="4:22" ht="15">
      <c r="D74" t="s">
        <v>479</v>
      </c>
      <c r="E74" s="15"/>
      <c r="I74" s="22" t="s">
        <v>533</v>
      </c>
      <c r="J74">
        <v>6</v>
      </c>
      <c r="O74" t="s">
        <v>400</v>
      </c>
      <c r="P74"/>
      <c r="R74" t="s">
        <v>68</v>
      </c>
      <c r="S74" t="s">
        <v>258</v>
      </c>
      <c r="U74" s="1"/>
    </row>
    <row r="75" spans="4:22" ht="15">
      <c r="D75" t="s">
        <v>2</v>
      </c>
      <c r="E75" s="15"/>
      <c r="O75" t="s">
        <v>401</v>
      </c>
      <c r="P75"/>
      <c r="R75" t="s">
        <v>78</v>
      </c>
      <c r="S75" t="s">
        <v>258</v>
      </c>
      <c r="U75" s="1"/>
    </row>
    <row r="76" spans="4:22" ht="15">
      <c r="E76" s="15"/>
      <c r="O76" t="s">
        <v>402</v>
      </c>
      <c r="P76"/>
      <c r="V76" s="1"/>
    </row>
    <row r="77" spans="4:22" ht="15">
      <c r="E77" s="15"/>
      <c r="I77" t="s">
        <v>540</v>
      </c>
      <c r="J77" t="s">
        <v>210</v>
      </c>
      <c r="O77" t="s">
        <v>403</v>
      </c>
      <c r="P77"/>
      <c r="V77" s="1"/>
    </row>
    <row r="78" spans="4:22" ht="15">
      <c r="E78" s="15"/>
      <c r="I78" t="s">
        <v>556</v>
      </c>
      <c r="J78">
        <v>1</v>
      </c>
      <c r="O78" t="s">
        <v>404</v>
      </c>
      <c r="P78"/>
      <c r="V78" s="1"/>
    </row>
    <row r="79" spans="4:22" ht="15">
      <c r="E79" s="15"/>
      <c r="I79" t="s">
        <v>555</v>
      </c>
      <c r="J79">
        <v>2</v>
      </c>
      <c r="O79" t="s">
        <v>405</v>
      </c>
      <c r="P79"/>
      <c r="V79" s="1"/>
    </row>
    <row r="80" spans="4:22" ht="15">
      <c r="E80" s="15"/>
      <c r="I80" t="s">
        <v>545</v>
      </c>
      <c r="J80">
        <v>3</v>
      </c>
      <c r="O80" t="s">
        <v>408</v>
      </c>
      <c r="P80"/>
      <c r="V80" s="1"/>
    </row>
    <row r="81" spans="5:22" ht="15">
      <c r="E81" s="15"/>
      <c r="I81" t="s">
        <v>551</v>
      </c>
      <c r="J81">
        <v>4</v>
      </c>
      <c r="O81" t="s">
        <v>409</v>
      </c>
      <c r="P81"/>
      <c r="V81" s="1"/>
    </row>
    <row r="82" spans="5:22" ht="15">
      <c r="E82" s="15"/>
      <c r="I82" t="s">
        <v>558</v>
      </c>
      <c r="J82">
        <v>5</v>
      </c>
      <c r="O82" t="s">
        <v>410</v>
      </c>
      <c r="P82"/>
      <c r="V82" s="1"/>
    </row>
    <row r="83" spans="5:22" ht="15">
      <c r="E83" s="15"/>
      <c r="I83" t="s">
        <v>552</v>
      </c>
      <c r="J83">
        <v>6</v>
      </c>
      <c r="O83" t="s">
        <v>412</v>
      </c>
      <c r="P83"/>
      <c r="V83" s="1"/>
    </row>
    <row r="84" spans="5:22" ht="15">
      <c r="E84" s="15"/>
      <c r="I84" t="s">
        <v>557</v>
      </c>
      <c r="J84">
        <v>7</v>
      </c>
      <c r="O84" t="s">
        <v>414</v>
      </c>
      <c r="P84"/>
      <c r="V84" s="1"/>
    </row>
    <row r="85" spans="5:22" ht="15">
      <c r="E85" s="15"/>
      <c r="I85" t="s">
        <v>559</v>
      </c>
      <c r="J85">
        <v>8</v>
      </c>
      <c r="O85" t="s">
        <v>416</v>
      </c>
      <c r="P85"/>
      <c r="V85" s="1"/>
    </row>
    <row r="86" spans="5:22" ht="15">
      <c r="E86" s="15"/>
      <c r="I86" t="s">
        <v>567</v>
      </c>
      <c r="J86">
        <v>9</v>
      </c>
      <c r="O86" t="s">
        <v>417</v>
      </c>
      <c r="P86"/>
      <c r="V86" s="1"/>
    </row>
    <row r="87" spans="5:22" ht="15">
      <c r="E87" s="15"/>
      <c r="I87" t="s">
        <v>542</v>
      </c>
      <c r="J87">
        <v>10</v>
      </c>
      <c r="O87" t="s">
        <v>418</v>
      </c>
      <c r="P87"/>
      <c r="V87" s="1"/>
    </row>
    <row r="88" spans="5:22" ht="15">
      <c r="E88" s="15"/>
      <c r="I88" t="s">
        <v>553</v>
      </c>
      <c r="J88">
        <v>11</v>
      </c>
      <c r="O88" t="s">
        <v>419</v>
      </c>
      <c r="P88"/>
      <c r="V88" s="1"/>
    </row>
    <row r="89" spans="5:22" ht="15">
      <c r="E89" s="15"/>
      <c r="I89" t="s">
        <v>554</v>
      </c>
      <c r="J89">
        <v>12</v>
      </c>
      <c r="O89" t="s">
        <v>420</v>
      </c>
      <c r="P89"/>
      <c r="V89" s="1"/>
    </row>
    <row r="90" spans="5:22" ht="15">
      <c r="E90" s="15"/>
      <c r="I90" t="s">
        <v>562</v>
      </c>
      <c r="J90">
        <v>13</v>
      </c>
      <c r="O90" t="s">
        <v>422</v>
      </c>
      <c r="P90"/>
      <c r="V90" s="1"/>
    </row>
    <row r="91" spans="5:22" ht="15">
      <c r="E91" s="15"/>
      <c r="I91" t="s">
        <v>564</v>
      </c>
      <c r="J91">
        <v>14</v>
      </c>
      <c r="O91" t="s">
        <v>423</v>
      </c>
      <c r="P91"/>
      <c r="V91" s="1"/>
    </row>
    <row r="92" spans="5:22" ht="15">
      <c r="E92" s="15"/>
      <c r="I92" t="s">
        <v>565</v>
      </c>
      <c r="J92">
        <v>15</v>
      </c>
      <c r="O92" t="s">
        <v>424</v>
      </c>
      <c r="P92"/>
      <c r="V92" s="1"/>
    </row>
    <row r="93" spans="5:22" ht="15">
      <c r="E93" s="15"/>
      <c r="I93" t="s">
        <v>569</v>
      </c>
      <c r="J93">
        <v>16</v>
      </c>
      <c r="O93" t="s">
        <v>425</v>
      </c>
      <c r="P93"/>
      <c r="V93" s="1"/>
    </row>
    <row r="94" spans="5:22" ht="15">
      <c r="E94" s="15"/>
      <c r="I94" t="s">
        <v>577</v>
      </c>
      <c r="J94">
        <v>17</v>
      </c>
      <c r="O94" t="s">
        <v>426</v>
      </c>
      <c r="P94"/>
      <c r="V94" s="1"/>
    </row>
    <row r="95" spans="5:22" ht="15">
      <c r="E95" s="15"/>
      <c r="I95" t="s">
        <v>560</v>
      </c>
      <c r="J95">
        <v>18</v>
      </c>
      <c r="O95" t="s">
        <v>427</v>
      </c>
      <c r="P95"/>
      <c r="V95" s="1"/>
    </row>
    <row r="96" spans="5:22" ht="15">
      <c r="H96" s="16"/>
      <c r="I96" t="s">
        <v>550</v>
      </c>
      <c r="J96">
        <v>19</v>
      </c>
      <c r="O96" t="s">
        <v>428</v>
      </c>
      <c r="P96"/>
    </row>
    <row r="97" spans="5:22" ht="15">
      <c r="H97" s="16"/>
      <c r="I97" t="s">
        <v>566</v>
      </c>
      <c r="J97">
        <v>20</v>
      </c>
      <c r="O97" t="s">
        <v>429</v>
      </c>
      <c r="P97"/>
    </row>
    <row r="98" spans="5:22" ht="15">
      <c r="H98" s="16"/>
      <c r="I98" t="s">
        <v>575</v>
      </c>
      <c r="J98">
        <v>21</v>
      </c>
      <c r="O98" t="s">
        <v>430</v>
      </c>
      <c r="P98"/>
    </row>
    <row r="99" spans="5:22" ht="15">
      <c r="H99" s="16"/>
      <c r="I99" t="s">
        <v>547</v>
      </c>
      <c r="J99">
        <v>22</v>
      </c>
      <c r="O99" t="s">
        <v>432</v>
      </c>
      <c r="P99"/>
    </row>
    <row r="100" spans="5:22" ht="15">
      <c r="H100" s="16"/>
      <c r="I100" t="s">
        <v>543</v>
      </c>
      <c r="J100">
        <v>23</v>
      </c>
      <c r="O100" t="s">
        <v>433</v>
      </c>
      <c r="P100"/>
    </row>
    <row r="101" spans="5:22" ht="15">
      <c r="H101" s="16"/>
      <c r="I101" t="s">
        <v>586</v>
      </c>
      <c r="J101">
        <v>24</v>
      </c>
      <c r="O101" t="s">
        <v>434</v>
      </c>
      <c r="P101"/>
    </row>
    <row r="102" spans="5:22" ht="15">
      <c r="H102" s="16"/>
      <c r="I102" t="s">
        <v>588</v>
      </c>
      <c r="J102">
        <v>25</v>
      </c>
      <c r="O102" t="s">
        <v>435</v>
      </c>
      <c r="P102"/>
    </row>
    <row r="103" spans="5:22" ht="15">
      <c r="H103" s="16"/>
      <c r="I103" t="s">
        <v>573</v>
      </c>
      <c r="J103">
        <v>26</v>
      </c>
      <c r="O103" t="s">
        <v>436</v>
      </c>
      <c r="P103"/>
    </row>
    <row r="104" spans="5:22" ht="15">
      <c r="H104" s="16"/>
      <c r="I104" t="s">
        <v>534</v>
      </c>
      <c r="J104">
        <v>27</v>
      </c>
      <c r="O104" t="s">
        <v>437</v>
      </c>
      <c r="P104"/>
    </row>
    <row r="105" spans="5:22" ht="15">
      <c r="H105" s="16"/>
      <c r="I105" t="s">
        <v>578</v>
      </c>
      <c r="J105">
        <v>28</v>
      </c>
      <c r="O105" t="s">
        <v>439</v>
      </c>
      <c r="P105"/>
    </row>
    <row r="106" spans="5:22" ht="15">
      <c r="E106" s="15"/>
      <c r="I106" t="s">
        <v>546</v>
      </c>
      <c r="J106">
        <v>29</v>
      </c>
      <c r="O106" t="s">
        <v>440</v>
      </c>
      <c r="P106"/>
      <c r="V106" s="1"/>
    </row>
    <row r="107" spans="5:22" ht="15">
      <c r="E107" s="15"/>
      <c r="I107" t="s">
        <v>571</v>
      </c>
      <c r="J107">
        <v>30</v>
      </c>
      <c r="O107" t="s">
        <v>441</v>
      </c>
      <c r="P107"/>
      <c r="V107" s="1"/>
    </row>
    <row r="108" spans="5:22" ht="15">
      <c r="E108" s="15"/>
      <c r="I108" t="s">
        <v>574</v>
      </c>
      <c r="J108">
        <v>31</v>
      </c>
      <c r="O108" t="s">
        <v>442</v>
      </c>
      <c r="P108"/>
      <c r="V108" s="1"/>
    </row>
    <row r="109" spans="5:22" ht="15">
      <c r="E109" s="15"/>
      <c r="I109" t="s">
        <v>579</v>
      </c>
      <c r="J109">
        <v>32</v>
      </c>
      <c r="O109" t="s">
        <v>443</v>
      </c>
      <c r="P109"/>
      <c r="V109" s="1"/>
    </row>
    <row r="110" spans="5:22" ht="15">
      <c r="E110" s="15"/>
      <c r="I110" t="s">
        <v>583</v>
      </c>
      <c r="J110">
        <v>33</v>
      </c>
      <c r="O110" t="s">
        <v>444</v>
      </c>
      <c r="P110"/>
      <c r="V110" s="1"/>
    </row>
    <row r="111" spans="5:22" ht="15">
      <c r="E111" s="15"/>
      <c r="I111" t="s">
        <v>585</v>
      </c>
      <c r="J111">
        <v>34</v>
      </c>
      <c r="O111" t="s">
        <v>445</v>
      </c>
      <c r="P111"/>
      <c r="V111" s="1"/>
    </row>
    <row r="112" spans="5:22" ht="15">
      <c r="E112" s="15"/>
      <c r="I112" t="s">
        <v>587</v>
      </c>
      <c r="J112">
        <v>35</v>
      </c>
      <c r="O112" t="s">
        <v>447</v>
      </c>
      <c r="P112"/>
      <c r="V112" s="1"/>
    </row>
    <row r="113" spans="5:22" ht="15">
      <c r="E113" s="15"/>
      <c r="I113" t="s">
        <v>561</v>
      </c>
      <c r="J113">
        <v>36</v>
      </c>
      <c r="O113" t="s">
        <v>448</v>
      </c>
      <c r="P113"/>
      <c r="V113" s="1"/>
    </row>
    <row r="114" spans="5:22" ht="15">
      <c r="E114" s="15"/>
      <c r="I114" t="s">
        <v>563</v>
      </c>
      <c r="J114">
        <v>37</v>
      </c>
      <c r="O114" t="s">
        <v>449</v>
      </c>
      <c r="P114"/>
      <c r="V114" s="1"/>
    </row>
    <row r="115" spans="5:22" ht="15">
      <c r="E115" s="15"/>
      <c r="I115" t="s">
        <v>570</v>
      </c>
      <c r="J115">
        <v>38</v>
      </c>
      <c r="O115" t="s">
        <v>450</v>
      </c>
      <c r="P115"/>
      <c r="V115" s="1"/>
    </row>
    <row r="116" spans="5:22" ht="15">
      <c r="E116" s="15"/>
      <c r="I116" t="s">
        <v>572</v>
      </c>
      <c r="J116">
        <v>39</v>
      </c>
      <c r="O116" t="s">
        <v>452</v>
      </c>
      <c r="P116"/>
      <c r="V116" s="1"/>
    </row>
    <row r="117" spans="5:22" ht="15">
      <c r="E117" s="15"/>
      <c r="I117" t="s">
        <v>576</v>
      </c>
      <c r="J117">
        <v>40</v>
      </c>
      <c r="O117" t="s">
        <v>453</v>
      </c>
      <c r="P117"/>
      <c r="V117" s="1"/>
    </row>
    <row r="118" spans="5:22" ht="15">
      <c r="E118" s="15"/>
      <c r="I118" t="s">
        <v>580</v>
      </c>
      <c r="J118">
        <v>41</v>
      </c>
      <c r="O118" t="s">
        <v>454</v>
      </c>
      <c r="P118"/>
      <c r="V118" s="1"/>
    </row>
    <row r="119" spans="5:22" ht="15">
      <c r="E119" s="15"/>
      <c r="I119" t="s">
        <v>581</v>
      </c>
      <c r="J119">
        <v>42</v>
      </c>
      <c r="O119" t="s">
        <v>455</v>
      </c>
      <c r="P119"/>
      <c r="V119" s="1"/>
    </row>
    <row r="120" spans="5:22" ht="15">
      <c r="I120" t="s">
        <v>589</v>
      </c>
      <c r="J120">
        <v>43</v>
      </c>
      <c r="O120" t="s">
        <v>456</v>
      </c>
      <c r="P120"/>
      <c r="V120" s="1"/>
    </row>
    <row r="121" spans="5:22" ht="15">
      <c r="I121" t="s">
        <v>324</v>
      </c>
      <c r="J121">
        <v>44</v>
      </c>
      <c r="O121" t="s">
        <v>457</v>
      </c>
      <c r="P121"/>
      <c r="V121" s="1"/>
    </row>
    <row r="122" spans="5:22" ht="15">
      <c r="I122" t="s">
        <v>541</v>
      </c>
      <c r="J122">
        <v>45</v>
      </c>
      <c r="O122" t="s">
        <v>458</v>
      </c>
      <c r="P122"/>
      <c r="V122" s="1"/>
    </row>
    <row r="123" spans="5:22" ht="15">
      <c r="I123" t="s">
        <v>535</v>
      </c>
      <c r="J123">
        <v>46</v>
      </c>
      <c r="O123" t="s">
        <v>459</v>
      </c>
      <c r="P123"/>
      <c r="V123" s="1"/>
    </row>
    <row r="124" spans="5:22" ht="15">
      <c r="I124" t="s">
        <v>544</v>
      </c>
      <c r="J124">
        <v>47</v>
      </c>
      <c r="O124" t="s">
        <v>460</v>
      </c>
      <c r="P124"/>
      <c r="V124" s="1"/>
    </row>
    <row r="125" spans="5:22" ht="15">
      <c r="I125" t="s">
        <v>548</v>
      </c>
      <c r="J125">
        <v>48</v>
      </c>
      <c r="O125" t="s">
        <v>461</v>
      </c>
      <c r="P125"/>
    </row>
    <row r="126" spans="5:22" ht="15">
      <c r="I126" t="s">
        <v>549</v>
      </c>
      <c r="J126">
        <v>49</v>
      </c>
    </row>
    <row r="127" spans="5:22" ht="15">
      <c r="E127" s="15"/>
      <c r="I127" t="s">
        <v>568</v>
      </c>
      <c r="J127">
        <v>50</v>
      </c>
    </row>
    <row r="128" spans="5:22" ht="15">
      <c r="E128" s="15"/>
      <c r="I128" t="s">
        <v>582</v>
      </c>
      <c r="J128">
        <v>51</v>
      </c>
    </row>
    <row r="129" spans="9:10" ht="15">
      <c r="I129" t="s">
        <v>584</v>
      </c>
      <c r="J129">
        <v>52</v>
      </c>
    </row>
    <row r="130" spans="9:10" ht="11.25"/>
    <row r="131" spans="9:10" ht="11.25"/>
    <row r="132" spans="9:10" ht="11.25"/>
    <row r="133" spans="9:10" ht="11.25"/>
    <row r="134" spans="9:10" ht="11.25"/>
    <row r="135" spans="9:10" ht="11.25"/>
    <row r="136" spans="9:10" ht="11.25"/>
    <row r="137" spans="9:10" ht="11.25"/>
    <row r="138" spans="9:10" ht="11.25"/>
    <row r="139" spans="9:10" ht="11.25"/>
    <row r="140" spans="9:10" ht="11.25"/>
    <row r="141" spans="9:10" ht="11.25"/>
    <row r="142" spans="9:10" ht="11.25"/>
    <row r="143" spans="9:10" ht="11.25"/>
    <row r="144" spans="9:10"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8" ht="11.25"/>
    <row r="179" ht="11.25"/>
    <row r="180" ht="11.25"/>
    <row r="181" ht="11.25"/>
    <row r="182" ht="11.25"/>
    <row r="183" ht="11.25"/>
    <row r="184" ht="11.25"/>
    <row r="185" ht="11.25"/>
    <row r="186" ht="11.25"/>
    <row r="187" ht="11.25"/>
    <row r="188" ht="11.25"/>
  </sheetData>
  <phoneticPr fontId="14" type="noConversion"/>
  <conditionalFormatting sqref="S7:S75">
    <cfRule type="containsText" dxfId="166" priority="1" operator="containsText" text="Reference">
      <formula>NOT(ISERROR(SEARCH("Reference",S7)))</formula>
    </cfRule>
    <cfRule type="containsText" dxfId="165" priority="2" operator="containsText" text="原始录入">
      <formula>NOT(ISERROR(SEARCH("原始录入",S7)))</formula>
    </cfRule>
    <cfRule type="containsText" dxfId="164" priority="3" operator="containsText" text="未">
      <formula>NOT(ISERROR(SEARCH("未",S7)))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Z100"/>
  <sheetViews>
    <sheetView workbookViewId="0">
      <selection activeCell="H17" sqref="H17"/>
    </sheetView>
  </sheetViews>
  <sheetFormatPr defaultRowHeight="15"/>
  <cols>
    <col min="1" max="1" width="8.88671875" style="139"/>
    <col min="2" max="3" width="4.109375" style="139" customWidth="1"/>
    <col min="4" max="5" width="12.77734375" style="139" customWidth="1"/>
    <col min="6" max="6" width="12.5546875" style="139" customWidth="1"/>
    <col min="7" max="7" width="14.44140625" style="139" bestFit="1" customWidth="1"/>
    <col min="8" max="8" width="33.21875" style="139" bestFit="1" customWidth="1"/>
    <col min="9" max="10" width="12.33203125" style="139" bestFit="1" customWidth="1"/>
    <col min="11" max="11" width="10.44140625" style="139" bestFit="1" customWidth="1"/>
    <col min="12" max="12" width="24.6640625" style="139" bestFit="1" customWidth="1"/>
    <col min="13" max="13" width="19.44140625" style="139" bestFit="1" customWidth="1"/>
    <col min="14" max="14" width="6.88671875" style="139" bestFit="1" customWidth="1"/>
    <col min="15" max="15" width="9.5546875" style="139" bestFit="1" customWidth="1"/>
    <col min="16" max="17" width="9.33203125" style="139" bestFit="1" customWidth="1"/>
    <col min="18" max="18" width="19.44140625" style="139" bestFit="1" customWidth="1"/>
    <col min="19" max="19" width="33.21875" style="139" bestFit="1" customWidth="1"/>
    <col min="20" max="20" width="9.33203125" style="139" bestFit="1" customWidth="1"/>
    <col min="21" max="21" width="61" style="139" bestFit="1" customWidth="1"/>
    <col min="22" max="22" width="23" style="139" bestFit="1" customWidth="1"/>
    <col min="23" max="23" width="28.109375" style="139" bestFit="1" customWidth="1"/>
    <col min="24" max="24" width="7.6640625" style="139" bestFit="1" customWidth="1"/>
    <col min="25" max="16384" width="8.88671875" style="139"/>
  </cols>
  <sheetData>
    <row r="1" spans="1:26" ht="81" customHeight="1">
      <c r="A1" s="145" t="s">
        <v>1199</v>
      </c>
    </row>
    <row r="5" spans="1:26">
      <c r="D5" s="142" t="s">
        <v>82</v>
      </c>
      <c r="E5" s="146" t="s">
        <v>261</v>
      </c>
      <c r="F5" s="143" t="s">
        <v>44</v>
      </c>
      <c r="G5" s="143" t="s">
        <v>45</v>
      </c>
      <c r="H5" s="143" t="s">
        <v>46</v>
      </c>
      <c r="I5" s="143" t="s">
        <v>120</v>
      </c>
      <c r="J5" s="143" t="s">
        <v>716</v>
      </c>
      <c r="K5" s="143" t="s">
        <v>54</v>
      </c>
      <c r="L5" s="143" t="s">
        <v>84</v>
      </c>
      <c r="M5" s="143" t="s">
        <v>50</v>
      </c>
      <c r="N5" s="143" t="s">
        <v>130</v>
      </c>
      <c r="O5" s="143" t="s">
        <v>132</v>
      </c>
      <c r="P5" s="143" t="s">
        <v>148</v>
      </c>
      <c r="Q5" s="143" t="s">
        <v>149</v>
      </c>
      <c r="R5" s="143" t="s">
        <v>119</v>
      </c>
      <c r="S5" s="144" t="s">
        <v>90</v>
      </c>
      <c r="T5"/>
      <c r="U5"/>
      <c r="V5"/>
      <c r="W5"/>
      <c r="X5"/>
      <c r="Y5"/>
      <c r="Z5"/>
    </row>
    <row r="6" spans="1:26">
      <c r="D6" s="156">
        <v>10</v>
      </c>
      <c r="E6" s="85" t="s">
        <v>88</v>
      </c>
      <c r="F6" s="115" t="s">
        <v>1123</v>
      </c>
      <c r="G6" s="115" t="s">
        <v>1092</v>
      </c>
      <c r="H6" s="157">
        <v>45309</v>
      </c>
      <c r="I6" s="115" t="s">
        <v>88</v>
      </c>
      <c r="J6" s="115" t="s">
        <v>88</v>
      </c>
      <c r="K6" s="115">
        <v>72</v>
      </c>
      <c r="L6" s="115" t="s">
        <v>1140</v>
      </c>
      <c r="M6" s="115" t="s">
        <v>1124</v>
      </c>
      <c r="N6" s="116" t="s">
        <v>1124</v>
      </c>
      <c r="O6" s="115">
        <v>12</v>
      </c>
      <c r="P6" s="115" t="s">
        <v>6</v>
      </c>
      <c r="Q6" s="115" t="s">
        <v>6</v>
      </c>
      <c r="R6" s="115" t="s">
        <v>1094</v>
      </c>
      <c r="S6" s="158" t="s">
        <v>1093</v>
      </c>
      <c r="T6"/>
      <c r="U6"/>
      <c r="V6"/>
      <c r="W6"/>
      <c r="X6"/>
      <c r="Y6"/>
      <c r="Z6"/>
    </row>
    <row r="7" spans="1:26">
      <c r="D7" s="156">
        <v>9</v>
      </c>
      <c r="E7" s="85" t="s">
        <v>88</v>
      </c>
      <c r="F7" s="115" t="s">
        <v>1153</v>
      </c>
      <c r="G7" s="115" t="s">
        <v>1152</v>
      </c>
      <c r="H7" s="157">
        <v>45309</v>
      </c>
      <c r="I7" s="115" t="s">
        <v>88</v>
      </c>
      <c r="J7" s="115" t="s">
        <v>88</v>
      </c>
      <c r="K7" s="115"/>
      <c r="L7" s="115" t="s">
        <v>88</v>
      </c>
      <c r="M7" s="115" t="s">
        <v>88</v>
      </c>
      <c r="N7" s="115" t="s">
        <v>88</v>
      </c>
      <c r="O7" s="115"/>
      <c r="P7" s="115" t="s">
        <v>6</v>
      </c>
      <c r="Q7" s="115" t="s">
        <v>6</v>
      </c>
      <c r="R7" s="115" t="s">
        <v>1154</v>
      </c>
      <c r="S7" s="158" t="s">
        <v>1153</v>
      </c>
      <c r="T7"/>
      <c r="U7"/>
      <c r="V7"/>
      <c r="W7"/>
      <c r="X7"/>
      <c r="Y7"/>
      <c r="Z7"/>
    </row>
    <row r="8" spans="1:26">
      <c r="D8" s="156">
        <v>8</v>
      </c>
      <c r="E8" s="85" t="s">
        <v>88</v>
      </c>
      <c r="F8" s="115" t="s">
        <v>1121</v>
      </c>
      <c r="G8" s="115" t="s">
        <v>1095</v>
      </c>
      <c r="H8" s="157">
        <v>45309</v>
      </c>
      <c r="I8" s="115" t="s">
        <v>88</v>
      </c>
      <c r="J8" s="115" t="s">
        <v>88</v>
      </c>
      <c r="K8" s="115">
        <v>9</v>
      </c>
      <c r="L8" s="115" t="s">
        <v>1141</v>
      </c>
      <c r="M8" s="116" t="s">
        <v>1122</v>
      </c>
      <c r="N8" s="116" t="s">
        <v>1122</v>
      </c>
      <c r="O8" s="115">
        <v>45</v>
      </c>
      <c r="P8" s="115" t="s">
        <v>6</v>
      </c>
      <c r="Q8" s="115" t="s">
        <v>6</v>
      </c>
      <c r="R8" s="115" t="s">
        <v>1097</v>
      </c>
      <c r="S8" s="158" t="s">
        <v>1096</v>
      </c>
      <c r="T8"/>
      <c r="U8"/>
      <c r="V8"/>
      <c r="W8"/>
      <c r="X8"/>
      <c r="Y8"/>
      <c r="Z8"/>
    </row>
    <row r="9" spans="1:26">
      <c r="D9" s="156">
        <v>7</v>
      </c>
      <c r="E9" s="85" t="s">
        <v>88</v>
      </c>
      <c r="F9" s="115" t="s">
        <v>1126</v>
      </c>
      <c r="G9" s="115" t="s">
        <v>1089</v>
      </c>
      <c r="H9" s="157">
        <v>45309</v>
      </c>
      <c r="I9" s="115" t="s">
        <v>88</v>
      </c>
      <c r="J9" s="115" t="s">
        <v>88</v>
      </c>
      <c r="K9" s="115">
        <v>10</v>
      </c>
      <c r="L9" s="115" t="s">
        <v>1142</v>
      </c>
      <c r="M9" s="115" t="s">
        <v>1135</v>
      </c>
      <c r="N9" s="115" t="s">
        <v>1135</v>
      </c>
      <c r="O9" s="115">
        <v>40</v>
      </c>
      <c r="P9" s="115" t="s">
        <v>128</v>
      </c>
      <c r="Q9" s="115" t="s">
        <v>6</v>
      </c>
      <c r="R9" s="115" t="s">
        <v>1091</v>
      </c>
      <c r="S9" s="158" t="s">
        <v>601</v>
      </c>
      <c r="T9"/>
      <c r="U9"/>
      <c r="V9"/>
      <c r="W9"/>
      <c r="X9"/>
      <c r="Y9"/>
      <c r="Z9"/>
    </row>
    <row r="10" spans="1:26">
      <c r="D10" s="156">
        <v>6</v>
      </c>
      <c r="E10" s="85" t="s">
        <v>88</v>
      </c>
      <c r="F10" s="115" t="s">
        <v>1127</v>
      </c>
      <c r="G10" s="115" t="s">
        <v>1098</v>
      </c>
      <c r="H10" s="157">
        <v>45309</v>
      </c>
      <c r="I10" s="115" t="s">
        <v>88</v>
      </c>
      <c r="J10" s="115" t="s">
        <v>88</v>
      </c>
      <c r="K10" s="115">
        <v>147</v>
      </c>
      <c r="L10" s="115" t="s">
        <v>88</v>
      </c>
      <c r="M10" s="115" t="s">
        <v>88</v>
      </c>
      <c r="N10" s="115" t="s">
        <v>88</v>
      </c>
      <c r="O10" s="115"/>
      <c r="P10" s="115" t="s">
        <v>128</v>
      </c>
      <c r="Q10" s="115" t="s">
        <v>6</v>
      </c>
      <c r="R10" s="115" t="s">
        <v>1101</v>
      </c>
      <c r="S10" s="158" t="s">
        <v>1099</v>
      </c>
      <c r="T10"/>
      <c r="U10"/>
      <c r="V10"/>
      <c r="W10"/>
      <c r="X10"/>
      <c r="Y10"/>
      <c r="Z10"/>
    </row>
    <row r="11" spans="1:26">
      <c r="D11" s="156">
        <v>5</v>
      </c>
      <c r="E11" s="85" t="s">
        <v>88</v>
      </c>
      <c r="F11" s="115" t="s">
        <v>1128</v>
      </c>
      <c r="G11" s="115" t="s">
        <v>1109</v>
      </c>
      <c r="H11" s="157">
        <v>45308</v>
      </c>
      <c r="I11" s="115" t="s">
        <v>88</v>
      </c>
      <c r="J11" s="115" t="s">
        <v>88</v>
      </c>
      <c r="K11" s="115">
        <v>20</v>
      </c>
      <c r="L11" s="115" t="s">
        <v>1143</v>
      </c>
      <c r="M11" s="115" t="s">
        <v>1138</v>
      </c>
      <c r="N11" s="115" t="s">
        <v>1138</v>
      </c>
      <c r="O11" s="115">
        <v>14</v>
      </c>
      <c r="P11" s="115" t="s">
        <v>6</v>
      </c>
      <c r="Q11" s="115" t="s">
        <v>6</v>
      </c>
      <c r="R11" s="115" t="s">
        <v>1111</v>
      </c>
      <c r="S11" s="158" t="s">
        <v>1110</v>
      </c>
      <c r="T11"/>
      <c r="U11"/>
      <c r="V11"/>
      <c r="W11"/>
      <c r="X11"/>
      <c r="Y11"/>
      <c r="Z11"/>
    </row>
    <row r="12" spans="1:26">
      <c r="D12" s="156">
        <v>4</v>
      </c>
      <c r="E12" s="85" t="s">
        <v>88</v>
      </c>
      <c r="F12" s="115" t="s">
        <v>1132</v>
      </c>
      <c r="G12" s="115" t="s">
        <v>1115</v>
      </c>
      <c r="H12" s="157">
        <v>45308</v>
      </c>
      <c r="I12" s="115" t="s">
        <v>88</v>
      </c>
      <c r="J12" s="115" t="s">
        <v>88</v>
      </c>
      <c r="K12" s="115">
        <v>7.5</v>
      </c>
      <c r="L12" s="115" t="s">
        <v>1144</v>
      </c>
      <c r="M12" s="115" t="s">
        <v>1131</v>
      </c>
      <c r="N12" s="115" t="s">
        <v>1131</v>
      </c>
      <c r="O12" s="115">
        <v>42</v>
      </c>
      <c r="P12" s="115" t="s">
        <v>6</v>
      </c>
      <c r="Q12" s="115" t="s">
        <v>6</v>
      </c>
      <c r="R12" s="115" t="s">
        <v>1117</v>
      </c>
      <c r="S12" s="158" t="s">
        <v>1116</v>
      </c>
      <c r="T12"/>
      <c r="U12"/>
      <c r="V12"/>
      <c r="W12"/>
      <c r="X12"/>
      <c r="Y12"/>
      <c r="Z12"/>
    </row>
    <row r="13" spans="1:26">
      <c r="D13" s="156">
        <v>3</v>
      </c>
      <c r="E13" s="85" t="s">
        <v>88</v>
      </c>
      <c r="F13" s="115" t="s">
        <v>1133</v>
      </c>
      <c r="G13" s="115" t="s">
        <v>1106</v>
      </c>
      <c r="H13" s="157">
        <v>45308</v>
      </c>
      <c r="I13" s="115" t="s">
        <v>88</v>
      </c>
      <c r="J13" s="115" t="s">
        <v>88</v>
      </c>
      <c r="K13" s="115">
        <v>6</v>
      </c>
      <c r="L13" s="115" t="s">
        <v>88</v>
      </c>
      <c r="M13" s="115" t="s">
        <v>88</v>
      </c>
      <c r="N13" s="115" t="s">
        <v>88</v>
      </c>
      <c r="O13" s="115"/>
      <c r="P13" s="115" t="s">
        <v>127</v>
      </c>
      <c r="Q13" s="115" t="s">
        <v>6</v>
      </c>
      <c r="R13" s="115" t="s">
        <v>1108</v>
      </c>
      <c r="S13" s="158" t="s">
        <v>535</v>
      </c>
      <c r="T13"/>
      <c r="U13"/>
      <c r="V13"/>
      <c r="W13"/>
      <c r="X13"/>
      <c r="Y13"/>
      <c r="Z13"/>
    </row>
    <row r="14" spans="1:26">
      <c r="D14" s="156">
        <v>2</v>
      </c>
      <c r="E14" s="85" t="s">
        <v>88</v>
      </c>
      <c r="F14" s="115" t="s">
        <v>1130</v>
      </c>
      <c r="G14" s="115" t="s">
        <v>1112</v>
      </c>
      <c r="H14" s="157">
        <v>45308</v>
      </c>
      <c r="I14" s="115" t="s">
        <v>88</v>
      </c>
      <c r="J14" s="115" t="s">
        <v>88</v>
      </c>
      <c r="K14" s="115">
        <v>1.9790000000000001</v>
      </c>
      <c r="L14" s="115" t="s">
        <v>88</v>
      </c>
      <c r="M14" s="115" t="s">
        <v>1131</v>
      </c>
      <c r="N14" s="115" t="s">
        <v>88</v>
      </c>
      <c r="O14" s="115"/>
      <c r="P14" s="115" t="s">
        <v>6</v>
      </c>
      <c r="Q14" s="115" t="s">
        <v>6</v>
      </c>
      <c r="R14" s="115" t="s">
        <v>1114</v>
      </c>
      <c r="S14" s="158" t="s">
        <v>1113</v>
      </c>
      <c r="T14"/>
      <c r="U14"/>
      <c r="V14"/>
      <c r="W14"/>
      <c r="X14"/>
      <c r="Y14"/>
      <c r="Z14"/>
    </row>
    <row r="15" spans="1:26">
      <c r="D15" s="159">
        <v>1</v>
      </c>
      <c r="E15" s="160" t="s">
        <v>88</v>
      </c>
      <c r="F15" s="161" t="s">
        <v>1134</v>
      </c>
      <c r="G15" s="161" t="s">
        <v>1118</v>
      </c>
      <c r="H15" s="162">
        <v>45306</v>
      </c>
      <c r="I15" s="161" t="s">
        <v>88</v>
      </c>
      <c r="J15" s="161" t="s">
        <v>88</v>
      </c>
      <c r="K15" s="161">
        <v>2</v>
      </c>
      <c r="L15" s="161" t="s">
        <v>88</v>
      </c>
      <c r="M15" s="161" t="s">
        <v>88</v>
      </c>
      <c r="N15" s="161" t="s">
        <v>88</v>
      </c>
      <c r="O15" s="161"/>
      <c r="P15" s="161" t="s">
        <v>6</v>
      </c>
      <c r="Q15" s="161" t="s">
        <v>6</v>
      </c>
      <c r="R15" s="161" t="s">
        <v>1120</v>
      </c>
      <c r="S15" s="163" t="s">
        <v>1119</v>
      </c>
      <c r="T15"/>
      <c r="U15"/>
      <c r="V15"/>
      <c r="W15"/>
      <c r="X15"/>
      <c r="Y15"/>
      <c r="Z15"/>
    </row>
    <row r="16" spans="1:26">
      <c r="D16"/>
      <c r="E16"/>
      <c r="F16"/>
      <c r="G16"/>
      <c r="H16"/>
      <c r="I16"/>
      <c r="J16"/>
      <c r="K16"/>
      <c r="L16"/>
      <c r="M16"/>
      <c r="N16"/>
      <c r="O16"/>
      <c r="P16"/>
      <c r="Q16"/>
      <c r="R16"/>
      <c r="S16"/>
      <c r="T16"/>
      <c r="U16"/>
      <c r="V16"/>
      <c r="W16"/>
      <c r="X16"/>
      <c r="Y16"/>
      <c r="Z16"/>
    </row>
    <row r="17" spans="4:26">
      <c r="D17"/>
      <c r="E17"/>
      <c r="F17"/>
      <c r="G17"/>
      <c r="H17"/>
      <c r="I17"/>
      <c r="J17"/>
      <c r="K17"/>
      <c r="L17"/>
      <c r="M17"/>
      <c r="N17"/>
      <c r="O17"/>
      <c r="P17"/>
      <c r="Q17"/>
      <c r="R17"/>
      <c r="S17"/>
      <c r="T17"/>
      <c r="U17"/>
      <c r="V17"/>
      <c r="W17"/>
      <c r="X17"/>
      <c r="Y17"/>
      <c r="Z17"/>
    </row>
    <row r="18" spans="4:26">
      <c r="D18"/>
      <c r="E18"/>
      <c r="F18"/>
      <c r="G18"/>
      <c r="H18"/>
      <c r="I18"/>
      <c r="J18"/>
      <c r="K18"/>
      <c r="L18"/>
      <c r="M18"/>
      <c r="N18"/>
      <c r="O18"/>
      <c r="P18"/>
      <c r="Q18"/>
      <c r="R18"/>
      <c r="S18"/>
      <c r="T18"/>
      <c r="U18"/>
      <c r="V18"/>
      <c r="W18"/>
      <c r="X18"/>
      <c r="Y18"/>
      <c r="Z18"/>
    </row>
    <row r="19" spans="4:26">
      <c r="D19" s="142" t="s">
        <v>82</v>
      </c>
      <c r="E19" s="143" t="s">
        <v>771</v>
      </c>
      <c r="F19" s="143" t="s">
        <v>46</v>
      </c>
      <c r="G19" s="143" t="s">
        <v>45</v>
      </c>
      <c r="H19" s="143" t="s">
        <v>44</v>
      </c>
      <c r="I19" s="143" t="s">
        <v>717</v>
      </c>
      <c r="J19" s="143" t="s">
        <v>718</v>
      </c>
      <c r="K19" s="143" t="s">
        <v>719</v>
      </c>
      <c r="L19" s="143" t="s">
        <v>720</v>
      </c>
      <c r="M19" s="144" t="s">
        <v>119</v>
      </c>
      <c r="N19"/>
      <c r="O19"/>
      <c r="P19"/>
      <c r="Q19"/>
      <c r="R19"/>
      <c r="S19"/>
      <c r="T19"/>
      <c r="U19"/>
      <c r="V19"/>
      <c r="W19"/>
      <c r="X19"/>
      <c r="Y19"/>
      <c r="Z19"/>
    </row>
    <row r="20" spans="4:26">
      <c r="D20" s="156">
        <v>10</v>
      </c>
      <c r="E20" s="115" t="s">
        <v>88</v>
      </c>
      <c r="F20" s="157">
        <v>45309</v>
      </c>
      <c r="G20" s="115" t="s">
        <v>1092</v>
      </c>
      <c r="H20" s="115" t="s">
        <v>1123</v>
      </c>
      <c r="I20" s="85"/>
      <c r="J20" s="85"/>
      <c r="K20" s="164" t="s">
        <v>88</v>
      </c>
      <c r="L20" s="164" t="s">
        <v>88</v>
      </c>
      <c r="M20" s="158" t="s">
        <v>1094</v>
      </c>
      <c r="N20"/>
      <c r="O20"/>
      <c r="P20"/>
      <c r="Q20"/>
      <c r="R20"/>
      <c r="S20"/>
      <c r="T20"/>
      <c r="U20"/>
      <c r="V20"/>
      <c r="W20"/>
      <c r="X20"/>
      <c r="Y20"/>
      <c r="Z20"/>
    </row>
    <row r="21" spans="4:26">
      <c r="D21" s="156">
        <v>9</v>
      </c>
      <c r="E21" s="115" t="s">
        <v>88</v>
      </c>
      <c r="F21" s="157">
        <v>45309</v>
      </c>
      <c r="G21" s="115" t="s">
        <v>1152</v>
      </c>
      <c r="H21" s="115" t="s">
        <v>1153</v>
      </c>
      <c r="I21" s="85"/>
      <c r="J21" s="85"/>
      <c r="K21" s="164" t="s">
        <v>88</v>
      </c>
      <c r="L21" s="164" t="s">
        <v>88</v>
      </c>
      <c r="M21" s="158" t="s">
        <v>1154</v>
      </c>
      <c r="N21"/>
      <c r="O21"/>
      <c r="P21"/>
      <c r="Q21"/>
      <c r="R21"/>
      <c r="S21"/>
      <c r="T21"/>
      <c r="U21"/>
      <c r="V21"/>
      <c r="W21"/>
      <c r="X21"/>
      <c r="Y21"/>
      <c r="Z21"/>
    </row>
    <row r="22" spans="4:26">
      <c r="D22" s="156">
        <v>8</v>
      </c>
      <c r="E22" s="115" t="s">
        <v>88</v>
      </c>
      <c r="F22" s="157">
        <v>45309</v>
      </c>
      <c r="G22" s="115" t="s">
        <v>1095</v>
      </c>
      <c r="H22" s="115" t="s">
        <v>1121</v>
      </c>
      <c r="I22" s="85"/>
      <c r="J22" s="85"/>
      <c r="K22" s="164" t="s">
        <v>88</v>
      </c>
      <c r="L22" s="164" t="s">
        <v>88</v>
      </c>
      <c r="M22" s="158" t="s">
        <v>1097</v>
      </c>
      <c r="N22"/>
      <c r="O22"/>
      <c r="P22"/>
      <c r="Q22"/>
      <c r="R22"/>
      <c r="S22"/>
      <c r="T22"/>
      <c r="U22"/>
      <c r="V22"/>
      <c r="W22"/>
      <c r="X22"/>
      <c r="Y22"/>
      <c r="Z22"/>
    </row>
    <row r="23" spans="4:26">
      <c r="D23" s="156">
        <v>7</v>
      </c>
      <c r="E23" s="115" t="s">
        <v>88</v>
      </c>
      <c r="F23" s="157">
        <v>45309</v>
      </c>
      <c r="G23" s="115" t="s">
        <v>1089</v>
      </c>
      <c r="H23" s="115" t="s">
        <v>1126</v>
      </c>
      <c r="I23" s="85"/>
      <c r="J23" s="85"/>
      <c r="K23" s="164" t="s">
        <v>88</v>
      </c>
      <c r="L23" s="164" t="s">
        <v>88</v>
      </c>
      <c r="M23" s="158" t="s">
        <v>1091</v>
      </c>
      <c r="N23"/>
      <c r="O23"/>
      <c r="P23"/>
      <c r="Q23"/>
      <c r="R23"/>
      <c r="S23"/>
      <c r="T23"/>
      <c r="U23"/>
      <c r="V23"/>
      <c r="W23"/>
      <c r="X23"/>
      <c r="Y23"/>
      <c r="Z23"/>
    </row>
    <row r="24" spans="4:26">
      <c r="D24" s="156">
        <v>6</v>
      </c>
      <c r="E24" s="115" t="s">
        <v>88</v>
      </c>
      <c r="F24" s="157">
        <v>45309</v>
      </c>
      <c r="G24" s="115" t="s">
        <v>1098</v>
      </c>
      <c r="H24" s="115" t="s">
        <v>1127</v>
      </c>
      <c r="I24" s="85"/>
      <c r="J24" s="85"/>
      <c r="K24" s="164" t="s">
        <v>88</v>
      </c>
      <c r="L24" s="164" t="s">
        <v>88</v>
      </c>
      <c r="M24" s="158" t="s">
        <v>1101</v>
      </c>
      <c r="N24"/>
      <c r="O24"/>
      <c r="P24"/>
      <c r="Q24"/>
      <c r="R24"/>
      <c r="S24"/>
      <c r="T24"/>
      <c r="U24"/>
      <c r="V24"/>
      <c r="W24"/>
      <c r="X24"/>
      <c r="Y24"/>
      <c r="Z24"/>
    </row>
    <row r="25" spans="4:26">
      <c r="D25" s="156">
        <v>5</v>
      </c>
      <c r="E25" s="115" t="s">
        <v>88</v>
      </c>
      <c r="F25" s="157">
        <v>45308</v>
      </c>
      <c r="G25" s="115" t="s">
        <v>1109</v>
      </c>
      <c r="H25" s="115" t="s">
        <v>1128</v>
      </c>
      <c r="I25" s="85"/>
      <c r="J25" s="85"/>
      <c r="K25" s="164" t="s">
        <v>88</v>
      </c>
      <c r="L25" s="164" t="s">
        <v>88</v>
      </c>
      <c r="M25" s="158" t="s">
        <v>1111</v>
      </c>
      <c r="N25"/>
      <c r="O25"/>
      <c r="P25"/>
      <c r="Q25"/>
      <c r="R25"/>
      <c r="S25"/>
      <c r="T25"/>
      <c r="U25"/>
      <c r="V25"/>
      <c r="W25"/>
      <c r="X25"/>
      <c r="Y25"/>
      <c r="Z25"/>
    </row>
    <row r="26" spans="4:26">
      <c r="D26" s="156">
        <v>4</v>
      </c>
      <c r="E26" s="115" t="s">
        <v>88</v>
      </c>
      <c r="F26" s="157">
        <v>45308</v>
      </c>
      <c r="G26" s="115" t="s">
        <v>1115</v>
      </c>
      <c r="H26" s="115" t="s">
        <v>1132</v>
      </c>
      <c r="I26" s="85"/>
      <c r="J26" s="85"/>
      <c r="K26" s="164" t="s">
        <v>88</v>
      </c>
      <c r="L26" s="164" t="s">
        <v>88</v>
      </c>
      <c r="M26" s="158" t="s">
        <v>1117</v>
      </c>
      <c r="N26"/>
      <c r="O26"/>
      <c r="P26"/>
      <c r="Q26"/>
      <c r="R26"/>
      <c r="S26"/>
      <c r="T26"/>
      <c r="U26"/>
      <c r="V26"/>
      <c r="W26"/>
      <c r="X26"/>
      <c r="Y26"/>
      <c r="Z26"/>
    </row>
    <row r="27" spans="4:26" ht="45">
      <c r="D27" s="156">
        <v>3</v>
      </c>
      <c r="E27" s="115" t="s">
        <v>779</v>
      </c>
      <c r="F27" s="157">
        <v>45308</v>
      </c>
      <c r="G27" s="115" t="s">
        <v>1106</v>
      </c>
      <c r="H27" s="115" t="s">
        <v>1133</v>
      </c>
      <c r="I27" s="85">
        <v>12</v>
      </c>
      <c r="J27" s="85">
        <v>53</v>
      </c>
      <c r="K27" s="164" t="s">
        <v>1310</v>
      </c>
      <c r="L27" s="164" t="s">
        <v>1312</v>
      </c>
      <c r="M27" s="158" t="s">
        <v>1108</v>
      </c>
      <c r="N27"/>
      <c r="O27"/>
      <c r="P27"/>
      <c r="Q27"/>
      <c r="R27"/>
      <c r="S27"/>
      <c r="T27"/>
      <c r="U27"/>
      <c r="V27"/>
      <c r="W27"/>
      <c r="X27"/>
      <c r="Y27"/>
      <c r="Z27"/>
    </row>
    <row r="28" spans="4:26">
      <c r="D28" s="156">
        <v>2</v>
      </c>
      <c r="E28" s="115" t="s">
        <v>88</v>
      </c>
      <c r="F28" s="157">
        <v>45308</v>
      </c>
      <c r="G28" s="115" t="s">
        <v>1112</v>
      </c>
      <c r="H28" s="115" t="s">
        <v>1130</v>
      </c>
      <c r="I28" s="85"/>
      <c r="J28" s="85"/>
      <c r="K28" s="164" t="s">
        <v>88</v>
      </c>
      <c r="L28" s="164" t="s">
        <v>88</v>
      </c>
      <c r="M28" s="158" t="s">
        <v>1114</v>
      </c>
      <c r="N28"/>
      <c r="O28"/>
      <c r="P28"/>
      <c r="Q28"/>
      <c r="R28"/>
      <c r="S28"/>
      <c r="T28"/>
      <c r="U28"/>
      <c r="V28"/>
      <c r="W28"/>
      <c r="X28"/>
      <c r="Y28"/>
      <c r="Z28"/>
    </row>
    <row r="29" spans="4:26">
      <c r="D29" s="159">
        <v>1</v>
      </c>
      <c r="E29" s="161" t="s">
        <v>88</v>
      </c>
      <c r="F29" s="162">
        <v>45306</v>
      </c>
      <c r="G29" s="161" t="s">
        <v>1118</v>
      </c>
      <c r="H29" s="161" t="s">
        <v>1134</v>
      </c>
      <c r="I29" s="160"/>
      <c r="J29" s="160"/>
      <c r="K29" s="165" t="s">
        <v>88</v>
      </c>
      <c r="L29" s="165" t="s">
        <v>88</v>
      </c>
      <c r="M29" s="163" t="s">
        <v>1120</v>
      </c>
      <c r="N29"/>
      <c r="O29"/>
      <c r="P29"/>
      <c r="Q29"/>
      <c r="R29"/>
      <c r="S29"/>
      <c r="T29"/>
      <c r="U29"/>
      <c r="V29"/>
      <c r="W29"/>
      <c r="X29"/>
      <c r="Y29"/>
      <c r="Z29"/>
    </row>
    <row r="30" spans="4:26">
      <c r="D30"/>
      <c r="E30"/>
      <c r="F30"/>
      <c r="G30"/>
      <c r="H30"/>
      <c r="I30"/>
      <c r="J30"/>
      <c r="K30"/>
      <c r="L30"/>
      <c r="M30"/>
      <c r="N30"/>
      <c r="O30"/>
      <c r="P30"/>
      <c r="Q30"/>
      <c r="R30"/>
      <c r="S30"/>
      <c r="T30"/>
      <c r="U30"/>
      <c r="V30"/>
      <c r="W30"/>
      <c r="X30"/>
      <c r="Y30"/>
      <c r="Z30"/>
    </row>
    <row r="31" spans="4:26">
      <c r="D31"/>
      <c r="E31"/>
      <c r="F31"/>
      <c r="G31"/>
      <c r="H31"/>
      <c r="I31"/>
      <c r="J31"/>
      <c r="K31"/>
      <c r="L31"/>
      <c r="M31"/>
      <c r="N31"/>
      <c r="O31"/>
      <c r="P31"/>
      <c r="Q31"/>
      <c r="R31"/>
      <c r="S31"/>
      <c r="T31"/>
      <c r="U31"/>
      <c r="V31"/>
      <c r="W31"/>
      <c r="X31"/>
      <c r="Y31"/>
      <c r="Z31"/>
    </row>
    <row r="32" spans="4:26">
      <c r="D32"/>
      <c r="E32"/>
      <c r="F32"/>
      <c r="G32"/>
      <c r="H32"/>
      <c r="I32"/>
      <c r="J32"/>
      <c r="K32"/>
      <c r="L32"/>
      <c r="M32"/>
      <c r="N32"/>
      <c r="O32"/>
      <c r="P32"/>
      <c r="Q32"/>
      <c r="R32"/>
      <c r="S32"/>
      <c r="T32"/>
      <c r="U32"/>
      <c r="V32"/>
      <c r="W32"/>
      <c r="X32"/>
      <c r="Y32"/>
      <c r="Z32"/>
    </row>
    <row r="33" spans="4:26">
      <c r="D33" s="142" t="s">
        <v>82</v>
      </c>
      <c r="E33" s="143" t="s">
        <v>467</v>
      </c>
      <c r="F33" s="143" t="s">
        <v>90</v>
      </c>
      <c r="G33" s="143" t="s">
        <v>537</v>
      </c>
      <c r="H33" s="143" t="s">
        <v>182</v>
      </c>
      <c r="I33" s="143" t="s">
        <v>502</v>
      </c>
      <c r="J33" s="143" t="s">
        <v>503</v>
      </c>
      <c r="K33" s="143" t="s">
        <v>166</v>
      </c>
      <c r="L33" s="143" t="s">
        <v>504</v>
      </c>
      <c r="M33" s="143" t="s">
        <v>85</v>
      </c>
      <c r="N33" s="143" t="s">
        <v>42</v>
      </c>
      <c r="O33" s="144" t="s">
        <v>43</v>
      </c>
      <c r="P33"/>
      <c r="Q33"/>
      <c r="R33"/>
      <c r="S33"/>
      <c r="T33"/>
      <c r="U33"/>
      <c r="V33"/>
      <c r="W33"/>
      <c r="X33"/>
      <c r="Y33"/>
      <c r="Z33"/>
    </row>
    <row r="34" spans="4:26">
      <c r="D34" s="156">
        <v>4</v>
      </c>
      <c r="E34" s="115" t="s">
        <v>779</v>
      </c>
      <c r="F34" s="115" t="s">
        <v>1119</v>
      </c>
      <c r="G34" s="115" t="s">
        <v>1149</v>
      </c>
      <c r="H34" s="124" t="s">
        <v>501</v>
      </c>
      <c r="I34" s="124" t="s">
        <v>88</v>
      </c>
      <c r="J34" s="124" t="s">
        <v>88</v>
      </c>
      <c r="K34" s="124" t="s">
        <v>501</v>
      </c>
      <c r="L34" s="124" t="s">
        <v>88</v>
      </c>
      <c r="M34" s="124" t="s">
        <v>16</v>
      </c>
      <c r="N34" s="124" t="s">
        <v>784</v>
      </c>
      <c r="O34" s="166" t="s">
        <v>88</v>
      </c>
      <c r="P34"/>
      <c r="Q34"/>
      <c r="R34"/>
      <c r="S34"/>
      <c r="T34"/>
      <c r="U34"/>
      <c r="V34"/>
      <c r="W34"/>
      <c r="X34"/>
      <c r="Y34"/>
      <c r="Z34"/>
    </row>
    <row r="35" spans="4:26">
      <c r="D35" s="156">
        <v>3</v>
      </c>
      <c r="E35" s="115" t="s">
        <v>779</v>
      </c>
      <c r="F35" s="115" t="s">
        <v>1110</v>
      </c>
      <c r="G35" s="115" t="s">
        <v>1306</v>
      </c>
      <c r="H35" s="124" t="s">
        <v>501</v>
      </c>
      <c r="I35" s="124" t="s">
        <v>88</v>
      </c>
      <c r="J35" s="124" t="s">
        <v>88</v>
      </c>
      <c r="K35" s="124" t="s">
        <v>501</v>
      </c>
      <c r="L35" s="124" t="s">
        <v>88</v>
      </c>
      <c r="M35" s="124" t="s">
        <v>13</v>
      </c>
      <c r="N35" s="124" t="s">
        <v>1129</v>
      </c>
      <c r="O35" s="166" t="s">
        <v>88</v>
      </c>
      <c r="P35"/>
      <c r="Q35"/>
      <c r="R35"/>
      <c r="S35"/>
      <c r="T35"/>
      <c r="U35"/>
      <c r="V35"/>
      <c r="W35"/>
      <c r="X35"/>
      <c r="Y35"/>
      <c r="Z35"/>
    </row>
    <row r="36" spans="4:26">
      <c r="D36" s="156">
        <v>2</v>
      </c>
      <c r="E36" s="115" t="s">
        <v>779</v>
      </c>
      <c r="F36" s="115" t="s">
        <v>1153</v>
      </c>
      <c r="G36" s="115" t="s">
        <v>1307</v>
      </c>
      <c r="H36" s="124" t="s">
        <v>501</v>
      </c>
      <c r="I36" s="124" t="s">
        <v>88</v>
      </c>
      <c r="J36" s="124" t="s">
        <v>88</v>
      </c>
      <c r="K36" s="124" t="s">
        <v>501</v>
      </c>
      <c r="L36" s="124" t="s">
        <v>88</v>
      </c>
      <c r="M36" s="124" t="s">
        <v>501</v>
      </c>
      <c r="N36" s="124" t="s">
        <v>501</v>
      </c>
      <c r="O36" s="166" t="s">
        <v>501</v>
      </c>
      <c r="P36"/>
      <c r="Q36"/>
      <c r="R36"/>
      <c r="S36"/>
      <c r="T36"/>
      <c r="U36"/>
      <c r="V36"/>
      <c r="W36"/>
      <c r="X36"/>
      <c r="Y36"/>
      <c r="Z36"/>
    </row>
    <row r="37" spans="4:26">
      <c r="D37" s="159">
        <v>1</v>
      </c>
      <c r="E37" s="161" t="s">
        <v>779</v>
      </c>
      <c r="F37" s="161" t="s">
        <v>1093</v>
      </c>
      <c r="G37" s="161" t="s">
        <v>1150</v>
      </c>
      <c r="H37" s="167" t="s">
        <v>501</v>
      </c>
      <c r="I37" s="167" t="s">
        <v>88</v>
      </c>
      <c r="J37" s="167" t="s">
        <v>88</v>
      </c>
      <c r="K37" s="167" t="s">
        <v>501</v>
      </c>
      <c r="L37" s="167" t="s">
        <v>88</v>
      </c>
      <c r="M37" s="167" t="s">
        <v>16</v>
      </c>
      <c r="N37" s="167" t="s">
        <v>1125</v>
      </c>
      <c r="O37" s="168" t="s">
        <v>88</v>
      </c>
      <c r="P37"/>
      <c r="Q37"/>
      <c r="R37"/>
      <c r="S37"/>
      <c r="T37"/>
      <c r="U37"/>
      <c r="V37"/>
      <c r="W37"/>
      <c r="X37"/>
      <c r="Y37"/>
      <c r="Z37"/>
    </row>
    <row r="38" spans="4:26">
      <c r="D38"/>
      <c r="E38"/>
      <c r="F38"/>
      <c r="G38"/>
      <c r="H38"/>
      <c r="I38"/>
      <c r="J38"/>
      <c r="K38"/>
      <c r="L38"/>
      <c r="M38"/>
      <c r="N38"/>
      <c r="O38"/>
      <c r="P38"/>
      <c r="Q38"/>
      <c r="R38"/>
      <c r="S38"/>
      <c r="T38"/>
      <c r="U38"/>
      <c r="V38"/>
      <c r="W38"/>
      <c r="X38"/>
      <c r="Y38"/>
      <c r="Z38"/>
    </row>
    <row r="39" spans="4:26">
      <c r="D39"/>
      <c r="E39"/>
      <c r="F39"/>
      <c r="G39"/>
      <c r="H39"/>
      <c r="I39"/>
      <c r="J39"/>
      <c r="K39"/>
      <c r="L39"/>
      <c r="M39"/>
      <c r="N39"/>
      <c r="O39"/>
      <c r="P39"/>
      <c r="Q39"/>
      <c r="R39"/>
      <c r="S39"/>
      <c r="T39"/>
      <c r="U39"/>
      <c r="V39"/>
      <c r="W39"/>
      <c r="X39"/>
      <c r="Y39"/>
      <c r="Z39"/>
    </row>
    <row r="40" spans="4:26">
      <c r="D40"/>
      <c r="E40"/>
      <c r="F40"/>
      <c r="G40"/>
      <c r="H40"/>
      <c r="I40"/>
      <c r="J40"/>
      <c r="K40"/>
      <c r="L40"/>
      <c r="M40"/>
      <c r="N40"/>
      <c r="O40"/>
      <c r="P40"/>
      <c r="Q40"/>
      <c r="R40"/>
      <c r="S40"/>
      <c r="T40"/>
      <c r="U40"/>
      <c r="V40"/>
      <c r="W40"/>
      <c r="X40"/>
      <c r="Y40"/>
      <c r="Z40"/>
    </row>
    <row r="41" spans="4:26">
      <c r="D41" s="142" t="s">
        <v>82</v>
      </c>
      <c r="E41" s="143" t="s">
        <v>261</v>
      </c>
      <c r="F41" s="143" t="s">
        <v>46</v>
      </c>
      <c r="G41" s="143" t="s">
        <v>45</v>
      </c>
      <c r="H41" s="143" t="s">
        <v>90</v>
      </c>
      <c r="I41" s="143" t="s">
        <v>117</v>
      </c>
      <c r="J41" s="143" t="s">
        <v>61</v>
      </c>
      <c r="K41" s="143" t="s">
        <v>54</v>
      </c>
      <c r="L41" s="143" t="s">
        <v>83</v>
      </c>
      <c r="M41" s="143" t="s">
        <v>119</v>
      </c>
      <c r="N41" s="144" t="s">
        <v>468</v>
      </c>
      <c r="O41"/>
      <c r="P41"/>
      <c r="Q41"/>
      <c r="R41"/>
      <c r="S41"/>
      <c r="T41"/>
      <c r="U41"/>
      <c r="V41"/>
      <c r="W41"/>
      <c r="X41"/>
      <c r="Y41"/>
      <c r="Z41"/>
    </row>
    <row r="42" spans="4:26">
      <c r="D42" s="156">
        <v>2</v>
      </c>
      <c r="E42" s="115" t="s">
        <v>465</v>
      </c>
      <c r="F42" s="157">
        <v>45308</v>
      </c>
      <c r="G42" s="115" t="s">
        <v>1102</v>
      </c>
      <c r="H42" s="115" t="s">
        <v>701</v>
      </c>
      <c r="I42" s="115" t="s">
        <v>1208</v>
      </c>
      <c r="J42" s="115" t="s">
        <v>81</v>
      </c>
      <c r="K42" s="115">
        <v>0.1</v>
      </c>
      <c r="L42" s="115" t="s">
        <v>774</v>
      </c>
      <c r="M42" s="115" t="s">
        <v>1103</v>
      </c>
      <c r="N42" s="158" t="s">
        <v>1151</v>
      </c>
      <c r="O42"/>
      <c r="P42"/>
      <c r="Q42"/>
      <c r="R42"/>
      <c r="S42"/>
      <c r="T42"/>
      <c r="U42"/>
      <c r="V42"/>
      <c r="W42"/>
      <c r="X42"/>
      <c r="Y42"/>
      <c r="Z42"/>
    </row>
    <row r="43" spans="4:26">
      <c r="D43" s="159">
        <v>1</v>
      </c>
      <c r="E43" s="161" t="s">
        <v>465</v>
      </c>
      <c r="F43" s="162">
        <v>45308</v>
      </c>
      <c r="G43" s="161" t="s">
        <v>1104</v>
      </c>
      <c r="H43" s="161" t="s">
        <v>701</v>
      </c>
      <c r="I43" s="161" t="s">
        <v>1208</v>
      </c>
      <c r="J43" s="161" t="s">
        <v>102</v>
      </c>
      <c r="K43" s="161">
        <v>1.2</v>
      </c>
      <c r="L43" s="161" t="s">
        <v>776</v>
      </c>
      <c r="M43" s="161" t="s">
        <v>1105</v>
      </c>
      <c r="N43" s="163" t="s">
        <v>1151</v>
      </c>
      <c r="O43"/>
      <c r="P43"/>
      <c r="Q43"/>
      <c r="R43"/>
      <c r="S43"/>
      <c r="T43"/>
      <c r="U43"/>
      <c r="V43"/>
      <c r="W43"/>
      <c r="X43"/>
      <c r="Y43"/>
      <c r="Z43"/>
    </row>
    <row r="44" spans="4:26">
      <c r="D44"/>
      <c r="E44"/>
      <c r="F44"/>
      <c r="G44"/>
      <c r="H44"/>
      <c r="I44"/>
      <c r="J44"/>
      <c r="K44"/>
      <c r="L44"/>
      <c r="M44"/>
      <c r="N44"/>
      <c r="O44"/>
      <c r="P44"/>
      <c r="Q44"/>
      <c r="R44"/>
      <c r="S44"/>
      <c r="T44"/>
      <c r="U44"/>
      <c r="V44"/>
      <c r="W44"/>
      <c r="X44"/>
      <c r="Y44"/>
      <c r="Z44"/>
    </row>
    <row r="45" spans="4:26">
      <c r="D45"/>
      <c r="E45"/>
      <c r="F45"/>
      <c r="G45"/>
      <c r="H45"/>
      <c r="I45"/>
      <c r="J45"/>
      <c r="K45"/>
      <c r="L45"/>
      <c r="M45"/>
      <c r="N45"/>
      <c r="O45"/>
      <c r="P45"/>
      <c r="Q45"/>
      <c r="R45"/>
      <c r="S45"/>
      <c r="T45"/>
      <c r="U45"/>
      <c r="V45"/>
      <c r="W45"/>
      <c r="X45"/>
      <c r="Y45"/>
      <c r="Z45"/>
    </row>
    <row r="46" spans="4:26">
      <c r="D46"/>
      <c r="E46"/>
      <c r="F46"/>
      <c r="G46"/>
      <c r="H46"/>
      <c r="I46"/>
      <c r="J46"/>
      <c r="K46"/>
      <c r="L46"/>
      <c r="M46"/>
      <c r="N46"/>
      <c r="O46"/>
      <c r="P46"/>
      <c r="Q46"/>
      <c r="R46"/>
      <c r="S46"/>
      <c r="T46"/>
      <c r="U46"/>
      <c r="V46"/>
      <c r="W46"/>
      <c r="X46"/>
      <c r="Y46"/>
      <c r="Z46"/>
    </row>
    <row r="47" spans="4:26">
      <c r="D47" s="147" t="s">
        <v>82</v>
      </c>
      <c r="E47" s="143" t="s">
        <v>44</v>
      </c>
      <c r="F47" s="148" t="s">
        <v>45</v>
      </c>
      <c r="G47" s="148" t="s">
        <v>46</v>
      </c>
      <c r="H47" s="149" t="s">
        <v>165</v>
      </c>
      <c r="I47" s="149" t="s">
        <v>150</v>
      </c>
      <c r="J47" s="143" t="s">
        <v>488</v>
      </c>
      <c r="K47" s="149" t="s">
        <v>136</v>
      </c>
      <c r="L47" s="148" t="s">
        <v>135</v>
      </c>
      <c r="M47" s="149" t="s">
        <v>145</v>
      </c>
      <c r="N47" s="149" t="s">
        <v>134</v>
      </c>
      <c r="O47" s="148" t="s">
        <v>126</v>
      </c>
      <c r="P47" s="149" t="s">
        <v>161</v>
      </c>
      <c r="Q47" s="149" t="s">
        <v>162</v>
      </c>
      <c r="R47" s="149" t="s">
        <v>163</v>
      </c>
      <c r="S47" s="150" t="s">
        <v>119</v>
      </c>
      <c r="T47"/>
      <c r="U47"/>
      <c r="V47"/>
      <c r="W47"/>
      <c r="X47"/>
      <c r="Y47"/>
      <c r="Z47"/>
    </row>
    <row r="48" spans="4:26">
      <c r="D48" s="169"/>
      <c r="E48" s="161"/>
      <c r="F48" s="167"/>
      <c r="G48" s="170"/>
      <c r="H48" s="167"/>
      <c r="I48" s="167"/>
      <c r="J48" s="167"/>
      <c r="K48" s="167"/>
      <c r="L48" s="171"/>
      <c r="M48" s="167"/>
      <c r="N48" s="171"/>
      <c r="O48" s="167"/>
      <c r="P48" s="171"/>
      <c r="Q48" s="171"/>
      <c r="R48" s="167"/>
      <c r="S48" s="168"/>
      <c r="T48"/>
      <c r="U48"/>
      <c r="V48"/>
      <c r="W48"/>
      <c r="X48"/>
      <c r="Y48"/>
      <c r="Z48"/>
    </row>
    <row r="49" spans="4:26">
      <c r="D49"/>
      <c r="E49"/>
      <c r="F49"/>
      <c r="G49"/>
      <c r="H49"/>
      <c r="I49"/>
      <c r="J49"/>
      <c r="K49"/>
      <c r="L49"/>
      <c r="M49"/>
      <c r="N49"/>
      <c r="O49"/>
      <c r="P49"/>
      <c r="Q49"/>
      <c r="R49"/>
      <c r="S49"/>
      <c r="T49"/>
      <c r="U49"/>
      <c r="V49"/>
      <c r="W49"/>
      <c r="X49"/>
      <c r="Y49"/>
      <c r="Z49"/>
    </row>
    <row r="50" spans="4:26">
      <c r="D50"/>
      <c r="E50"/>
      <c r="F50"/>
      <c r="G50"/>
      <c r="H50"/>
      <c r="I50"/>
      <c r="J50"/>
      <c r="K50"/>
      <c r="L50"/>
      <c r="M50"/>
      <c r="N50"/>
      <c r="O50"/>
      <c r="P50"/>
      <c r="Q50"/>
      <c r="R50"/>
      <c r="S50"/>
      <c r="T50"/>
      <c r="U50"/>
      <c r="V50"/>
      <c r="W50"/>
      <c r="X50"/>
      <c r="Y50"/>
      <c r="Z50"/>
    </row>
    <row r="51" spans="4:26">
      <c r="D51" s="142" t="s">
        <v>82</v>
      </c>
      <c r="E51" s="143" t="s">
        <v>769</v>
      </c>
      <c r="F51" s="143" t="s">
        <v>45</v>
      </c>
      <c r="G51" s="143" t="s">
        <v>46</v>
      </c>
      <c r="H51" s="143" t="s">
        <v>90</v>
      </c>
      <c r="I51" s="143" t="s">
        <v>117</v>
      </c>
      <c r="J51" s="143" t="s">
        <v>141</v>
      </c>
      <c r="K51" s="143" t="s">
        <v>86</v>
      </c>
      <c r="L51" s="143" t="s">
        <v>540</v>
      </c>
      <c r="M51" s="143" t="s">
        <v>118</v>
      </c>
      <c r="N51" s="143" t="s">
        <v>61</v>
      </c>
      <c r="O51" s="143" t="s">
        <v>83</v>
      </c>
      <c r="P51" s="143" t="s">
        <v>112</v>
      </c>
      <c r="Q51" s="143" t="s">
        <v>292</v>
      </c>
      <c r="R51" s="143" t="s">
        <v>87</v>
      </c>
      <c r="S51" s="143" t="s">
        <v>1201</v>
      </c>
      <c r="T51" s="143" t="s">
        <v>1202</v>
      </c>
      <c r="U51" s="143" t="s">
        <v>67</v>
      </c>
      <c r="V51" s="143" t="s">
        <v>68</v>
      </c>
      <c r="W51" s="143" t="s">
        <v>78</v>
      </c>
      <c r="X51" s="144" t="s">
        <v>1308</v>
      </c>
      <c r="Y51"/>
      <c r="Z51"/>
    </row>
    <row r="52" spans="4:26">
      <c r="D52" s="156">
        <v>10</v>
      </c>
      <c r="E52" s="115" t="s">
        <v>779</v>
      </c>
      <c r="F52" s="115" t="s">
        <v>1095</v>
      </c>
      <c r="G52" s="157">
        <v>45309</v>
      </c>
      <c r="H52" s="115" t="s">
        <v>1096</v>
      </c>
      <c r="I52" s="115" t="s">
        <v>79</v>
      </c>
      <c r="J52" s="115" t="s">
        <v>79</v>
      </c>
      <c r="K52" s="115" t="s">
        <v>109</v>
      </c>
      <c r="L52" s="115" t="s">
        <v>553</v>
      </c>
      <c r="M52" s="115" t="s">
        <v>88</v>
      </c>
      <c r="N52" s="115" t="s">
        <v>102</v>
      </c>
      <c r="O52" s="115" t="s">
        <v>129</v>
      </c>
      <c r="P52" s="172" t="s">
        <v>1122</v>
      </c>
      <c r="Q52" s="115" t="s">
        <v>88</v>
      </c>
      <c r="R52" s="115" t="s">
        <v>193</v>
      </c>
      <c r="S52" s="115" t="s">
        <v>1203</v>
      </c>
      <c r="T52" s="157">
        <v>45316</v>
      </c>
      <c r="U52" s="115" t="s">
        <v>1301</v>
      </c>
      <c r="V52" s="115" t="s">
        <v>88</v>
      </c>
      <c r="W52" s="115" t="s">
        <v>1096</v>
      </c>
      <c r="X52" s="158" t="s">
        <v>88</v>
      </c>
      <c r="Y52"/>
      <c r="Z52"/>
    </row>
    <row r="53" spans="4:26">
      <c r="D53" s="156">
        <v>9</v>
      </c>
      <c r="E53" s="115" t="s">
        <v>779</v>
      </c>
      <c r="F53" s="115" t="s">
        <v>1092</v>
      </c>
      <c r="G53" s="157">
        <v>45309</v>
      </c>
      <c r="H53" s="115" t="s">
        <v>1093</v>
      </c>
      <c r="I53" s="115" t="s">
        <v>79</v>
      </c>
      <c r="J53" s="115" t="s">
        <v>79</v>
      </c>
      <c r="K53" s="115" t="s">
        <v>107</v>
      </c>
      <c r="L53" s="115" t="s">
        <v>555</v>
      </c>
      <c r="M53" s="115" t="s">
        <v>464</v>
      </c>
      <c r="N53" s="115" t="s">
        <v>203</v>
      </c>
      <c r="O53" s="115" t="s">
        <v>129</v>
      </c>
      <c r="P53" s="173" t="s">
        <v>1124</v>
      </c>
      <c r="Q53" s="115" t="s">
        <v>88</v>
      </c>
      <c r="R53" s="115" t="s">
        <v>204</v>
      </c>
      <c r="S53" s="115" t="s">
        <v>1204</v>
      </c>
      <c r="T53" s="157">
        <v>45315</v>
      </c>
      <c r="U53" s="115" t="s">
        <v>1093</v>
      </c>
      <c r="V53" s="115" t="s">
        <v>88</v>
      </c>
      <c r="W53" s="115" t="s">
        <v>88</v>
      </c>
      <c r="X53" s="158" t="s">
        <v>88</v>
      </c>
      <c r="Y53"/>
      <c r="Z53"/>
    </row>
    <row r="54" spans="4:26">
      <c r="D54" s="156">
        <v>8</v>
      </c>
      <c r="E54" s="115" t="s">
        <v>779</v>
      </c>
      <c r="F54" s="115" t="s">
        <v>1152</v>
      </c>
      <c r="G54" s="157">
        <v>45309</v>
      </c>
      <c r="H54" s="115" t="s">
        <v>1153</v>
      </c>
      <c r="I54" s="115" t="s">
        <v>1305</v>
      </c>
      <c r="J54" s="115" t="s">
        <v>1305</v>
      </c>
      <c r="K54" s="115" t="s">
        <v>35</v>
      </c>
      <c r="L54" s="115" t="s">
        <v>88</v>
      </c>
      <c r="M54" s="115" t="s">
        <v>88</v>
      </c>
      <c r="N54" s="115" t="s">
        <v>88</v>
      </c>
      <c r="O54" s="115" t="s">
        <v>88</v>
      </c>
      <c r="P54" s="173" t="s">
        <v>501</v>
      </c>
      <c r="Q54" s="115" t="s">
        <v>88</v>
      </c>
      <c r="R54" s="115" t="s">
        <v>501</v>
      </c>
      <c r="S54" s="115" t="s">
        <v>501</v>
      </c>
      <c r="T54" s="157"/>
      <c r="U54" s="115" t="s">
        <v>501</v>
      </c>
      <c r="V54" s="115" t="s">
        <v>88</v>
      </c>
      <c r="W54" s="115" t="s">
        <v>88</v>
      </c>
      <c r="X54" s="158" t="s">
        <v>88</v>
      </c>
      <c r="Y54"/>
      <c r="Z54"/>
    </row>
    <row r="55" spans="4:26">
      <c r="D55" s="156">
        <v>7</v>
      </c>
      <c r="E55" s="115" t="s">
        <v>779</v>
      </c>
      <c r="F55" s="115" t="s">
        <v>1089</v>
      </c>
      <c r="G55" s="157">
        <v>45309</v>
      </c>
      <c r="H55" s="115" t="s">
        <v>601</v>
      </c>
      <c r="I55" s="120" t="s">
        <v>1208</v>
      </c>
      <c r="J55" s="115" t="s">
        <v>1090</v>
      </c>
      <c r="K55" s="115" t="s">
        <v>37</v>
      </c>
      <c r="L55" s="115" t="s">
        <v>88</v>
      </c>
      <c r="M55" s="115" t="s">
        <v>88</v>
      </c>
      <c r="N55" s="115" t="s">
        <v>102</v>
      </c>
      <c r="O55" s="115" t="s">
        <v>801</v>
      </c>
      <c r="P55" s="173" t="s">
        <v>1135</v>
      </c>
      <c r="Q55" s="115" t="s">
        <v>88</v>
      </c>
      <c r="R55" s="115" t="s">
        <v>204</v>
      </c>
      <c r="S55" s="115" t="s">
        <v>1203</v>
      </c>
      <c r="T55" s="157">
        <v>45316</v>
      </c>
      <c r="U55" s="115" t="s">
        <v>1300</v>
      </c>
      <c r="V55" s="115" t="s">
        <v>601</v>
      </c>
      <c r="W55" s="115" t="s">
        <v>88</v>
      </c>
      <c r="X55" s="158" t="s">
        <v>88</v>
      </c>
      <c r="Y55"/>
      <c r="Z55"/>
    </row>
    <row r="56" spans="4:26">
      <c r="D56" s="156">
        <v>6</v>
      </c>
      <c r="E56" s="115" t="s">
        <v>779</v>
      </c>
      <c r="F56" s="115" t="s">
        <v>1098</v>
      </c>
      <c r="G56" s="157">
        <v>45309</v>
      </c>
      <c r="H56" s="115" t="s">
        <v>1099</v>
      </c>
      <c r="I56" s="115" t="s">
        <v>1100</v>
      </c>
      <c r="J56" s="115" t="s">
        <v>1100</v>
      </c>
      <c r="K56" s="115" t="s">
        <v>37</v>
      </c>
      <c r="L56" s="115" t="s">
        <v>88</v>
      </c>
      <c r="M56" s="115" t="s">
        <v>88</v>
      </c>
      <c r="N56" s="115" t="s">
        <v>203</v>
      </c>
      <c r="O56" s="115" t="s">
        <v>129</v>
      </c>
      <c r="P56" s="173" t="s">
        <v>1136</v>
      </c>
      <c r="Q56" s="115" t="s">
        <v>88</v>
      </c>
      <c r="R56" s="115" t="s">
        <v>1137</v>
      </c>
      <c r="S56" s="115" t="s">
        <v>1203</v>
      </c>
      <c r="T56" s="157">
        <v>45316</v>
      </c>
      <c r="U56" s="115" t="s">
        <v>1302</v>
      </c>
      <c r="V56" s="115" t="s">
        <v>1099</v>
      </c>
      <c r="W56" s="115" t="s">
        <v>88</v>
      </c>
      <c r="X56" s="158" t="s">
        <v>88</v>
      </c>
      <c r="Y56"/>
      <c r="Z56"/>
    </row>
    <row r="57" spans="4:26">
      <c r="D57" s="156">
        <v>5</v>
      </c>
      <c r="E57" s="115" t="s">
        <v>779</v>
      </c>
      <c r="F57" s="115" t="s">
        <v>1109</v>
      </c>
      <c r="G57" s="157">
        <v>45308</v>
      </c>
      <c r="H57" s="115" t="s">
        <v>1110</v>
      </c>
      <c r="I57" s="115" t="s">
        <v>79</v>
      </c>
      <c r="J57" s="115" t="s">
        <v>79</v>
      </c>
      <c r="K57" s="115" t="s">
        <v>35</v>
      </c>
      <c r="L57" s="115" t="s">
        <v>88</v>
      </c>
      <c r="M57" s="115" t="s">
        <v>88</v>
      </c>
      <c r="N57" s="115" t="s">
        <v>102</v>
      </c>
      <c r="O57" s="115" t="s">
        <v>129</v>
      </c>
      <c r="P57" s="173" t="s">
        <v>1138</v>
      </c>
      <c r="Q57" s="115" t="s">
        <v>88</v>
      </c>
      <c r="R57" s="115" t="s">
        <v>193</v>
      </c>
      <c r="S57" s="115" t="s">
        <v>1203</v>
      </c>
      <c r="T57" s="157">
        <v>45315</v>
      </c>
      <c r="U57" s="115" t="s">
        <v>1110</v>
      </c>
      <c r="V57" s="115" t="s">
        <v>88</v>
      </c>
      <c r="W57" s="115" t="s">
        <v>88</v>
      </c>
      <c r="X57" s="158" t="s">
        <v>88</v>
      </c>
      <c r="Y57"/>
      <c r="Z57"/>
    </row>
    <row r="58" spans="4:26">
      <c r="D58" s="156">
        <v>4</v>
      </c>
      <c r="E58" s="115" t="s">
        <v>779</v>
      </c>
      <c r="F58" s="115" t="s">
        <v>1112</v>
      </c>
      <c r="G58" s="157">
        <v>45308</v>
      </c>
      <c r="H58" s="115" t="s">
        <v>1113</v>
      </c>
      <c r="I58" s="115" t="s">
        <v>79</v>
      </c>
      <c r="J58" s="115" t="s">
        <v>79</v>
      </c>
      <c r="K58" s="115" t="s">
        <v>107</v>
      </c>
      <c r="L58" s="115" t="s">
        <v>545</v>
      </c>
      <c r="M58" s="115" t="s">
        <v>88</v>
      </c>
      <c r="N58" s="115" t="s">
        <v>102</v>
      </c>
      <c r="O58" s="115" t="s">
        <v>129</v>
      </c>
      <c r="P58" s="173" t="s">
        <v>1131</v>
      </c>
      <c r="Q58" s="115" t="s">
        <v>88</v>
      </c>
      <c r="R58" s="115" t="s">
        <v>193</v>
      </c>
      <c r="S58" s="115" t="s">
        <v>1203</v>
      </c>
      <c r="T58" s="157">
        <v>45315</v>
      </c>
      <c r="U58" s="115" t="s">
        <v>1113</v>
      </c>
      <c r="V58" s="115" t="s">
        <v>88</v>
      </c>
      <c r="W58" s="115" t="s">
        <v>88</v>
      </c>
      <c r="X58" s="158" t="s">
        <v>88</v>
      </c>
      <c r="Y58"/>
      <c r="Z58"/>
    </row>
    <row r="59" spans="4:26">
      <c r="D59" s="156">
        <v>3</v>
      </c>
      <c r="E59" s="115" t="s">
        <v>779</v>
      </c>
      <c r="F59" s="115" t="s">
        <v>1115</v>
      </c>
      <c r="G59" s="157">
        <v>45308</v>
      </c>
      <c r="H59" s="115" t="s">
        <v>1116</v>
      </c>
      <c r="I59" s="115" t="s">
        <v>79</v>
      </c>
      <c r="J59" s="115" t="s">
        <v>79</v>
      </c>
      <c r="K59" s="115" t="s">
        <v>108</v>
      </c>
      <c r="L59" s="115" t="s">
        <v>555</v>
      </c>
      <c r="M59" s="115" t="s">
        <v>88</v>
      </c>
      <c r="N59" s="115" t="s">
        <v>102</v>
      </c>
      <c r="O59" s="115" t="s">
        <v>129</v>
      </c>
      <c r="P59" s="173" t="s">
        <v>1131</v>
      </c>
      <c r="Q59" s="115" t="s">
        <v>88</v>
      </c>
      <c r="R59" s="115" t="s">
        <v>204</v>
      </c>
      <c r="S59" s="115" t="s">
        <v>1203</v>
      </c>
      <c r="T59" s="157">
        <v>45315</v>
      </c>
      <c r="U59" s="115" t="s">
        <v>1304</v>
      </c>
      <c r="V59" s="115" t="s">
        <v>1116</v>
      </c>
      <c r="W59" s="115" t="s">
        <v>88</v>
      </c>
      <c r="X59" s="158" t="s">
        <v>88</v>
      </c>
      <c r="Y59"/>
      <c r="Z59"/>
    </row>
    <row r="60" spans="4:26">
      <c r="D60" s="156">
        <v>2</v>
      </c>
      <c r="E60" s="115" t="s">
        <v>779</v>
      </c>
      <c r="F60" s="115" t="s">
        <v>1106</v>
      </c>
      <c r="G60" s="157">
        <v>45308</v>
      </c>
      <c r="H60" s="115" t="s">
        <v>535</v>
      </c>
      <c r="I60" s="115" t="s">
        <v>1107</v>
      </c>
      <c r="J60" s="115" t="s">
        <v>804</v>
      </c>
      <c r="K60" s="115" t="s">
        <v>35</v>
      </c>
      <c r="L60" s="115" t="s">
        <v>88</v>
      </c>
      <c r="M60" s="115" t="s">
        <v>88</v>
      </c>
      <c r="N60" s="115" t="s">
        <v>81</v>
      </c>
      <c r="O60" s="115" t="s">
        <v>129</v>
      </c>
      <c r="P60" s="173" t="s">
        <v>1139</v>
      </c>
      <c r="Q60" s="115" t="s">
        <v>791</v>
      </c>
      <c r="R60" s="115" t="s">
        <v>204</v>
      </c>
      <c r="S60" s="115" t="s">
        <v>1203</v>
      </c>
      <c r="T60" s="157">
        <v>45315</v>
      </c>
      <c r="U60" s="115" t="s">
        <v>1303</v>
      </c>
      <c r="V60" s="115" t="s">
        <v>88</v>
      </c>
      <c r="W60" s="115" t="s">
        <v>88</v>
      </c>
      <c r="X60" s="158" t="s">
        <v>88</v>
      </c>
      <c r="Y60"/>
      <c r="Z60"/>
    </row>
    <row r="61" spans="4:26">
      <c r="D61" s="159">
        <v>1</v>
      </c>
      <c r="E61" s="161" t="s">
        <v>779</v>
      </c>
      <c r="F61" s="161" t="s">
        <v>1118</v>
      </c>
      <c r="G61" s="162">
        <v>45306</v>
      </c>
      <c r="H61" s="161" t="s">
        <v>1119</v>
      </c>
      <c r="I61" s="161" t="s">
        <v>79</v>
      </c>
      <c r="J61" s="161" t="s">
        <v>79</v>
      </c>
      <c r="K61" s="161" t="s">
        <v>35</v>
      </c>
      <c r="L61" s="161" t="s">
        <v>88</v>
      </c>
      <c r="M61" s="161" t="s">
        <v>88</v>
      </c>
      <c r="N61" s="161" t="s">
        <v>102</v>
      </c>
      <c r="O61" s="161" t="s">
        <v>129</v>
      </c>
      <c r="P61" s="174" t="s">
        <v>786</v>
      </c>
      <c r="Q61" s="161" t="s">
        <v>88</v>
      </c>
      <c r="R61" s="161" t="s">
        <v>193</v>
      </c>
      <c r="S61" s="161" t="s">
        <v>1205</v>
      </c>
      <c r="T61" s="162">
        <v>45309</v>
      </c>
      <c r="U61" s="161" t="s">
        <v>1119</v>
      </c>
      <c r="V61" s="161" t="s">
        <v>88</v>
      </c>
      <c r="W61" s="161" t="s">
        <v>88</v>
      </c>
      <c r="X61" s="163" t="s">
        <v>88</v>
      </c>
      <c r="Y61"/>
      <c r="Z61"/>
    </row>
    <row r="62" spans="4:26">
      <c r="D62"/>
      <c r="E62"/>
      <c r="F62"/>
      <c r="G62"/>
      <c r="H62"/>
      <c r="I62"/>
      <c r="J62"/>
      <c r="K62"/>
      <c r="L62"/>
      <c r="M62"/>
      <c r="N62"/>
      <c r="O62"/>
      <c r="P62"/>
      <c r="Q62"/>
      <c r="R62"/>
      <c r="S62"/>
      <c r="T62"/>
      <c r="U62"/>
      <c r="V62"/>
      <c r="W62"/>
      <c r="X62"/>
      <c r="Y62"/>
      <c r="Z62"/>
    </row>
    <row r="63" spans="4:26">
      <c r="D63"/>
      <c r="E63"/>
      <c r="F63"/>
      <c r="G63"/>
      <c r="H63"/>
      <c r="I63"/>
      <c r="J63"/>
      <c r="K63"/>
      <c r="L63"/>
      <c r="M63"/>
      <c r="N63"/>
      <c r="O63"/>
      <c r="P63"/>
      <c r="Q63"/>
      <c r="R63"/>
      <c r="S63"/>
      <c r="T63"/>
      <c r="U63"/>
      <c r="V63"/>
      <c r="W63"/>
      <c r="X63"/>
      <c r="Y63"/>
      <c r="Z63"/>
    </row>
    <row r="64" spans="4:26">
      <c r="D64"/>
      <c r="E64"/>
      <c r="F64"/>
      <c r="G64"/>
      <c r="H64"/>
      <c r="I64"/>
      <c r="J64"/>
      <c r="K64"/>
      <c r="L64"/>
      <c r="M64"/>
      <c r="N64"/>
      <c r="O64"/>
      <c r="P64"/>
      <c r="Q64"/>
      <c r="R64"/>
      <c r="S64"/>
      <c r="T64"/>
      <c r="U64"/>
      <c r="V64"/>
      <c r="W64"/>
      <c r="X64"/>
      <c r="Y64"/>
      <c r="Z64"/>
    </row>
    <row r="65" spans="4:26">
      <c r="D65"/>
      <c r="E65"/>
      <c r="F65"/>
      <c r="G65"/>
      <c r="H65"/>
      <c r="I65"/>
      <c r="J65"/>
      <c r="K65"/>
      <c r="L65"/>
      <c r="M65"/>
      <c r="N65"/>
      <c r="O65"/>
      <c r="P65"/>
      <c r="Q65"/>
      <c r="R65"/>
      <c r="S65"/>
      <c r="T65"/>
      <c r="U65"/>
      <c r="V65"/>
      <c r="W65"/>
      <c r="X65"/>
      <c r="Y65"/>
      <c r="Z65"/>
    </row>
    <row r="66" spans="4:26">
      <c r="D66"/>
      <c r="E66"/>
      <c r="F66"/>
      <c r="G66"/>
      <c r="H66"/>
      <c r="I66"/>
      <c r="J66"/>
      <c r="K66"/>
      <c r="L66"/>
      <c r="M66"/>
      <c r="N66"/>
      <c r="O66"/>
      <c r="P66"/>
      <c r="Q66"/>
      <c r="R66"/>
      <c r="S66"/>
      <c r="T66"/>
      <c r="U66"/>
      <c r="V66"/>
      <c r="W66"/>
      <c r="X66"/>
      <c r="Y66"/>
      <c r="Z66"/>
    </row>
    <row r="67" spans="4:26">
      <c r="D67"/>
      <c r="E67"/>
      <c r="F67"/>
      <c r="G67"/>
      <c r="H67"/>
      <c r="I67"/>
      <c r="J67"/>
      <c r="K67"/>
      <c r="L67"/>
      <c r="M67"/>
      <c r="N67"/>
      <c r="O67"/>
      <c r="P67"/>
      <c r="Q67"/>
      <c r="R67"/>
      <c r="S67"/>
      <c r="T67"/>
      <c r="U67"/>
      <c r="V67"/>
      <c r="W67"/>
      <c r="X67"/>
      <c r="Y67"/>
      <c r="Z67"/>
    </row>
    <row r="68" spans="4:26">
      <c r="D68"/>
      <c r="E68"/>
      <c r="F68"/>
      <c r="G68"/>
      <c r="H68"/>
      <c r="I68"/>
      <c r="J68"/>
      <c r="K68"/>
      <c r="L68"/>
      <c r="M68"/>
      <c r="N68"/>
      <c r="O68"/>
      <c r="P68"/>
      <c r="Q68"/>
      <c r="R68"/>
      <c r="S68"/>
      <c r="T68"/>
      <c r="U68"/>
      <c r="V68"/>
      <c r="W68"/>
      <c r="X68"/>
      <c r="Y68"/>
      <c r="Z68"/>
    </row>
    <row r="69" spans="4:26">
      <c r="D69"/>
      <c r="E69"/>
      <c r="F69"/>
      <c r="G69"/>
      <c r="H69"/>
      <c r="I69"/>
      <c r="J69"/>
      <c r="K69"/>
      <c r="L69"/>
      <c r="M69"/>
      <c r="N69"/>
      <c r="O69"/>
      <c r="P69"/>
      <c r="Q69"/>
      <c r="R69"/>
      <c r="S69"/>
      <c r="T69"/>
      <c r="U69"/>
      <c r="V69"/>
      <c r="W69"/>
      <c r="X69"/>
      <c r="Y69"/>
      <c r="Z69"/>
    </row>
    <row r="70" spans="4:26">
      <c r="D70"/>
      <c r="E70"/>
      <c r="F70"/>
      <c r="G70"/>
      <c r="H70"/>
      <c r="I70"/>
      <c r="J70"/>
      <c r="K70"/>
      <c r="L70"/>
      <c r="M70"/>
      <c r="N70"/>
      <c r="O70"/>
      <c r="P70"/>
      <c r="Q70"/>
      <c r="R70"/>
      <c r="S70"/>
      <c r="T70"/>
      <c r="U70"/>
      <c r="V70"/>
      <c r="W70"/>
      <c r="X70"/>
      <c r="Y70"/>
      <c r="Z70"/>
    </row>
    <row r="71" spans="4:26">
      <c r="D71"/>
      <c r="E71"/>
      <c r="F71"/>
      <c r="G71"/>
      <c r="H71"/>
      <c r="I71"/>
      <c r="J71"/>
      <c r="K71"/>
      <c r="L71"/>
      <c r="M71"/>
      <c r="N71"/>
      <c r="O71"/>
      <c r="P71"/>
      <c r="Q71"/>
      <c r="R71"/>
      <c r="S71"/>
      <c r="T71"/>
      <c r="U71"/>
      <c r="V71"/>
      <c r="W71"/>
      <c r="X71"/>
      <c r="Y71"/>
      <c r="Z71"/>
    </row>
    <row r="72" spans="4:26">
      <c r="D72"/>
      <c r="E72"/>
      <c r="F72"/>
      <c r="G72"/>
      <c r="H72"/>
      <c r="I72"/>
      <c r="J72"/>
      <c r="K72"/>
      <c r="L72"/>
      <c r="M72"/>
      <c r="N72"/>
      <c r="O72"/>
      <c r="P72"/>
      <c r="Q72"/>
      <c r="R72"/>
      <c r="S72"/>
      <c r="T72"/>
      <c r="U72"/>
      <c r="V72"/>
      <c r="W72"/>
      <c r="X72"/>
      <c r="Y72"/>
      <c r="Z72"/>
    </row>
    <row r="73" spans="4:26">
      <c r="D73"/>
      <c r="E73"/>
      <c r="F73"/>
      <c r="G73"/>
      <c r="H73"/>
      <c r="I73"/>
      <c r="J73"/>
      <c r="K73"/>
      <c r="L73"/>
      <c r="M73"/>
      <c r="N73"/>
      <c r="O73"/>
      <c r="P73"/>
      <c r="Q73"/>
      <c r="R73"/>
      <c r="S73"/>
      <c r="T73"/>
      <c r="U73"/>
      <c r="V73"/>
      <c r="W73"/>
      <c r="X73"/>
      <c r="Y73"/>
      <c r="Z73"/>
    </row>
    <row r="74" spans="4:26">
      <c r="D74"/>
      <c r="E74"/>
      <c r="F74"/>
      <c r="G74"/>
      <c r="H74"/>
      <c r="I74"/>
      <c r="J74"/>
      <c r="K74"/>
      <c r="L74"/>
      <c r="M74"/>
      <c r="N74"/>
      <c r="O74"/>
      <c r="P74"/>
      <c r="Q74"/>
      <c r="R74"/>
      <c r="S74"/>
      <c r="T74"/>
      <c r="U74"/>
      <c r="V74"/>
      <c r="W74"/>
      <c r="X74"/>
      <c r="Y74"/>
      <c r="Z74"/>
    </row>
    <row r="75" spans="4:26">
      <c r="D75"/>
      <c r="E75"/>
      <c r="F75"/>
      <c r="G75"/>
      <c r="H75"/>
      <c r="I75"/>
      <c r="J75"/>
      <c r="K75"/>
      <c r="L75"/>
      <c r="M75"/>
      <c r="N75"/>
      <c r="O75"/>
      <c r="P75"/>
      <c r="Q75"/>
      <c r="R75"/>
      <c r="S75"/>
      <c r="T75"/>
      <c r="U75"/>
      <c r="V75"/>
      <c r="W75"/>
      <c r="X75"/>
      <c r="Y75"/>
      <c r="Z75"/>
    </row>
    <row r="76" spans="4:26">
      <c r="D76"/>
      <c r="E76"/>
      <c r="F76"/>
      <c r="G76"/>
      <c r="H76"/>
      <c r="I76"/>
      <c r="J76"/>
      <c r="K76"/>
      <c r="L76"/>
      <c r="M76"/>
      <c r="N76"/>
      <c r="O76"/>
      <c r="P76"/>
      <c r="Q76"/>
      <c r="R76"/>
      <c r="S76"/>
      <c r="T76"/>
      <c r="U76"/>
      <c r="V76"/>
      <c r="W76"/>
      <c r="X76"/>
      <c r="Y76"/>
      <c r="Z76"/>
    </row>
    <row r="77" spans="4:26">
      <c r="D77"/>
      <c r="E77"/>
      <c r="F77"/>
      <c r="G77"/>
      <c r="H77"/>
      <c r="I77"/>
      <c r="J77"/>
      <c r="K77"/>
      <c r="L77"/>
      <c r="M77"/>
      <c r="N77"/>
      <c r="O77"/>
      <c r="P77"/>
      <c r="Q77"/>
      <c r="R77"/>
      <c r="S77"/>
      <c r="T77"/>
      <c r="U77"/>
      <c r="V77"/>
      <c r="W77"/>
      <c r="X77"/>
      <c r="Y77"/>
      <c r="Z77"/>
    </row>
    <row r="78" spans="4:26">
      <c r="D78"/>
      <c r="E78"/>
      <c r="F78"/>
      <c r="G78"/>
      <c r="H78"/>
      <c r="I78"/>
      <c r="J78"/>
      <c r="K78"/>
      <c r="L78"/>
      <c r="M78"/>
      <c r="N78"/>
      <c r="O78"/>
      <c r="P78"/>
      <c r="Q78"/>
      <c r="R78"/>
      <c r="S78"/>
      <c r="T78"/>
      <c r="U78"/>
      <c r="V78"/>
      <c r="W78"/>
      <c r="X78"/>
      <c r="Y78"/>
      <c r="Z78"/>
    </row>
    <row r="79" spans="4:26">
      <c r="D79"/>
      <c r="E79"/>
      <c r="F79"/>
      <c r="G79"/>
      <c r="H79"/>
      <c r="I79"/>
      <c r="J79"/>
      <c r="K79"/>
      <c r="L79"/>
      <c r="M79"/>
      <c r="N79"/>
      <c r="O79"/>
      <c r="P79"/>
      <c r="Q79"/>
      <c r="R79"/>
      <c r="S79"/>
      <c r="T79"/>
      <c r="U79"/>
      <c r="V79"/>
      <c r="W79"/>
      <c r="X79"/>
      <c r="Y79"/>
      <c r="Z79"/>
    </row>
    <row r="80" spans="4:26">
      <c r="D80"/>
      <c r="E80"/>
      <c r="F80"/>
      <c r="G80"/>
      <c r="H80"/>
      <c r="I80"/>
      <c r="J80"/>
      <c r="K80"/>
      <c r="L80"/>
      <c r="M80"/>
      <c r="N80"/>
      <c r="O80"/>
      <c r="P80"/>
      <c r="Q80"/>
      <c r="R80"/>
      <c r="S80"/>
      <c r="T80"/>
      <c r="U80"/>
      <c r="V80"/>
      <c r="W80"/>
      <c r="X80"/>
      <c r="Y80"/>
      <c r="Z80"/>
    </row>
    <row r="81" spans="4:26">
      <c r="D81"/>
      <c r="E81"/>
      <c r="F81"/>
      <c r="G81"/>
      <c r="H81"/>
      <c r="I81"/>
      <c r="J81"/>
      <c r="K81"/>
      <c r="L81"/>
      <c r="M81"/>
      <c r="N81"/>
      <c r="O81"/>
      <c r="P81"/>
      <c r="Q81"/>
      <c r="R81"/>
      <c r="S81"/>
      <c r="T81"/>
      <c r="U81"/>
      <c r="V81"/>
      <c r="W81"/>
      <c r="X81"/>
      <c r="Y81"/>
      <c r="Z81"/>
    </row>
    <row r="82" spans="4:26">
      <c r="D82"/>
      <c r="E82"/>
      <c r="F82"/>
      <c r="G82"/>
      <c r="H82"/>
      <c r="I82"/>
      <c r="J82"/>
      <c r="K82"/>
      <c r="L82"/>
      <c r="M82"/>
      <c r="N82"/>
      <c r="O82"/>
      <c r="P82"/>
      <c r="Q82"/>
      <c r="R82"/>
      <c r="S82"/>
      <c r="T82"/>
      <c r="U82"/>
      <c r="V82"/>
      <c r="W82"/>
      <c r="X82"/>
      <c r="Y82"/>
      <c r="Z82"/>
    </row>
    <row r="83" spans="4:26">
      <c r="D83"/>
      <c r="E83"/>
      <c r="F83"/>
      <c r="G83"/>
      <c r="H83"/>
      <c r="I83"/>
      <c r="J83"/>
      <c r="K83"/>
      <c r="L83"/>
      <c r="M83"/>
      <c r="N83"/>
      <c r="O83"/>
      <c r="P83"/>
      <c r="Q83"/>
      <c r="R83"/>
      <c r="S83"/>
      <c r="T83"/>
      <c r="U83"/>
      <c r="V83"/>
      <c r="W83"/>
      <c r="X83"/>
      <c r="Y83"/>
      <c r="Z83"/>
    </row>
    <row r="84" spans="4:26">
      <c r="D84"/>
      <c r="E84"/>
      <c r="F84"/>
      <c r="G84"/>
      <c r="H84"/>
      <c r="I84"/>
      <c r="J84"/>
      <c r="K84"/>
      <c r="L84"/>
      <c r="M84"/>
      <c r="N84"/>
      <c r="O84"/>
      <c r="P84"/>
      <c r="Q84"/>
      <c r="R84"/>
      <c r="S84"/>
      <c r="T84"/>
      <c r="U84"/>
      <c r="V84"/>
      <c r="W84"/>
      <c r="X84"/>
      <c r="Y84"/>
      <c r="Z84"/>
    </row>
    <row r="85" spans="4:26">
      <c r="D85"/>
      <c r="E85"/>
      <c r="F85"/>
      <c r="G85"/>
      <c r="H85"/>
      <c r="I85"/>
      <c r="J85"/>
      <c r="K85"/>
      <c r="L85"/>
      <c r="M85"/>
      <c r="N85"/>
      <c r="O85"/>
      <c r="P85"/>
      <c r="Q85"/>
      <c r="R85"/>
      <c r="S85"/>
      <c r="T85"/>
      <c r="U85"/>
      <c r="V85"/>
      <c r="W85"/>
      <c r="X85"/>
      <c r="Y85"/>
      <c r="Z85"/>
    </row>
    <row r="86" spans="4:26">
      <c r="D86"/>
      <c r="E86"/>
      <c r="F86"/>
      <c r="G86"/>
      <c r="H86"/>
      <c r="I86"/>
      <c r="J86"/>
      <c r="K86"/>
      <c r="L86"/>
      <c r="M86"/>
      <c r="N86"/>
      <c r="O86"/>
      <c r="P86"/>
      <c r="Q86"/>
      <c r="R86"/>
      <c r="S86"/>
      <c r="T86"/>
      <c r="U86"/>
      <c r="V86"/>
      <c r="W86"/>
      <c r="X86"/>
      <c r="Y86"/>
      <c r="Z86"/>
    </row>
    <row r="87" spans="4:26">
      <c r="D87"/>
      <c r="E87"/>
      <c r="F87"/>
      <c r="G87"/>
      <c r="H87"/>
      <c r="I87"/>
      <c r="J87"/>
      <c r="K87"/>
      <c r="L87"/>
      <c r="M87"/>
      <c r="N87"/>
      <c r="O87"/>
      <c r="P87"/>
      <c r="Q87"/>
      <c r="R87"/>
      <c r="S87"/>
      <c r="T87"/>
      <c r="U87"/>
      <c r="V87"/>
      <c r="W87"/>
      <c r="X87"/>
      <c r="Y87"/>
      <c r="Z87"/>
    </row>
    <row r="88" spans="4:26">
      <c r="D88"/>
      <c r="E88"/>
      <c r="F88"/>
      <c r="G88"/>
      <c r="H88"/>
      <c r="I88"/>
      <c r="J88"/>
      <c r="K88"/>
      <c r="L88"/>
      <c r="M88"/>
      <c r="N88"/>
      <c r="O88"/>
      <c r="P88"/>
      <c r="Q88"/>
      <c r="R88"/>
      <c r="S88"/>
      <c r="T88"/>
      <c r="U88"/>
      <c r="V88"/>
      <c r="W88"/>
      <c r="X88"/>
      <c r="Y88"/>
      <c r="Z88"/>
    </row>
    <row r="89" spans="4:26">
      <c r="D89"/>
      <c r="E89"/>
      <c r="F89"/>
      <c r="G89"/>
      <c r="H89"/>
      <c r="I89"/>
      <c r="J89"/>
      <c r="K89"/>
      <c r="L89"/>
      <c r="M89"/>
      <c r="N89"/>
      <c r="O89"/>
      <c r="P89"/>
      <c r="Q89"/>
      <c r="R89"/>
      <c r="S89"/>
      <c r="T89"/>
      <c r="U89"/>
      <c r="V89"/>
      <c r="W89"/>
      <c r="X89"/>
      <c r="Y89"/>
      <c r="Z89"/>
    </row>
    <row r="90" spans="4:26">
      <c r="D90"/>
      <c r="E90"/>
      <c r="F90"/>
      <c r="G90"/>
      <c r="H90"/>
      <c r="I90"/>
      <c r="J90"/>
      <c r="K90"/>
      <c r="L90"/>
      <c r="M90"/>
      <c r="N90"/>
      <c r="O90"/>
      <c r="P90"/>
      <c r="Q90"/>
      <c r="R90"/>
      <c r="S90"/>
      <c r="T90"/>
      <c r="U90"/>
      <c r="V90"/>
      <c r="W90"/>
      <c r="X90"/>
      <c r="Y90"/>
      <c r="Z90"/>
    </row>
    <row r="91" spans="4:26">
      <c r="D91"/>
      <c r="E91"/>
      <c r="F91"/>
      <c r="G91"/>
      <c r="H91"/>
      <c r="I91"/>
      <c r="J91"/>
      <c r="K91"/>
      <c r="L91"/>
      <c r="M91"/>
      <c r="N91"/>
      <c r="O91"/>
      <c r="P91"/>
      <c r="Q91"/>
      <c r="R91"/>
      <c r="S91"/>
      <c r="T91"/>
      <c r="U91"/>
      <c r="V91"/>
      <c r="W91"/>
      <c r="X91"/>
      <c r="Y91"/>
      <c r="Z91"/>
    </row>
    <row r="92" spans="4:26">
      <c r="D92"/>
      <c r="E92"/>
      <c r="F92"/>
      <c r="G92"/>
      <c r="H92"/>
      <c r="I92"/>
      <c r="J92"/>
      <c r="K92"/>
      <c r="L92"/>
      <c r="M92"/>
      <c r="N92"/>
      <c r="O92"/>
      <c r="P92"/>
      <c r="Q92"/>
      <c r="R92"/>
      <c r="S92"/>
      <c r="T92"/>
      <c r="U92"/>
      <c r="V92"/>
      <c r="W92"/>
      <c r="X92"/>
      <c r="Y92"/>
      <c r="Z92"/>
    </row>
    <row r="93" spans="4:26">
      <c r="D93"/>
      <c r="E93"/>
      <c r="F93"/>
      <c r="G93"/>
      <c r="H93"/>
      <c r="I93"/>
      <c r="J93"/>
      <c r="K93"/>
      <c r="L93"/>
      <c r="M93"/>
      <c r="N93"/>
      <c r="O93"/>
      <c r="P93"/>
      <c r="Q93"/>
      <c r="R93"/>
      <c r="S93"/>
      <c r="T93"/>
      <c r="U93"/>
      <c r="V93"/>
      <c r="W93"/>
      <c r="X93"/>
      <c r="Y93"/>
      <c r="Z93"/>
    </row>
    <row r="94" spans="4:26">
      <c r="D94"/>
      <c r="E94"/>
      <c r="F94"/>
      <c r="G94"/>
      <c r="H94"/>
      <c r="I94"/>
      <c r="J94"/>
      <c r="K94"/>
      <c r="L94"/>
      <c r="M94"/>
      <c r="N94"/>
      <c r="O94"/>
      <c r="P94"/>
      <c r="Q94"/>
      <c r="R94"/>
      <c r="S94"/>
      <c r="T94"/>
      <c r="U94"/>
      <c r="V94"/>
      <c r="W94"/>
      <c r="X94"/>
      <c r="Y94"/>
      <c r="Z94"/>
    </row>
    <row r="95" spans="4:26">
      <c r="D95"/>
      <c r="E95"/>
      <c r="F95"/>
      <c r="G95"/>
      <c r="H95"/>
      <c r="I95"/>
      <c r="J95"/>
      <c r="K95"/>
      <c r="L95"/>
      <c r="M95"/>
      <c r="N95"/>
      <c r="O95"/>
      <c r="P95"/>
      <c r="Q95"/>
      <c r="R95"/>
      <c r="S95"/>
      <c r="T95"/>
      <c r="U95"/>
      <c r="V95"/>
      <c r="W95"/>
      <c r="X95"/>
      <c r="Y95"/>
      <c r="Z95"/>
    </row>
    <row r="96" spans="4:26">
      <c r="D96"/>
      <c r="E96"/>
      <c r="F96"/>
      <c r="G96"/>
      <c r="H96"/>
      <c r="I96"/>
      <c r="J96"/>
      <c r="K96"/>
      <c r="L96"/>
      <c r="M96"/>
      <c r="N96"/>
      <c r="O96"/>
      <c r="P96"/>
      <c r="Q96"/>
      <c r="R96"/>
      <c r="S96"/>
      <c r="T96"/>
      <c r="U96"/>
      <c r="V96"/>
      <c r="W96"/>
      <c r="X96"/>
      <c r="Y96"/>
      <c r="Z96"/>
    </row>
    <row r="97" spans="4:26">
      <c r="D97"/>
      <c r="E97"/>
      <c r="F97"/>
      <c r="G97"/>
      <c r="H97"/>
      <c r="I97"/>
      <c r="J97"/>
      <c r="K97"/>
      <c r="L97"/>
      <c r="M97"/>
      <c r="N97"/>
      <c r="O97"/>
      <c r="P97"/>
      <c r="Q97"/>
      <c r="R97"/>
      <c r="S97"/>
      <c r="T97"/>
      <c r="U97"/>
      <c r="V97"/>
      <c r="W97"/>
      <c r="X97"/>
      <c r="Y97"/>
      <c r="Z97"/>
    </row>
    <row r="98" spans="4:26">
      <c r="D98"/>
      <c r="E98"/>
      <c r="F98"/>
      <c r="G98"/>
      <c r="H98"/>
      <c r="I98"/>
      <c r="J98"/>
      <c r="K98"/>
      <c r="L98"/>
      <c r="M98"/>
      <c r="N98"/>
      <c r="O98"/>
      <c r="P98"/>
      <c r="Q98"/>
      <c r="R98"/>
      <c r="S98"/>
      <c r="T98"/>
      <c r="U98"/>
      <c r="V98"/>
      <c r="W98"/>
      <c r="X98"/>
      <c r="Y98"/>
      <c r="Z98"/>
    </row>
    <row r="99" spans="4:26">
      <c r="D99"/>
      <c r="E99"/>
      <c r="F99"/>
      <c r="G99"/>
      <c r="H99"/>
      <c r="I99"/>
      <c r="J99"/>
      <c r="K99"/>
      <c r="L99"/>
      <c r="M99"/>
      <c r="N99"/>
      <c r="O99"/>
      <c r="P99"/>
      <c r="Q99"/>
      <c r="R99"/>
      <c r="S99"/>
      <c r="T99"/>
      <c r="U99"/>
      <c r="V99"/>
      <c r="W99"/>
      <c r="X99"/>
      <c r="Y99"/>
      <c r="Z99"/>
    </row>
    <row r="100" spans="4:26">
      <c r="D100"/>
      <c r="E100"/>
      <c r="F100"/>
      <c r="G100"/>
      <c r="H100"/>
      <c r="I100"/>
      <c r="J100"/>
      <c r="K100"/>
      <c r="L100"/>
      <c r="M100"/>
      <c r="N100"/>
      <c r="O100"/>
      <c r="P100"/>
      <c r="Q100"/>
      <c r="R100"/>
      <c r="S100"/>
      <c r="T100"/>
      <c r="U100"/>
      <c r="V100"/>
      <c r="W100"/>
      <c r="X100"/>
      <c r="Y100"/>
      <c r="Z100"/>
    </row>
  </sheetData>
  <conditionalFormatting sqref="E6:E15">
    <cfRule type="containsText" dxfId="134" priority="20" operator="containsText" text="【">
      <formula>NOT(ISERROR(SEARCH("【",E6)))</formula>
    </cfRule>
  </conditionalFormatting>
  <conditionalFormatting sqref="I6:Q15">
    <cfRule type="notContainsBlanks" dxfId="133" priority="18">
      <formula>LEN(TRIM(I6))&gt;0</formula>
    </cfRule>
    <cfRule type="containsText" dxfId="132" priority="19" operator="containsText" text="【">
      <formula>NOT(ISERROR(SEARCH("【",I6)))</formula>
    </cfRule>
  </conditionalFormatting>
  <conditionalFormatting sqref="I20:L29">
    <cfRule type="containsText" dxfId="131" priority="16" operator="containsText" text="【">
      <formula>NOT(ISERROR(SEARCH("【",I20)))</formula>
    </cfRule>
  </conditionalFormatting>
  <conditionalFormatting sqref="I20:L29">
    <cfRule type="notContainsBlanks" dxfId="130" priority="17">
      <formula>LEN(TRIM(I20))&gt;0</formula>
    </cfRule>
  </conditionalFormatting>
  <conditionalFormatting sqref="F34:O37">
    <cfRule type="containsText" dxfId="129" priority="13" operator="containsText" text="【">
      <formula>NOT(ISERROR(SEARCH("【",F34)))</formula>
    </cfRule>
  </conditionalFormatting>
  <conditionalFormatting sqref="H34:O37">
    <cfRule type="notContainsBlanks" dxfId="128" priority="12">
      <formula>LEN(TRIM(H34))&gt;0</formula>
    </cfRule>
  </conditionalFormatting>
  <conditionalFormatting sqref="I34:O37">
    <cfRule type="expression" dxfId="127" priority="11">
      <formula>"BH4=“金融机构"</formula>
    </cfRule>
  </conditionalFormatting>
  <conditionalFormatting sqref="M34:O37">
    <cfRule type="expression" dxfId="126" priority="14">
      <formula>#REF!="地方国企"</formula>
    </cfRule>
  </conditionalFormatting>
  <conditionalFormatting sqref="L34:O37">
    <cfRule type="expression" dxfId="125" priority="15">
      <formula>K34="地方国企"</formula>
    </cfRule>
  </conditionalFormatting>
  <conditionalFormatting sqref="J48:R48 H48">
    <cfRule type="containsText" dxfId="124" priority="9" operator="containsText" text="【">
      <formula>NOT(ISERROR(SEARCH("【",H48)))</formula>
    </cfRule>
  </conditionalFormatting>
  <conditionalFormatting sqref="J48:R48 H48">
    <cfRule type="notContainsBlanks" dxfId="123" priority="10">
      <formula>LEN(TRIM(H48))&gt;0</formula>
    </cfRule>
  </conditionalFormatting>
  <conditionalFormatting sqref="J48">
    <cfRule type="containsText" dxfId="122" priority="4" operator="containsText" text="KT">
      <formula>NOT(ISERROR(SEARCH("KT",J48)))</formula>
    </cfRule>
    <cfRule type="containsText" dxfId="121" priority="5" operator="containsText" text="JH">
      <formula>NOT(ISERROR(SEARCH("JH",J48)))</formula>
    </cfRule>
    <cfRule type="containsText" dxfId="120" priority="6" operator="containsText" text="CL">
      <formula>NOT(ISERROR(SEARCH("CL",J48)))</formula>
    </cfRule>
    <cfRule type="containsText" dxfId="119" priority="7" operator="containsText" text="CY">
      <formula>NOT(ISERROR(SEARCH("CY",J48)))</formula>
    </cfRule>
    <cfRule type="containsText" dxfId="118" priority="8" operator="containsText" text="ES">
      <formula>NOT(ISERROR(SEARCH("ES",J48)))</formula>
    </cfRule>
  </conditionalFormatting>
  <conditionalFormatting sqref="H52:W61">
    <cfRule type="containsText" dxfId="117" priority="2" operator="containsText" text="【">
      <formula>NOT(ISERROR(SEARCH("【",H52)))</formula>
    </cfRule>
  </conditionalFormatting>
  <conditionalFormatting sqref="H52:M61">
    <cfRule type="notContainsBlanks" dxfId="116" priority="3">
      <formula>LEN(TRIM(H52))&gt;0</formula>
    </cfRule>
  </conditionalFormatting>
  <conditionalFormatting sqref="T52:T61 K52:K61 N52:O61">
    <cfRule type="containsBlanks" dxfId="115" priority="1">
      <formula>LEN(TRIM(K52))=0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kcupCopy">
                <anchor moveWithCells="1" sizeWithCells="1">
                  <from>
                    <xdr:col>7</xdr:col>
                    <xdr:colOff>0</xdr:colOff>
                    <xdr:row>0</xdr:row>
                    <xdr:rowOff>257175</xdr:rowOff>
                  </from>
                  <to>
                    <xdr:col>7</xdr:col>
                    <xdr:colOff>1457325</xdr:colOff>
                    <xdr:row>1</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49</vt:i4>
      </vt:variant>
    </vt:vector>
  </HeadingPairs>
  <TitlesOfParts>
    <vt:vector size="69" baseType="lpstr">
      <vt:lpstr>1_DLD</vt:lpstr>
      <vt:lpstr>QRC</vt:lpstr>
      <vt:lpstr>2_Filter</vt:lpstr>
      <vt:lpstr>DLD_DMIBBG</vt:lpstr>
      <vt:lpstr>3_wBond</vt:lpstr>
      <vt:lpstr>wIssue</vt:lpstr>
      <vt:lpstr>wStats</vt:lpstr>
      <vt:lpstr>wCredit</vt:lpstr>
      <vt:lpstr>wChart</vt:lpstr>
      <vt:lpstr>wBOCOM</vt:lpstr>
      <vt:lpstr>PRICE_STATS</vt:lpstr>
      <vt:lpstr>load</vt:lpstr>
      <vt:lpstr>REVIEW_LIST</vt:lpstr>
      <vt:lpstr>Filtered_Add</vt:lpstr>
      <vt:lpstr>【FINAL】</vt:lpstr>
      <vt:lpstr>wNews</vt:lpstr>
      <vt:lpstr>Roster</vt:lpstr>
      <vt:lpstr>WeeklyAddTap</vt:lpstr>
      <vt:lpstr>MDM</vt:lpstr>
      <vt:lpstr>Backup</vt:lpstr>
      <vt:lpstr>Conso_Index</vt:lpstr>
      <vt:lpstr>Conso_Timestamp</vt:lpstr>
      <vt:lpstr>Conso_ToClear</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dd_中资属性</vt:lpstr>
      <vt:lpstr>dd_主题债券</vt:lpstr>
      <vt:lpstr>dd_地区</vt:lpstr>
      <vt:lpstr>dd_备证行</vt:lpstr>
      <vt:lpstr>dd_板块</vt:lpstr>
      <vt:lpstr>dd_结构</vt:lpstr>
      <vt:lpstr>dd_评级分类</vt:lpstr>
      <vt:lpstr>dd_货币</vt:lpstr>
      <vt:lpstr>ESG</vt:lpstr>
      <vt:lpstr>Filter</vt:lpstr>
      <vt:lpstr>FinalButton</vt:lpstr>
      <vt:lpstr>FridayRun</vt:lpstr>
      <vt:lpstr>GPS</vt:lpstr>
      <vt:lpstr>GPS_FileName</vt:lpstr>
      <vt:lpstr>ISIN_Search_ToClear</vt:lpstr>
      <vt:lpstr>Monday</vt:lpstr>
      <vt:lpstr>MondayRun</vt:lpstr>
      <vt:lpstr>MultiSource</vt:lpstr>
      <vt:lpstr>Name</vt:lpstr>
      <vt:lpstr>ShowAll</vt:lpstr>
      <vt:lpstr>Step2Button</vt:lpstr>
      <vt:lpstr>Step3Button</vt:lpstr>
      <vt:lpstr>UpdatorWeekly</vt:lpstr>
      <vt:lpstr>WeeklyAddTap</vt:lpstr>
      <vt:lpstr>WeeklyFilter</vt:lpstr>
      <vt:lpstr>wNews_Input_ToClear</vt:lpstr>
      <vt:lpstr>上市</vt:lpstr>
      <vt:lpstr>品种主题</vt:lpstr>
      <vt:lpstr>地方国企</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2024-01-22T14:03:50Z</dcterms:modified>
</cp:coreProperties>
</file>