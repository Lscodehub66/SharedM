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6.xml" ContentType="application/vnd.openxmlformats-officedocument.drawing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7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3.xml" ContentType="application/vnd.openxmlformats-officedocument.spreadsheetml.comments+xml"/>
  <Override PartName="/xl/tables/table26.xml" ContentType="application/vnd.openxmlformats-officedocument.spreadsheetml.table+xml"/>
  <Override PartName="/xl/queryTables/queryTable15.xml" ContentType="application/vnd.openxmlformats-officedocument.spreadsheetml.query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16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8.xml" ContentType="application/vnd.openxmlformats-officedocument.drawing+xml"/>
  <Override PartName="/xl/tables/table31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9.xml" ContentType="application/vnd.openxmlformats-officedocument.drawing+xml"/>
  <Override PartName="/xl/tables/table32.xml" ContentType="application/vnd.openxmlformats-officedocument.spreadsheetml.table+xml"/>
  <Override PartName="/xl/queryTables/queryTable19.xml" ContentType="application/vnd.openxmlformats-officedocument.spreadsheetml.query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20.xml" ContentType="application/vnd.openxmlformats-officedocument.spreadsheetml.query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21.xml" ContentType="application/vnd.openxmlformats-officedocument.spreadsheetml.queryTable+xml"/>
  <Override PartName="/xl/tables/table40.xml" ContentType="application/vnd.openxmlformats-officedocument.spreadsheetml.table+xml"/>
  <Override PartName="/xl/queryTables/queryTable22.xml" ContentType="application/vnd.openxmlformats-officedocument.spreadsheetml.queryTable+xml"/>
  <Override PartName="/xl/tables/table41.xml" ContentType="application/vnd.openxmlformats-officedocument.spreadsheetml.table+xml"/>
  <Override PartName="/xl/queryTables/queryTable23.xml" ContentType="application/vnd.openxmlformats-officedocument.spreadsheetml.queryTable+xml"/>
  <Override PartName="/xl/tables/table42.xml" ContentType="application/vnd.openxmlformats-officedocument.spreadsheetml.table+xml"/>
  <Override PartName="/xl/queryTables/queryTable24.xml" ContentType="application/vnd.openxmlformats-officedocument.spreadsheetml.queryTable+xml"/>
  <Override PartName="/xl/tables/table43.xml" ContentType="application/vnd.openxmlformats-officedocument.spreadsheetml.table+xml"/>
  <Override PartName="/xl/queryTables/queryTable25.xml" ContentType="application/vnd.openxmlformats-officedocument.spreadsheetml.queryTable+xml"/>
  <Override PartName="/xl/tables/table44.xml" ContentType="application/vnd.openxmlformats-officedocument.spreadsheetml.table+xml"/>
  <Override PartName="/xl/queryTables/queryTable26.xml" ContentType="application/vnd.openxmlformats-officedocument.spreadsheetml.queryTable+xml"/>
  <Override PartName="/xl/tables/table45.xml" ContentType="application/vnd.openxmlformats-officedocument.spreadsheetml.table+xml"/>
  <Override PartName="/xl/queryTables/queryTable27.xml" ContentType="application/vnd.openxmlformats-officedocument.spreadsheetml.queryTable+xml"/>
  <Override PartName="/xl/tables/table46.xml" ContentType="application/vnd.openxmlformats-officedocument.spreadsheetml.table+xml"/>
  <Override PartName="/xl/queryTables/queryTable28.xml" ContentType="application/vnd.openxmlformats-officedocument.spreadsheetml.query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queryTables/queryTable29.xml" ContentType="application/vnd.openxmlformats-officedocument.spreadsheetml.queryTable+xml"/>
  <Override PartName="/xl/tables/table49.xml" ContentType="application/vnd.openxmlformats-officedocument.spreadsheetml.table+xml"/>
  <Override PartName="/xl/queryTables/queryTable30.xml" ContentType="application/vnd.openxmlformats-officedocument.spreadsheetml.query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queryTables/queryTable31.xml" ContentType="application/vnd.openxmlformats-officedocument.spreadsheetml.query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queryTables/queryTable32.xml" ContentType="application/vnd.openxmlformats-officedocument.spreadsheetml.queryTable+xml"/>
  <Override PartName="/xl/tables/table54.xml" ContentType="application/vnd.openxmlformats-officedocument.spreadsheetml.table+xml"/>
  <Override PartName="/xl/queryTables/queryTable33.xml" ContentType="application/vnd.openxmlformats-officedocument.spreadsheetml.query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queryTables/queryTable34.xml" ContentType="application/vnd.openxmlformats-officedocument.spreadsheetml.query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queryTables/queryTable35.xml" ContentType="application/vnd.openxmlformats-officedocument.spreadsheetml.query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queryTables/queryTable36.xml" ContentType="application/vnd.openxmlformats-officedocument.spreadsheetml.queryTable+xml"/>
  <Override PartName="/xl/tables/table71.xml" ContentType="application/vnd.openxmlformats-officedocument.spreadsheetml.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10.1.215\dcm$\Team Folder\Execution Team\Weekly AM\20231023\Data\"/>
    </mc:Choice>
  </mc:AlternateContent>
  <xr:revisionPtr revIDLastSave="0" documentId="13_ncr:1_{A115B62C-1FA6-4BF6-9E0C-1F7572B95680}" xr6:coauthVersionLast="36" xr6:coauthVersionMax="47" xr10:uidLastSave="{00000000-0000-0000-0000-000000000000}"/>
  <bookViews>
    <workbookView xWindow="0" yWindow="0" windowWidth="28800" windowHeight="12225" tabRatio="594" activeTab="15" xr2:uid="{00000000-000D-0000-FFFF-FFFF00000000}"/>
  </bookViews>
  <sheets>
    <sheet name="DOWNLOAD" sheetId="1" r:id="rId1"/>
    <sheet name="load" sheetId="23" r:id="rId2"/>
    <sheet name="DLD_Add" sheetId="56" state="hidden" r:id="rId3"/>
    <sheet name="REVIEW_LIST" sheetId="33" r:id="rId4"/>
    <sheet name="NWriter" sheetId="52" state="hidden" r:id="rId5"/>
    <sheet name="ToDM" sheetId="57" r:id="rId6"/>
    <sheet name="Charts" sheetId="40" state="hidden" r:id="rId7"/>
    <sheet name="wCurated" sheetId="48" state="hidden" r:id="rId8"/>
    <sheet name="wBISL" sheetId="47" state="hidden" r:id="rId9"/>
    <sheet name="WRITER" sheetId="39" state="hidden" r:id="rId10"/>
    <sheet name="ECON" sheetId="30" state="hidden" r:id="rId11"/>
    <sheet name="FUTURE" sheetId="41" state="hidden" r:id="rId12"/>
    <sheet name="wChart" sheetId="58" state="hidden" r:id="rId13"/>
    <sheet name="wCredit" sheetId="46" state="hidden" r:id="rId14"/>
    <sheet name="AddTap" sheetId="53" r:id="rId15"/>
    <sheet name="MDM" sheetId="27" r:id="rId16"/>
    <sheet name="WIP AddNew" sheetId="54" state="hidden" r:id="rId17"/>
    <sheet name="wDMI" sheetId="42" state="hidden" r:id="rId18"/>
    <sheet name="BBG" sheetId="49" state="hidden" r:id="rId19"/>
  </sheets>
  <definedNames>
    <definedName name="_xlnm._FilterDatabase" localSheetId="15" hidden="1">MDM!#REF!</definedName>
    <definedName name="_xlnm.Criteria" localSheetId="15">MDM!$R$6:$R$10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结构[dd_结构]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结构[dd_结构]</definedName>
    <definedName name="dd_评级分类">tbl_dd_by_rtg[评级分类]</definedName>
    <definedName name="dd_货币">货币[货币]</definedName>
    <definedName name="ESG">dd_ESG[ESG]</definedName>
    <definedName name="ExternalData_1" localSheetId="14" hidden="1">AddTap!$B$9:$K$19</definedName>
    <definedName name="ExternalData_1" localSheetId="18" hidden="1">BBG!$A$5:$Y$32</definedName>
    <definedName name="ExternalData_1" localSheetId="10" hidden="1">ECON!$A$12:$O$27</definedName>
    <definedName name="ExternalData_1" localSheetId="15" hidden="1">MDM!$I$23:$J$29</definedName>
    <definedName name="ExternalData_1" localSheetId="5" hidden="1">ToDM!$B$6:$CB$30</definedName>
    <definedName name="ExternalData_1" localSheetId="7" hidden="1">wCurated!$A$4:$AZ$21</definedName>
    <definedName name="ExternalData_1" localSheetId="16" hidden="1">'WIP AddNew'!$B$6:$B$16</definedName>
    <definedName name="ExternalData_10" localSheetId="6" hidden="1">Charts!$L$12:$N$13</definedName>
    <definedName name="ExternalData_10" localSheetId="15" hidden="1">MDM!$D$41:$D$93</definedName>
    <definedName name="ExternalData_11" localSheetId="0" hidden="1">DOWNLOAD!#REF!</definedName>
    <definedName name="ExternalData_11" localSheetId="15" hidden="1">MDM!$D$6:$D$39</definedName>
    <definedName name="ExternalData_11" localSheetId="9" hidden="1">WRITER!$A$9:$F$15</definedName>
    <definedName name="ExternalData_12" localSheetId="15" hidden="1">MDM!$M$6:$N$75</definedName>
    <definedName name="ExternalData_12" localSheetId="9" hidden="1">WRITER!$A$20:$F$21</definedName>
    <definedName name="ExternalData_13" localSheetId="15" hidden="1">MDM!$P$6:$P$57</definedName>
    <definedName name="ExternalData_13" localSheetId="4" hidden="1">NWriter!$A$6:$E$10</definedName>
    <definedName name="ExternalData_14" localSheetId="15" hidden="1">MDM!$D$106:$D$139</definedName>
    <definedName name="ExternalData_15" localSheetId="0" hidden="1">DOWNLOAD!$J$15:$CO$39</definedName>
    <definedName name="ExternalData_15" localSheetId="15" hidden="1">MDM!$I$69:$J$74</definedName>
    <definedName name="ExternalData_16" localSheetId="17" hidden="1">wDMI!$A$5:$BV$29</definedName>
    <definedName name="ExternalData_18" localSheetId="0" hidden="1">DOWNLOAD!#REF!</definedName>
    <definedName name="ExternalData_19" localSheetId="0" hidden="1">DOWNLOAD!#REF!</definedName>
    <definedName name="ExternalData_19" localSheetId="1" hidden="1">load!$P$5:$AI$22</definedName>
    <definedName name="ExternalData_2" localSheetId="14" hidden="1">AddTap!$B$26:$C$59</definedName>
    <definedName name="ExternalData_2" localSheetId="11" hidden="1">FUTURE!$A$10:$O$23</definedName>
    <definedName name="ExternalData_2" localSheetId="1" hidden="1">load!$AO$5:$BB$7</definedName>
    <definedName name="ExternalData_2" localSheetId="15" hidden="1">MDM!$I$14:$J$21</definedName>
    <definedName name="ExternalData_20" localSheetId="0" hidden="1">DOWNLOAD!$H$16:$H$17</definedName>
    <definedName name="ExternalData_21" localSheetId="0" hidden="1">DOWNLOAD!$C$21:$C$23</definedName>
    <definedName name="ExternalData_21" localSheetId="1" hidden="1">load!$BH$5:$BK$14</definedName>
    <definedName name="ExternalData_22" localSheetId="1" hidden="1">load!$B$5:$L$22</definedName>
    <definedName name="ExternalData_23" localSheetId="2" hidden="1">DLD_Add!$A$6:$CZ$30</definedName>
    <definedName name="ExternalData_23" localSheetId="0" hidden="1">DOWNLOAD!$CT$15:$DA$16</definedName>
    <definedName name="ExternalData_23" localSheetId="1" hidden="1">load!#REF!</definedName>
    <definedName name="ExternalData_23" localSheetId="12" hidden="1">wChart!$A$2:$L$9</definedName>
    <definedName name="ExternalData_24" localSheetId="0" hidden="1">DOWNLOAD!$H$15:$H$17</definedName>
    <definedName name="ExternalData_24" localSheetId="1" hidden="1">load!$A$5:$E$17</definedName>
    <definedName name="ExternalData_25" localSheetId="0" hidden="1">DOWNLOAD!$H$23:$H$25</definedName>
    <definedName name="ExternalData_3" localSheetId="1" hidden="1">load!#REF!</definedName>
    <definedName name="ExternalData_3" localSheetId="15" hidden="1">MDM!$I$31:$J$37</definedName>
    <definedName name="ExternalData_4" localSheetId="6" hidden="1">Charts!$P$8:$AF$15</definedName>
    <definedName name="ExternalData_5" localSheetId="15" hidden="1">MDM!$I$6:$J$11</definedName>
    <definedName name="ExternalData_5" localSheetId="7" hidden="1">wCurated!$A$4:$BT$14</definedName>
    <definedName name="ExternalData_6" localSheetId="15" hidden="1">MDM!$I$61:$J$67</definedName>
    <definedName name="ExternalData_6" localSheetId="8" hidden="1">wBISL!$A$5:$V$7</definedName>
    <definedName name="ExternalData_7" localSheetId="15" hidden="1">MDM!$C$96:$C$105</definedName>
    <definedName name="ExternalData_8" localSheetId="6" hidden="1">Charts!$A$8:$J$9</definedName>
    <definedName name="ExternalData_8" localSheetId="15" hidden="1">MDM!$I$39:$J$50</definedName>
    <definedName name="ExternalData_8" localSheetId="9" hidden="1">WRITER!$A$4:$F$5</definedName>
    <definedName name="ExternalData_9" localSheetId="6" hidden="1">Charts!$L$8:$N$9</definedName>
    <definedName name="ExternalData_9" localSheetId="15" hidden="1">MDM!$I$52:$J$59</definedName>
    <definedName name="ExternalData_9" localSheetId="13" hidden="1">wCredit!$A$4:$K$13</definedName>
    <definedName name="GPS">MDM!$A$1</definedName>
    <definedName name="GPS_FileName">MDM!$B$1</definedName>
    <definedName name="input_data">#REF!</definedName>
    <definedName name="IS_EXCH_FILTER">DOWNLOAD!$C$8</definedName>
    <definedName name="Monday">DOWNLOAD!$C$4</definedName>
    <definedName name="MultiSource">DOWNLOAD!$C$10</definedName>
    <definedName name="Name">load!$T$4</definedName>
    <definedName name="UpdatorWeekly">DOWNLOAD!$C$5</definedName>
    <definedName name="WeeklyFilter">DOWNLOAD!$C$9</definedName>
    <definedName name="澳门Filter">DOWNLOAD!$C$6</definedName>
    <definedName name="香港Filter">DOWNLOAD!$C$7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7" l="1"/>
  <c r="E1" i="23"/>
  <c r="F10" i="1"/>
  <c r="F9" i="1" l="1"/>
  <c r="B1" i="27" l="1"/>
  <c r="R1" i="23" l="1"/>
  <c r="S1" i="23" s="1"/>
  <c r="S1" i="40"/>
  <c r="Q1" i="40"/>
  <c r="AP1" i="23"/>
  <c r="AQ1" i="23" s="1"/>
  <c r="F1" i="23"/>
  <c r="S7" i="27"/>
  <c r="S8" i="27"/>
  <c r="S9" i="27"/>
  <c r="S10" i="27"/>
  <c r="F8" i="1"/>
  <c r="G9" i="1" l="1"/>
  <c r="T4" i="23" l="1"/>
  <c r="A1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R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P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8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5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6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7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8" xr16:uid="{33FD96BB-2061-4D64-B212-F4E92D26C14A}" keepAlive="1" name="Query - ColNow_Graph" description="Connection to the 'ColNow_Graph' query in the workbook." type="5" refreshedVersion="0" background="1" saveData="1">
    <dbPr connection="Provider=Microsoft.Mashup.OleDb.1;Data Source=$Workbook$;Location=ColNow_Graph;Extended Properties=&quot;&quot;" command="SELECT * FROM [ColNow_Graph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0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1" xr16:uid="{28F817A5-DA87-4C75-ABB7-1836A531F661}" keepAlive="1" name="Query - ColNow_mCurated" description="Connection to the 'ColNow_mCurated' query in the workbook." type="5" refreshedVersion="6" background="1" saveData="1">
    <dbPr connection="Provider=Microsoft.Mashup.OleDb.1;Data Source=$Workbook$;Location=ColNow_mCurated;Extended Properties=&quot;&quot;" command="SELECT * FROM [ColNow_mCurated]"/>
  </connection>
  <connection id="12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3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4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5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6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17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18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0" xr16:uid="{1569C235-3575-4390-89E5-533F698B0E7B}" keepAlive="1" name="Query - dd_ESG" description="Connection to the 'dd_ESG' query in the workbook." type="5" refreshedVersion="8" background="1" saveData="1">
    <dbPr connection="Provider=Microsoft.Mashup.OleDb.1;Data Source=$Workbook$;Location=dd_ESG;Extended Properties=&quot;&quot;" command="SELECT * FROM [dd_ESG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2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3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24" xr16:uid="{611F7315-609A-4DC2-8E15-F4DE499E5059}" keepAlive="1" name="Query - Dimtbl_DMI_Filter" description="Connection to the 'Dimtbl_DMI_Filter' query in the workbook." type="5" refreshedVersion="0" background="1">
    <dbPr connection="Provider=Microsoft.Mashup.OleDb.1;Data Source=$Workbook$;Location=Dimtbl_DMI_Filter;Extended Properties=&quot;&quot;" command="SELECT * FROM [Dimtbl_DMI_Filter]"/>
  </connection>
  <connection id="25" xr16:uid="{5223AE51-58CA-4B4C-87C7-8490764DD6CC}" keepAlive="1" name="Query - DLD_Add" description="Connection to the 'DLD_Add' query in the workbook." type="5" refreshedVersion="6" background="1" saveData="1">
    <dbPr connection="Provider=Microsoft.Mashup.OleDb.1;Data Source=$Workbook$;Location=DLD_Add;Extended Properties=&quot;&quot;" command="SELECT * FROM [DLD_Add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03000000}" keepAlive="1" name="Query - DLD_BBG_Corp" description="Connection to the 'DLD_BBG_Corp' query in the workbook." type="5" refreshedVersion="6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09000000}" keepAlive="1" name="Query - DLD_Conso" description="Connection to the 'DLD_Conso' query in the workbook." type="5" refreshedVersion="6" background="1" saveData="1">
    <dbPr connection="Provider=Microsoft.Mashup.OleDb.1;Data Source=$Workbook$;Location=DLD_Conso;Extended Properties=&quot;&quot;" command="SELECT * FROM [DLD_Conso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0A000000}" keepAlive="1" name="Query - DLD_DMI" description="Connection to the 'DLD_DMI' query in the workbook." type="5" refreshedVersion="6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57EAE1B6-0C3E-40E4-8919-C36E35185C69}" keepAlive="1" name="Query - DLD_DMI_MissingPQ" description="Connection to the 'DLD_DMI_MissingPQ' query in the workbook." type="5" refreshedVersion="0" background="1">
    <dbPr connection="Provider=Microsoft.Mashup.OleDb.1;Data Source=$Workbook$;Location=DLD_DMI_MissingPQ;Extended Properties=&quot;&quot;" command="SELECT * FROM [DLD_DMI_MissingPQ]"/>
  </connection>
  <connection id="30" xr16:uid="{00000000-0015-0000-FFFF-FFFF33000000}" keepAlive="1" name="Query - DLD_QRC_23" description="Connection to the 'DLD_QRC_23' query in the workbook." type="5" refreshedVersion="6" background="1" saveData="1">
    <dbPr connection="Provider=Microsoft.Mashup.OleDb.1;Data Source=$Workbook$;Location=DLD_QRC_23;Extended Properties=&quot;&quot;" command="SELECT * FROM [DLD_QRC_23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CCF5AEA9-4876-4713-9EE0-D7F0D0E127ED}" keepAlive="1" name="Query - DLD_SourcePQ" description="Connection to the 'DLD_SourcePQ' query in the workbook." type="5" refreshedVersion="0" background="1" saveData="1">
    <dbPr connection="Provider=Microsoft.Mashup.OleDb.1;Data Source=$Workbook$;Location=DLD_SourcePQ;Extended Properties=&quot;&quot;" command="SELECT * FROM [DLD_SourcePQ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08000000}" keepAlive="1" name="Query - DM_DMI_Credit" description="Connection to the 'DM_DMI_Credit' query in the workbook." type="5" refreshedVersion="0" background="1">
    <dbPr connection="Provider=Microsoft.Mashup.OleDb.1;Data Source=$Workbook$;Location=DM_DMI_Credit;Extended Properties=&quot;&quot;" command="SELECT * FROM [DM_DMI_Credit]"/>
  </connection>
  <connection id="33" xr16:uid="{3E0A6FC5-BDF3-4C8C-9C97-5B6F5B25B772}" keepAlive="1" name="Query - DMI_ChangedColumn" description="Connection to the 'DMI_ChangedColumn' query in the workbook." type="5" refreshedVersion="6" background="1" saveData="1">
    <dbPr connection="Provider=Microsoft.Mashup.OleDb.1;Data Source=$Workbook$;Location=DMI_ChangedColumn;Extended Properties=&quot;&quot;" command="SELECT * FROM [DMI_ChangedColumn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B3385EF9-0C67-44D3-A5B3-207896EE8512}" keepAlive="1" name="Query - DMI_Load" description="Connection to the 'DMI_Load' query in the workbook." type="5" refreshedVersion="0" background="1">
    <dbPr connection="Provider=Microsoft.Mashup.OleDb.1;Data Source=$Workbook$;Location=DMI_Load;Extended Properties=&quot;&quot;" command="SELECT * FROM [DMI_Load]"/>
  </connection>
  <connection id="35" xr16:uid="{E625B8BF-BE23-4834-A971-DD1142ED5E96}" keepAlive="1" name="Query - DMI_NewColumn" description="Connection to the 'DMI_NewColumn' query in the workbook." type="5" refreshedVersion="6" background="1" saveData="1">
    <dbPr connection="Provider=Microsoft.Mashup.OleDb.1;Data Source=$Workbook$;Location=DMI_NewColumn;Extended Properties=&quot;&quot;" command="SELECT * FROM [DMI_NewColumn]"/>
    <extLst>
      <ext xmlns:x15="http://schemas.microsoft.com/office/spreadsheetml/2010/11/main" uri="{DE250136-89BD-433C-8126-D09CA5730AF9}">
        <x15:connection id="" excludeFromRefreshAll="1"/>
      </ext>
    </extLst>
  </connection>
  <connection id="36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7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9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40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42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5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6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7" xr16:uid="{00000000-0015-0000-FFFF-FFFF15000000}" keepAlive="1" name="Query - fxAddBranch" description="Connection to the 'fxAddBranch' query in the workbook." type="5" refreshedVersion="0" background="1">
    <dbPr connection="Provider=Microsoft.Mashup.OleDb.1;Data Source=$Workbook$;Location=fxAddBranch;Extended Properties=&quot;&quot;" command="SELECT * FROM [fxAddBranch]"/>
  </connection>
  <connection id="48" xr16:uid="{ED7E70F9-70B4-4AEA-8E71-2D91C389FDB7}" keepAlive="1" name="Query - fxAddESGMore" description="Connection to the 'fxAddESGMore' query in the workbook." type="5" refreshedVersion="0" background="1">
    <dbPr connection="Provider=Microsoft.Mashup.OleDb.1;Data Source=$Workbook$;Location=fxAddESGMore;Extended Properties=&quot;&quot;" command="SELECT * FROM [fxAddESGMore]"/>
  </connection>
  <connection id="49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50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51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2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3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54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5" xr16:uid="{A10E6FDC-3D73-47EF-89B8-467861EF29AA}" keepAlive="1" name="Query - fxCleaner" description="Connection to the 'fxCleaner' query in the workbook." type="5" refreshedVersion="0" background="1">
    <dbPr connection="Provider=Microsoft.Mashup.OleDb.1;Data Source=$Workbook$;Location=fxCleaner;Extended Properties=&quot;&quot;" command="SELECT * FROM [fxCleaner]"/>
  </connection>
  <connection id="56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7" xr16:uid="{30FCF092-B4B7-46FF-9A35-A8608C60F962}" keepAlive="1" name="Query - fxConnect" description="Connection to the 'fxConnect' query in the workbook." type="5" refreshedVersion="0" background="1">
    <dbPr connection="Provider=Microsoft.Mashup.OleDb.1;Data Source=$Workbook$;Location=fxConnect;Extended Properties=&quot;&quot;" command="SELECT * FROM [fxConnect]"/>
  </connection>
  <connection id="58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9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60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61" xr16:uid="{B5341989-3143-46DE-A183-C2941DF8ABA2}" keepAlive="1" name="Query - fxDMI" description="Connection to the 'fxDMI' query in the workbook." type="5" refreshedVersion="0" background="1">
    <dbPr connection="Provider=Microsoft.Mashup.OleDb.1;Data Source=$Workbook$;Location=fxDMI;Extended Properties=&quot;&quot;" command="SELECT * FROM [fxDMI]"/>
  </connection>
  <connection id="62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63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4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5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6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7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8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9" xr16:uid="{CF89096E-D60C-472D-9AC8-86537529C4A6}" keepAlive="1" name="Query - fxMerge" description="Connection to the 'fxMerge' query in the workbook." type="5" refreshedVersion="0" background="1">
    <dbPr connection="Provider=Microsoft.Mashup.OleDb.1;Data Source=$Workbook$;Location=fxMerge;Extended Properties=&quot;&quot;" command="SELECT * FROM [fxMerge]"/>
  </connection>
  <connection id="70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71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2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3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4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5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6" xr16:uid="{96688F12-6A34-47A2-BF8B-DB3DC5737510}" keepAlive="1" name="Query - fxShowDupe" description="Connection to the 'fxShowDupe' query in the workbook." type="5" refreshedVersion="0" background="1">
    <dbPr connection="Provider=Microsoft.Mashup.OleDb.1;Data Source=$Workbook$;Location=fxShowDupe;Extended Properties=&quot;&quot;" command="SELECT * FROM [fxShowDupe]"/>
  </connection>
  <connection id="77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8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9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80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81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2" xr16:uid="{00000000-0015-0000-FFFF-FFFF20000000}" keepAlive="1" name="Query - fxtblBCMRole" description="Connection to the 'fxtblBCMRole' query in the workbook." type="5" refreshedVersion="0" background="1">
    <dbPr connection="Provider=Microsoft.Mashup.OleDb.1;Data Source=$Workbook$;Location=fxtblBCMRole;Extended Properties=&quot;&quot;" command="SELECT * FROM [fxtblBCMRole]"/>
  </connection>
  <connection id="83" xr16:uid="{B7A3C230-A114-4AF1-9BA0-805BBB6B1A1A}" keepAlive="1" name="Query - fxtblECON" description="Connection to the 'fxtblECON' query in the workbook." type="5" refreshedVersion="0" background="1">
    <dbPr connection="Provider=Microsoft.Mashup.OleDb.1;Data Source=$Workbook$;Location=fxtblECON;Extended Properties=&quot;&quot;" command="SELECT * FROM [fxtblECON]"/>
  </connection>
  <connection id="84" xr16:uid="{B4AB1D6B-DCBA-4ED7-BB15-FB63BD8D4A62}" keepAlive="1" name="Query - fxtblNList" description="Connection to the 'fxtblNList' query in the workbook." type="5" refreshedVersion="0" background="1">
    <dbPr connection="Provider=Microsoft.Mashup.OleDb.1;Data Source=$Workbook$;Location=fxtblNList;Extended Properties=&quot;&quot;" command="SELECT * FROM [fxtblNList]"/>
  </connection>
  <connection id="85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6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7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88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89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90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1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4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95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6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7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98" xr16:uid="{D557CED3-B195-48D3-AA56-CFE775047551}" keepAlive="1" name="Query - Monday(1)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99" xr16:uid="{25FBA1C8-6C0E-4A0F-9567-7279ECA81A57}" keepAlive="1" name="Query - Multi" description="Connection to the 'Multi' query in the workbook." type="5" refreshedVersion="0" background="1">
    <dbPr connection="Provider=Microsoft.Mashup.OleDb.1;Data Source=$Workbook$;Location=Multi;Extended Properties=&quot;&quot;" command="SELECT * FROM [Multi]"/>
  </connection>
  <connection id="100" xr16:uid="{37E886E7-3555-40D0-87C0-23B9D1E8DA68}" keepAlive="1" name="Query - ORIDEMonday" description="Connection to the 'ORIDEMonday' query in the workbook." type="5" refreshedVersion="0" background="1">
    <dbPr connection="Provider=Microsoft.Mashup.OleDb.1;Data Source=$Workbook$;Location=ORIDEMonday;Extended Properties=&quot;&quot;" command="SELECT * FROM [ORIDEMonday]"/>
  </connection>
  <connection id="101" xr16:uid="{2B37D559-24C2-410E-B6ED-5B3135229924}" keepAlive="1" name="Query - ORIDEMulti" description="Connection to the 'ORIDEMulti' query in the workbook." type="5" refreshedVersion="0" background="1">
    <dbPr connection="Provider=Microsoft.Mashup.OleDb.1;Data Source=$Workbook$;Location=ORIDEMulti;Extended Properties=&quot;&quot;" command="SELECT * FROM [ORIDEMulti]"/>
  </connection>
  <connection id="102" xr16:uid="{19D1300C-0BAB-4E05-B057-6BE735762337}" keepAlive="1" name="Query - ORIDEwFilter" description="Connection to the 'ORIDEwFilter' query in the workbook." type="5" refreshedVersion="0" background="1">
    <dbPr connection="Provider=Microsoft.Mashup.OleDb.1;Data Source=$Workbook$;Location=ORIDEwFilter;Extended Properties=&quot;&quot;" command="SELECT * FROM [ORIDEwFilter]"/>
  </connection>
  <connection id="103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4" xr16:uid="{56446388-4194-40DC-96D7-7FB22086692E}" keepAlive="1" name="Query - Prefix" description="Connection to the 'Prefix' query in the workbook." type="5" refreshedVersion="0" background="1">
    <dbPr connection="Provider=Microsoft.Mashup.OleDb.1;Data Source=$Workbook$;Location=Prefix;Extended Properties=&quot;&quot;" command="SELECT * FROM [Prefix]"/>
  </connection>
  <connection id="105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106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7" xr16:uid="{D9BD31C0-3BE7-44F3-B49A-0B8072CF3555}" keepAlive="1" name="Query - Reviewed_curatedPQ" description="Connection to the 'Reviewed_curatedPQ' query in the workbook." type="5" refreshedVersion="0" background="1">
    <dbPr connection="Provider=Microsoft.Mashup.OleDb.1;Data Source=$Workbook$;Location=Reviewed_curatedPQ;Extended Properties=&quot;&quot;" command="SELECT * FROM [Reviewed_curatedPQ]"/>
  </connection>
  <connection id="108" xr16:uid="{3D5FADB2-F6C8-42FF-880A-8D97591D21C9}" keepAlive="1" name="Query - Reviewed_issuerPQ" description="Connection to the 'Reviewed_issuerPQ' query in the workbook." type="5" refreshedVersion="0" background="1">
    <dbPr connection="Provider=Microsoft.Mashup.OleDb.1;Data Source=$Workbook$;Location=Reviewed_issuerPQ;Extended Properties=&quot;&quot;" command="SELECT * FROM [Reviewed_issuerPQ]"/>
  </connection>
  <connection id="109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10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11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2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113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4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115" xr16:uid="{971827E1-6218-481A-91E3-33399F88EAA3}" keepAlive="1" name="Query - wChart" description="Connection to the 'wChart' query in the workbook." type="5" refreshedVersion="6" background="1" saveData="1">
    <dbPr connection="Provider=Microsoft.Mashup.OleDb.1;Data Source=$Workbook$;Location=wChart;Extended Properties=&quot;&quot;" command="SELECT * FROM [wChart]"/>
  </connection>
  <connection id="116" xr16:uid="{0D3DC0A5-479E-46AA-9F88-A2D8D1E96299}" keepAlive="1" name="Query - wConso" description="Connection to the 'wConso' query in the workbook." type="5" refreshedVersion="6" background="1" saveData="1">
    <dbPr connection="Provider=Microsoft.Mashup.OleDb.1;Data Source=$Workbook$;Location=wConso;Extended Properties=&quot;&quot;" command="SELECT * FROM [wConso]"/>
  </connection>
  <connection id="117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118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119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20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121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22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123" xr16:uid="{11B12458-3054-4656-B5A0-28E39A6B7A7E}" keepAlive="1" name="Query - 备证行" description="Connection to the '备证行' query in the workbook." type="5" refreshedVersion="6" background="1" saveData="1">
    <dbPr connection="Provider=Microsoft.Mashup.OleDb.1;Data Source=$Workbook$;Location=备证行;Extended Properties=&quot;&quot;" command="SELECT * FROM [备证行]"/>
  </connection>
  <connection id="124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25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26" xr16:uid="{04EC04FB-EA39-41C9-880E-D310A67759CB}" keepAlive="1" name="Query - 港分_ROLE" description="Connection to the '港分_ROLE' query in the workbook." type="5" refreshedVersion="0" background="1">
    <dbPr connection="Provider=Microsoft.Mashup.OleDb.1;Data Source=$Workbook$;Location=港分_ROLE;Extended Properties=&quot;&quot;" command="SELECT * FROM [港分_ROLE]"/>
  </connection>
  <connection id="127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28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<sst xmlns="http://schemas.openxmlformats.org/spreadsheetml/2006/main" count="9694" uniqueCount="1237">
  <si>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</si>
  <si>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</si>
  <si>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</si>
  <si>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</si>
  <si>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</si>
  <si>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</si>
  <si>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</si>
  <si>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</si>
  <si>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</si>
  <si>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</si>
  <si>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</si>
  <si>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</si>
  <si>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</si>
  <si>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</si>
  <si>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</si>
  <si>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</si>
  <si>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</si>
  <si>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</si>
  <si>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</si>
  <si>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</si>
  <si>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</si>
  <si>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</si>
  <si>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</si>
  <si>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</si>
  <si>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</si>
  <si>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</si>
  <si>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</si>
  <si>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</si>
  <si>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</si>
  <si>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</si>
  <si>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</si>
  <si>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</si>
  <si>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</si>
  <si>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</si>
  <si>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</si>
  <si>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</si>
  <si>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</si>
  <si>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</si>
  <si>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</si>
  <si>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</si>
  <si>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</si>
  <si>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</si>
  <si>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</si>
  <si>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</si>
  <si>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</si>
  <si>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</si>
  <si>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</si>
  <si>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</si>
  <si>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</si>
  <si>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</si>
  <si>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</si>
  <si>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</si>
  <si>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</si>
  <si>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</si>
  <si>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</si>
  <si>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</si>
  <si>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</si>
  <si>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</si>
  <si>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</si>
  <si>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</si>
  <si>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</si>
  <si>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</si>
  <si>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</si>
  <si>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</si>
  <si>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</si>
  <si>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</si>
  <si>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</si>
  <si>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</si>
  <si>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</si>
  <si>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</si>
  <si>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</si>
  <si>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</si>
  <si>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</si>
  <si>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</si>
  <si>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</si>
  <si>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</si>
  <si>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</si>
  <si>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</si>
  <si>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</si>
  <si>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</si>
  <si>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</si>
  <si>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</si>
  <si>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</si>
  <si>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</si>
  <si>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</si>
  <si>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</si>
  <si>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</si>
  <si>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</si>
  <si>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</si>
  <si>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</si>
  <si>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</si>
  <si>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</si>
  <si>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</si>
  <si>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</si>
  <si>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</si>
  <si>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</si>
  <si>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</si>
  <si>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</si>
  <si>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</si>
  <si>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</si>
  <si>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</si>
  <si>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</si>
  <si>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</si>
  <si>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</si>
  <si>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</si>
  <si>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</si>
  <si>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</si>
  <si>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</si>
  <si>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</si>
  <si>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</si>
  <si>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</si>
  <si>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</si>
  <si>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</si>
  <si>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</si>
  <si>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</si>
  <si>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</si>
  <si>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</si>
  <si>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</si>
  <si>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</si>
  <si>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</si>
  <si>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</si>
  <si>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</si>
  <si>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</si>
  <si>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</si>
  <si>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</si>
  <si>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</si>
  <si>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</si>
  <si>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</si>
  <si>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</si>
  <si>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</si>
  <si>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</si>
  <si>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</si>
  <si>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</si>
  <si>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</si>
  <si>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</si>
  <si>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</si>
  <si>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</si>
  <si>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</si>
  <si>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</si>
  <si>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</si>
  <si>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</si>
  <si>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</si>
  <si>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</si>
  <si>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</si>
  <si>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</si>
  <si>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</si>
  <si>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</si>
  <si>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</si>
  <si>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BOCOM_DEAL?</t>
  </si>
  <si>
    <t>JBR</t>
  </si>
  <si>
    <t>JGC</t>
  </si>
  <si>
    <t>3</t>
  </si>
  <si>
    <t>定价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</si>
  <si>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</si>
  <si>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</si>
  <si>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</si>
  <si>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</si>
  <si>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</si>
  <si>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</si>
  <si>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</si>
  <si>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</si>
  <si>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</si>
  <si>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</si>
  <si>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</si>
  <si>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</si>
  <si>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</si>
  <si>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</si>
  <si>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</si>
  <si>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</si>
  <si>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</si>
  <si>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</si>
  <si>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</si>
  <si>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</si>
  <si>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</si>
  <si>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</si>
  <si>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</si>
  <si>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</si>
  <si>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</si>
  <si>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</si>
  <si>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</si>
  <si>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</si>
  <si>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</si>
  <si>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</si>
  <si>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</si>
  <si>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</si>
  <si>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</si>
  <si>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</si>
  <si>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</si>
  <si>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</si>
  <si>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</si>
  <si>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</si>
  <si>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</si>
  <si>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</si>
  <si>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</si>
  <si>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</si>
  <si>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</si>
  <si>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</si>
  <si>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</si>
  <si>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</si>
  <si>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</si>
  <si>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</si>
  <si>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</si>
  <si>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</si>
  <si>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</si>
  <si>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</si>
  <si>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</si>
  <si>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</si>
  <si>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</si>
  <si>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</si>
  <si>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</si>
  <si>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</si>
  <si>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</si>
  <si>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</si>
  <si>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</si>
  <si>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</si>
  <si>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</si>
  <si>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</si>
  <si>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</si>
  <si>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</si>
  <si>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</si>
  <si>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</si>
  <si>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</si>
  <si>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</si>
  <si>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</si>
  <si>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</si>
  <si>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</si>
  <si>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</si>
  <si>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</si>
  <si>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</si>
  <si>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</si>
  <si>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首次违约日</t>
  </si>
  <si>
    <t>CY</t>
  </si>
  <si>
    <t>注册成立地</t>
  </si>
  <si>
    <t>BISL</t>
  </si>
  <si>
    <t>港分</t>
  </si>
  <si>
    <t>澳分</t>
  </si>
  <si>
    <t>Stats描述</t>
  </si>
  <si>
    <t>英文简称</t>
  </si>
  <si>
    <t>发行架构</t>
  </si>
  <si>
    <t>浮息息差</t>
  </si>
  <si>
    <t>债项BBG</t>
  </si>
  <si>
    <t>主体BBG</t>
  </si>
  <si>
    <t>DMI</t>
  </si>
  <si>
    <t>项目名称（集团全称）</t>
  </si>
  <si>
    <t>担任角色</t>
  </si>
  <si>
    <t>项目定价日</t>
  </si>
  <si>
    <t>QRC台账</t>
  </si>
  <si>
    <t>DMI Count</t>
  </si>
  <si>
    <t>BBG Count</t>
  </si>
  <si>
    <t>Max 台账序号</t>
  </si>
  <si>
    <t>CN</t>
  </si>
  <si>
    <t>澳交所</t>
  </si>
  <si>
    <t>增发</t>
  </si>
  <si>
    <t>Health Checker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</si>
  <si>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</si>
  <si>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</si>
  <si>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</si>
  <si>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</si>
  <si>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</si>
  <si>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</si>
  <si>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</si>
  <si>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</si>
  <si>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</si>
  <si>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</si>
  <si>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t>恒丰银行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</si>
  <si>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</si>
  <si>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</si>
  <si>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</si>
  <si>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</si>
  <si>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</si>
  <si>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</si>
  <si>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</si>
  <si>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</si>
  <si>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</si>
  <si>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</si>
  <si>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</si>
  <si>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</si>
  <si>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</si>
  <si>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</si>
  <si>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</si>
  <si>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</si>
  <si>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</si>
  <si>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</si>
  <si>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</si>
  <si>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</si>
  <si>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</si>
  <si>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</si>
  <si>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6.3%区域</t>
  </si>
  <si>
    <t>齐鲁银行</t>
  </si>
  <si>
    <t>备证+担保+维好</t>
  </si>
  <si>
    <t>6.3%a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</si>
  <si>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</si>
  <si>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</si>
  <si>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</si>
  <si>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</si>
  <si>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</si>
  <si>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</si>
  <si>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</si>
  <si>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</si>
  <si>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</si>
  <si>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</si>
  <si>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</si>
  <si>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</si>
  <si>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</si>
  <si>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</si>
  <si>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</si>
  <si>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</si>
  <si>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</si>
  <si>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</si>
  <si>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</si>
  <si>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</si>
  <si>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</si>
  <si>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</si>
  <si>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</si>
  <si>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</si>
  <si>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</si>
  <si>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</si>
  <si>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</si>
  <si>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</si>
  <si>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</si>
  <si>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</si>
  <si>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</si>
  <si>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</si>
  <si>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</si>
  <si>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</si>
  <si>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</si>
  <si>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青岛银行</t>
  </si>
  <si>
    <t>新发</t>
  </si>
  <si>
    <t>中国银行</t>
  </si>
  <si>
    <t>Monday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</si>
  <si>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</si>
  <si>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</si>
  <si>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</si>
  <si>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</si>
  <si>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</si>
  <si>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</si>
  <si>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</si>
  <si>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</si>
  <si>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</si>
  <si>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</si>
  <si>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</si>
  <si>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</si>
  <si>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</si>
  <si>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</si>
  <si>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</si>
  <si>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</si>
  <si>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</si>
  <si>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</si>
  <si>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</si>
  <si>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</si>
  <si>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</si>
  <si>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</si>
  <si>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</si>
  <si>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</si>
  <si>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</si>
  <si>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</si>
  <si>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</si>
  <si>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</si>
  <si>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</si>
  <si>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</si>
  <si>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</si>
  <si>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</si>
  <si>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</si>
  <si>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</si>
  <si>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</si>
  <si>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</si>
  <si>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</si>
  <si>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</si>
  <si>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</si>
  <si>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</si>
  <si>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</si>
  <si>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</si>
  <si>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</si>
  <si>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</si>
  <si>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</si>
  <si>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</si>
  <si>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</si>
  <si>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</si>
  <si>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</si>
  <si>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</si>
  <si>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</si>
  <si>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</si>
  <si>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</si>
  <si>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</si>
  <si>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</si>
  <si>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</si>
  <si>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</si>
  <si>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</si>
  <si>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</si>
  <si>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</si>
  <si>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</si>
  <si>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</si>
  <si>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</si>
  <si>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</si>
  <si>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</si>
  <si>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</si>
  <si>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</si>
  <si>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</si>
  <si>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</si>
  <si>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</si>
  <si>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</si>
  <si>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</si>
  <si>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</si>
  <si>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</si>
  <si>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债券详情</t>
  </si>
  <si>
    <t>票息_DMI</t>
  </si>
  <si>
    <t>XS2509105412</t>
  </si>
  <si>
    <t>晋城国投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</si>
  <si>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</si>
  <si>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</si>
  <si>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</si>
  <si>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</si>
  <si>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</si>
  <si>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</si>
  <si>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</si>
  <si>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</si>
  <si>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</si>
  <si>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</si>
  <si>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</si>
  <si>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</si>
  <si>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</si>
  <si>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</si>
  <si>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</si>
  <si>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</si>
  <si>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合并至其他字段录入</t>
  </si>
  <si>
    <t>Referenced</t>
  </si>
  <si>
    <t>未参考</t>
  </si>
  <si>
    <t>删除及隐藏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</si>
  <si>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</si>
  <si>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</si>
  <si>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</si>
  <si>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</si>
  <si>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</si>
  <si>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</si>
  <si>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</si>
  <si>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</si>
  <si>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笔</t>
  </si>
  <si>
    <t>角色详情</t>
  </si>
  <si>
    <t>未检测到DMI有新增列</t>
  </si>
  <si>
    <t>FolderPath</t>
  </si>
  <si>
    <t>HK0000954344</t>
  </si>
  <si>
    <t>枣庄高新(恒丰银行)</t>
  </si>
  <si>
    <t>4.8%</t>
  </si>
  <si>
    <t>--/BBB+/--</t>
  </si>
  <si>
    <t>银行</t>
  </si>
  <si>
    <t>HK0000954286</t>
  </si>
  <si>
    <t>HK0000942661</t>
  </si>
  <si>
    <t>HK0000954021</t>
  </si>
  <si>
    <t>4.95%</t>
  </si>
  <si>
    <t>3.88%</t>
  </si>
  <si>
    <t>3.9%a</t>
  </si>
  <si>
    <t>4.1%a</t>
  </si>
  <si>
    <t>3.9%</t>
  </si>
  <si>
    <t>甘肃公航旅(邮储银行)</t>
  </si>
  <si>
    <t>江苏平陵建投(邮储银行)</t>
  </si>
  <si>
    <t>XS2649030330</t>
  </si>
  <si>
    <t>7.1%</t>
  </si>
  <si>
    <t>--/--/A+</t>
  </si>
  <si>
    <t>西安航天高技术(长安银行)</t>
  </si>
  <si>
    <t>陕西沣西发展(西安银行)</t>
  </si>
  <si>
    <t>XS2685949492</t>
  </si>
  <si>
    <t>XS2679063862</t>
  </si>
  <si>
    <t>HK0000954104</t>
  </si>
  <si>
    <t>XS2677539541</t>
  </si>
  <si>
    <t>A1/A/A</t>
  </si>
  <si>
    <t>HK0000951035</t>
  </si>
  <si>
    <t>邹平财金(青岛银行)</t>
  </si>
  <si>
    <t>2.3%</t>
  </si>
  <si>
    <t>2.3%a</t>
  </si>
  <si>
    <t>淄博财金(邮储银行)</t>
  </si>
  <si>
    <t>3.7%</t>
  </si>
  <si>
    <t>3.7%a</t>
  </si>
  <si>
    <t>光银悉尼分行</t>
  </si>
  <si>
    <t>SOFR+63</t>
  </si>
  <si>
    <t>SOFR+110a</t>
  </si>
  <si>
    <t>中银迪拜分行</t>
  </si>
  <si>
    <t>SOFR+60</t>
  </si>
  <si>
    <t>SOFR+105a</t>
  </si>
  <si>
    <t>中银卢森堡分行</t>
  </si>
  <si>
    <t>2.98%</t>
  </si>
  <si>
    <t>3.3%a</t>
  </si>
  <si>
    <t>Parent company tiker</t>
  </si>
  <si>
    <t>Parent Company 评级</t>
  </si>
  <si>
    <t>湖南银行</t>
  </si>
  <si>
    <t>Parameter</t>
  </si>
  <si>
    <t>Value</t>
  </si>
  <si>
    <t>DimMonday</t>
  </si>
  <si>
    <t>2023/03/20</t>
  </si>
  <si>
    <t>2023/03/27</t>
  </si>
  <si>
    <t>2023/04/03</t>
  </si>
  <si>
    <t>2023/04/10</t>
  </si>
  <si>
    <t>2023/04/17</t>
  </si>
  <si>
    <t>2023/04/24</t>
  </si>
  <si>
    <t>2023/05/01</t>
  </si>
  <si>
    <t>2023/05/08</t>
  </si>
  <si>
    <t>2023/05/15</t>
  </si>
  <si>
    <t>2023/05/22</t>
  </si>
  <si>
    <t>2023/05/29</t>
  </si>
  <si>
    <t>2023/06/05</t>
  </si>
  <si>
    <t>2023/06/12</t>
  </si>
  <si>
    <t>2023/06/19</t>
  </si>
  <si>
    <t>2023/06/26</t>
  </si>
  <si>
    <t>2023/07/03</t>
  </si>
  <si>
    <t>2023/07/10</t>
  </si>
  <si>
    <t>2023/07/17</t>
  </si>
  <si>
    <t>2023/07/24</t>
  </si>
  <si>
    <t>2023/07/31</t>
  </si>
  <si>
    <t>2023/08/07</t>
  </si>
  <si>
    <t>2023/08/14</t>
  </si>
  <si>
    <t>2023/08/21</t>
  </si>
  <si>
    <t>2023/08/28</t>
  </si>
  <si>
    <t>2023/09/04</t>
  </si>
  <si>
    <t>2023/09/11</t>
  </si>
  <si>
    <t>2023/09/18</t>
  </si>
  <si>
    <t>2023/09/25</t>
  </si>
  <si>
    <t>2023/10/02</t>
  </si>
  <si>
    <t>2023/10/09</t>
  </si>
  <si>
    <t>WeeklyFilter</t>
  </si>
  <si>
    <t>ON</t>
  </si>
  <si>
    <t>澳门Filter</t>
  </si>
  <si>
    <t>香港Filter</t>
  </si>
  <si>
    <t>MultiSource</t>
  </si>
  <si>
    <t>ECON_RlvLvl</t>
  </si>
  <si>
    <t>ECON_US_addon</t>
  </si>
  <si>
    <t>2023/10/16</t>
  </si>
  <si>
    <t>4.8</t>
  </si>
  <si>
    <t>HK</t>
  </si>
  <si>
    <t>--/--/BBB</t>
  </si>
  <si>
    <t>IS_EXCH</t>
  </si>
  <si>
    <t>普通债</t>
  </si>
  <si>
    <t>未到期</t>
  </si>
  <si>
    <t>固定利率</t>
  </si>
  <si>
    <t>否</t>
  </si>
  <si>
    <t>控制权变更回售@101%</t>
  </si>
  <si>
    <t>地方国有企业</t>
  </si>
  <si>
    <t>--/--</t>
  </si>
  <si>
    <t>基础建设</t>
  </si>
  <si>
    <t>Senior Unsecured</t>
  </si>
  <si>
    <t>直接发行</t>
  </si>
  <si>
    <t>RegS</t>
  </si>
  <si>
    <t>香港交易所</t>
  </si>
  <si>
    <t>3.0000</t>
  </si>
  <si>
    <t>控制权变更回售@100%</t>
  </si>
  <si>
    <t>投资级</t>
  </si>
  <si>
    <t>SBLC</t>
  </si>
  <si>
    <t>Y1</t>
  </si>
  <si>
    <t>无评级</t>
  </si>
  <si>
    <t>中华（澳门）金融资产交易股份有限公司</t>
  </si>
  <si>
    <t>AA</t>
  </si>
  <si>
    <t>0.9945</t>
  </si>
  <si>
    <t>北京市</t>
  </si>
  <si>
    <t>中央国有企业</t>
  </si>
  <si>
    <t>AAA</t>
  </si>
  <si>
    <t>西城区</t>
  </si>
  <si>
    <t>稳定/稳定</t>
  </si>
  <si>
    <t>A1/A</t>
  </si>
  <si>
    <t>江苏省</t>
  </si>
  <si>
    <t>ESG_Indicator</t>
  </si>
  <si>
    <t>JBR至少4家</t>
  </si>
  <si>
    <t>有IPG</t>
  </si>
  <si>
    <t>1</t>
  </si>
  <si>
    <t>364天</t>
  </si>
  <si>
    <t>ESG_Source</t>
  </si>
  <si>
    <t>DLD_BBG</t>
  </si>
  <si>
    <t>DLD_Add</t>
  </si>
  <si>
    <t>4%</t>
  </si>
  <si>
    <t>IS_EXCH_Filter</t>
  </si>
  <si>
    <t>AddMissingISIN</t>
  </si>
  <si>
    <t>AddTap</t>
  </si>
  <si>
    <t>DMI_NewColumn</t>
  </si>
  <si>
    <t>DMI_ChangedColumn</t>
  </si>
  <si>
    <t>【】</t>
  </si>
  <si>
    <t>DLD_Conso</t>
  </si>
  <si>
    <t>VG</t>
  </si>
  <si>
    <t>香港按揭证券有限公司</t>
  </si>
  <si>
    <t>华泰国际金融控股有限公司</t>
  </si>
  <si>
    <t>2</t>
  </si>
  <si>
    <t>品种主题</t>
  </si>
  <si>
    <t>dd_结构</t>
  </si>
  <si>
    <t>担保发行</t>
  </si>
  <si>
    <t>多元金融</t>
  </si>
  <si>
    <t>香港铁路有限公司</t>
  </si>
  <si>
    <t>中华人民共和国香港特别行政区政府</t>
  </si>
  <si>
    <t>招商证券国际有限公司</t>
  </si>
  <si>
    <t>天风国际证券集团有限公司</t>
  </si>
  <si>
    <t>友邦保险控股有限公司</t>
  </si>
  <si>
    <t>星展银行有限公司</t>
  </si>
  <si>
    <t>农银国际控股有限公司</t>
  </si>
  <si>
    <t>中国国际金融(国际)有限公司</t>
  </si>
  <si>
    <t>凯基证券(香港)有限公司</t>
  </si>
  <si>
    <t>国泰君安国际控股有限公司</t>
  </si>
  <si>
    <t>招银国际租赁管理有限公司</t>
  </si>
  <si>
    <t>新鸿基地产发展有限公司</t>
  </si>
  <si>
    <t>香港上海汇丰银行有限公司</t>
  </si>
  <si>
    <t>恒基兆业地产有限公司</t>
  </si>
  <si>
    <t>恒隆地产有限公司</t>
  </si>
  <si>
    <t>香格里拉(亚洲)有限公司</t>
  </si>
  <si>
    <t>太古地产有限公司</t>
  </si>
  <si>
    <t>香港置地控股有限公司</t>
  </si>
  <si>
    <t>ESR Group Limited</t>
  </si>
  <si>
    <t>澳门国际银行股份有限公司</t>
  </si>
  <si>
    <t>希慎兴业有限公司</t>
  </si>
  <si>
    <t>太古股份有限公司</t>
  </si>
  <si>
    <t>工银国际租赁财务有限公司</t>
  </si>
  <si>
    <t>越秀地产股份有限公司</t>
  </si>
  <si>
    <t>康业金融科技集团有限公司</t>
  </si>
  <si>
    <t>长江和记实业有限公司</t>
  </si>
  <si>
    <t>中信证券经纪(香港)有限公司</t>
  </si>
  <si>
    <t>嘉里物流联网有限公司</t>
  </si>
  <si>
    <t>东亚银行有限公司</t>
  </si>
  <si>
    <t>永利澳门有限公司</t>
  </si>
  <si>
    <t>中国太平保险控股有限公司</t>
  </si>
  <si>
    <t>南洋商业银行有限公司</t>
  </si>
  <si>
    <t>上海商业银行有限公司</t>
  </si>
  <si>
    <t>秦淮数据集团控股有限公司</t>
  </si>
  <si>
    <t>申万宏源(香港)有限公司</t>
  </si>
  <si>
    <t>香港机场管理局</t>
  </si>
  <si>
    <t>领展资产管理有限公司</t>
  </si>
  <si>
    <t>集友银行有限公司</t>
  </si>
  <si>
    <t>工银国际控股有限公司</t>
  </si>
  <si>
    <t>九龙仓置业地产投资有限公司</t>
  </si>
  <si>
    <t>香港中华煤气有限公司</t>
  </si>
  <si>
    <t>国泰航空有限公司</t>
  </si>
  <si>
    <t>联想集团有限公司</t>
  </si>
  <si>
    <t>中国中信股份有限公司</t>
  </si>
  <si>
    <t>富力地产(香港)有限公司</t>
  </si>
  <si>
    <t>Sands China Ltd.</t>
  </si>
  <si>
    <t>新世界发展有限公司</t>
  </si>
  <si>
    <t>招商局港口控股有限公司</t>
  </si>
  <si>
    <t>渣打银行(香港)有限公司</t>
  </si>
  <si>
    <t>远洋集团控股有限公司</t>
  </si>
  <si>
    <t>中信银行(国际)有限公司</t>
  </si>
  <si>
    <t>港华智慧能源有限公司</t>
  </si>
  <si>
    <t>中国金茂控股集团有限公司</t>
  </si>
  <si>
    <t>新鸿基有限公司</t>
  </si>
  <si>
    <t>AMTD Group Company Limited</t>
  </si>
  <si>
    <t>中国银行(香港)有限公司</t>
  </si>
  <si>
    <t>新濠国际发展有限公司</t>
  </si>
  <si>
    <t>香港电讯信托与香港电讯有限公司</t>
  </si>
  <si>
    <t>会德丰有限公司</t>
  </si>
  <si>
    <t>创科实业有限公司</t>
  </si>
  <si>
    <t>中国美东汽车控股有限公司</t>
  </si>
  <si>
    <t>联洋智能控股有限公司</t>
  </si>
  <si>
    <t>丽新发展有限公司</t>
  </si>
  <si>
    <t>远东宏信有限公司</t>
  </si>
  <si>
    <t>长江实业集团有限公司</t>
  </si>
  <si>
    <t>和记港口信托</t>
  </si>
  <si>
    <t>九龙仓集团有限公司</t>
  </si>
  <si>
    <t>狮桥资本有限公司</t>
  </si>
  <si>
    <t>招银国际金融有限公司</t>
  </si>
  <si>
    <t>PCGI Holdings Limited</t>
  </si>
  <si>
    <t>置地控股有限公司</t>
  </si>
  <si>
    <t>长江基建集团有限公司</t>
  </si>
  <si>
    <t>中国船舶集团(香港)航运租赁有限公司</t>
  </si>
  <si>
    <t>资本策略地产有限公司</t>
  </si>
  <si>
    <t>中华电力有限公司</t>
  </si>
  <si>
    <t>远东发展有限公司</t>
  </si>
  <si>
    <t>普洛斯中国控股有限公司</t>
  </si>
  <si>
    <t>复星国际有限公司</t>
  </si>
  <si>
    <t>GLP PTE. LTD.</t>
  </si>
  <si>
    <t>交银国际控股有限公司</t>
  </si>
  <si>
    <t>盈科大衍地产发展有限公司</t>
  </si>
  <si>
    <t>利福国际集团有限公司</t>
  </si>
  <si>
    <t>澳门博彩控股有限公司</t>
  </si>
  <si>
    <t>北京控股有限公司</t>
  </si>
  <si>
    <t>乐明国际投资(香港)有限公司</t>
  </si>
  <si>
    <t>招商局集团(香港)有限公司</t>
  </si>
  <si>
    <t>怡和控股有限公司</t>
  </si>
  <si>
    <t>MGM China Holdings Limited</t>
  </si>
  <si>
    <t>香港俊发地产有限公司</t>
  </si>
  <si>
    <t>华南城控股有限公司</t>
  </si>
  <si>
    <t>建银国际(控股)有限公司</t>
  </si>
  <si>
    <t>隽洋有限公司</t>
  </si>
  <si>
    <t>青山发电有限公司</t>
  </si>
  <si>
    <t>中国海外宏洋集团有限公司</t>
  </si>
  <si>
    <t>利丰有限公司</t>
  </si>
  <si>
    <t>新濠博亚娱乐有限公司</t>
  </si>
  <si>
    <t>电讯盈科有限公司</t>
  </si>
  <si>
    <t>汇丰控股有限公司</t>
  </si>
  <si>
    <t>中国光大控股有限公司</t>
  </si>
  <si>
    <t>鼎睿再保险有限公司</t>
  </si>
  <si>
    <t>中泰金融国际有限公司</t>
  </si>
  <si>
    <t>中国华融国际控股有限公司</t>
  </si>
  <si>
    <t>第一太平有限公司</t>
  </si>
  <si>
    <t>南丰国际控股有限公司</t>
  </si>
  <si>
    <t>英皇国际集团有限公司</t>
  </si>
  <si>
    <t>香港电灯有限公司</t>
  </si>
  <si>
    <t>嘉民香港物流基金</t>
  </si>
  <si>
    <t>金界控股有限公司</t>
  </si>
  <si>
    <t>冠君产业信托</t>
  </si>
  <si>
    <t>兆邦基地产控股有限公司</t>
  </si>
  <si>
    <t>中国建设银行(亚洲)股份有限公司</t>
  </si>
  <si>
    <t>中国海外发展有限公司</t>
  </si>
  <si>
    <t>PineBridge Investments, L.P.</t>
  </si>
  <si>
    <t>瑞安建业有限公司</t>
  </si>
  <si>
    <t>太平洋航运集团有限公司</t>
  </si>
  <si>
    <t>中国海洋石油有限公司</t>
  </si>
  <si>
    <t>FWD Group Limited</t>
  </si>
  <si>
    <t>中国工商银行(澳门)股份有限公司</t>
  </si>
  <si>
    <t>普汇中金国际控股有限公司</t>
  </si>
  <si>
    <t>海通恒信金融集团有限公司</t>
  </si>
  <si>
    <t>新创建集团有限公司</t>
  </si>
  <si>
    <t>理文造纸有限公司</t>
  </si>
  <si>
    <t>IFC DEVELOPMENT LIMITED</t>
  </si>
  <si>
    <t>嘉年华国际控股有限公司</t>
  </si>
  <si>
    <t>德昌电机控股有限公司</t>
  </si>
  <si>
    <t>中国光大证券国际有限公司</t>
  </si>
  <si>
    <t>中国地产集团有限公司</t>
  </si>
  <si>
    <t>恒成国际发展有限公司</t>
  </si>
  <si>
    <t>香港航空国际控股有限公司</t>
  </si>
  <si>
    <t>天韵国际控股有限公司</t>
  </si>
  <si>
    <t>FWD Limited</t>
  </si>
  <si>
    <t>千百度国际控股有限公司</t>
  </si>
  <si>
    <t>东建国际控股有限公司</t>
  </si>
  <si>
    <t>中国环保科技控股有限公司</t>
  </si>
  <si>
    <t>爪哇控股有限公司</t>
  </si>
  <si>
    <t>招商新能源集团有限公司</t>
  </si>
  <si>
    <t>香港宽频有限公司</t>
  </si>
  <si>
    <t>稀镁科技集团控股有限公司</t>
  </si>
  <si>
    <t>绿领控股集团有限公司</t>
  </si>
  <si>
    <t>中国优通未来空间产业集团控股有限公司</t>
  </si>
  <si>
    <t>世纪阳光集团控股有限公司</t>
  </si>
  <si>
    <t>富豪酒店国际控股有限公司</t>
  </si>
  <si>
    <t>中银国际控股有限公司</t>
  </si>
  <si>
    <t>香港快运航空有限公司</t>
  </si>
  <si>
    <t>德祥地产集团有限公司</t>
  </si>
  <si>
    <t>电视广播有限公司</t>
  </si>
  <si>
    <t>CWT International Ltd</t>
  </si>
  <si>
    <t>美丽中国控股有限公司</t>
  </si>
  <si>
    <t>莱蒙国际集团有限公司</t>
  </si>
  <si>
    <t>新昌集团控股有限公司</t>
  </si>
  <si>
    <t>中国海外集团有限公司</t>
  </si>
  <si>
    <t>港灯电力投资有限公司</t>
  </si>
  <si>
    <t>中国金融投资管理有限公司</t>
  </si>
  <si>
    <t>中海重工集团有限公司</t>
  </si>
  <si>
    <t>耐世特汽车系统集团有限公司</t>
  </si>
  <si>
    <t>香港中旅(集团)有限公司</t>
  </si>
  <si>
    <t>中国农产品交易有限公司</t>
  </si>
  <si>
    <t>香港翔隆有限公司</t>
  </si>
  <si>
    <t>津联集团有限公司</t>
  </si>
  <si>
    <t>嘉华国际集团有限公司</t>
  </si>
  <si>
    <t>太平洋恩利资源发展有限公司</t>
  </si>
  <si>
    <t>丽新制衣国际有限公司</t>
  </si>
  <si>
    <t>恒生银行有限公司</t>
  </si>
  <si>
    <t>御泰中彩控股有限公司</t>
  </si>
  <si>
    <t>中国电力国际发展有限公司</t>
  </si>
  <si>
    <t>ASMPT Limited</t>
  </si>
  <si>
    <t>DMI_CNSubsi</t>
  </si>
  <si>
    <t>DMI_HK&amp;Macau</t>
  </si>
  <si>
    <t>【Y】</t>
  </si>
  <si>
    <t>Y</t>
  </si>
  <si>
    <t>信用主体及评级</t>
  </si>
  <si>
    <t>绿色</t>
  </si>
  <si>
    <t>中信建投(国际)金融控股有限公司</t>
  </si>
  <si>
    <t>CHINA SECURITIES INTERNATIONAL</t>
  </si>
  <si>
    <t>CHINA SECURITIES INTERNATIONAL FINANCE HOLDING CO LTD</t>
  </si>
  <si>
    <t>6066 HK</t>
  </si>
  <si>
    <t>--/BBB+/BBB+</t>
  </si>
  <si>
    <t>China Securities (International) Brokerage Company Limited</t>
  </si>
  <si>
    <t>CSCIF</t>
  </si>
  <si>
    <t>CHINA SECURITIES INTERNATIONAL INVESTMENT CO LTD</t>
  </si>
  <si>
    <t>可回售债</t>
  </si>
  <si>
    <t>nil</t>
  </si>
  <si>
    <t>山东省</t>
  </si>
  <si>
    <t>2023/10/23</t>
  </si>
  <si>
    <t>FIMTN</t>
  </si>
  <si>
    <t>mBISL</t>
  </si>
  <si>
    <t>mCredit</t>
  </si>
  <si>
    <t>mCurated</t>
  </si>
  <si>
    <t>mChart</t>
  </si>
  <si>
    <t>TICKER</t>
  </si>
  <si>
    <t>城投(DMI)</t>
  </si>
  <si>
    <t>综合</t>
  </si>
  <si>
    <t>西安市</t>
  </si>
  <si>
    <t>陕西省</t>
  </si>
  <si>
    <t>成都市</t>
  </si>
  <si>
    <t>四川省</t>
  </si>
  <si>
    <t>上饶市城市建设投资开发集团有限公司</t>
  </si>
  <si>
    <t>SHARAO</t>
  </si>
  <si>
    <t>Repayment of existing medium to long term offshore indebtedness which will become due within one year.</t>
  </si>
  <si>
    <t>高收益</t>
  </si>
  <si>
    <t>上饶市</t>
  </si>
  <si>
    <t>江西省</t>
  </si>
  <si>
    <t>--/--/BB+</t>
  </si>
  <si>
    <t>0.2521</t>
  </si>
  <si>
    <t>点心债</t>
  </si>
  <si>
    <t>0.3</t>
  </si>
  <si>
    <t>可持续</t>
  </si>
  <si>
    <t>6.5%</t>
  </si>
  <si>
    <t>社会责任</t>
  </si>
  <si>
    <t>蓝色</t>
  </si>
  <si>
    <t>可持续挂钩</t>
  </si>
  <si>
    <t>0791831D CH</t>
  </si>
  <si>
    <t>SHANGRAO CITY CONSTRUCTION INV</t>
  </si>
  <si>
    <t>3个月</t>
  </si>
  <si>
    <t>4.2%a</t>
  </si>
  <si>
    <t>XS2709504422</t>
  </si>
  <si>
    <t>2.85</t>
  </si>
  <si>
    <t xml:space="preserve"> </t>
  </si>
  <si>
    <t>231020XS2709504422</t>
  </si>
  <si>
    <t>XS2709491778</t>
  </si>
  <si>
    <t>4.6500000000000004</t>
  </si>
  <si>
    <t>231019XS2709491778</t>
  </si>
  <si>
    <t>XS2709496140</t>
  </si>
  <si>
    <t>--/AA+/--</t>
  </si>
  <si>
    <t>HONG KONG MORTGAGE CORP LTD/TH</t>
  </si>
  <si>
    <t>5.0860000000000003</t>
  </si>
  <si>
    <t>1093Z HK</t>
  </si>
  <si>
    <t>231019XS2709496140</t>
  </si>
  <si>
    <t>HK0000937349</t>
  </si>
  <si>
    <t>HORSE GALLOP FINANCE LTD</t>
  </si>
  <si>
    <t>ICBC INTERNATIONAL HOLDINGS LTD</t>
  </si>
  <si>
    <t>3.7</t>
  </si>
  <si>
    <t>601398 CH</t>
  </si>
  <si>
    <t>231019HK0000937349</t>
  </si>
  <si>
    <t>XS2707594599</t>
  </si>
  <si>
    <t>成都温江兴蓉西城市运营集团有限公司</t>
  </si>
  <si>
    <t>CHENGDU WENJIANG XINGRONGXI CI</t>
  </si>
  <si>
    <t>1.4</t>
  </si>
  <si>
    <t>1894870D CH</t>
  </si>
  <si>
    <t>231019XS2707594599</t>
  </si>
  <si>
    <t>XS2708697342</t>
  </si>
  <si>
    <t>0</t>
  </si>
  <si>
    <t>231018XS2708697342</t>
  </si>
  <si>
    <t>XS2698426520</t>
  </si>
  <si>
    <t>西安港口控股集团有限公司</t>
  </si>
  <si>
    <t>XI'AN PORT INDUSTRIAL CO LTD</t>
  </si>
  <si>
    <t>XI'AN PORT HOLDING GROUP CO LTD</t>
  </si>
  <si>
    <t>7</t>
  </si>
  <si>
    <t>1848901D CH</t>
  </si>
  <si>
    <t>231018XS2698426520</t>
  </si>
  <si>
    <t>XS2706206476</t>
  </si>
  <si>
    <t>KY</t>
  </si>
  <si>
    <t>CHINA OVERSEAS FINANCE CAYMAN</t>
  </si>
  <si>
    <t>CHINA OVERSEAS LAND &amp; INVESTMENT LTD</t>
  </si>
  <si>
    <t>3.5</t>
  </si>
  <si>
    <t>688 HK</t>
  </si>
  <si>
    <t>Baa1/BBB+/A-</t>
  </si>
  <si>
    <t>231018XS2706206476</t>
  </si>
  <si>
    <t>XS2696043103</t>
  </si>
  <si>
    <t>邹城市城资控股集团有限公司</t>
  </si>
  <si>
    <t>ZOUCHENG CITY INVESTMENT HOLDI</t>
  </si>
  <si>
    <t>ZOUCHENG URBAN ASSETS HOLDING GROUP CO LTD</t>
  </si>
  <si>
    <t>7.8</t>
  </si>
  <si>
    <t>ZCCAOZ CH</t>
  </si>
  <si>
    <t>231018XS2696043103</t>
  </si>
  <si>
    <t>XS2706176547</t>
  </si>
  <si>
    <t>中国工商银行股份有限公司</t>
  </si>
  <si>
    <t>INDUSTRIAL &amp; COMMERCIAL BANK O</t>
  </si>
  <si>
    <t>5.375</t>
  </si>
  <si>
    <t>231018XS2706176547</t>
  </si>
  <si>
    <t>XS2699256710</t>
  </si>
  <si>
    <t>ICBC SINGAPORE</t>
  </si>
  <si>
    <t>231018XS2699256710</t>
  </si>
  <si>
    <t>XS2706208506</t>
  </si>
  <si>
    <t>4.125</t>
  </si>
  <si>
    <t>231018XS2706208506</t>
  </si>
  <si>
    <t>HK0000958584</t>
  </si>
  <si>
    <t>3.2</t>
  </si>
  <si>
    <t>GREEN</t>
  </si>
  <si>
    <t>231018HK0000958584</t>
  </si>
  <si>
    <t>XS2707583121</t>
  </si>
  <si>
    <t>青岛国信发展(集团)有限责任公司</t>
  </si>
  <si>
    <t>--/BBB/BBB+</t>
  </si>
  <si>
    <t>HAITIAN BVI INTERNATIONAL INVE</t>
  </si>
  <si>
    <t>QINGDAO CONSON DEVELOPMENT GRO</t>
  </si>
  <si>
    <t>QDAOCZ CH</t>
  </si>
  <si>
    <t>SUSTAINABLE</t>
  </si>
  <si>
    <t>231018XS2707583121</t>
  </si>
  <si>
    <t>XS2677888989</t>
  </si>
  <si>
    <t>济南历下控股集团有限公司</t>
  </si>
  <si>
    <t>JINAN LIXIA HOLDING GROUP CO L</t>
  </si>
  <si>
    <t>7.3</t>
  </si>
  <si>
    <t>231018XS2677888989</t>
  </si>
  <si>
    <t>HK0000958725</t>
  </si>
  <si>
    <t>Aa3/--/--</t>
  </si>
  <si>
    <t>4.96</t>
  </si>
  <si>
    <t>231017HK0000958725</t>
  </si>
  <si>
    <t>HK0000954559</t>
  </si>
  <si>
    <t>江苏华靖资产经营有限公司</t>
  </si>
  <si>
    <t>JIANGSU HUAJING ASSETS MANAGEM</t>
  </si>
  <si>
    <t>4.5</t>
  </si>
  <si>
    <t>0792336D CH</t>
  </si>
  <si>
    <t>231017HK0000954559</t>
  </si>
  <si>
    <t>XS2698464299</t>
  </si>
  <si>
    <t>宝应县开发投资有限公司</t>
  </si>
  <si>
    <t>BAOYING DEVELOPMENT INVESTMENT</t>
  </si>
  <si>
    <t>1.65</t>
  </si>
  <si>
    <t>1530941D CH</t>
  </si>
  <si>
    <t>231017XS2698464299</t>
  </si>
  <si>
    <t>HK0000958709</t>
  </si>
  <si>
    <t>HKCG FINANCE LTD</t>
  </si>
  <si>
    <t>HONG KONG &amp; CHINA GAS CO LTD</t>
  </si>
  <si>
    <t>4.9000000000000004</t>
  </si>
  <si>
    <t>3 HK</t>
  </si>
  <si>
    <t>A1/A-/--</t>
  </si>
  <si>
    <t>231016HK0000958709</t>
  </si>
  <si>
    <t>XS2707619768</t>
  </si>
  <si>
    <t>231016XS2707619768</t>
  </si>
  <si>
    <t>XS2707150012</t>
  </si>
  <si>
    <t>齐河城投建设集团有限公司</t>
  </si>
  <si>
    <t>SG</t>
  </si>
  <si>
    <t>SHANDONG QIHE INTERNATIONAL SI</t>
  </si>
  <si>
    <t>QIHE URBAN INVESTMENT CONSTRUCTION GROUP CO LTD</t>
  </si>
  <si>
    <t>231016XS2707150012</t>
  </si>
  <si>
    <t>XS2671498520</t>
  </si>
  <si>
    <t>6.5</t>
  </si>
  <si>
    <t>231016XS2671498520</t>
  </si>
  <si>
    <t>HK0000958378</t>
  </si>
  <si>
    <t>嘉兴市城市投资发展集团有限公司</t>
  </si>
  <si>
    <t>JIAXING CITY INVESTMENT &amp; DEVE</t>
  </si>
  <si>
    <t>4</t>
  </si>
  <si>
    <t>0795479D CH</t>
  </si>
  <si>
    <t>231016HK0000958378</t>
  </si>
  <si>
    <t>CSCIF 2.85 01/25/24</t>
  </si>
  <si>
    <t>中信建投国际 2.85 2024-01-25</t>
  </si>
  <si>
    <t>CSCIF 4.65 01/25/24</t>
  </si>
  <si>
    <t>中信建投国际 4.65 2024-01-25</t>
  </si>
  <si>
    <t>ICBCIH 3.7 10/25/24</t>
  </si>
  <si>
    <t>工银国际 3.7 2024-10-25</t>
  </si>
  <si>
    <t>A2/A-</t>
  </si>
  <si>
    <t>香港特别行政区</t>
  </si>
  <si>
    <t>ICBC International Securities Limited</t>
  </si>
  <si>
    <t>国有企业</t>
  </si>
  <si>
    <t>ICBCIH</t>
  </si>
  <si>
    <t>CDWJXR 1.4 10/25/26</t>
  </si>
  <si>
    <t>兴蓉西集团 1.4 2026-10-25</t>
  </si>
  <si>
    <t>1.70%区域</t>
  </si>
  <si>
    <t>1.4%</t>
  </si>
  <si>
    <t>上海银行股份有限公司成都分行</t>
  </si>
  <si>
    <t>Soochow Securities Company Limited;China International Capital Corporation Hong Kong Securities Limited;Industrial Bank Co., Ltd. Hong Kong Branch;BOSC International Securities Limited;China Industrial Securities International Brokerage Limited</t>
  </si>
  <si>
    <t>3.01Y</t>
  </si>
  <si>
    <t>For engineering and construction projects and replenishing working capital.</t>
  </si>
  <si>
    <t>CDWJXR</t>
  </si>
  <si>
    <t>SMBC Nikko Securities (Hong Kong) Limited;CCB International Capital Limited;Zhonghui International Securities Limited;China Enterprise Securities Company Limited;Orient Securities (Hong Kong) Limited</t>
  </si>
  <si>
    <t>BOSC International Securities Limited;Soochow Securities Company Limited;SMBC Nikko Securities (Hong Kong) Limited;Industrial Bank Co., Ltd. Hong Kong Branch;China International Capital Corporation Hong Kong Securities Limited;CCB International Capital Limited;Zhonghui International Securities Limited;China Enterprise Securities Company Limited;Orient Securities (Hong Kong) Limited;China Industrial Securities International Brokerage Limited</t>
  </si>
  <si>
    <t>CSCIF 6.7 10/18/24</t>
  </si>
  <si>
    <t>中信建投国际 6.7 2024-10-18</t>
  </si>
  <si>
    <t>0.9808</t>
  </si>
  <si>
    <t>364D</t>
  </si>
  <si>
    <t>ICBCAS 3.2 10/25/25</t>
  </si>
  <si>
    <t>中国工商银行 3.2 2025-10-25</t>
  </si>
  <si>
    <t>2.0000</t>
  </si>
  <si>
    <t>香港交易所;纳斯达克迪拜交易所;新加坡交易所;卢森堡交易所</t>
  </si>
  <si>
    <t>3.550%区域</t>
  </si>
  <si>
    <t>3.200%</t>
  </si>
  <si>
    <t>Industrial and Commercial Bank of China (Asia) Limited;Industrial and Commercial Bank of China (Macau) Limited;ICBC International Securities Limited;Industrial and Commercial Bank of China Limited, Singapore Branch;Crédit Agricole Corporate and Investment Bank;The Hongkong and Shanghai Banking Corporation Limited;Mizuho Securities Asia Limited;Standard Chartered Bank</t>
  </si>
  <si>
    <t>To finance and/or refinance Eligible Green Assets as defined in the Green Bond Framework for Industrial and Commercial Bank of China (the “Framework”)</t>
  </si>
  <si>
    <t>ICBCAS</t>
  </si>
  <si>
    <t>中国工商银行股份有限公司迪拜分行</t>
  </si>
  <si>
    <t>ABCI Capital Limited;Agricultural Bank of China Limited Hong Kong Branch;Bank of China (Hong Kong) Limited;Bank of China Limited, London Branch;Bank of Communications Co., Ltd. Hong Kong Branch;China Construction Bank (Asia) Corporation Limited;China CITIC Bank International Limited;China Everbright Bank Co., Ltd Hong Kong Branch;China International Capital Corporation Hong Kong Securities Limited;China Securities (International) Corporate Finance Company Limited;CMBC Securities Company Limited;CNCB (Hong Kong) Capital Limited</t>
  </si>
  <si>
    <t>China Everbright Bank Co., Ltd Hong Kong Branch;Industrial and Commercial Bank of China Limited, Singapore Branch;ICBC International Securities Limited;Crédit Agricole Corporate and Investment Bank;Standard Chartered Bank;Industrial and Commercial Bank of China (Macau) Limited;Bank of Communications Co., Ltd. Hong Kong Branch;The Hongkong and Shanghai Banking Corporation Limited;Bank of China Limited, London Branch;China Construction Bank (Asia) Corporation Limited;China International Capital Corporation Hong Kong Securities Limited;CNCB (Hong Kong) Capital Limited;China CITIC Bank International Limited;Industrial and Commercial Bank of China (Asia) Limited;Agricultural Bank of China Limited Hong Kong Branch;ABCI Capital Limited;Bank of China (Hong Kong) Limited;Mizuho Securities Asia Limited;CMBC Securities Company Limited;China Securities (International) Corporate Finance Company Limited</t>
  </si>
  <si>
    <t>ICBCAS 4.125 10/25/26</t>
  </si>
  <si>
    <t>中国工商银行 4.125 2026-10-25</t>
  </si>
  <si>
    <t>香港交易所;新加坡交易所;卢森堡交易所;纳斯达克迪拜交易所</t>
  </si>
  <si>
    <t>MS+80BPS区域</t>
  </si>
  <si>
    <t>Bank of China (Europe) S.A.;CLSA Limited;Crédit Agricole Corporate and Investment Bank;J.P. Morgan Securities (Asia Pacific) Limited;Natixis</t>
  </si>
  <si>
    <t>To finance and/or refinance Eligible Green Assets as defined in the Green Bond Framework of Industrial and Commercial Bank of China (the “Framework”)</t>
  </si>
  <si>
    <t>中国工商银行股份有限公司卢森堡分行</t>
  </si>
  <si>
    <t>4.125%</t>
  </si>
  <si>
    <t>ABCI Capital Limited;Bank of Communications Co., Ltd. Hong Kong Branch;China Construction Bank (Europe) S.A.;China International Capital Corporation Hong Kong Securities Limited;CMB Wing Lung Bank Limited;Commerzbank AG;HSBC Continental Europe;ICBC International Securities Limited;Industrial and Commercial Bank of China (Asia) Limited;Industrial and Commercial Bank of China Euro;MUFG Securities Asia Limited;Societe Generale;UBS AG,London Branch</t>
  </si>
  <si>
    <t>Commerzbank AG;UBS AG,London Branch;CLSA Limited;HSBC Continental Europe;Industrial and Commercial Bank of China Euro;China Construction Bank (Europe) S.A.;ICBC International Securities Limited;Crédit Agricole Corporate and Investment Bank;Bank of Communications Co., Ltd. Hong Kong Branch;MUFG Securities Asia Limited;China International Capital Corporation Hong Kong Securities Limited;Bank of China (Europe) S.A.;Industrial and Commercial Bank of China (Asia) Limited;Societe Generale;Natixis;CMB Wing Lung Bank Limited;ABCI Capital Limited;J.P. Morgan Securities (Asia Pacific) Limited</t>
  </si>
  <si>
    <t>ICBCAS 5.375 10/25/26</t>
  </si>
  <si>
    <t>中国工商银行 5.375 2026-10-25</t>
  </si>
  <si>
    <t>香港交易所;新加坡交易所;纳斯达克迪拜交易所;卢森堡交易所</t>
  </si>
  <si>
    <t>T+90BPSAREA</t>
  </si>
  <si>
    <t>T+45BPS(#)</t>
  </si>
  <si>
    <t>Industrial and Commercial Bank of China (Asia) Limited;Industrial and Commercial Bank of China Euro;Industrial and Commercial Bank of China (Macau) Limited;ICBC International Securities Limited;Industrial and Commercial Bank of China Limited, Dubai (DIFC) Branch;Industrial and Commercial Bank of China Limited, Singapore Branch;ABCI Capital Limited;Agricultural Bank of China Limited Hong Kong Branch;Bank of China (Hong Kong) Limited;Bank of China Limited;Crédit Agricole Corporate and Investment Bank;The Hongkong and Shanghai Banking Corporation Limited</t>
  </si>
  <si>
    <t>中国工商银行股份有限公司香港分行</t>
  </si>
  <si>
    <t>5.375%</t>
  </si>
  <si>
    <t>Bank of Communications Co., Ltd. Hong Kong Branch;BNP Paribas;CCB International Capital Limited;China Construction Bank (Asia) Corporation Limited;China Galaxy International Securities (Hong Kong) Co., Limited;China International Capital Corporation Hong Kong Securities Limited;China Minsheng Banking Corp., Ltd., Hong Kong Branch;China Securities (International) Corporate Finance Company Limited;CLSA Limited;CMB Wing Lung Bank Limited;CMBC Securities Company Limited;CNCB (Hong Kong) Capital Limited;DBS Bank Ltd.;Huatai Financial Holdings (Hong Kong) Limited;Industrial Bank Co., Ltd. Hong Kong Branch;Shanghai Pudong Development Bank Co., Ltd., Hong Kong Branch;Standard Chartered Bank;Wells Fargo Securities International Limited</t>
  </si>
  <si>
    <t>Wells Fargo Securities International Limited;Industrial and Commercial Bank of China Limited, Singapore Branch;CCB International Capital Limited;Crédit Agricole Corporate and Investment Bank;Industrial and Commercial Bank of China (Macau) Limited;Bank of Communications Co., Ltd. Hong Kong Branch;Industrial Bank Co., Ltd. Hong Kong Branch;China International Capital Corporation Hong Kong Securities Limited;CNCB (Hong Kong) Capital Limited;Huatai Financial Holdings (Hong Kong) Limited;Industrial and Commercial Bank of China (Asia) Limited;Bank of China (Hong Kong) Limited;CMBC Securities Company Limited;China Securities (International) Corporate Finance Company Limited;CLSA Limited;Bank of China Limited;Industrial and Commercial Bank of China Euro;China Minsheng Banking Corp., Ltd., Hong Kong Branch;ICBC International Securities Limited;Standard Chartered Bank;Industrial and Commercial Bank of China Limited, Dubai (DIFC) Branch;The Hongkong and Shanghai Banking Corporation Limited;China Construction Bank (Asia) Corporation Limited;China Galaxy International Securities (Hong Kong) Co., Limited;Agricultural Bank of China Limited Hong Kong Branch;CMB Wing Lung Bank Limited;DBS Bank Ltd.;Shanghai Pudong Development Bank Co., Ltd., Hong Kong Branch;ABCI Capital Limited;BNP Paribas</t>
  </si>
  <si>
    <t>ICBCAS FLOAT 10/25/26</t>
  </si>
  <si>
    <t>中国工商银行 FLOAT 2026-10-25</t>
  </si>
  <si>
    <t>COMPOUNDEDSOFR+105BPS区域</t>
  </si>
  <si>
    <t>COMPOUNDEDSOFR+60BPS</t>
  </si>
  <si>
    <t>Agricultural Bank of China Limited Hong Kong Branch;Agricultural Bank of China Limited Macao Branch;Agricultural Bank of China Limited, Singapore Branch;Bank of China Limited, Singapore Branch;China Construction Bank (Asia) Corporation Limited;China Construction Bank Corporation, Singapore Branch;Crédit Agricole Corporate and Investment Bank, Singapore Branch;DBS Bank Ltd;ICBC International Securities Limited;Industrial and Commercial Bank of China (Asia) Limited;Industrial and Commercial Bank of China Limited, Dubai (DIFC) Branch;Industrial and Commercial Bank of China (Macau) Limited;Industrial and Commercial Bank of China Limited, Singapore Branch;Mizuho Securities Asia Limited;Standard Chartered Bank (Singapore) Limited</t>
  </si>
  <si>
    <t>SOFRIX + 60.000</t>
  </si>
  <si>
    <t>中国工商银行股份有限公司新加坡分行</t>
  </si>
  <si>
    <t>Compounded SOFR + 60bps</t>
  </si>
  <si>
    <t>ABCI Capital Limited;Australia and New Zealand Banking Group Limited;China CITIC Bank International Limited;China Everbright Bank Co., Ltd Hong Kong Branch;China Galaxy International Securities (Hong Kong) Co., Limited;China International Capital Corporation Hong Kong Securities Limited;China Merchants Bank Co., Ltd. Hong Kong Branch;China Minsheng Banking Corp., Ltd., Hong Kong Branch;China Securities (International) Corporate Finance Company Limited;Chiyu Banking Corporation Limited;CLSA Singapore Pte Ltd;CMB Wing Lung Bank Limited;CMBC Securities Company Limited;CNCB (Hong Kong) Capital Limited;Emirates NBD Bank PJSC;Guotai Junan Securities (Hong Kong) Limited;The Hongkong and Shanghai Banking Corporation Limited;Huatai Financial Holdings (Hong Kong) Limited;Hua Xia Bank Co., Limited Hong Kong Branch;Industrial Bank Co., Ltd. Hong Kong Branch;MUFG Securities Asia Limited;Natixis;Oversea-Chinese Banking Corporation Limited;Shanghai Pudong Development Bank Co., Ltd., Hong Kong Branch;United Overseas Bank Limited</t>
  </si>
  <si>
    <t>China Construction Bank Corporation, Singapore Branch;Industrial and Commercial Bank of China Limited, Singapore Branch;China Merchants Bank Co., Ltd. Hong Kong Branch;Industrial and Commercial Bank of China (Macau) Limited;Industrial Bank Co., Ltd. Hong Kong Branch;DBS Bank Ltd;China International Capital Corporation Hong Kong Securities Limited;CNCB (Hong Kong) Capital Limited;Huatai Financial Holdings (Hong Kong) Limited;Industrial and Commercial Bank of China (Asia) Limited;Guotai Junan Securities (Hong Kong) Limited;Natixis;Agricultural Bank of China Limited, Singapore Branch;Oversea-Chinese Banking Corporation Limited;Mizuho Securities Asia Limited;CMBC Securities Company Limited;China Securities (International) Corporate Finance Company Limited;Chiyu Banking Corporation Limited;Agricultural Bank of China Limited Macao Branch;China Everbright Bank Co., Ltd Hong Kong Branch;China Minsheng Banking Corp., Ltd., Hong Kong Branch;ICBC International Securities Limited;United Overseas Bank Limited;Australia and New Zealand Banking Group Limited;Crédit Agricole Corporate and Investment Bank, Singapore Branch;The Hongkong and Shanghai Banking Corporation Limited;Hua Xia Bank Co., Limited Hong Kong Branch;Industrial and Commercial Bank of China Limited, Dubai (DIFC) Branch;MUFG Securities Asia Limited;China Construction Bank (Asia) Corporation Limited;China CITIC Bank International Limited;CLSA Singapore Pte Ltd;China Galaxy International Securities (Hong Kong) Co., Limited;Agricultural Bank of China Limited Hong Kong Branch;CMB Wing Lung Bank Limited;Emirates NBD Bank PJSC;Shanghai Pudong Development Bank Co., Ltd., Hong Kong Branch;ABCI Capital Limited;Bank of China Limited, Singapore Branch;Standard Chartered Bank (Singapore) Limited</t>
  </si>
  <si>
    <t>浮动利率</t>
  </si>
  <si>
    <t>M3</t>
  </si>
  <si>
    <t>CHIOLI 3.5 10/25/26</t>
  </si>
  <si>
    <t>中国海外发展 3.5 2026-10-25</t>
  </si>
  <si>
    <t>Baa1/BBB+</t>
  </si>
  <si>
    <t>负面/稳定</t>
  </si>
  <si>
    <t>香港岛</t>
  </si>
  <si>
    <t>DBS Bank (Hong Kong) Limited</t>
  </si>
  <si>
    <t>房地产开发</t>
  </si>
  <si>
    <t>国有相对控股企业</t>
  </si>
  <si>
    <t>CHIOLI</t>
  </si>
  <si>
    <t>CHINA OVERSEAS FINANCE CAYMAN VIII LTD</t>
  </si>
  <si>
    <t>ABCI Capital Limited;Bank of Communications Co., Ltd. Hong Kong Branch;BOCI Asia Limited;CMB Wing Lung Bank Limited;CMBC Securities Company Limited;Guotai Junan Securities (Hong Kong) Limited;Luso International Banking Limited</t>
  </si>
  <si>
    <t>Luso International Banking Limited;Bank of Communications Co., Ltd. Hong Kong Branch;Guotai Junan Securities (Hong Kong) Limited;CMB Wing Lung Bank Limited;ABCI Capital Limited;BOCI Asia Limited;DBS Bank (Hong Kong) Limited;CMBC Securities Company Limited</t>
  </si>
  <si>
    <t>JINLIX 7.3 10/26/26</t>
  </si>
  <si>
    <t>历下控股 7.3 2026-10-26</t>
  </si>
  <si>
    <t>7.7%区域</t>
  </si>
  <si>
    <t>7.3%</t>
  </si>
  <si>
    <t>济南市</t>
  </si>
  <si>
    <t>历下区</t>
  </si>
  <si>
    <t>China International Capital Corporation Hong Kong Securities Limited;CLSA Securities Limited;Zhongtai International Securities Limited;BOCOM International Securities Limited</t>
  </si>
  <si>
    <t>Repayment of the principal amount of the Issuer’s medium- and long-term offshore bonds due December 2023 in accordance with the Issuer’s Green Finance Framework to refinance the Eligible Green Projects</t>
  </si>
  <si>
    <t>JINLIX</t>
  </si>
  <si>
    <t>Shenwan Hongyuan Securities (H.K.) Limited;Hua Xia Bank Co., Limited Hong Kong Branch;Industrial Bank Co., Ltd. Hong Kong Branch;Haitong Bank SA;CNCB (Hong Kong) Capital Limited;China Zheshang Bank Co., Ltd. Hong Kong Branch;Huatai Financial Holdings (Hong Kong) Limited;CCB International Capital Limited;China Galaxy International Securities (Hong Kong) Company Limited</t>
  </si>
  <si>
    <t>Shenwan Hongyuan Securities (H.K.) Limited;CCB International Capital Limited;China Galaxy International Securities (Hong Kong) Company Limited;CLSA Securities Limited;Zhongtai International Securities Limited;Hua Xia Bank Co., Limited Hong Kong Branch;Industrial Bank Co., Ltd. Hong Kong Branch;Haitong Bank SA;BOCOM International Securities Limited;CNCB (Hong Kong) Capital Limited;China International Capital Corporation Hong Kong Securities Limited;China Zheshang Bank Co., Ltd. Hong Kong Branch;Huatai Financial Holdings (Hong Kong) Limited</t>
  </si>
  <si>
    <t>XIAPRT 7 10/26/26</t>
  </si>
  <si>
    <t>西安港口控股 7 2026-10-26</t>
  </si>
  <si>
    <t>TF International Securities Group Limited</t>
  </si>
  <si>
    <t>港口</t>
  </si>
  <si>
    <t>XIAPRT</t>
  </si>
  <si>
    <t>DBS Bank China Ltd;Global Prosperity Financial Company Limited;Huatai Financial Holdings (Hong Kong) Limited;Shenwan Hongyuan Securities (H.K.) Limited;SPDB International Capital Limited</t>
  </si>
  <si>
    <t>Shenwan Hongyuan Securities (H.K.) Limited;DBS Bank China Ltd;Huatai Financial Holdings (Hong Kong) Limited;Global Prosperity Financial Company Limited;SPDB International Capital Limited;TF International Securities Group Limited</t>
  </si>
  <si>
    <t>ZCCZKG 7.8 10/22/24</t>
  </si>
  <si>
    <t>邹城城资 7.8 2024-10-22</t>
  </si>
  <si>
    <t>7.8%</t>
  </si>
  <si>
    <t>济宁市</t>
  </si>
  <si>
    <t>邹城市</t>
  </si>
  <si>
    <t>Excellent Tide Securities Limited;Valuable Capital Limited</t>
  </si>
  <si>
    <t>1.0Y</t>
  </si>
  <si>
    <t>Repayment of bonds and replenishment of working capital of the Group</t>
  </si>
  <si>
    <t>ZCCZKG</t>
  </si>
  <si>
    <t>邹城城投控股国际有限公司</t>
  </si>
  <si>
    <t>7.8 %</t>
  </si>
  <si>
    <t>Zhongtai International;AMC Wanhai Securities Ltd</t>
  </si>
  <si>
    <t>Zhongtai International;Valuable Capital Limited;AMC Wanhai Securities Ltd;Excellent Tide Securities Limited</t>
  </si>
  <si>
    <t>CONSON 7 10/25/26</t>
  </si>
  <si>
    <t>青岛国信 7 2026-10-25</t>
  </si>
  <si>
    <t>--/BBB</t>
  </si>
  <si>
    <t>--/稳定</t>
  </si>
  <si>
    <t>7.6%区域</t>
  </si>
  <si>
    <t>7%</t>
  </si>
  <si>
    <t>维好协议</t>
  </si>
  <si>
    <t>青岛市</t>
  </si>
  <si>
    <t>Industrial Bank Co., Ltd. Hong Kong Branch;CNCB (Hong Kong) Capital Limited;BOCI Asia Limited</t>
  </si>
  <si>
    <t>Refinancing existing offshore indebtedness of the Company in accordance with the Company’s Sustainable Finance Framework</t>
  </si>
  <si>
    <t>CONSON</t>
  </si>
  <si>
    <t>HAITIAN (BVI) INTERNATIONAL INVESTMENT DEVELOPMENT LIMITED</t>
  </si>
  <si>
    <t>Bank of China Limited;China Galaxy International Securities (Hong Kong) Company Limited;GF Securities (Hong Kong) Brokerage Limited;CLSA Securities Limited;China Industrial Securities International Brokerage Limited;Zhongtai International;Huatai Financial Holdings (Hong Kong) Limited;Guotai Junan Securities (Hong Kong) Limited;CMB Wing Lung Bank Limited;CMBC Securities Company Limited</t>
  </si>
  <si>
    <t>Bank of China Limited;China Galaxy International Securities (Hong Kong) Company Limited;GF Securities (Hong Kong) Brokerage Limited;CLSA Securities Limited;BOCI Asia Limited;China Industrial Securities International Brokerage Limited;Zhongtai International;Industrial Bank Co., Ltd. Hong Kong Branch;CNCB (Hong Kong) Capital Limited;Huatai Financial Holdings (Hong Kong) Limited;Guotai Junan Securities (Hong Kong) Limited;CMB Wing Lung Bank Limited;CMBC Securities Company Limited</t>
  </si>
  <si>
    <t>BYDICO 1.65 10/25/26</t>
  </si>
  <si>
    <t>宝应开投 1.65 2026-10-25</t>
  </si>
  <si>
    <t>1.80%区域</t>
  </si>
  <si>
    <t>1.65%</t>
  </si>
  <si>
    <t>江苏银行股份有限公司扬州分行</t>
  </si>
  <si>
    <t>扬州市</t>
  </si>
  <si>
    <t>宝应县</t>
  </si>
  <si>
    <t>Orient Securities (Hong Kong) Limited</t>
  </si>
  <si>
    <t>Project construction and replenishing working capital</t>
  </si>
  <si>
    <t>BYDICO</t>
  </si>
  <si>
    <t>Shenwan Hongyuan Securities (H.K.) Limited;SMBC Nikko Securities (Hong Kong) Limited;Industrial Bank Co., Ltd. Hong Kong Branch;CNCB (Hong Kong) Capital Limited;Huatai Financial Holdings (Hong Kong) Limited;Shanghai Pudong Development Bank Hong Kong Branch;CLSA Securities Limited;China Industrial Securities International Brokerage Limited</t>
  </si>
  <si>
    <t>Shenwan Hongyuan Securities (H.K.) Limited;SMBC Nikko Securities (Hong Kong) Limited;Industrial Bank Co., Ltd. Hong Kong Branch;CNCB (Hong Kong) Capital Limited;Huatai Financial Holdings (Hong Kong) Limited;Orient Securities (Hong Kong) Limited;Shanghai Pudong Development Bank Hong Kong Branch;CLSA Securities Limited;China Industrial Securities International Brokerage Limited</t>
  </si>
  <si>
    <t>JSHJZC 4.5 10/24/26</t>
  </si>
  <si>
    <t>江苏华靖 4.5 2026-10-24</t>
  </si>
  <si>
    <t>泰州市</t>
  </si>
  <si>
    <t>靖江市</t>
  </si>
  <si>
    <t>Huatai Financial Holdings (Hong Kong) Limited</t>
  </si>
  <si>
    <t>In order to promote the rural vitalization, the net proceeds will be used for procurement of food trading business and replenishment of working capital</t>
  </si>
  <si>
    <t>JSHJZC</t>
  </si>
  <si>
    <t>4.50%</t>
  </si>
  <si>
    <t>China Credit International Securities Co., Limited;Zhongtai International;Industrial Bank Co., Ltd. Hong Kong Branch;Hua Xia Bank Co., Limited Hong Kong Branch;China CITIC Bank International Limited;Guotai Junan Securities (Hong Kong) Limited;Orient Securities (Hong Kong) Limited;ABCI Capital Limited;China Industrial Securities International Brokerage Limited</t>
  </si>
  <si>
    <t>China Credit International Securities Co., Limited;Zhongtai International;Industrial Bank Co., Ltd. Hong Kong Branch;Hua Xia Bank Co., Limited Hong Kong Branch;China CITIC Bank International Limited;Huatai Financial Holdings (Hong Kong) Limited;Guotai Junan Securities (Hong Kong) Limited;Orient Securities (Hong Kong) Limited;ABCI Capital Limited;China Industrial Securities International Brokerage Limited</t>
  </si>
  <si>
    <t>SHARAO 6.5 10/18/26</t>
  </si>
  <si>
    <t>上饶城投 6.5 2026-10-18</t>
  </si>
  <si>
    <t>6.50%(#)</t>
  </si>
  <si>
    <t>北京银行股份有限公司南昌分行</t>
  </si>
  <si>
    <t>GF Securities (Hong Kong) Brokerage Limited;CLSA Securities Limited;China CITIC Bank International Limited</t>
  </si>
  <si>
    <t>2.99Y</t>
  </si>
  <si>
    <t>6.50%</t>
  </si>
  <si>
    <t>Industrial Bank Co., Ltd. Hong Kong Branch;Hua Xia Bank Co., Limited Hong Kong Branch;CNCB (Hong Kong) Capital Limited;China Zheshang Bank Co., Ltd. Hong Kong Branch;CCB International Capital Limited;Guotai Junan Securities (Hong Kong) Limited</t>
  </si>
  <si>
    <t>Industrial Bank Co., Ltd. Hong Kong Branch;Hua Xia Bank Co., Limited Hong Kong Branch;CNCB (Hong Kong) Capital Limited;China Zheshang Bank Co., Ltd. Hong Kong Branch;CCB International Capital Limited;China CITIC Bank International Limited;Guotai Junan Securities (Hong Kong) Limited;GF Securities (Hong Kong) Brokerage Limited;CLSA Securities Limited</t>
  </si>
  <si>
    <t>CSCIF 4.8 01/19/24</t>
  </si>
  <si>
    <t>中信建投国际 4.8 2024-01-19</t>
  </si>
  <si>
    <t>0.2493</t>
  </si>
  <si>
    <t>JXCCMZ 4 10/20/26</t>
  </si>
  <si>
    <t>嘉城集团 4 2026-10-20</t>
  </si>
  <si>
    <t>Baa2/--</t>
  </si>
  <si>
    <t>稳定/--</t>
  </si>
  <si>
    <t>4.2%区域</t>
  </si>
  <si>
    <t>4% </t>
  </si>
  <si>
    <t>浙江省</t>
  </si>
  <si>
    <t>嘉兴市</t>
  </si>
  <si>
    <t>CLSA Securities Limited;CNCB (Hong Kong) Capital Limited;China Securities (International) Corporate Finance Company Limited</t>
  </si>
  <si>
    <t>燃气</t>
  </si>
  <si>
    <t>3.0Y</t>
  </si>
  <si>
    <t>For refinancing outstanding offshore indebtedness in accordance with the Pre-issuance Certificate</t>
  </si>
  <si>
    <t>JXCCMZ</t>
  </si>
  <si>
    <t>Hua Xia Bank Co., Limited Hong Kong Branch;Industrial Bank Co., Ltd. Hong Kong Branch;CEB International Capital Corporation Limited;China CITIC Bank International Limited;Industrial and Commercial Bank of China (Asia) Limited;Guotai Junan Securities (Hong Kong) Limited;GF Securities (Hong Kong) Brokerage Limited;SunRiver International Securities Group Limited;CMBC Securities Company Limited</t>
  </si>
  <si>
    <t>Hua Xia Bank Co., Limited Hong Kong Branch;Industrial Bank Co., Ltd. Hong Kong Branch;CNCB (Hong Kong) Capital Limited;CEB International Capital Corporation Limited;China CITIC Bank International Limited;Industrial and Commercial Bank of China (Asia) Limited;Guotai Junan Securities (Hong Kong) Limited;GF Securities (Hong Kong) Brokerage Limited;SunRiver International Securities Group Limited;CLSA Securities Limited;CMBC Securities Company Limited;China Securities (International) Corporate Finance Company Limited</t>
  </si>
  <si>
    <t>QHURGR 7.8 10/24/26</t>
  </si>
  <si>
    <t>齐河城建 7.8 2026-10-24</t>
  </si>
  <si>
    <t>7.8%区域</t>
  </si>
  <si>
    <t>德州市</t>
  </si>
  <si>
    <t>齐河县</t>
  </si>
  <si>
    <t>Shenwan Hongyuan Securities (H.K.) Limited;Golden Rich Securities Limited</t>
  </si>
  <si>
    <t>For financing the Qihe County Intelligent Industrial Park Construction Project and replenishing the working capital</t>
  </si>
  <si>
    <t>QHURGR</t>
  </si>
  <si>
    <t>SHANDONG QIHE INTERNATIONAL (SINGAPORE) PTE. LTD.</t>
  </si>
  <si>
    <t>China Galaxy International Securities (Hong Kong) Co., Limited;Glory Profit Capital Limited;China Enterprise Securities Company Limited;Haitong International Securities Company Limited;Weshine Securities Company Limited;Zhonghui International Securities Limited</t>
  </si>
  <si>
    <t>Golden Rich Securities Limited;Shenwan Hongyuan Securities (H.K.) Limited;Glory Profit Capital Limited;Zhonghui International Securities Limited;China Galaxy International Securities (Hong Kong) Co., Limited;China Enterprise Securities Company Limited;Weshine Securities Company Limited;Haitong International Securities Company Limited</t>
  </si>
  <si>
    <t>有FPG</t>
  </si>
  <si>
    <t>兴蓉西</t>
  </si>
  <si>
    <t>青岛国信</t>
  </si>
  <si>
    <t>邹城城资</t>
  </si>
  <si>
    <t>西安港口</t>
  </si>
  <si>
    <t>历下控股</t>
  </si>
  <si>
    <t>中国海外</t>
  </si>
  <si>
    <t>江苏华靖</t>
  </si>
  <si>
    <t>嘉城集团</t>
  </si>
  <si>
    <t>2.85%</t>
  </si>
  <si>
    <t>1.7%a</t>
  </si>
  <si>
    <t>4.65%</t>
  </si>
  <si>
    <t>SUSTAINABLE可持续债券</t>
  </si>
  <si>
    <t>7.6%a</t>
  </si>
  <si>
    <t>GREEN绿色债券</t>
  </si>
  <si>
    <t>7.7%a</t>
  </si>
  <si>
    <t>3.5%</t>
  </si>
  <si>
    <t xml:space="preserve"> 绿色债券</t>
  </si>
  <si>
    <t>T+90BPSARE区域</t>
  </si>
  <si>
    <t>港交所;新交所;卢交所;迪拜</t>
  </si>
  <si>
    <t>香港分行</t>
  </si>
  <si>
    <t>T</t>
  </si>
  <si>
    <t>T+90a</t>
  </si>
  <si>
    <t>T+45</t>
  </si>
  <si>
    <t>新加坡分行</t>
  </si>
  <si>
    <t>SOFR</t>
  </si>
  <si>
    <t>浮息</t>
  </si>
  <si>
    <t>卢森堡分行</t>
  </si>
  <si>
    <t>MS+80a</t>
  </si>
  <si>
    <t>迪拜分行</t>
  </si>
  <si>
    <t>3.55%a</t>
  </si>
  <si>
    <t>3.2%</t>
  </si>
  <si>
    <t>6.7%</t>
  </si>
  <si>
    <t>359天</t>
  </si>
  <si>
    <t>4.5%</t>
  </si>
  <si>
    <t>1.8%a</t>
  </si>
  <si>
    <t xml:space="preserve"> 点心债</t>
  </si>
  <si>
    <t>0.2</t>
  </si>
  <si>
    <t>A2/A-/--</t>
  </si>
  <si>
    <t>Reach</t>
  </si>
  <si>
    <t>III</t>
  </si>
  <si>
    <t>Lead</t>
  </si>
  <si>
    <t>嘉兴城投</t>
  </si>
  <si>
    <t>MS+60</t>
  </si>
  <si>
    <t>MS</t>
  </si>
  <si>
    <t>济南历下</t>
  </si>
  <si>
    <t>成都兴蓉西集团</t>
  </si>
  <si>
    <t>Reach III</t>
  </si>
  <si>
    <t>23/10/24 9:00</t>
  </si>
  <si>
    <t>XS2708692202</t>
  </si>
  <si>
    <t>GUOTAI JUNAN I</t>
  </si>
  <si>
    <t>6.1</t>
  </si>
  <si>
    <t>1788 HK</t>
  </si>
  <si>
    <t>231020XS2708692202</t>
  </si>
  <si>
    <t>XS2709970151</t>
  </si>
  <si>
    <t>招银金融租赁有限公司</t>
  </si>
  <si>
    <t>A2/BBB+/--</t>
  </si>
  <si>
    <t>CMB INTERNATIONAL LEASING MANA</t>
  </si>
  <si>
    <t>CMB FINANCIAL LEASING CO LTD</t>
  </si>
  <si>
    <t>6.0360098058986864</t>
  </si>
  <si>
    <t>600036 CH</t>
  </si>
  <si>
    <t>A2/BBB+/A-u</t>
  </si>
  <si>
    <t>231020XS2709970151</t>
  </si>
  <si>
    <t>XS2707600586</t>
  </si>
  <si>
    <t>宁国市国有资本控股集团有限公司</t>
  </si>
  <si>
    <t>NINGGUO STATE OWNED CAPITAL HO</t>
  </si>
  <si>
    <t>7.9</t>
  </si>
  <si>
    <t>231020XS2707600586</t>
  </si>
  <si>
    <t>XS2697243827</t>
  </si>
  <si>
    <t>济南高新控股集团有限公司</t>
  </si>
  <si>
    <t>JINAN HI-TECH INTERNATIONAL CA</t>
  </si>
  <si>
    <t>JINAN HI-TECH HOLDING GROUP CO LTD</t>
  </si>
  <si>
    <t>7.4</t>
  </si>
  <si>
    <t>0892902D CH</t>
  </si>
  <si>
    <t>231020XS2697243827</t>
  </si>
  <si>
    <t>A1/--/--</t>
  </si>
  <si>
    <t>5.9352394848923735</t>
  </si>
  <si>
    <t>93D</t>
  </si>
  <si>
    <t>GUOTJU 6.1 04/26/24</t>
  </si>
  <si>
    <t>国泰君安国际 6.1 2024-04-26</t>
  </si>
  <si>
    <t>Baa2/BBB+</t>
  </si>
  <si>
    <t>0.4986</t>
  </si>
  <si>
    <t>Guotai Junan Securities (Hong Kong) Limited</t>
  </si>
  <si>
    <t>证券</t>
  </si>
  <si>
    <t>185D</t>
  </si>
  <si>
    <t>GUOTJU</t>
  </si>
  <si>
    <t>GUOTAI JUNAN INTERNATIONAL HOLDINGS LTD</t>
  </si>
  <si>
    <t>NGSCHG 7.9 10/27/26</t>
  </si>
  <si>
    <t>宁国国控 7.9 2026-10-27</t>
  </si>
  <si>
    <t>安徽省</t>
  </si>
  <si>
    <t>宣城市</t>
  </si>
  <si>
    <t>宁国市</t>
  </si>
  <si>
    <t>DBS Bank Ltd</t>
  </si>
  <si>
    <t>NGSCHG</t>
  </si>
  <si>
    <t>CMINLE 6.034840721 04/29/24</t>
  </si>
  <si>
    <t>招银租赁 6.034840721 2024-04-29</t>
  </si>
  <si>
    <t>A3/BBB+</t>
  </si>
  <si>
    <t>正面/正面</t>
  </si>
  <si>
    <t>0.5041</t>
  </si>
  <si>
    <t>上海市</t>
  </si>
  <si>
    <t>浦东新区</t>
  </si>
  <si>
    <t>CMB International Finance Ltd</t>
  </si>
  <si>
    <t>188D</t>
  </si>
  <si>
    <t>CMINLE</t>
  </si>
  <si>
    <t>O/N SOFR +70.000</t>
  </si>
  <si>
    <t>CMB INTERNATIONAL LEASING MANAGEMENT LTD</t>
  </si>
  <si>
    <t>JNHITE 7.4 10/27/26</t>
  </si>
  <si>
    <t>济高控股 7.4 2026-10-27</t>
  </si>
  <si>
    <t>7.4%(THE#)</t>
  </si>
  <si>
    <t>济南高新区</t>
  </si>
  <si>
    <t>China International Capital Corporation Hong Kong Securities Limited;Guotai Junan Securities (Hong Kong) Limited;CNCB (Hong Kong) Capital Limited;ICBC International Securities Limited;CCB International Capital Limited;Shenwan Hongyuan Securities (H.K.) Limited;Industrial Bank Co., Ltd. Hong Kong Branch</t>
  </si>
  <si>
    <t>商业物业经营</t>
  </si>
  <si>
    <t>Repayment of the Issuer’s medium- and long-term offshore bonds due within one year, funding construction projects and general working capital in accordance with the Green Finance Framework</t>
  </si>
  <si>
    <t>JNHITE</t>
  </si>
  <si>
    <t>济南国际(开曼)投资发展有限公司</t>
  </si>
  <si>
    <t>7.4%</t>
  </si>
  <si>
    <t>CHINA EVERBRIGHT SECURITIES (HK) LIMITED;Bank of China Limited;China Galaxy International Securities (Hong Kong) Company Limited;Orient Securities (Hong Kong) Limited;Dongxing Securities (Hong Kong) Company Limited;CLSA Securities Limited;CMB International Capital Limited;BOCOM International Securities Limited;Huatai Financial Holdings (Hong Kong) Limited;China Securities (International) Corporate Finance Company Limited;Haitong International Securities Company Limited;China Zheshang Bank Co., Ltd. Hong Kong Branch;SPDB International Capital Limited</t>
  </si>
  <si>
    <t>CHINA EVERBRIGHT SECURITIES (HK) LIMITED;Bank of China Limited;Shenwan Hongyuan Securities (H.K.) Limited;ICBC International Securities Limited;CCB International Capital Limited;China Galaxy International Securities (Hong Kong) Company Limited;Orient Securities (Hong Kong) Limited;Dongxing Securities (Hong Kong) Company Limited;CLSA Securities Limited;SPDB International Capital Limited;CMB International Capital Limited;Industrial Bank Co., Ltd. Hong Kong Branch;BOCOM International Securities Limited;China International Capital Corporation Hong Kong Securities Limited;CNCB (Hong Kong) Capital Limited;Huatai Financial Holdings (Hong Kong) Limited;China Zheshang Bank Co., Ltd. Hong Kong Branch;Guotai Junan Securities (Hong Kong) Limited;China Securities (International) Corporate Finance Company Limited;Haitong International Securities Company Limited</t>
  </si>
  <si>
    <t>温江区</t>
  </si>
  <si>
    <t>360D</t>
  </si>
  <si>
    <t>2.0Y</t>
  </si>
  <si>
    <t>2.98Y</t>
  </si>
  <si>
    <t>87D</t>
  </si>
  <si>
    <t>70</t>
  </si>
  <si>
    <t>SOFR+70</t>
  </si>
  <si>
    <t>0.5</t>
  </si>
  <si>
    <t>6个月</t>
  </si>
  <si>
    <t>7.9%</t>
  </si>
  <si>
    <t>6.1%</t>
  </si>
  <si>
    <t>宁国国控</t>
  </si>
  <si>
    <t xml:space="preserve">Gold Valley </t>
  </si>
  <si>
    <t>VIII</t>
  </si>
  <si>
    <t>Baa2/--/BBB</t>
  </si>
  <si>
    <t>2023/10/30</t>
  </si>
  <si>
    <t>IS_KYC_DONE</t>
  </si>
  <si>
    <t>Gold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</si>
</sst>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65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36"/>
      <color theme="0"/>
      <name val="Microsoft JhengHei UI"/>
      <family val="2"/>
      <scheme val="minor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sz val="24"/>
      <color rgb="FF0000FF"/>
      <name val="Microsoft JhengHei UI"/>
      <family val="2"/>
    </font>
    <font>
      <sz val="16"/>
      <color rgb="FF008080"/>
      <name val="Microsoft JhengHei UI"/>
      <family val="2"/>
    </font>
    <font>
      <sz val="24"/>
      <color rgb="FF000080"/>
      <name val="Microsoft JhengHei UI"/>
      <family val="2"/>
    </font>
    <font>
      <sz val="12"/>
      <color rgb="FF888AA6"/>
      <name val="Microsoft JhengHei UI"/>
      <family val="2"/>
      <scheme val="minor"/>
    </font>
    <font>
      <b/>
      <sz val="12"/>
      <color rgb="FFC2B59B"/>
      <name val="Microsoft JhengHei UI"/>
      <family val="2"/>
      <scheme val="minor"/>
    </font>
    <font>
      <sz val="8"/>
      <color rgb="FF888AA6"/>
      <name val="Microsoft JhengHei U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69E62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</borders>
  <cellStyleXfs count="10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21" fillId="0" borderId="0"/>
    <xf numFmtId="0" fontId="25" fillId="14" borderId="5" applyNumberFormat="0" applyAlignment="0" applyProtection="0"/>
    <xf numFmtId="0" fontId="28" fillId="14" borderId="6" applyNumberFormat="0" applyAlignment="0" applyProtection="0"/>
    <xf numFmtId="0" fontId="56" fillId="17" borderId="10" applyNumberFormat="0" applyAlignment="0" applyProtection="0"/>
  </cellStyleXfs>
  <cellXfs count="155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2" fillId="3" borderId="0" xfId="0" applyFont="1" applyFill="1"/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6" fillId="3" borderId="0" xfId="0" applyFont="1" applyFill="1" applyAlignment="1">
      <alignment vertical="center"/>
    </xf>
    <xf numFmtId="14" fontId="0" fillId="3" borderId="0" xfId="0" applyNumberFormat="1" applyFill="1"/>
    <xf numFmtId="0" fontId="20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13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0" fillId="3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6" fillId="3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22" fillId="3" borderId="0" xfId="0" applyFont="1" applyFill="1" applyAlignment="1">
      <alignment vertical="center"/>
    </xf>
    <xf numFmtId="0" fontId="23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0" fontId="30" fillId="14" borderId="8" xfId="8" applyFont="1" applyBorder="1" applyAlignment="1" applyProtection="1">
      <alignment horizontal="center" vertical="center"/>
      <protection locked="0"/>
    </xf>
    <xf numFmtId="0" fontId="24" fillId="3" borderId="0" xfId="0" applyFont="1" applyFill="1" applyAlignment="1" applyProtection="1">
      <alignment wrapText="1"/>
      <protection locked="0"/>
    </xf>
    <xf numFmtId="0" fontId="24" fillId="3" borderId="0" xfId="0" applyFont="1" applyFill="1" applyAlignment="1" applyProtection="1">
      <alignment vertical="center" wrapText="1"/>
      <protection locked="0"/>
    </xf>
    <xf numFmtId="0" fontId="30" fillId="14" borderId="8" xfId="8" applyFont="1" applyBorder="1" applyAlignment="1" applyProtection="1">
      <alignment horizontal="center" vertical="center" wrapText="1"/>
      <protection locked="0"/>
    </xf>
    <xf numFmtId="0" fontId="29" fillId="3" borderId="0" xfId="0" applyFont="1" applyFill="1" applyAlignment="1">
      <alignment vertical="center"/>
    </xf>
    <xf numFmtId="0" fontId="29" fillId="3" borderId="0" xfId="0" applyFont="1" applyFill="1" applyAlignment="1">
      <alignment horizontal="left" vertical="center"/>
    </xf>
    <xf numFmtId="0" fontId="35" fillId="3" borderId="0" xfId="0" applyFont="1" applyFill="1" applyAlignment="1" applyProtection="1">
      <alignment horizontal="center" wrapText="1"/>
      <protection locked="0"/>
    </xf>
    <xf numFmtId="0" fontId="35" fillId="3" borderId="0" xfId="0" applyFont="1" applyFill="1" applyAlignment="1" applyProtection="1">
      <alignment horizontal="center" vertical="center"/>
      <protection locked="0"/>
    </xf>
    <xf numFmtId="0" fontId="37" fillId="3" borderId="0" xfId="0" applyFont="1" applyFill="1"/>
    <xf numFmtId="0" fontId="38" fillId="3" borderId="0" xfId="0" applyFont="1" applyFill="1"/>
    <xf numFmtId="0" fontId="39" fillId="3" borderId="0" xfId="0" applyFont="1" applyFill="1"/>
    <xf numFmtId="164" fontId="30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0" fillId="3" borderId="0" xfId="0" applyFont="1" applyFill="1" applyAlignment="1">
      <alignment horizontal="center"/>
    </xf>
    <xf numFmtId="164" fontId="0" fillId="0" borderId="0" xfId="0" applyNumberFormat="1"/>
    <xf numFmtId="167" fontId="19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39" fillId="3" borderId="0" xfId="0" applyNumberFormat="1" applyFont="1" applyFill="1"/>
    <xf numFmtId="164" fontId="40" fillId="3" borderId="0" xfId="0" applyNumberFormat="1" applyFont="1" applyFill="1" applyAlignment="1">
      <alignment horizontal="center"/>
    </xf>
    <xf numFmtId="164" fontId="38" fillId="3" borderId="0" xfId="0" applyNumberFormat="1" applyFont="1" applyFill="1"/>
    <xf numFmtId="0" fontId="41" fillId="5" borderId="2" xfId="0" applyFont="1" applyFill="1" applyBorder="1" applyAlignment="1">
      <alignment horizontal="center" vertical="center" wrapText="1"/>
    </xf>
    <xf numFmtId="0" fontId="42" fillId="3" borderId="0" xfId="0" applyFont="1" applyFill="1"/>
    <xf numFmtId="0" fontId="43" fillId="3" borderId="0" xfId="0" applyFont="1" applyFill="1"/>
    <xf numFmtId="0" fontId="44" fillId="3" borderId="0" xfId="0" applyFont="1" applyFill="1"/>
    <xf numFmtId="0" fontId="45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46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47" fillId="8" borderId="0" xfId="0" applyFont="1" applyFill="1"/>
    <xf numFmtId="0" fontId="2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Alignment="1">
      <alignment vertical="center"/>
    </xf>
    <xf numFmtId="164" fontId="29" fillId="12" borderId="0" xfId="0" applyNumberFormat="1" applyFont="1" applyFill="1" applyAlignment="1">
      <alignment vertical="center"/>
    </xf>
    <xf numFmtId="164" fontId="29" fillId="12" borderId="0" xfId="8" applyNumberFormat="1" applyFont="1" applyFill="1" applyBorder="1" applyAlignment="1" applyProtection="1">
      <alignment horizontal="center" vertical="center"/>
      <protection locked="0"/>
    </xf>
    <xf numFmtId="165" fontId="29" fillId="12" borderId="0" xfId="0" applyNumberFormat="1" applyFont="1" applyFill="1" applyAlignment="1">
      <alignment vertical="center"/>
    </xf>
    <xf numFmtId="0" fontId="29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48" fillId="3" borderId="0" xfId="0" applyFont="1" applyFill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50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4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left" vertical="center"/>
    </xf>
    <xf numFmtId="0" fontId="52" fillId="16" borderId="0" xfId="0" applyFont="1" applyFill="1" applyAlignment="1">
      <alignment horizontal="right" vertical="center"/>
    </xf>
    <xf numFmtId="0" fontId="20" fillId="3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0" fillId="0" borderId="0" xfId="0" quotePrefix="1" applyProtection="1">
      <protection locked="0"/>
    </xf>
    <xf numFmtId="0" fontId="53" fillId="3" borderId="0" xfId="0" applyFont="1" applyFill="1" applyAlignment="1">
      <alignment horizontal="center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25" fillId="14" borderId="5" xfId="7" applyAlignment="1">
      <alignment horizontal="left" vertical="center"/>
    </xf>
    <xf numFmtId="0" fontId="54" fillId="3" borderId="0" xfId="0" applyFont="1" applyFill="1" applyAlignment="1">
      <alignment horizontal="center" vertical="center"/>
    </xf>
    <xf numFmtId="0" fontId="57" fillId="18" borderId="11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5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35" fillId="18" borderId="11" xfId="9" applyFont="1" applyFill="1" applyBorder="1" applyAlignment="1">
      <alignment horizontal="center" vertical="center"/>
    </xf>
    <xf numFmtId="0" fontId="58" fillId="3" borderId="11" xfId="9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62" fillId="3" borderId="7" xfId="0" applyFont="1" applyFill="1" applyBorder="1" applyAlignment="1">
      <alignment horizontal="left"/>
    </xf>
    <xf numFmtId="0" fontId="54" fillId="3" borderId="7" xfId="0" applyFont="1" applyFill="1" applyBorder="1" applyAlignment="1">
      <alignment vertical="center"/>
    </xf>
    <xf numFmtId="0" fontId="62" fillId="3" borderId="0" xfId="0" applyFont="1" applyFill="1" applyAlignment="1">
      <alignment horizontal="left" vertical="center" wrapText="1"/>
    </xf>
    <xf numFmtId="0" fontId="63" fillId="3" borderId="0" xfId="0" applyFont="1" applyFill="1" applyAlignment="1">
      <alignment horizontal="center" vertical="center"/>
    </xf>
    <xf numFmtId="0" fontId="62" fillId="3" borderId="7" xfId="0" applyFont="1" applyFill="1" applyBorder="1" applyAlignment="1">
      <alignment horizontal="left" vertical="center" wrapText="1"/>
    </xf>
    <xf numFmtId="0" fontId="63" fillId="3" borderId="7" xfId="0" applyFont="1" applyFill="1" applyBorder="1" applyAlignment="1">
      <alignment horizontal="center" vertical="center"/>
    </xf>
    <xf numFmtId="0" fontId="54" fillId="3" borderId="0" xfId="0" applyFont="1" applyFill="1" applyAlignment="1">
      <alignment vertical="center"/>
    </xf>
    <xf numFmtId="0" fontId="64" fillId="3" borderId="0" xfId="0" applyFont="1" applyFill="1" applyAlignment="1">
      <alignment vertical="center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12" borderId="0" xfId="0" applyFill="1" applyAlignment="1">
      <alignment horizontal="left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Fill="1"/>
    <xf numFmtId="14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Font="1" applyFill="1" applyBorder="1"/>
    <xf numFmtId="0" fontId="0" fillId="0" borderId="0" xfId="0" applyNumberFormat="1" applyFont="1" applyFill="1" applyBorder="1"/>
    <xf numFmtId="22" fontId="0" fillId="0" borderId="0" xfId="0" applyNumberFormat="1" applyFont="1" applyFill="1"/>
    <xf numFmtId="9" fontId="0" fillId="3" borderId="0" xfId="0" applyNumberFormat="1" applyFill="1" applyAlignment="1" applyProtection="1">
      <alignment horizontal="center" vertical="center"/>
      <protection locked="0"/>
    </xf>
  </cellXfs>
  <cellStyles count="10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7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27" formatCode="m/d/yyyy\ 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[$-F400]h:mm:ss\ AM/PM"/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7" formatCode="m/d;@"/>
      <alignment horizontal="left" vertical="bottom" textRotation="0" wrapText="0" indent="0" justifyLastLine="0" shrinkToFit="0" readingOrder="0"/>
      <protection locked="0" hidden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23" defaultTableStyle="TableStyleMedium2" defaultPivotStyle="PivotStyleLight16">
    <tableStyle name="BISL" pivot="0" count="3" xr9:uid="{00000000-0011-0000-FFFF-FFFF05000000}">
      <tableStyleElement type="wholeTable" dxfId="741"/>
      <tableStyleElement type="headerRow" dxfId="740"/>
      <tableStyleElement type="totalRow" dxfId="739"/>
    </tableStyle>
    <tableStyle name="BISL_Directory" pivot="0" count="4" xr9:uid="{CF694ADA-B24E-4A9B-A4CF-440A866B1DFE}">
      <tableStyleElement type="wholeTable" dxfId="738"/>
      <tableStyleElement type="headerRow" dxfId="737"/>
      <tableStyleElement type="firstRowStripe" dxfId="736"/>
      <tableStyleElement type="secondRowStripe" dxfId="735"/>
    </tableStyle>
    <tableStyle name="Blank" pivot="0" count="1" xr9:uid="{00000000-0011-0000-FFFF-FFFF00000000}">
      <tableStyleElement type="wholeTable" dxfId="734"/>
    </tableStyle>
    <tableStyle name="DimSum" pivot="0" count="4" xr9:uid="{C064D3B7-4B8F-409A-AB9E-51AC3AD0F8B5}">
      <tableStyleElement type="wholeTable" dxfId="733"/>
      <tableStyleElement type="headerRow" dxfId="732"/>
      <tableStyleElement type="totalRow" dxfId="731"/>
      <tableStyleElement type="secondRowStripe" dxfId="730"/>
    </tableStyle>
    <tableStyle name="ECON" pivot="0" count="2" xr9:uid="{00000000-0011-0000-FFFF-FFFF01000000}">
      <tableStyleElement type="wholeTable" dxfId="729"/>
      <tableStyleElement type="headerRow" dxfId="728"/>
    </tableStyle>
    <tableStyle name="Load Style" pivot="0" count="2" xr9:uid="{00000000-0011-0000-FFFF-FFFF0F000000}">
      <tableStyleElement type="wholeTable" dxfId="727"/>
      <tableStyleElement type="headerRow" dxfId="726"/>
    </tableStyle>
    <tableStyle name="mFTZ" pivot="0" count="4" xr9:uid="{F9D19170-5D53-4CC9-B6DA-01874D40D6CB}">
      <tableStyleElement type="wholeTable" dxfId="725"/>
      <tableStyleElement type="headerRow" dxfId="724"/>
      <tableStyleElement type="totalRow" dxfId="723"/>
      <tableStyleElement type="secondRowStripe" dxfId="722"/>
    </tableStyle>
    <tableStyle name="Named_dd" pivot="0" count="2" xr9:uid="{00000000-0011-0000-FFFF-FFFF02000000}">
      <tableStyleElement type="wholeTable" dxfId="721"/>
      <tableStyleElement type="headerRow" dxfId="720"/>
    </tableStyle>
    <tableStyle name="PRJ Style" pivot="0" count="4" xr9:uid="{00000000-0011-0000-FFFF-FFFF11000000}">
      <tableStyleElement type="wholeTable" dxfId="719"/>
      <tableStyleElement type="headerRow" dxfId="718"/>
      <tableStyleElement type="firstRowStripe" dxfId="717"/>
      <tableStyleElement type="secondRowStripe" dxfId="716"/>
    </tableStyle>
    <tableStyle name="Qry Load" pivot="0" count="3" xr9:uid="{00000000-0011-0000-FFFF-FFFF05000000}">
      <tableStyleElement type="wholeTable" dxfId="715"/>
      <tableStyleElement type="headerRow" dxfId="714"/>
      <tableStyleElement type="totalRow" dxfId="713"/>
    </tableStyle>
    <tableStyle name="Qry Load 2" pivot="0" count="3" xr9:uid="{00000000-0011-0000-FFFF-FFFF06000000}">
      <tableStyleElement type="wholeTable" dxfId="712"/>
      <tableStyleElement type="headerRow" dxfId="711"/>
      <tableStyleElement type="totalRow" dxfId="710"/>
    </tableStyle>
    <tableStyle name="Qry Load 3" pivot="0" count="3" xr9:uid="{00000000-0011-0000-FFFF-FFFF07000000}">
      <tableStyleElement type="wholeTable" dxfId="709"/>
      <tableStyleElement type="headerRow" dxfId="708"/>
      <tableStyleElement type="totalRow" dxfId="707"/>
    </tableStyle>
    <tableStyle name="Qry Load 3 2" pivot="0" count="3" xr9:uid="{39E27C42-0E7B-4337-87F7-A7AC3E9F7517}">
      <tableStyleElement type="wholeTable" dxfId="706"/>
      <tableStyleElement type="headerRow" dxfId="705"/>
      <tableStyleElement type="totalRow" dxfId="704"/>
    </tableStyle>
    <tableStyle name="Qry Load 3 3" pivot="0" count="3" xr9:uid="{00000000-0011-0000-FFFF-FFFF08000000}">
      <tableStyleElement type="wholeTable" dxfId="703"/>
      <tableStyleElement type="headerRow" dxfId="702"/>
      <tableStyleElement type="totalRow" dxfId="701"/>
    </tableStyle>
    <tableStyle name="Qry Load 4" pivot="0" count="3" xr9:uid="{00000000-0011-0000-FFFF-FFFF08000000}">
      <tableStyleElement type="wholeTable" dxfId="700"/>
      <tableStyleElement type="headerRow" dxfId="699"/>
      <tableStyleElement type="totalRow" dxfId="698"/>
    </tableStyle>
    <tableStyle name="Qry Load 5" pivot="0" count="3" xr9:uid="{00000000-0011-0000-FFFF-FFFF09000000}">
      <tableStyleElement type="wholeTable" dxfId="697"/>
      <tableStyleElement type="headerRow" dxfId="696"/>
      <tableStyleElement type="totalRow" dxfId="695"/>
    </tableStyle>
    <tableStyle name="Qry Load 6" pivot="0" count="3" xr9:uid="{8540037C-F48A-45D6-B06D-3E416FD50039}">
      <tableStyleElement type="wholeTable" dxfId="694"/>
      <tableStyleElement type="headerRow" dxfId="693"/>
      <tableStyleElement type="totalRow" dxfId="692"/>
    </tableStyle>
    <tableStyle name="Qry Source" pivot="0" count="2" xr9:uid="{00000000-0011-0000-FFFF-FFFF0A000000}">
      <tableStyleElement type="wholeTable" dxfId="691"/>
      <tableStyleElement type="headerRow" dxfId="690"/>
    </tableStyle>
    <tableStyle name="Qry Source 2" pivot="0" count="2" xr9:uid="{00000000-0011-0000-FFFF-FFFF0B000000}">
      <tableStyleElement type="wholeTable" dxfId="689"/>
      <tableStyleElement type="headerRow" dxfId="688"/>
    </tableStyle>
    <tableStyle name="Qry Source 2 2" pivot="0" count="3" xr9:uid="{00000000-0011-0000-FFFF-FFFF0C000000}">
      <tableStyleElement type="wholeTable" dxfId="687"/>
      <tableStyleElement type="headerRow" dxfId="686"/>
      <tableStyleElement type="secondRowStripe" dxfId="685"/>
    </tableStyle>
    <tableStyle name="review" pivot="0" count="3" xr9:uid="{00000000-0011-0000-FFFF-FFFF0C000000}">
      <tableStyleElement type="wholeTable" dxfId="684"/>
      <tableStyleElement type="headerRow" dxfId="683"/>
      <tableStyleElement type="totalRow" dxfId="682"/>
    </tableStyle>
    <tableStyle name="review 2" pivot="0" count="3" xr9:uid="{7E48D373-8BD3-405C-AC0B-582D578C48DF}">
      <tableStyleElement type="wholeTable" dxfId="681"/>
      <tableStyleElement type="headerRow" dxfId="680"/>
      <tableStyleElement type="totalRow" dxfId="679"/>
    </tableStyle>
    <tableStyle name="Table Style 1 2" pivot="0" count="4" xr9:uid="{00000000-0011-0000-FFFF-FFFF10000000}">
      <tableStyleElement type="wholeTable" dxfId="678"/>
      <tableStyleElement type="headerRow" dxfId="677"/>
      <tableStyleElement type="firstRowStripe" dxfId="676"/>
      <tableStyleElement type="secondRowStripe" dxfId="675"/>
    </tableStyle>
  </tableStyles>
  <colors>
    <mruColors>
      <color rgb="FF888AA6"/>
      <color rgb="FFF4EBE0"/>
      <color rgb="FF2A7968"/>
      <color rgb="FF0071BA"/>
      <color rgb="FFE1E1E9"/>
      <color rgb="FF379E4E"/>
      <color rgb="FF234473"/>
      <color rgb="FFC69E62"/>
      <color rgb="FFEDF9F4"/>
      <color rgb="FFC2B5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</xdr:colOff>
      <xdr:row>9</xdr:row>
      <xdr:rowOff>313766</xdr:rowOff>
    </xdr:from>
    <xdr:to>
      <xdr:col>11</xdr:col>
      <xdr:colOff>1908667</xdr:colOff>
      <xdr:row>11</xdr:row>
      <xdr:rowOff>377554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598958" y="4852148"/>
          <a:ext cx="3204883" cy="893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⚠️ Review</a:t>
          </a:r>
          <a:r>
            <a:rPr lang="en-US" altLang="zh-CN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FIMTN Classification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1600200</xdr:colOff>
          <xdr:row>3</xdr:row>
          <xdr:rowOff>66675</xdr:rowOff>
        </xdr:from>
        <xdr:to>
          <xdr:col>5</xdr:col>
          <xdr:colOff>1533525</xdr:colOff>
          <xdr:row>6</xdr:row>
          <xdr:rowOff>38100</xdr:rowOff>
        </xdr:to>
        <xdr:sp macro="" textlink="">
          <xdr:nvSpPr>
            <xdr:cNvPr id="1026" name="Button 2" descr="Refresh&#10;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44824</xdr:colOff>
      <xdr:row>1</xdr:row>
      <xdr:rowOff>728381</xdr:rowOff>
    </xdr:from>
    <xdr:to>
      <xdr:col>3</xdr:col>
      <xdr:colOff>0</xdr:colOff>
      <xdr:row>2</xdr:row>
      <xdr:rowOff>336177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824" y="1546410"/>
          <a:ext cx="3451411" cy="42582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tep 1   </a:t>
          </a:r>
          <a:r>
            <a:rPr lang="en-US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Set Parameter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320882</xdr:colOff>
      <xdr:row>3</xdr:row>
      <xdr:rowOff>0</xdr:rowOff>
    </xdr:from>
    <xdr:to>
      <xdr:col>4</xdr:col>
      <xdr:colOff>1524270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444647" y="1882588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1000125</xdr:colOff>
          <xdr:row>1</xdr:row>
          <xdr:rowOff>190500</xdr:rowOff>
        </xdr:from>
        <xdr:to>
          <xdr:col>15</xdr:col>
          <xdr:colOff>342900</xdr:colOff>
          <xdr:row>3</xdr:row>
          <xdr:rowOff>638175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</xdr:txBody>
        </xdr:sp>
        <xdr:clientData fPrintsWithSheet="0"/>
      </xdr:twoCellAnchor>
    </mc:Choice>
    <mc:Fallback/>
  </mc:AlternateContent>
  <xdr:oneCellAnchor>
    <xdr:from>
      <xdr:col>42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7774060" y="1901522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16</xdr:col>
      <xdr:colOff>18324</xdr:colOff>
      <xdr:row>3</xdr:row>
      <xdr:rowOff>0</xdr:rowOff>
    </xdr:from>
    <xdr:to>
      <xdr:col>16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5191089" y="1882588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3</xdr:col>
          <xdr:colOff>800100</xdr:colOff>
          <xdr:row>3</xdr:row>
          <xdr:rowOff>704850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Step 3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10</xdr:row>
      <xdr:rowOff>266541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1664184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61</xdr:col>
      <xdr:colOff>514351</xdr:colOff>
      <xdr:row>0</xdr:row>
      <xdr:rowOff>0</xdr:rowOff>
    </xdr:from>
    <xdr:to>
      <xdr:col>66</xdr:col>
      <xdr:colOff>133350</xdr:colOff>
      <xdr:row>9</xdr:row>
      <xdr:rowOff>131109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62236351" y="0"/>
          <a:ext cx="4527175" cy="3739403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13607</xdr:colOff>
      <xdr:row>0</xdr:row>
      <xdr:rowOff>231321</xdr:rowOff>
    </xdr:from>
    <xdr:to>
      <xdr:col>12</xdr:col>
      <xdr:colOff>296677</xdr:colOff>
      <xdr:row>7</xdr:row>
      <xdr:rowOff>300921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23702282" y="231321"/>
          <a:ext cx="3331070" cy="1803150"/>
          <a:chOff x="9121588" y="33619"/>
          <a:chExt cx="3552265" cy="23420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156880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2599762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11</xdr:col>
      <xdr:colOff>33615</xdr:colOff>
      <xdr:row>0</xdr:row>
      <xdr:rowOff>112061</xdr:rowOff>
    </xdr:from>
    <xdr:to>
      <xdr:col>16</xdr:col>
      <xdr:colOff>392204</xdr:colOff>
      <xdr:row>5</xdr:row>
      <xdr:rowOff>179295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33615" y="112061"/>
          <a:ext cx="3283324" cy="2342028"/>
          <a:chOff x="9121588" y="33619"/>
          <a:chExt cx="3552265" cy="2342028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7" xr16:uid="{00000000-0016-0000-0100-000000000000}" autoFormatId="16" applyNumberFormats="0" applyBorderFormats="0" applyFontFormats="0" applyPatternFormats="0" applyAlignmentFormats="0" applyWidthHeightFormats="0">
  <queryTableRefresh nextId="716">
    <queryTableFields count="84">
      <queryTableField id="107" name="Index" tableColumnId="67"/>
      <queryTableField id="629" name="IS_FIMTN" tableColumnId="81"/>
      <queryTableField id="1" name="信用主体" tableColumnId="1"/>
      <queryTableField id="3" name="行业" tableColumnId="3"/>
      <queryTableField id="9" name="ISIN" tableColumnId="9"/>
      <queryTableField id="12" name="定价日" tableColumnId="12"/>
      <queryTableField id="27" name="货币" tableColumnId="27"/>
      <queryTableField id="10" name="主题债券" tableColumnId="10"/>
      <queryTableField id="98" name="IPT_DMI" tableColumnId="20"/>
      <queryTableField id="99" name="FPG_DMI" tableColumnId="21"/>
      <queryTableField id="36" name="联席全球协调人" tableColumnId="36"/>
      <queryTableField id="50" name="牵头经办人" tableColumnId="50"/>
      <queryTableField id="450" name="英文简称" tableColumnId="23"/>
      <queryTableField id="553" name="临时isin" tableColumnId="83"/>
      <queryTableField id="57" name="付息频率" tableColumnId="57"/>
      <queryTableField id="58" name="维好协议提供者" tableColumnId="58"/>
      <queryTableField id="56" name="特殊条款" tableColumnId="56"/>
      <queryTableField id="55" name="债券类型" tableColumnId="55"/>
      <queryTableField id="54" name="交易状态" tableColumnId="54"/>
      <queryTableField id="53" name="利率类型" tableColumnId="53"/>
      <queryTableField id="52" name="是否存单" tableColumnId="52"/>
      <queryTableField id="51" name="是否永续债" tableColumnId="51"/>
      <queryTableField id="128" name="联席账簿管理人" tableColumnId="78"/>
      <queryTableField id="49" name="特殊条款说明" tableColumnId="49"/>
      <queryTableField id="48" name="上市日期" tableColumnId="48"/>
      <queryTableField id="136" name="定价_DMI" tableColumnId="77"/>
      <queryTableField id="47" name="发行起始日" tableColumnId="47"/>
      <queryTableField id="46" name="担保人" tableColumnId="46"/>
      <queryTableField id="45" name="发行人" tableColumnId="45"/>
      <queryTableField id="44" name="首次付息日" tableColumnId="44"/>
      <queryTableField id="43" name="计息基准" tableColumnId="43"/>
      <queryTableField id="42" name="最新票面利率" tableColumnId="42"/>
      <queryTableField id="41" name="行权兑付日" tableColumnId="41"/>
      <queryTableField id="40" name="起息日期" tableColumnId="40"/>
      <queryTableField id="39" name="债券余额" tableColumnId="39"/>
      <queryTableField id="38" name="债券最新面值" tableColumnId="38"/>
      <queryTableField id="37" name="ticker" tableColumnId="37"/>
      <queryTableField id="126" name="筹款用途" tableColumnId="76"/>
      <queryTableField id="125" name="投资者分布" tableColumnId="75"/>
      <queryTableField id="124" name="投资者类型" tableColumnId="74"/>
      <queryTableField id="123" name="投资者账户数" tableColumnId="73"/>
      <queryTableField id="11" name="评级类型" tableColumnId="11"/>
      <queryTableField id="2" name="公司类型" tableColumnId="2"/>
      <queryTableField id="122" name="剩余期限" tableColumnId="70"/>
      <queryTableField id="17" name="境内主体评级" tableColumnId="17"/>
      <queryTableField id="16" name="债项初始评级" tableColumnId="16"/>
      <queryTableField id="4" name="细分行业" tableColumnId="4"/>
      <queryTableField id="93" name="发行方式" tableColumnId="72"/>
      <queryTableField id="35" name="基金占比" tableColumnId="35"/>
      <queryTableField id="34" name="亚洲占比" tableColumnId="34"/>
      <queryTableField id="33" name="认购倍数" tableColumnId="33"/>
      <queryTableField id="32" name="认购额(亿)" tableColumnId="32"/>
      <queryTableField id="7" name="区县" tableColumnId="7"/>
      <queryTableField id="6" name="城市" tableColumnId="6"/>
      <queryTableField id="5" name="省份" tableColumnId="5"/>
      <queryTableField id="31" name="首日涨跌" tableColumnId="31"/>
      <queryTableField id="29" name="发行价" tableColumnId="29"/>
      <queryTableField id="25" name="偿还顺位" tableColumnId="25"/>
      <queryTableField id="24" name="SBLC提供者" tableColumnId="24"/>
      <queryTableField id="144" name="发行架构" tableColumnId="62"/>
      <queryTableField id="552" name="发行规则" tableColumnId="82"/>
      <queryTableField id="22" name="收窄幅度(bp)" tableColumnId="22"/>
      <queryTableField id="30" name="发行场所" tableColumnId="30"/>
      <queryTableField id="19" name="兑付日" tableColumnId="19"/>
      <queryTableField id="587" name="票息_DMI" tableColumnId="18"/>
      <queryTableField id="28" name="发行期限(年)" tableColumnId="28"/>
      <queryTableField id="26" name="发行规模(亿)" tableColumnId="26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91" name="DataSource" tableColumnId="88"/>
      <queryTableField id="620" name="首次违约日" tableColumnId="60"/>
      <queryTableField id="621" name="IS_EXCH" tableColumnId="61"/>
      <queryTableField id="91" name="地区" tableColumnId="71"/>
      <queryTableField id="628" name="BISL_ROLE" tableColumnId="69"/>
      <queryTableField id="140" name="注册成立地" tableColumnId="79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622" name="ESG_Indicator" tableColumnId="64"/>
      <queryTableField id="59" name="Check" tableColumnId="5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0" xr16:uid="{F941766C-C1E3-4D5B-9306-14DC737AEF57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35" xr16:uid="{43D6E4C5-E72E-4A44-B952-0E0564CAAC61}" autoFormatId="16" applyNumberFormats="0" applyBorderFormats="0" applyFontFormats="0" applyPatternFormats="0" applyAlignmentFormats="0" applyWidthHeightFormats="0">
  <queryTableRefresh nextId="2">
    <queryTableFields count="1">
      <queryTableField id="1" name="DMI_NewColumn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33" xr16:uid="{20F33C39-7B40-4351-A081-E5F6FADBD527}" autoFormatId="16" applyNumberFormats="0" applyBorderFormats="0" applyFontFormats="0" applyPatternFormats="0" applyAlignmentFormats="0" applyWidthHeightFormats="0">
  <queryTableRefresh nextId="2">
    <queryTableFields count="1">
      <queryTableField id="1" name="DMI_ChangedColumn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5" xr16:uid="{00000000-0016-0000-0200-000003000000}" autoFormatId="16" applyNumberFormats="0" applyBorderFormats="0" applyFontFormats="0" applyPatternFormats="0" applyAlignmentFormats="0" applyWidthHeightFormats="0">
  <queryTableRefresh nextId="131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129" name="品种主题" tableColumnId="3"/>
      <queryTableField id="73" name="上市" tableColumnId="33"/>
      <queryTableField id="82" name="期限备注" tableColumnId="34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3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4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42" xr16:uid="{92972967-9496-427B-9BFA-83AE3DFDDFF6}" autoFormatId="16" applyNumberFormats="0" applyBorderFormats="0" applyFontFormats="0" applyPatternFormats="0" applyAlignmentFormats="0" applyWidthHeightFormats="0">
  <queryTableRefresh nextId="12">
    <queryTableFields count="11">
      <queryTableField id="1" name="删除及隐藏" tableColumnId="1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8" name="备证行" tableColumnId="8"/>
      <queryTableField id="9" name="港分_ROLE" tableColumnId="9"/>
      <queryTableField id="10" name="澳分_ROLE" tableColumnId="10"/>
      <queryTableField id="11" name="Check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5" xr16:uid="{CCBC90C1-EC75-4CFF-AE53-0DD8206070E0}" autoFormatId="16" applyNumberFormats="0" applyBorderFormats="0" applyFontFormats="0" applyPatternFormats="0" applyAlignmentFormats="0" applyWidthHeightFormats="0">
  <queryTableRefresh nextId="147">
    <queryTableFields count="104">
      <queryTableField id="1" name="Index" tableColumnId="1"/>
      <queryTableField id="2" name="IS_FIMTN" tableColumnId="2"/>
      <queryTableField id="3" name="信用主体" tableColumnId="3"/>
      <queryTableField id="4" name="行业" tableColumnId="4"/>
      <queryTableField id="5" name="ISIN" tableColumnId="5"/>
      <queryTableField id="6" name="定价日" tableColumnId="6"/>
      <queryTableField id="7" name="货币" tableColumnId="7"/>
      <queryTableField id="8" name="ESG_Source" tableColumnId="8"/>
      <queryTableField id="9" name="IPT_DMI" tableColumnId="9"/>
      <queryTableField id="10" name="FPG_DMI" tableColumnId="10"/>
      <queryTableField id="11" name="联席全球协调人" tableColumnId="11"/>
      <queryTableField id="12" name="牵头经办人" tableColumnId="12"/>
      <queryTableField id="13" name="英文简称" tableColumnId="13"/>
      <queryTableField id="14" name="临时isin" tableColumnId="14"/>
      <queryTableField id="15" name="付息频率" tableColumnId="15"/>
      <queryTableField id="16" name="维好协议提供者" tableColumnId="16"/>
      <queryTableField id="17" name="特殊条款" tableColumnId="17"/>
      <queryTableField id="18" name="债券类型" tableColumnId="18"/>
      <queryTableField id="19" name="交易状态" tableColumnId="19"/>
      <queryTableField id="20" name="利率类型" tableColumnId="20"/>
      <queryTableField id="21" name="是否存单" tableColumnId="21"/>
      <queryTableField id="22" name="是否永续债" tableColumnId="22"/>
      <queryTableField id="23" name="联席账簿管理人" tableColumnId="23"/>
      <queryTableField id="24" name="特殊条款说明" tableColumnId="24"/>
      <queryTableField id="25" name="上市日期" tableColumnId="25"/>
      <queryTableField id="26" name="定价_DMI" tableColumnId="26"/>
      <queryTableField id="27" name="发行起始日" tableColumnId="27"/>
      <queryTableField id="28" name="担保人" tableColumnId="28"/>
      <queryTableField id="29" name="发行人" tableColumnId="29"/>
      <queryTableField id="30" name="首次付息日" tableColumnId="30"/>
      <queryTableField id="31" name="计息基准" tableColumnId="31"/>
      <queryTableField id="32" name="最新票面利率" tableColumnId="32"/>
      <queryTableField id="33" name="行权兑付日" tableColumnId="33"/>
      <queryTableField id="34" name="起息日期" tableColumnId="34"/>
      <queryTableField id="35" name="债券余额" tableColumnId="35"/>
      <queryTableField id="36" name="债券最新面值" tableColumnId="36"/>
      <queryTableField id="37" name="ticker" tableColumnId="37"/>
      <queryTableField id="38" name="筹款用途" tableColumnId="38"/>
      <queryTableField id="39" name="投资者分布" tableColumnId="39"/>
      <queryTableField id="40" name="投资者类型" tableColumnId="40"/>
      <queryTableField id="41" name="投资者账户数" tableColumnId="41"/>
      <queryTableField id="42" name="评级类型" tableColumnId="42"/>
      <queryTableField id="43" name="公司类型" tableColumnId="43"/>
      <queryTableField id="44" name="剩余期限" tableColumnId="44"/>
      <queryTableField id="45" name="境内主体评级" tableColumnId="45"/>
      <queryTableField id="46" name="债项初始评级" tableColumnId="46"/>
      <queryTableField id="47" name="细分行业" tableColumnId="47"/>
      <queryTableField id="48" name="发行方式" tableColumnId="48"/>
      <queryTableField id="49" name="基金占比" tableColumnId="49"/>
      <queryTableField id="50" name="亚洲占比" tableColumnId="50"/>
      <queryTableField id="51" name="认购倍数" tableColumnId="51"/>
      <queryTableField id="52" name="认购额(亿)" tableColumnId="52"/>
      <queryTableField id="53" name="区县" tableColumnId="53"/>
      <queryTableField id="54" name="城市" tableColumnId="54"/>
      <queryTableField id="55" name="省份" tableColumnId="55"/>
      <queryTableField id="56" name="首日涨跌" tableColumnId="56"/>
      <queryTableField id="57" name="发行价" tableColumnId="57"/>
      <queryTableField id="58" name="偿还顺位" tableColumnId="58"/>
      <queryTableField id="59" name="SBLC提供者" tableColumnId="59"/>
      <queryTableField id="60" name="发行架构" tableColumnId="60"/>
      <queryTableField id="61" name="发行规则" tableColumnId="61"/>
      <queryTableField id="62" name="收窄幅度(bp)" tableColumnId="62"/>
      <queryTableField id="63" name="发行场所" tableColumnId="63"/>
      <queryTableField id="64" name="兑付日" tableColumnId="64"/>
      <queryTableField id="65" name="票息_DMI" tableColumnId="65"/>
      <queryTableField id="66" name="发行期限(年)" tableColumnId="66"/>
      <queryTableField id="67" name="发行规模(亿)" tableColumnId="67"/>
      <queryTableField id="68" name="债项评级" tableColumnId="68"/>
      <queryTableField id="69" name="主体评级展望" tableColumnId="69"/>
      <queryTableField id="70" name="穆迪/标普" tableColumnId="70"/>
      <queryTableField id="71" name="债券简称" tableColumnId="71"/>
      <queryTableField id="72" name="DataSource" tableColumnId="72"/>
      <queryTableField id="73" name="首次违约日" tableColumnId="73"/>
      <queryTableField id="74" name="IS_EXCH" tableColumnId="74"/>
      <queryTableField id="75" name="地区" tableColumnId="75"/>
      <queryTableField id="76" name="BISL_ROLE" tableColumnId="76"/>
      <queryTableField id="77" name="注册成立地" tableColumnId="77"/>
      <queryTableField id="78" name="发行人主上市地" tableColumnId="78"/>
      <queryTableField id="79" name="补充OMAS updates" tableColumnId="79"/>
      <queryTableField id="80" name="定价息差" tableColumnId="80"/>
      <queryTableField id="81" name="发行评级" tableColumnId="81"/>
      <queryTableField id="82" name="主体评级" tableColumnId="82"/>
      <queryTableField id="83" name="结构" tableColumnId="83"/>
      <queryTableField id="84" name="备证行" tableColumnId="84"/>
      <queryTableField id="85" name="上市" tableColumnId="85"/>
      <queryTableField id="86" name="通过分行" tableColumnId="86"/>
      <queryTableField id="87" name="亿美元" tableColumnId="87"/>
      <queryTableField id="88" name="亿元" tableColumnId="88"/>
      <queryTableField id="89" name="亿港币" tableColumnId="89"/>
      <queryTableField id="90" name="增发判定" tableColumnId="90"/>
      <queryTableField id="91" name="Stats" tableColumnId="91"/>
      <queryTableField id="92" name="澳分_ROLE" tableColumnId="92"/>
      <queryTableField id="93" name="港分_ROLE" tableColumnId="93"/>
      <queryTableField id="94" name="定价基准" tableColumnId="94"/>
      <queryTableField id="95" name="收窄基点" tableColumnId="95"/>
      <queryTableField id="96" name="IPG" tableColumnId="96"/>
      <queryTableField id="97" name="FPG" tableColumnId="97"/>
      <queryTableField id="98" name="定价" tableColumnId="98"/>
      <queryTableField id="99" name="票息" tableColumnId="99"/>
      <queryTableField id="100" name="年期" tableColumnId="100"/>
      <queryTableField id="101" name="期限备注" tableColumnId="101"/>
      <queryTableField id="105" name="品种主题" tableColumnId="102"/>
      <queryTableField id="145" name="ESG" tableColumnId="124"/>
      <queryTableField id="104" name="Check" tableColumnId="10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6" xr16:uid="{902DE114-C6DA-43B0-BA02-B7E12B185B20}" autoFormatId="16" applyNumberFormats="0" applyBorderFormats="0" applyFontFormats="0" applyPatternFormats="0" applyAlignmentFormats="0" applyWidthHeightFormats="0">
  <queryTableRefresh nextId="109">
    <queryTableFields count="79">
      <queryTableField id="1" name="Index" tableColumnId="1"/>
      <queryTableField id="2" name="删除及隐藏" tableColumnId="2"/>
      <queryTableField id="3" name="信用主体" tableColumnId="3"/>
      <queryTableField id="4" name="ISIN" tableColumnId="4"/>
      <queryTableField id="5" name="定价日" tableColumnId="5"/>
      <queryTableField id="6" name="发行评级" tableColumnId="6"/>
      <queryTableField id="7" name="主体评级" tableColumnId="7"/>
      <queryTableField id="8" name="境内主体评级" tableColumnId="8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4" name="FPG" tableColumnId="14"/>
      <queryTableField id="15" name="定价" tableColumnId="15"/>
      <queryTableField id="16" name="收窄基点" tableColumnId="16"/>
      <queryTableField id="17" name="定价基准" tableColumnId="17"/>
      <queryTableField id="18" name="发行价" tableColumnId="18"/>
      <queryTableField id="19" name="结构" tableColumnId="19"/>
      <queryTableField id="20" name="上市" tableColumnId="20"/>
      <queryTableField id="21" name="港分_ROLE" tableColumnId="21"/>
      <queryTableField id="22" name="澳分_ROLE" tableColumnId="22"/>
      <queryTableField id="23" name="增发判定" tableColumnId="23"/>
      <queryTableField id="24" name="付息频率" tableColumnId="24"/>
      <queryTableField id="25" name="起息日期" tableColumnId="25"/>
      <queryTableField id="26" name="首次付息日" tableColumnId="26"/>
      <queryTableField id="27" name="兑付日" tableColumnId="27"/>
      <queryTableField id="28" name="亿美元" tableColumnId="28"/>
      <queryTableField id="29" name="亿元" tableColumnId="29"/>
      <queryTableField id="30" name="亿港币" tableColumnId="30"/>
      <queryTableField id="31" name="ticker" tableColumnId="31"/>
      <queryTableField id="32" name="注册成立地" tableColumnId="32"/>
      <queryTableField id="33" name="发行人主上市地" tableColumnId="33"/>
      <queryTableField id="34" name="通过分行" tableColumnId="34"/>
      <queryTableField id="35" name="发行人" tableColumnId="35"/>
      <queryTableField id="36" name="担保人" tableColumnId="36"/>
      <queryTableField id="37" name="维好协议提供者" tableColumnId="37"/>
      <queryTableField id="38" name="备证行" tableColumnId="38"/>
      <queryTableField id="39" name="ESG" tableColumnId="39"/>
      <queryTableField id="40" name="品种主题" tableColumnId="40"/>
      <queryTableField id="41" name="亮点" tableColumnId="41"/>
      <queryTableField id="42" name="期限备注" tableColumnId="42"/>
      <queryTableField id="43" name="SPECIALs" tableColumnId="43"/>
      <queryTableField id="44" name="OTHER_ISIN" tableColumnId="44"/>
      <queryTableField id="45" name="Stats" tableColumnId="45"/>
      <queryTableField id="46" name="筹款用途" tableColumnId="46"/>
      <queryTableField id="47" name="发行方式" tableColumnId="47"/>
      <queryTableField id="48" name="DataSource" tableColumnId="48"/>
      <queryTableField id="49" name="Updator" tableColumnId="49"/>
      <queryTableField id="50" name="Timestamp" tableColumnId="50"/>
      <queryTableField id="51" name="Check" tableColumnId="51"/>
      <queryTableField id="52" name="mCurated" tableColumnId="52"/>
      <queryTableField id="53" name="BISL_ROLE" tableColumnId="53"/>
      <queryTableField id="54" name="IS_LEAD" tableColumnId="54"/>
      <queryTableField id="55" name="IS_B&amp;D" tableColumnId="55"/>
      <queryTableField id="56" name="是否合名" tableColumnId="56"/>
      <queryTableField id="57" name="新规角色" tableColumnId="57"/>
      <queryTableField id="58" name="COVERAGE" tableColumnId="58"/>
      <queryTableField id="59" name="PROJECT_CODE" tableColumnId="59"/>
      <queryTableField id="60" name="期数" tableColumnId="60"/>
      <queryTableField id="61" name="台账序号" tableColumnId="61"/>
      <queryTableField id="62" name="多笔" tableColumnId="62"/>
      <queryTableField id="63" name="多币种" tableColumnId="63"/>
      <queryTableField id="64" name="多品种" tableColumnId="64"/>
      <queryTableField id="65" name="FolderPath" tableColumnId="65"/>
      <queryTableField id="107" name="IS_KYC_DONE" tableColumnId="79"/>
      <queryTableField id="66" name="PRJ对账号" tableColumnId="66"/>
      <queryTableField id="67" name="mBISL" tableColumnId="67"/>
      <queryTableField id="68" name="mChart" tableColumnId="68"/>
      <queryTableField id="69" name="信用主体简称" tableColumnId="69"/>
      <queryTableField id="70" name="板块" tableColumnId="70"/>
      <queryTableField id="71" name="中资属性" tableColumnId="71"/>
      <queryTableField id="72" name="地区" tableColumnId="72"/>
      <queryTableField id="73" name="城市" tableColumnId="73"/>
      <queryTableField id="74" name="区县" tableColumnId="74"/>
      <queryTableField id="75" name="首次违约日" tableColumnId="75"/>
      <queryTableField id="76" name="DEBUT_DATE" tableColumnId="76"/>
      <queryTableField id="77" name="行业" tableColumnId="77"/>
      <queryTableField id="78" name="mCredit" tableColumnId="7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1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2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8" xr16:uid="{9A83D6E5-8028-451F-81EB-6106800FC1B7}" autoFormatId="16" applyNumberFormats="0" applyBorderFormats="0" applyFontFormats="0" applyPatternFormats="0" applyAlignmentFormats="0" applyWidthHeightFormats="0">
  <queryTableRefresh nextId="124">
    <queryTableFields count="52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121" name="品种主题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  <queryTableField id="123" name="mCurated" tableColumnId="5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4" xr16:uid="{00000000-0016-0000-0400-000008000000}" autoFormatId="16" applyNumberFormats="0" applyBorderFormats="0" applyFontFormats="0" applyPatternFormats="0" applyAlignmentFormats="0" applyWidthHeightFormats="0">
  <queryTableRefresh nextId="64">
    <queryTableFields count="22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58" name="FolderPath" tableColumnId="19"/>
      <queryTableField id="62" name="IS_KYC_DONE" tableColumnId="22"/>
      <queryTableField id="1" name="Check" tableColumnId="1"/>
      <queryTableField id="56" name="PRJ对账号" tableColumnId="17"/>
      <queryTableField id="59" name="Timestamp" tableColumnId="20"/>
      <queryTableField id="61" name="mBISL" tableColumnId="2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6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15" xr16:uid="{CD7C4381-7052-4CA4-91F6-996BF768CCF2}" autoFormatId="16" applyNumberFormats="0" applyBorderFormats="0" applyFontFormats="0" applyPatternFormats="0" applyAlignmentFormats="0" applyWidthHeightFormats="0">
  <queryTableRefresh nextId="13">
    <queryTableFields count="12">
      <queryTableField id="1" name="Index" tableColumnId="1"/>
      <queryTableField id="2" name="删除及隐藏" tableColumnId="2"/>
      <queryTableField id="3" name="定价日" tableColumnId="3"/>
      <queryTableField id="4" name="ISIN" tableColumnId="4"/>
      <queryTableField id="5" name="信用主体" tableColumnId="5"/>
      <queryTableField id="6" name="发行评级" tableColumnId="6"/>
      <queryTableField id="7" name="货币" tableColumnId="7"/>
      <queryTableField id="8" name="发行规模(亿)" tableColumnId="8"/>
      <queryTableField id="9" name="亿美元" tableColumnId="9"/>
      <queryTableField id="10" name="年期" tableColumnId="10"/>
      <queryTableField id="11" name="Check" tableColumnId="11"/>
      <queryTableField id="12" name="mChart" tableColumnId="1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7" xr16:uid="{00000000-0016-0000-0400-00000A000000}" autoFormatId="16" applyNumberFormats="0" applyBorderFormats="0" applyFontFormats="0" applyPatternFormats="0" applyAlignmentFormats="0" applyWidthHeightFormats="0">
  <queryTableRefresh nextId="129">
    <queryTableFields count="11">
      <queryTableField id="7" name="信用主体" tableColumnId="7"/>
      <queryTableField id="87" name="信用主体简称" tableColumnId="5"/>
      <queryTableField id="22" name="板块" tableColumnId="3"/>
      <queryTableField id="12" name="中资属性" tableColumnId="2"/>
      <queryTableField id="90" name="地区" tableColumnId="9"/>
      <queryTableField id="91" name="城市" tableColumnId="10"/>
      <queryTableField id="92" name="区县" tableColumnId="11"/>
      <queryTableField id="95" name="首次违约日" tableColumnId="14"/>
      <queryTableField id="96" name="DEBUT_DATE" tableColumnId="15"/>
      <queryTableField id="99" name="行业" tableColumnId="18"/>
      <queryTableField id="128" name="mCredit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1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5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2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24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27" xr16:uid="{51E4E338-3CAB-48E9-BD5F-A6370EA50F3B}" autoFormatId="16" applyNumberFormats="0" applyBorderFormats="0" applyFontFormats="0" applyPatternFormats="0" applyAlignmentFormats="0" applyWidthHeightFormats="0">
  <queryTableRefresh nextId="3">
    <queryTableFields count="1">
      <queryTableField id="2" name="dd_结构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5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28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0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3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2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7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1" xr16:uid="{40794D8B-4411-4F94-9C32-C58F29E6A954}" autoFormatId="16" applyNumberFormats="0" applyBorderFormats="0" applyFontFormats="0" applyPatternFormats="0" applyAlignmentFormats="0" applyWidthHeightFormats="0">
  <queryTableRefresh nextId="2">
    <queryTableFields count="1">
      <queryTableField id="1" name="ColNow_mCurate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3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0" xr16:uid="{D8090183-389D-4C12-8930-956090CBBAF9}" autoFormatId="16" applyNumberFormats="0" applyBorderFormats="0" applyFontFormats="0" applyPatternFormats="0" applyAlignmentFormats="0" applyWidthHeightFormats="0">
  <queryTableRefresh nextId="3">
    <queryTableFields count="2">
      <queryTableField id="1" name="ESG" tableColumnId="1"/>
      <queryTableField id="2" name="SortValue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8" xr16:uid="{B8FD89C8-856C-4BC4-965B-5913312DB0D0}" autoFormatId="16" applyNumberFormats="0" applyBorderFormats="0" applyFontFormats="0" applyPatternFormats="0" applyAlignmentFormats="0" applyWidthHeightFormats="0">
  <queryTableRefresh nextId="780">
    <queryTableFields count="74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504" name="票息_DMI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484" name="发行规则" tableColumnId="71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23" name="发行方式" tableColumnId="23"/>
      <queryTableField id="4" name="细分行业" tableColumnId="4"/>
      <queryTableField id="16" name="债项初始评级" tableColumnId="16"/>
      <queryTableField id="17" name="境内主体评级" tableColumnId="17"/>
      <queryTableField id="10" name="主题债券" tableColumnId="10"/>
      <queryTableField id="3" name="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3" name="最新票面利率" tableColumnId="43"/>
      <queryTableField id="44" name="计息基准" tableColumnId="44"/>
      <queryTableField id="45" name="首次付息日" tableColumnId="45"/>
      <queryTableField id="46" name="发行人" tableColumnId="46"/>
      <queryTableField id="47" name="担保人" tableColumnId="47"/>
      <queryTableField id="48" name="发行起始日" tableColumnId="48"/>
      <queryTableField id="67" name="定价_DMI" tableColumnId="67"/>
      <queryTableField id="49" name="上市日期" tableColumnId="49"/>
      <queryTableField id="50" name="特殊条款说明" tableColumnId="50"/>
      <queryTableField id="51" name="牵头经办人" tableColumnId="51"/>
      <queryTableField id="68" name="联席账簿管理人" tableColumnId="68"/>
      <queryTableField id="52" name="是否永续债" tableColumnId="52"/>
      <queryTableField id="53" name="是否存单" tableColumnId="53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59" name="维好协议提供者" tableColumnId="59"/>
      <queryTableField id="485" name="临时isin" tableColumnId="72"/>
      <queryTableField id="510" name="DataSource" tableColumnId="73"/>
      <queryTableField id="579" name="首次违约日" tableColumnId="70"/>
      <queryTableField id="580" name="IS_EXCH" tableColumnId="74"/>
      <queryTableField id="60" name="地区" tableColumnId="60"/>
      <queryTableField id="61" name="Check" tableColumnId="61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0B373777-6D0E-4373-8161-40D12EDDEF4D}" autoFormatId="16" applyNumberFormats="0" applyBorderFormats="0" applyFontFormats="0" applyPatternFormats="0" applyAlignmentFormats="0" applyWidthHeightFormats="0">
  <queryTableRefresh nextId="105">
    <queryTableFields count="25"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85" name="注册成立地" tableColumnId="12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86" name="计息基准" tableColumnId="28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87" name="发行价" tableColumnId="29"/>
      <queryTableField id="29" name="发行规模(亿)" tableColumnId="24"/>
      <queryTableField id="67" name="Parent company tiker" tableColumnId="15"/>
      <queryTableField id="68" name="Parent Company 评级" tableColumnId="25"/>
      <queryTableField id="103" name="ESG_Indicator" tableColumnId="1"/>
      <queryTableField id="10" name="Check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_Conso" displayName="DLD_Conso" ref="J15:CO39" tableType="queryTable" totalsRowShown="0" headerRowDxfId="674" dataDxfId="673">
  <autoFilter ref="J15:CO39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</autoFilter>
  <tableColumns count="84">
    <tableColumn id="67" xr3:uid="{89571AE0-3879-457F-B318-34D498859252}" uniqueName="67" name="Index" queryTableFieldId="107" dataDxfId="672"/>
    <tableColumn id="81" xr3:uid="{FBB68DBD-A5F0-4ABA-98BE-70FB69D716D4}" uniqueName="81" name="IS_FIMTN" queryTableFieldId="629" dataDxfId="671"/>
    <tableColumn id="1" xr3:uid="{00000000-0010-0000-1400-000001000000}" uniqueName="1" name="信用主体" queryTableFieldId="1" dataDxfId="670"/>
    <tableColumn id="3" xr3:uid="{00000000-0010-0000-1400-000003000000}" uniqueName="3" name="行业" queryTableFieldId="3" dataDxfId="669"/>
    <tableColumn id="9" xr3:uid="{00000000-0010-0000-1400-000009000000}" uniqueName="9" name="ISIN" queryTableFieldId="9" dataDxfId="668"/>
    <tableColumn id="12" xr3:uid="{00000000-0010-0000-1400-00000C000000}" uniqueName="12" name="定价日" queryTableFieldId="12" dataDxfId="667"/>
    <tableColumn id="27" xr3:uid="{00000000-0010-0000-1400-00001B000000}" uniqueName="27" name="货币" queryTableFieldId="27" dataDxfId="666"/>
    <tableColumn id="10" xr3:uid="{00000000-0010-0000-1400-00000A000000}" uniqueName="10" name="主题债券" queryTableFieldId="10" dataDxfId="665"/>
    <tableColumn id="20" xr3:uid="{2E21E1F0-B3C8-4D63-81C1-4DEA5849D935}" uniqueName="20" name="IPT_DMI" queryTableFieldId="98" dataDxfId="664"/>
    <tableColumn id="21" xr3:uid="{721CAAAA-9532-4A2C-AF68-00307121AC06}" uniqueName="21" name="FPG_DMI" queryTableFieldId="99" dataDxfId="663"/>
    <tableColumn id="36" xr3:uid="{00000000-0010-0000-1400-000024000000}" uniqueName="36" name="联席全球协调人" queryTableFieldId="36" dataDxfId="662"/>
    <tableColumn id="50" xr3:uid="{00000000-0010-0000-1400-000032000000}" uniqueName="50" name="牵头经办人" queryTableFieldId="50" dataDxfId="661"/>
    <tableColumn id="23" xr3:uid="{B5A6303E-E7C0-43D0-A6BB-6FDABEE4ABD9}" uniqueName="23" name="英文简称" queryTableFieldId="450" dataDxfId="660"/>
    <tableColumn id="83" xr3:uid="{E0D8BE77-661B-4FA3-A3EB-364390317F31}" uniqueName="83" name="临时isin" queryTableFieldId="553" dataDxfId="659"/>
    <tableColumn id="57" xr3:uid="{00000000-0010-0000-1400-000039000000}" uniqueName="57" name="付息频率" queryTableFieldId="57" dataDxfId="658"/>
    <tableColumn id="58" xr3:uid="{00000000-0010-0000-1400-00003A000000}" uniqueName="58" name="维好协议提供者" queryTableFieldId="58" dataDxfId="657"/>
    <tableColumn id="56" xr3:uid="{00000000-0010-0000-1400-000038000000}" uniqueName="56" name="特殊条款" queryTableFieldId="56" dataDxfId="656"/>
    <tableColumn id="55" xr3:uid="{00000000-0010-0000-1400-000037000000}" uniqueName="55" name="债券类型" queryTableFieldId="55" dataDxfId="655"/>
    <tableColumn id="54" xr3:uid="{00000000-0010-0000-1400-000036000000}" uniqueName="54" name="交易状态" queryTableFieldId="54" dataDxfId="654"/>
    <tableColumn id="53" xr3:uid="{00000000-0010-0000-1400-000035000000}" uniqueName="53" name="利率类型" queryTableFieldId="53" dataDxfId="653"/>
    <tableColumn id="52" xr3:uid="{00000000-0010-0000-1400-000034000000}" uniqueName="52" name="是否存单" queryTableFieldId="52" dataDxfId="652"/>
    <tableColumn id="51" xr3:uid="{00000000-0010-0000-1400-000033000000}" uniqueName="51" name="是否永续债" queryTableFieldId="51" dataDxfId="651"/>
    <tableColumn id="78" xr3:uid="{A0CF3BD1-5FCF-4795-AF10-20DDD23A6110}" uniqueName="78" name="联席账簿管理人" queryTableFieldId="128" dataDxfId="650"/>
    <tableColumn id="49" xr3:uid="{00000000-0010-0000-1400-000031000000}" uniqueName="49" name="特殊条款说明" queryTableFieldId="49" dataDxfId="649"/>
    <tableColumn id="48" xr3:uid="{00000000-0010-0000-1400-000030000000}" uniqueName="48" name="上市日期" queryTableFieldId="48" dataDxfId="648"/>
    <tableColumn id="77" xr3:uid="{96AB1C8E-595F-43D9-A802-E2A6579CD92F}" uniqueName="77" name="定价_DMI" queryTableFieldId="136" dataDxfId="647"/>
    <tableColumn id="47" xr3:uid="{00000000-0010-0000-1400-00002F000000}" uniqueName="47" name="发行起始日" queryTableFieldId="47" dataDxfId="646"/>
    <tableColumn id="46" xr3:uid="{00000000-0010-0000-1400-00002E000000}" uniqueName="46" name="担保人" queryTableFieldId="46" dataDxfId="645"/>
    <tableColumn id="45" xr3:uid="{00000000-0010-0000-1400-00002D000000}" uniqueName="45" name="发行人" queryTableFieldId="45" dataDxfId="644"/>
    <tableColumn id="44" xr3:uid="{00000000-0010-0000-1400-00002C000000}" uniqueName="44" name="首次付息日" queryTableFieldId="44" dataDxfId="643"/>
    <tableColumn id="43" xr3:uid="{00000000-0010-0000-1400-00002B000000}" uniqueName="43" name="计息基准" queryTableFieldId="43" dataDxfId="642"/>
    <tableColumn id="42" xr3:uid="{00000000-0010-0000-1400-00002A000000}" uniqueName="42" name="最新票面利率" queryTableFieldId="42" dataDxfId="641"/>
    <tableColumn id="41" xr3:uid="{00000000-0010-0000-1400-000029000000}" uniqueName="41" name="行权兑付日" queryTableFieldId="41" dataDxfId="640"/>
    <tableColumn id="40" xr3:uid="{00000000-0010-0000-1400-000028000000}" uniqueName="40" name="起息日期" queryTableFieldId="40" dataDxfId="639"/>
    <tableColumn id="39" xr3:uid="{00000000-0010-0000-1400-000027000000}" uniqueName="39" name="债券余额" queryTableFieldId="39" dataDxfId="638"/>
    <tableColumn id="38" xr3:uid="{00000000-0010-0000-1400-000026000000}" uniqueName="38" name="债券最新面值" queryTableFieldId="38" dataDxfId="637"/>
    <tableColumn id="37" xr3:uid="{00000000-0010-0000-1400-000025000000}" uniqueName="37" name="ticker" queryTableFieldId="37" dataDxfId="636"/>
    <tableColumn id="76" xr3:uid="{99F5C9BF-819A-4B74-90A6-3D912D600F26}" uniqueName="76" name="筹款用途" queryTableFieldId="126" dataDxfId="635"/>
    <tableColumn id="75" xr3:uid="{8379EAC2-F6FB-4868-9327-F4926D5314B2}" uniqueName="75" name="投资者分布" queryTableFieldId="125" dataDxfId="634"/>
    <tableColumn id="74" xr3:uid="{F3AEB759-21B8-4CF1-A6A6-D6587E7B0569}" uniqueName="74" name="投资者类型" queryTableFieldId="124" dataDxfId="633"/>
    <tableColumn id="73" xr3:uid="{EC155D5D-7034-4D98-AE8E-9FD72DE0014F}" uniqueName="73" name="投资者账户数" queryTableFieldId="123" dataDxfId="632"/>
    <tableColumn id="11" xr3:uid="{00000000-0010-0000-1400-00000B000000}" uniqueName="11" name="评级类型" queryTableFieldId="11" dataDxfId="631"/>
    <tableColumn id="2" xr3:uid="{00000000-0010-0000-1400-000002000000}" uniqueName="2" name="公司类型" queryTableFieldId="2" dataDxfId="630"/>
    <tableColumn id="70" xr3:uid="{D4D745FA-E2EC-49A7-8DD6-A7E0C561075E}" uniqueName="70" name="剩余期限" queryTableFieldId="122" dataDxfId="629"/>
    <tableColumn id="17" xr3:uid="{00000000-0010-0000-1400-000011000000}" uniqueName="17" name="境内主体评级" queryTableFieldId="17" dataDxfId="628"/>
    <tableColumn id="16" xr3:uid="{00000000-0010-0000-1400-000010000000}" uniqueName="16" name="债项初始评级" queryTableFieldId="16" dataDxfId="627"/>
    <tableColumn id="4" xr3:uid="{00000000-0010-0000-1400-000004000000}" uniqueName="4" name="细分行业" queryTableFieldId="4" dataDxfId="626"/>
    <tableColumn id="72" xr3:uid="{00000000-0010-0000-1400-000048000000}" uniqueName="72" name="发行方式" queryTableFieldId="93" dataDxfId="625"/>
    <tableColumn id="35" xr3:uid="{00000000-0010-0000-1400-000023000000}" uniqueName="35" name="基金占比" queryTableFieldId="35" dataDxfId="624"/>
    <tableColumn id="34" xr3:uid="{00000000-0010-0000-1400-000022000000}" uniqueName="34" name="亚洲占比" queryTableFieldId="34" dataDxfId="623"/>
    <tableColumn id="33" xr3:uid="{00000000-0010-0000-1400-000021000000}" uniqueName="33" name="认购倍数" queryTableFieldId="33" dataDxfId="622"/>
    <tableColumn id="32" xr3:uid="{00000000-0010-0000-1400-000020000000}" uniqueName="32" name="认购额(亿)" queryTableFieldId="32" dataDxfId="621"/>
    <tableColumn id="7" xr3:uid="{00000000-0010-0000-1400-000007000000}" uniqueName="7" name="区县" queryTableFieldId="7" dataDxfId="620"/>
    <tableColumn id="6" xr3:uid="{00000000-0010-0000-1400-000006000000}" uniqueName="6" name="城市" queryTableFieldId="6" dataDxfId="619"/>
    <tableColumn id="5" xr3:uid="{00000000-0010-0000-1400-000005000000}" uniqueName="5" name="省份" queryTableFieldId="5" dataDxfId="618"/>
    <tableColumn id="31" xr3:uid="{00000000-0010-0000-1400-00001F000000}" uniqueName="31" name="首日涨跌" queryTableFieldId="31" dataDxfId="617"/>
    <tableColumn id="29" xr3:uid="{00000000-0010-0000-1400-00001D000000}" uniqueName="29" name="发行价" queryTableFieldId="29" dataDxfId="616"/>
    <tableColumn id="25" xr3:uid="{00000000-0010-0000-1400-000019000000}" uniqueName="25" name="偿还顺位" queryTableFieldId="25" dataDxfId="615"/>
    <tableColumn id="24" xr3:uid="{00000000-0010-0000-1400-000018000000}" uniqueName="24" name="SBLC提供者" queryTableFieldId="24" dataDxfId="614"/>
    <tableColumn id="62" xr3:uid="{9E4808FC-4C9C-428D-82BA-2929B856B8D6}" uniqueName="62" name="发行架构" queryTableFieldId="144" dataDxfId="613"/>
    <tableColumn id="82" xr3:uid="{8C16BF61-CC83-4336-BE5B-8B8A13B0CA9C}" uniqueName="82" name="发行规则" queryTableFieldId="552" dataDxfId="612"/>
    <tableColumn id="22" xr3:uid="{00000000-0010-0000-1400-000016000000}" uniqueName="22" name="收窄幅度(bp)" queryTableFieldId="22" dataDxfId="611"/>
    <tableColumn id="30" xr3:uid="{00000000-0010-0000-1400-00001E000000}" uniqueName="30" name="发行场所" queryTableFieldId="30" dataDxfId="610"/>
    <tableColumn id="19" xr3:uid="{00000000-0010-0000-1400-000013000000}" uniqueName="19" name="兑付日" queryTableFieldId="19" dataDxfId="609"/>
    <tableColumn id="18" xr3:uid="{AE2E760D-01E7-4A99-A03D-0E14B2E5A35B}" uniqueName="18" name="票息_DMI" queryTableFieldId="587" dataDxfId="608"/>
    <tableColumn id="28" xr3:uid="{00000000-0010-0000-1400-00001C000000}" uniqueName="28" name="发行期限(年)" queryTableFieldId="28" dataDxfId="607"/>
    <tableColumn id="26" xr3:uid="{00000000-0010-0000-1400-00001A000000}" uniqueName="26" name="发行规模(亿)" queryTableFieldId="26" dataDxfId="606"/>
    <tableColumn id="15" xr3:uid="{00000000-0010-0000-1400-00000F000000}" uniqueName="15" name="债项评级" queryTableFieldId="15" dataDxfId="605"/>
    <tableColumn id="14" xr3:uid="{00000000-0010-0000-1400-00000E000000}" uniqueName="14" name="主体评级展望" queryTableFieldId="14" dataDxfId="604"/>
    <tableColumn id="13" xr3:uid="{00000000-0010-0000-1400-00000D000000}" uniqueName="13" name="穆迪/标普" queryTableFieldId="13" dataDxfId="603"/>
    <tableColumn id="8" xr3:uid="{00000000-0010-0000-1400-000008000000}" uniqueName="8" name="债券简称" queryTableFieldId="8" dataDxfId="602"/>
    <tableColumn id="88" xr3:uid="{A85513D1-22EA-42F5-ADC2-5073B6878BBC}" uniqueName="88" name="DataSource" queryTableFieldId="591" dataDxfId="601"/>
    <tableColumn id="60" xr3:uid="{D42CB076-F4CD-492B-B69C-C447AAD8B44C}" uniqueName="60" name="首次违约日" queryTableFieldId="620" dataDxfId="600"/>
    <tableColumn id="61" xr3:uid="{7E81C1D7-7EA6-4BD6-AC66-518E7843033B}" uniqueName="61" name="IS_EXCH" queryTableFieldId="621" dataDxfId="599"/>
    <tableColumn id="71" xr3:uid="{00000000-0010-0000-1400-000047000000}" uniqueName="71" name="地区" queryTableFieldId="91" dataDxfId="598"/>
    <tableColumn id="69" xr3:uid="{5C3486A7-3354-40AB-8A31-6EF60BDA9826}" uniqueName="69" name="BISL_ROLE" queryTableFieldId="628" dataDxfId="597"/>
    <tableColumn id="79" xr3:uid="{4D5A05D7-BD47-4CF2-BA37-25E4CD582264}" uniqueName="79" name="注册成立地" queryTableFieldId="140" dataDxfId="596"/>
    <tableColumn id="80" xr3:uid="{7D0B3F21-10BB-4E32-89D1-69E4FA31A948}" uniqueName="80" name="发行人主上市地" queryTableFieldId="507" dataDxfId="595"/>
    <tableColumn id="63" xr3:uid="{222E9603-970D-4782-9F61-BA306470C980}" uniqueName="63" name="补充OMAS updates" queryTableFieldId="111" dataDxfId="594"/>
    <tableColumn id="65" xr3:uid="{80765AA5-3F0E-470B-9194-548C15E96FE2}" uniqueName="65" name="定价息差" queryTableFieldId="112" dataDxfId="593"/>
    <tableColumn id="66" xr3:uid="{835384CB-5EA1-4AA5-80C7-6E7A7E31992D}" uniqueName="66" name="发行评级" queryTableFieldId="113" dataDxfId="592"/>
    <tableColumn id="68" xr3:uid="{3FAE810C-DBB1-4EA1-887E-C959C6AEE507}" uniqueName="68" name="主体评级" queryTableFieldId="114" dataDxfId="591"/>
    <tableColumn id="64" xr3:uid="{2EF4E456-BC8A-4E0C-AFB9-AA330EE81DC0}" uniqueName="64" name="ESG_Indicator" queryTableFieldId="622" dataDxfId="590"/>
    <tableColumn id="59" xr3:uid="{00000000-0010-0000-1400-00003B000000}" uniqueName="59" name="Check" queryTableFieldId="59" dataDxfId="589"/>
  </tableColumns>
  <tableStyleInfo name="Qry Load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A3:C12" totalsRowShown="0" headerRowDxfId="588" dataDxfId="587">
  <autoFilter ref="A3:C12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586"/>
    <tableColumn id="4" xr3:uid="{01BB5857-C8A7-4203-A587-04BFC8573813}" name="Parameter" dataDxfId="585"/>
    <tableColumn id="5" xr3:uid="{D010838C-EEEF-40BF-9135-662BB9B0DB52}" name="Value" dataDxfId="584"/>
  </tableColumns>
  <tableStyleInfo name="Blank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CB4987-CACE-49DD-B4DF-453D0739B9B7}" name="DLD_QRC_23" displayName="DLD_QRC_23" ref="CT15:DA16" tableType="queryTable" totalsRowShown="0">
  <autoFilter ref="CT15:DA16" xr:uid="{2241697C-73A8-4C22-B4FA-5F2C3A02E1B7}"/>
  <tableColumns count="8">
    <tableColumn id="1" xr3:uid="{9DAC8948-DAFD-470D-BBBB-7438AE890060}" uniqueName="1" name="Project Name" queryTableFieldId="1"/>
    <tableColumn id="2" xr3:uid="{E0D19AF5-9F56-420C-BE6F-5792D31C8F10}" uniqueName="2" name="ISIN" queryTableFieldId="2"/>
    <tableColumn id="3" xr3:uid="{1B386BC7-C983-4E5C-A2D3-54DF24835F23}" uniqueName="3" name="项目名称（集团全称）" queryTableFieldId="3"/>
    <tableColumn id="4" xr3:uid="{E1C4CAD1-CBD0-41E3-AF73-79A611F3403A}" uniqueName="4" name="台账序号" queryTableFieldId="4"/>
    <tableColumn id="5" xr3:uid="{E978DEAB-FE96-4F72-9EEE-2D8009EF9D54}" uniqueName="5" name="担任角色" queryTableFieldId="5" dataDxfId="583"/>
    <tableColumn id="6" xr3:uid="{1BC26FCE-CF9B-4873-82CF-EC4F556D7E26}" uniqueName="6" name="新规角色" queryTableFieldId="6"/>
    <tableColumn id="7" xr3:uid="{2C8EA1EC-5FFC-4C17-9004-497BCB6D4E2A}" uniqueName="7" name="COVERAGE" queryTableFieldId="7"/>
    <tableColumn id="8" xr3:uid="{1BC42834-1C57-40F4-B31F-F9924832E77D}" uniqueName="8" name="项目定价日" queryTableFieldId="8"/>
  </tableColumns>
  <tableStyleInfo name="Qry Loa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134790-3717-40BB-85C1-4F545A5822CD}" name="DMI_NewColumn" displayName="DMI_NewColumn" ref="H15:H17" tableType="queryTable" totalsRowShown="0">
  <autoFilter ref="H15:H17" xr:uid="{986C8F8A-D26E-4FF0-8FCE-51DD8C3DBC57}">
    <filterColumn colId="0" hiddenButton="1"/>
  </autoFilter>
  <tableColumns count="1">
    <tableColumn id="1" xr3:uid="{51FA600C-3001-498B-B675-E08F1D02D1AA}" uniqueName="1" name="DMI_NewColumn" queryTableFieldId="1"/>
  </tableColumns>
  <tableStyleInfo name="Qry Loa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FBB7C50-29D2-443F-AA62-710C1739A2E6}" name="DMI_ChangedColumn" displayName="DMI_ChangedColumn" ref="H23:H25" tableType="queryTable" totalsRowShown="0" dataDxfId="582">
  <autoFilter ref="H23:H25" xr:uid="{4B67918F-3C3B-4F9A-A697-A1DB99D331D6}">
    <filterColumn colId="0" hiddenButton="1"/>
  </autoFilter>
  <tableColumns count="1">
    <tableColumn id="1" xr3:uid="{A1350E74-0595-41C1-8E1D-1F86762512DC}" uniqueName="1" name="DMI_ChangedColumn" queryTableFieldId="1" dataDxfId="581"/>
  </tableColumns>
  <tableStyleInfo name="Qry Loa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I22" tableType="queryTable" totalsRowShown="0">
  <autoFilter ref="P5:AI22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580"/>
    <tableColumn id="2" xr3:uid="{00000000-0010-0000-1700-000002000000}" uniqueName="2" name="信用主体" queryTableFieldId="2" dataDxfId="579"/>
    <tableColumn id="15" xr3:uid="{E24E777A-D49C-4B3E-93AA-DFAEBA57F42B}" uniqueName="15" name="ESG" queryTableFieldId="55" dataDxfId="578"/>
    <tableColumn id="12" xr3:uid="{00000000-0010-0000-1700-00000C000000}" uniqueName="12" name="IPG" queryTableFieldId="12" dataDxfId="577"/>
    <tableColumn id="13" xr3:uid="{00000000-0010-0000-1700-00000D000000}" uniqueName="13" name="FPG" queryTableFieldId="13" dataDxfId="576"/>
    <tableColumn id="14" xr3:uid="{00000000-0010-0000-1700-00000E000000}" uniqueName="14" name="收窄基点" queryTableFieldId="14" dataDxfId="575"/>
    <tableColumn id="25" xr3:uid="{00000000-0010-0000-1700-000019000000}" uniqueName="25" name="定价" queryTableFieldId="25" dataDxfId="574"/>
    <tableColumn id="31" xr3:uid="{FFCE47EB-D5CF-4D34-81FA-065EDA65F5D5}" uniqueName="31" name="增发判定" queryTableFieldId="72" dataDxfId="573"/>
    <tableColumn id="8" xr3:uid="{00000000-0010-0000-1700-000008000000}" uniqueName="8" name="货币" queryTableFieldId="8" dataDxfId="572"/>
    <tableColumn id="9" xr3:uid="{00000000-0010-0000-1700-000009000000}" uniqueName="9" name="发行规模(亿)" queryTableFieldId="9" dataDxfId="571"/>
    <tableColumn id="5" xr3:uid="{A465A109-439B-46CC-B8D9-8536815366D7}" uniqueName="5" name="年期" queryTableFieldId="52" dataDxfId="570"/>
    <tableColumn id="11" xr3:uid="{00000000-0010-0000-1700-00000B000000}" uniqueName="11" name="票息" queryTableFieldId="11" dataDxfId="569"/>
    <tableColumn id="3" xr3:uid="{24F0DFD7-9531-4CB3-A79F-E21707EF0921}" uniqueName="3" name="品种主题" queryTableFieldId="129"/>
    <tableColumn id="33" xr3:uid="{F7F8C15B-103F-4121-B909-0AA998B5A268}" uniqueName="33" name="上市" queryTableFieldId="73" dataDxfId="568"/>
    <tableColumn id="34" xr3:uid="{54CE4E1B-194A-4B7A-8136-018BFA61D12B}" uniqueName="34" name="期限备注" queryTableFieldId="82" dataDxfId="567"/>
    <tableColumn id="23" xr3:uid="{00000000-0010-0000-1700-000017000000}" uniqueName="23" name="亿美元" queryTableFieldId="23" dataDxfId="566"/>
    <tableColumn id="24" xr3:uid="{00000000-0010-0000-1700-000018000000}" uniqueName="24" name="亿元" queryTableFieldId="24" dataDxfId="565"/>
    <tableColumn id="21" xr3:uid="{02205151-A1BC-4641-96CA-0A9C736A8B39}" uniqueName="21" name="亿港币" queryTableFieldId="84" dataDxfId="564"/>
    <tableColumn id="35" xr3:uid="{00000000-0010-0000-1700-000023000000}" uniqueName="35" name="ISIN" queryTableFieldId="35" dataDxfId="563"/>
    <tableColumn id="19" xr3:uid="{00000000-0010-0000-1700-000013000000}" uniqueName="19" name="Check" queryTableFieldId="49" dataDxfId="562"/>
  </tableColumns>
  <tableStyleInfo name="Qry Loa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O5:BB7" tableType="queryTable" totalsRowShown="0">
  <autoFilter ref="AO5:BB7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/>
    <tableColumn id="1" xr3:uid="{00000000-0010-0000-1800-000001000000}" uniqueName="1" name="Check" queryTableFieldId="1" dataDxfId="561"/>
    <tableColumn id="2" xr3:uid="{00000000-0010-0000-1800-000002000000}" uniqueName="2" name="ISIN" queryTableFieldId="2" dataDxfId="560"/>
    <tableColumn id="3" xr3:uid="{00000000-0010-0000-1800-000003000000}" uniqueName="3" name="定价日" queryTableFieldId="3" dataDxfId="559"/>
    <tableColumn id="18" xr3:uid="{CE8319FC-590C-4EDF-A68D-FBC91063B4F2}" uniqueName="18" name="台账序号" queryTableFieldId="38" dataDxfId="558"/>
    <tableColumn id="10" xr3:uid="{00000000-0010-0000-1800-00000A000000}" uniqueName="10" name="Project Name" queryTableFieldId="22" dataDxfId="557"/>
    <tableColumn id="8" xr3:uid="{00000000-0010-0000-1800-000008000000}" uniqueName="8" name="COVERAGE" queryTableFieldId="16" dataDxfId="556"/>
    <tableColumn id="12" xr3:uid="{00000000-0010-0000-1800-00000C000000}" uniqueName="12" name="新规角色" queryTableFieldId="12" dataDxfId="555"/>
    <tableColumn id="9" xr3:uid="{00000000-0010-0000-1800-000009000000}" uniqueName="9" name="PROJECT_CODE" queryTableFieldId="17" dataDxfId="554"/>
    <tableColumn id="15" xr3:uid="{00000000-0010-0000-1800-00000F000000}" uniqueName="15" name="期数" queryTableFieldId="15" dataDxfId="553"/>
    <tableColumn id="5" xr3:uid="{00000000-0010-0000-1800-000005000000}" uniqueName="5" name="BISL_ROLE" queryTableFieldId="5" dataDxfId="552"/>
    <tableColumn id="11" xr3:uid="{00000000-0010-0000-1800-00000B000000}" uniqueName="11" name="IS_LEAD" queryTableFieldId="30" dataDxfId="551"/>
    <tableColumn id="13" xr3:uid="{00000000-0010-0000-1800-00000D000000}" uniqueName="13" name="IS_B&amp;D" queryTableFieldId="31" dataDxfId="550"/>
    <tableColumn id="14" xr3:uid="{00000000-0010-0000-1800-00000E000000}" uniqueName="14" name="是否合名" queryTableFieldId="32" dataDxfId="549"/>
  </tableColumns>
  <tableStyleInfo name="Qry Load 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BH5:BK14" tableType="queryTable" totalsRowShown="0">
  <autoFilter ref="BH5:BK14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22" tableType="queryTable" totalsRowShown="0">
  <autoFilter ref="B5:L22" xr:uid="{5C4B1B8C-A0D4-4D02-A871-15DC30D8DA09}"/>
  <tableColumns count="11">
    <tableColumn id="1" xr3:uid="{3E9647E3-CCA2-4EE2-BC8F-94A72BF1C6FB}" uniqueName="1" name="删除及隐藏" queryTableFieldId="1" dataDxfId="548"/>
    <tableColumn id="2" xr3:uid="{2989A5DB-032C-4A61-9F1B-232A1392CB59}" uniqueName="2" name="ISIN" queryTableFieldId="2" dataDxfId="547"/>
    <tableColumn id="3" xr3:uid="{54C99E76-3C90-4DC7-B18C-794479F768ED}" uniqueName="3" name="定价日" queryTableFieldId="3" dataDxfId="546"/>
    <tableColumn id="4" xr3:uid="{505BB7FB-E263-483A-AC0A-0AE9317B9D8F}" uniqueName="4" name="信用主体" queryTableFieldId="4" dataDxfId="545"/>
    <tableColumn id="5" xr3:uid="{315B6BA9-3BCB-45C2-9A6C-9FBD75E934D6}" uniqueName="5" name="发行评级" queryTableFieldId="5" dataDxfId="544"/>
    <tableColumn id="6" xr3:uid="{ACB704AC-62D4-40E7-A2F0-002B6341CEAF}" uniqueName="6" name="主体评级" queryTableFieldId="6" dataDxfId="543"/>
    <tableColumn id="7" xr3:uid="{D73EE109-D3A9-4E56-A56C-D8807776759C}" uniqueName="7" name="结构" queryTableFieldId="7" dataDxfId="542"/>
    <tableColumn id="8" xr3:uid="{8ABF59A6-478C-4513-AA15-48E44F9ED3B2}" uniqueName="8" name="备证行" queryTableFieldId="8" dataDxfId="541"/>
    <tableColumn id="9" xr3:uid="{0B451F54-19BB-415D-8E9F-1F0685BB9AD2}" uniqueName="9" name="港分_ROLE" queryTableFieldId="9" dataDxfId="540"/>
    <tableColumn id="10" xr3:uid="{26B4736D-076D-4E30-9954-6491DC39F40B}" uniqueName="10" name="澳分_ROLE" queryTableFieldId="10" dataDxfId="539"/>
    <tableColumn id="11" xr3:uid="{A1D5D74A-E135-4039-9984-BA315ECFEBA2}" uniqueName="11" name="Check" queryTableFieldId="11" dataDxfId="538"/>
  </tableColumns>
  <tableStyleInfo name="Qry Loa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DDF5528-447C-443B-AF7C-674545284801}" name="DLD_Add" displayName="DLD_Add" ref="A6:CZ30" tableType="queryTable" totalsRowShown="0">
  <autoFilter ref="A6:CZ30" xr:uid="{CDDF5528-447C-443B-AF7C-674545284801}"/>
  <tableColumns count="104">
    <tableColumn id="1" xr3:uid="{C0844C81-13FB-48BE-BDE9-F0D29D54269E}" uniqueName="1" name="Index" queryTableFieldId="1" dataDxfId="537"/>
    <tableColumn id="2" xr3:uid="{4A568699-9719-499E-BA66-35A7C05B513F}" uniqueName="2" name="IS_FIMTN" queryTableFieldId="2" dataDxfId="536"/>
    <tableColumn id="3" xr3:uid="{AC1BC36F-CCDC-477B-832E-1E8CE6730098}" uniqueName="3" name="信用主体" queryTableFieldId="3" dataDxfId="535"/>
    <tableColumn id="4" xr3:uid="{C81EF29F-2477-4213-9BFE-D5053A1009B5}" uniqueName="4" name="行业" queryTableFieldId="4" dataDxfId="534"/>
    <tableColumn id="5" xr3:uid="{9BB249D6-B921-409C-BD25-1143AD7E4A15}" uniqueName="5" name="ISIN" queryTableFieldId="5" dataDxfId="533"/>
    <tableColumn id="6" xr3:uid="{92748992-E149-4DC2-9B29-E2EFE1DB117C}" uniqueName="6" name="定价日" queryTableFieldId="6" dataDxfId="532"/>
    <tableColumn id="7" xr3:uid="{2876D30C-814B-43A4-B8F6-8C4DA856FC56}" uniqueName="7" name="货币" queryTableFieldId="7" dataDxfId="531"/>
    <tableColumn id="8" xr3:uid="{64D6EB2D-7AC6-4160-962B-80870A88FE9C}" uniqueName="8" name="ESG_Source" queryTableFieldId="8" dataDxfId="530"/>
    <tableColumn id="9" xr3:uid="{8F4A4264-E4EB-465C-95BF-43829C64E429}" uniqueName="9" name="IPT_DMI" queryTableFieldId="9" dataDxfId="529"/>
    <tableColumn id="10" xr3:uid="{452A448D-CFA5-4DB8-AD7B-CCADF1BC6711}" uniqueName="10" name="FPG_DMI" queryTableFieldId="10" dataDxfId="528"/>
    <tableColumn id="11" xr3:uid="{CE87F2C8-60A7-4F20-A21A-839EEE9168C7}" uniqueName="11" name="联席全球协调人" queryTableFieldId="11" dataDxfId="527"/>
    <tableColumn id="12" xr3:uid="{08EB1D31-2036-4406-B445-E8F3BF86B96D}" uniqueName="12" name="牵头经办人" queryTableFieldId="12" dataDxfId="526"/>
    <tableColumn id="13" xr3:uid="{BBA949DC-8CFA-4955-8128-ADB18AEF6B87}" uniqueName="13" name="英文简称" queryTableFieldId="13" dataDxfId="525"/>
    <tableColumn id="14" xr3:uid="{FB0BA354-E5F4-40E5-99E3-C771173A10FE}" uniqueName="14" name="临时isin" queryTableFieldId="14" dataDxfId="524"/>
    <tableColumn id="15" xr3:uid="{DD880CCD-C32F-4426-8544-CD57679F31FB}" uniqueName="15" name="付息频率" queryTableFieldId="15" dataDxfId="523"/>
    <tableColumn id="16" xr3:uid="{EC267DCA-B7BB-4080-B715-A81622734B97}" uniqueName="16" name="维好协议提供者" queryTableFieldId="16" dataDxfId="522"/>
    <tableColumn id="17" xr3:uid="{4F6E8B26-AA02-4350-8D29-EE5F63183020}" uniqueName="17" name="特殊条款" queryTableFieldId="17" dataDxfId="521"/>
    <tableColumn id="18" xr3:uid="{D5F5D2FD-2D1D-4C73-9503-B08C22459B30}" uniqueName="18" name="债券类型" queryTableFieldId="18" dataDxfId="520"/>
    <tableColumn id="19" xr3:uid="{160E00C3-CA1D-4E34-AFFB-500E27DD7358}" uniqueName="19" name="交易状态" queryTableFieldId="19" dataDxfId="519"/>
    <tableColumn id="20" xr3:uid="{EB39CAED-E998-4724-A29F-9923AA8E87CD}" uniqueName="20" name="利率类型" queryTableFieldId="20" dataDxfId="518"/>
    <tableColumn id="21" xr3:uid="{5AD7D3DC-431C-4D40-A998-715A4B5D4ED3}" uniqueName="21" name="是否存单" queryTableFieldId="21" dataDxfId="517"/>
    <tableColumn id="22" xr3:uid="{FA3F4F21-7EFE-4A67-82FF-76BB902BB391}" uniqueName="22" name="是否永续债" queryTableFieldId="22" dataDxfId="516"/>
    <tableColumn id="23" xr3:uid="{53CAA8EF-4AEC-46A8-9E27-441717E56129}" uniqueName="23" name="联席账簿管理人" queryTableFieldId="23" dataDxfId="515"/>
    <tableColumn id="24" xr3:uid="{845A41CB-6954-43DF-B920-27D89360F0AC}" uniqueName="24" name="特殊条款说明" queryTableFieldId="24" dataDxfId="514"/>
    <tableColumn id="25" xr3:uid="{717F72D8-0F14-4058-A303-D5D8C035AF0D}" uniqueName="25" name="上市日期" queryTableFieldId="25" dataDxfId="513"/>
    <tableColumn id="26" xr3:uid="{2023C00C-A429-4931-BDDA-17ECE8CD2384}" uniqueName="26" name="定价_DMI" queryTableFieldId="26" dataDxfId="512"/>
    <tableColumn id="27" xr3:uid="{7BEF2D8D-31E3-42F9-B2F8-1285A8AEA53A}" uniqueName="27" name="发行起始日" queryTableFieldId="27" dataDxfId="511"/>
    <tableColumn id="28" xr3:uid="{F441BC3E-ED42-4AB1-8228-1B6924DBA6CA}" uniqueName="28" name="担保人" queryTableFieldId="28" dataDxfId="510"/>
    <tableColumn id="29" xr3:uid="{7C19D6E4-E675-4348-BF0E-C18ECC98656C}" uniqueName="29" name="发行人" queryTableFieldId="29" dataDxfId="509"/>
    <tableColumn id="30" xr3:uid="{39392E72-E631-4B30-9315-002E2790687A}" uniqueName="30" name="首次付息日" queryTableFieldId="30" dataDxfId="508"/>
    <tableColumn id="31" xr3:uid="{D3781C9C-3707-41FB-8F6D-766D1ACE952A}" uniqueName="31" name="计息基准" queryTableFieldId="31" dataDxfId="507"/>
    <tableColumn id="32" xr3:uid="{B6E85873-8F4C-4565-8097-7B038054A199}" uniqueName="32" name="最新票面利率" queryTableFieldId="32" dataDxfId="506"/>
    <tableColumn id="33" xr3:uid="{695DA9AF-3950-4624-88E4-0BD1A253DC7F}" uniqueName="33" name="行权兑付日" queryTableFieldId="33" dataDxfId="505"/>
    <tableColumn id="34" xr3:uid="{E3854E03-8195-4691-9B35-F53C79A07D5F}" uniqueName="34" name="起息日期" queryTableFieldId="34" dataDxfId="504"/>
    <tableColumn id="35" xr3:uid="{4EF15B80-BCC6-4F99-8109-08B4F9A13EB4}" uniqueName="35" name="债券余额" queryTableFieldId="35" dataDxfId="503"/>
    <tableColumn id="36" xr3:uid="{6548ED30-3A02-441C-BCC5-B75D134C2FE2}" uniqueName="36" name="债券最新面值" queryTableFieldId="36" dataDxfId="502"/>
    <tableColumn id="37" xr3:uid="{514DDF5A-DDA1-4CB3-8126-EC129D7C9ACA}" uniqueName="37" name="ticker" queryTableFieldId="37" dataDxfId="501"/>
    <tableColumn id="38" xr3:uid="{75CD578C-1F6A-49BE-A807-22D0A211955A}" uniqueName="38" name="筹款用途" queryTableFieldId="38" dataDxfId="500"/>
    <tableColumn id="39" xr3:uid="{52CCEFB4-75D0-4445-91A7-112CAC632FBE}" uniqueName="39" name="投资者分布" queryTableFieldId="39" dataDxfId="499"/>
    <tableColumn id="40" xr3:uid="{9E7A2765-F24C-4E03-9D4C-AF98B2BE6AC5}" uniqueName="40" name="投资者类型" queryTableFieldId="40" dataDxfId="498"/>
    <tableColumn id="41" xr3:uid="{8AF16E58-A015-418C-8513-49EBB27EDBF4}" uniqueName="41" name="投资者账户数" queryTableFieldId="41" dataDxfId="497"/>
    <tableColumn id="42" xr3:uid="{19823FC0-944D-47BA-8510-F821401D7848}" uniqueName="42" name="评级类型" queryTableFieldId="42" dataDxfId="496"/>
    <tableColumn id="43" xr3:uid="{1CB6CFDB-15FC-4372-91FF-32B5ACF96887}" uniqueName="43" name="公司类型" queryTableFieldId="43" dataDxfId="495"/>
    <tableColumn id="44" xr3:uid="{15AD3519-B16C-49DD-99DF-A71C1D2B3038}" uniqueName="44" name="剩余期限" queryTableFieldId="44" dataDxfId="494"/>
    <tableColumn id="45" xr3:uid="{603C7CC9-59E6-482A-A158-925ABF70B72E}" uniqueName="45" name="境内主体评级" queryTableFieldId="45" dataDxfId="493"/>
    <tableColumn id="46" xr3:uid="{22C27A75-0B9A-4C70-92F0-CB323071B28F}" uniqueName="46" name="债项初始评级" queryTableFieldId="46" dataDxfId="492"/>
    <tableColumn id="47" xr3:uid="{199FFD36-853A-43EA-B94A-48E44C24CB23}" uniqueName="47" name="细分行业" queryTableFieldId="47" dataDxfId="491"/>
    <tableColumn id="48" xr3:uid="{0E271067-DA5D-4EBA-9454-332850429252}" uniqueName="48" name="发行方式" queryTableFieldId="48" dataDxfId="490"/>
    <tableColumn id="49" xr3:uid="{7AD1ADFE-896F-47FF-A6B9-438BBA7FEC00}" uniqueName="49" name="基金占比" queryTableFieldId="49" dataDxfId="489"/>
    <tableColumn id="50" xr3:uid="{3A7E0BC9-8420-4B67-8EEF-8F0A5A3DAA50}" uniqueName="50" name="亚洲占比" queryTableFieldId="50" dataDxfId="488"/>
    <tableColumn id="51" xr3:uid="{5C000353-D0CB-4F5B-A11B-638B87E5E1B7}" uniqueName="51" name="认购倍数" queryTableFieldId="51" dataDxfId="487"/>
    <tableColumn id="52" xr3:uid="{5A03D882-1ECF-4876-A9AC-28A8D78CED8C}" uniqueName="52" name="认购额(亿)" queryTableFieldId="52" dataDxfId="486"/>
    <tableColumn id="53" xr3:uid="{70ABA819-A038-4323-839D-97C08EEF63CD}" uniqueName="53" name="区县" queryTableFieldId="53" dataDxfId="485"/>
    <tableColumn id="54" xr3:uid="{4CEE06E0-A31E-4018-BEFE-442BA305B966}" uniqueName="54" name="城市" queryTableFieldId="54" dataDxfId="484"/>
    <tableColumn id="55" xr3:uid="{76931474-83FB-4867-AF9C-D7E65B44B26F}" uniqueName="55" name="省份" queryTableFieldId="55" dataDxfId="483"/>
    <tableColumn id="56" xr3:uid="{6EE32153-3E0D-4C3C-94C7-7FE691EB6D02}" uniqueName="56" name="首日涨跌" queryTableFieldId="56" dataDxfId="482"/>
    <tableColumn id="57" xr3:uid="{A279FC67-8893-466D-A727-00889FD4AD1E}" uniqueName="57" name="发行价" queryTableFieldId="57" dataDxfId="481"/>
    <tableColumn id="58" xr3:uid="{C20545BE-F0E3-4358-96EB-833986AFB640}" uniqueName="58" name="偿还顺位" queryTableFieldId="58" dataDxfId="480"/>
    <tableColumn id="59" xr3:uid="{4D39C025-1DCB-4366-9CF7-30ADF8318EC5}" uniqueName="59" name="SBLC提供者" queryTableFieldId="59" dataDxfId="479"/>
    <tableColumn id="60" xr3:uid="{9AFC4BEF-D3CB-4B94-A996-8556C6B34025}" uniqueName="60" name="发行架构" queryTableFieldId="60" dataDxfId="478"/>
    <tableColumn id="61" xr3:uid="{00F8644A-D6DA-4985-8E6B-73B8DCB4459B}" uniqueName="61" name="发行规则" queryTableFieldId="61" dataDxfId="477"/>
    <tableColumn id="62" xr3:uid="{8B44A811-8D8C-4FBA-AEB0-B2A31EA1AD09}" uniqueName="62" name="收窄幅度(bp)" queryTableFieldId="62" dataDxfId="476"/>
    <tableColumn id="63" xr3:uid="{48856535-C351-461C-B64D-8FC779702C24}" uniqueName="63" name="发行场所" queryTableFieldId="63" dataDxfId="475"/>
    <tableColumn id="64" xr3:uid="{3A8EE787-58D6-40FA-A8E0-C1EE401DE4B9}" uniqueName="64" name="兑付日" queryTableFieldId="64" dataDxfId="474"/>
    <tableColumn id="65" xr3:uid="{09A5C30C-729A-48CC-B4EB-3B865E699265}" uniqueName="65" name="票息_DMI" queryTableFieldId="65" dataDxfId="473"/>
    <tableColumn id="66" xr3:uid="{656A4809-8342-40A9-84C6-D5F07C399DCE}" uniqueName="66" name="发行期限(年)" queryTableFieldId="66" dataDxfId="472"/>
    <tableColumn id="67" xr3:uid="{BE8D6084-916D-4133-B3A2-D2905CFDDD76}" uniqueName="67" name="发行规模(亿)" queryTableFieldId="67" dataDxfId="471"/>
    <tableColumn id="68" xr3:uid="{98BF047E-6060-4684-871F-830B4E0B249C}" uniqueName="68" name="债项评级" queryTableFieldId="68" dataDxfId="470"/>
    <tableColumn id="69" xr3:uid="{E39B5F07-4C36-4BFD-BCED-77021B12F7EC}" uniqueName="69" name="主体评级展望" queryTableFieldId="69" dataDxfId="469"/>
    <tableColumn id="70" xr3:uid="{F9720734-02A9-4BCF-90D7-93CF9F1A9A77}" uniqueName="70" name="穆迪/标普" queryTableFieldId="70" dataDxfId="468"/>
    <tableColumn id="71" xr3:uid="{904F8824-A527-4DD3-A91E-090295245807}" uniqueName="71" name="债券简称" queryTableFieldId="71" dataDxfId="467"/>
    <tableColumn id="72" xr3:uid="{36609404-44F5-4DF0-BDD0-C17E6084BB98}" uniqueName="72" name="DataSource" queryTableFieldId="72" dataDxfId="466"/>
    <tableColumn id="73" xr3:uid="{4D85F51E-D29E-4116-94CC-E00DFE58D5BF}" uniqueName="73" name="首次违约日" queryTableFieldId="73" dataDxfId="465"/>
    <tableColumn id="74" xr3:uid="{4A571569-1D0E-4C48-859E-A52D4AAE080A}" uniqueName="74" name="IS_EXCH" queryTableFieldId="74" dataDxfId="464"/>
    <tableColumn id="75" xr3:uid="{6CD67985-9A55-4359-8E30-3955714BAAE8}" uniqueName="75" name="地区" queryTableFieldId="75" dataDxfId="463"/>
    <tableColumn id="76" xr3:uid="{5B53AACC-5E76-4DB6-99B8-B2C4410F91B2}" uniqueName="76" name="BISL_ROLE" queryTableFieldId="76" dataDxfId="462"/>
    <tableColumn id="77" xr3:uid="{56E72876-2036-484B-AA92-043D4C2CD055}" uniqueName="77" name="注册成立地" queryTableFieldId="77" dataDxfId="461"/>
    <tableColumn id="78" xr3:uid="{6806FE0C-2F89-4FCB-9CD5-22A9BE33B59D}" uniqueName="78" name="发行人主上市地" queryTableFieldId="78" dataDxfId="460"/>
    <tableColumn id="79" xr3:uid="{38EED0C3-EE66-4A96-A601-0BBBDEB18E44}" uniqueName="79" name="补充OMAS updates" queryTableFieldId="79" dataDxfId="459"/>
    <tableColumn id="80" xr3:uid="{2AA2F95F-67EF-49FE-90BA-65856DA12BEA}" uniqueName="80" name="定价息差" queryTableFieldId="80" dataDxfId="458"/>
    <tableColumn id="81" xr3:uid="{E71EC63D-EBDC-4FF6-A877-995A9CD60C2B}" uniqueName="81" name="发行评级" queryTableFieldId="81" dataDxfId="457"/>
    <tableColumn id="82" xr3:uid="{98DF1031-C7F2-4850-9922-C4A7E135D979}" uniqueName="82" name="主体评级" queryTableFieldId="82" dataDxfId="456"/>
    <tableColumn id="83" xr3:uid="{2A5CE70B-57D3-4AAD-9D97-84E3D2E342CB}" uniqueName="83" name="结构" queryTableFieldId="83" dataDxfId="455"/>
    <tableColumn id="84" xr3:uid="{F6238EE2-E999-4AE5-B8FE-FF168088BDE1}" uniqueName="84" name="备证行" queryTableFieldId="84" dataDxfId="454"/>
    <tableColumn id="85" xr3:uid="{07222D66-BA37-4381-9F23-B87C506C86D7}" uniqueName="85" name="上市" queryTableFieldId="85" dataDxfId="453"/>
    <tableColumn id="86" xr3:uid="{9F0CE7F1-E4E4-4A27-B3FB-E740BE1932AB}" uniqueName="86" name="通过分行" queryTableFieldId="86" dataDxfId="452"/>
    <tableColumn id="87" xr3:uid="{E1E52557-E125-48BE-85E0-86E4AA479955}" uniqueName="87" name="亿美元" queryTableFieldId="87" dataDxfId="451"/>
    <tableColumn id="88" xr3:uid="{1154296F-F3FC-4CA0-98AF-8D22E01B8000}" uniqueName="88" name="亿元" queryTableFieldId="88" dataDxfId="450"/>
    <tableColumn id="89" xr3:uid="{EF573876-F515-4239-978A-01B791677A7F}" uniqueName="89" name="亿港币" queryTableFieldId="89" dataDxfId="449"/>
    <tableColumn id="90" xr3:uid="{51E8488C-A4C5-46E0-968E-7BAEC9AF5102}" uniqueName="90" name="增发判定" queryTableFieldId="90" dataDxfId="448"/>
    <tableColumn id="91" xr3:uid="{E281CCBC-4E73-4172-9B3E-940FB0855D6C}" uniqueName="91" name="Stats" queryTableFieldId="91" dataDxfId="447"/>
    <tableColumn id="92" xr3:uid="{A4554850-5480-4186-9DE3-8DE2D4EB8508}" uniqueName="92" name="澳分_ROLE" queryTableFieldId="92" dataDxfId="446"/>
    <tableColumn id="93" xr3:uid="{2DDB51B6-1CC9-4F1C-8FC4-133D6813C8DB}" uniqueName="93" name="港分_ROLE" queryTableFieldId="93" dataDxfId="445"/>
    <tableColumn id="94" xr3:uid="{53730C2E-59B8-4BDD-9DD2-58D88D639803}" uniqueName="94" name="定价基准" queryTableFieldId="94" dataDxfId="444"/>
    <tableColumn id="95" xr3:uid="{C50074D1-2A77-4129-95DA-E6F5C1646D8F}" uniqueName="95" name="收窄基点" queryTableFieldId="95" dataDxfId="443"/>
    <tableColumn id="96" xr3:uid="{ED22D00F-0374-4021-9E1C-9F55BB0F5DC8}" uniqueName="96" name="IPG" queryTableFieldId="96" dataDxfId="442"/>
    <tableColumn id="97" xr3:uid="{5F496631-96B8-4DC5-B5FB-DA8AE719C716}" uniqueName="97" name="FPG" queryTableFieldId="97" dataDxfId="441"/>
    <tableColumn id="98" xr3:uid="{5F4C16F3-DCCB-42C8-A380-52393FD186EF}" uniqueName="98" name="定价" queryTableFieldId="98" dataDxfId="440"/>
    <tableColumn id="99" xr3:uid="{EA26FB25-CA11-410B-B694-EFE2B2B204BF}" uniqueName="99" name="票息" queryTableFieldId="99" dataDxfId="439"/>
    <tableColumn id="100" xr3:uid="{DDE5A8BA-8BC7-4900-BD81-D30DC22E753F}" uniqueName="100" name="年期" queryTableFieldId="100" dataDxfId="438"/>
    <tableColumn id="101" xr3:uid="{964E4155-2518-4B85-89DF-A54AA3A83296}" uniqueName="101" name="期限备注" queryTableFieldId="101" dataDxfId="437"/>
    <tableColumn id="102" xr3:uid="{8A4F6F8B-4B3F-42B0-BFC9-50EE9505184A}" uniqueName="102" name="品种主题" queryTableFieldId="105"/>
    <tableColumn id="124" xr3:uid="{B9E27D4F-FAA9-4BEA-8354-1A1DBF0E8943}" uniqueName="124" name="ESG" queryTableFieldId="145"/>
    <tableColumn id="104" xr3:uid="{19CE9159-6664-4EC8-A1AC-08A9A2A1392E}" uniqueName="104" name="Check" queryTableFieldId="104" dataDxfId="436"/>
  </tableColumns>
  <tableStyleInfo name="Qry Loa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435" dataDxfId="434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433"/>
    <tableColumn id="2" xr3:uid="{00000000-0010-0000-1A00-000002000000}" name="信用主体" dataDxfId="432"/>
    <tableColumn id="3" xr3:uid="{00000000-0010-0000-1A00-000003000000}" name="ESG" dataDxfId="431"/>
    <tableColumn id="4" xr3:uid="{00000000-0010-0000-1A00-000004000000}" name="IPG" dataDxfId="430"/>
    <tableColumn id="6" xr3:uid="{00000000-0010-0000-1A00-000006000000}" name="FPG" dataDxfId="429"/>
    <tableColumn id="16" xr3:uid="{00000000-0010-0000-1A00-000010000000}" name="收窄基点" dataDxfId="428"/>
    <tableColumn id="11" xr3:uid="{00000000-0010-0000-1A00-00000B000000}" name="定价" dataDxfId="427"/>
    <tableColumn id="12" xr3:uid="{00000000-0010-0000-1A00-00000C000000}" name="增发判定" dataDxfId="426"/>
    <tableColumn id="13" xr3:uid="{00000000-0010-0000-1A00-00000D000000}" name="货币" dataDxfId="425"/>
    <tableColumn id="14" xr3:uid="{00000000-0010-0000-1A00-00000E000000}" name="发行规模(亿)" dataDxfId="424"/>
    <tableColumn id="19" xr3:uid="{00000000-0010-0000-1A00-000013000000}" name="年期" dataDxfId="423"/>
    <tableColumn id="5" xr3:uid="{00000000-0010-0000-1A00-000005000000}" name="票息" dataDxfId="422"/>
    <tableColumn id="7" xr3:uid="{00000000-0010-0000-1A00-000007000000}" name="品种主题" dataDxfId="421"/>
    <tableColumn id="8" xr3:uid="{00000000-0010-0000-1A00-000008000000}" name="上市" dataDxfId="420"/>
    <tableColumn id="9" xr3:uid="{00000000-0010-0000-1A00-000009000000}" name="期限备注" dataDxfId="419"/>
    <tableColumn id="10" xr3:uid="{00000000-0010-0000-1A00-00000A000000}" name="亿美元" dataDxfId="418"/>
    <tableColumn id="17" xr3:uid="{00000000-0010-0000-1A00-000011000000}" name="亿元" dataDxfId="417"/>
    <tableColumn id="18" xr3:uid="{00000000-0010-0000-1A00-000012000000}" name="亿港币" dataDxfId="416"/>
    <tableColumn id="15" xr3:uid="{00000000-0010-0000-1A00-00000F000000}" name="ISIN" dataDxfId="415"/>
    <tableColumn id="20" xr3:uid="{00000000-0010-0000-1A00-000014000000}" name="Check" dataDxfId="414"/>
  </tableColumns>
  <tableStyleInfo name="review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413" dataDxfId="412">
  <tableColumns count="14">
    <tableColumn id="1" xr3:uid="{00000000-0010-0000-1B00-000001000000}" name="信用主体" dataDxfId="411"/>
    <tableColumn id="2" xr3:uid="{00000000-0010-0000-1B00-000002000000}" name="Check" dataDxfId="410"/>
    <tableColumn id="3" xr3:uid="{00000000-0010-0000-1B00-000003000000}" name="ISIN" dataDxfId="409"/>
    <tableColumn id="4" xr3:uid="{00000000-0010-0000-1B00-000004000000}" name="定价日" dataDxfId="408"/>
    <tableColumn id="5" xr3:uid="{00000000-0010-0000-1B00-000005000000}" name="台账序号" dataDxfId="407"/>
    <tableColumn id="6" xr3:uid="{00000000-0010-0000-1B00-000006000000}" name="Project Name" dataDxfId="406"/>
    <tableColumn id="7" xr3:uid="{00000000-0010-0000-1B00-000007000000}" name="COVERAGE" dataDxfId="405"/>
    <tableColumn id="8" xr3:uid="{00000000-0010-0000-1B00-000008000000}" name="新规角色" dataDxfId="404"/>
    <tableColumn id="9" xr3:uid="{00000000-0010-0000-1B00-000009000000}" name="PROJECT_CODE" dataDxfId="403"/>
    <tableColumn id="10" xr3:uid="{00000000-0010-0000-1B00-00000A000000}" name="期数" dataDxfId="402"/>
    <tableColumn id="11" xr3:uid="{00000000-0010-0000-1B00-00000B000000}" name="BISL_ROLE" dataDxfId="401"/>
    <tableColumn id="12" xr3:uid="{00000000-0010-0000-1B00-00000C000000}" name="IS_LEAD" dataDxfId="400"/>
    <tableColumn id="13" xr3:uid="{00000000-0010-0000-1B00-00000D000000}" name="IS_B&amp;D" dataDxfId="399"/>
    <tableColumn id="14" xr3:uid="{00000000-0010-0000-1B00-00000E000000}" name="是否合名" dataDxfId="398"/>
  </tableColumns>
  <tableStyleInfo name="review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2" totalsRowShown="0" headerRowDxfId="397" dataDxfId="396">
  <autoFilter ref="BF3:BI12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395"/>
    <tableColumn id="2" xr3:uid="{00000000-0010-0000-1C00-000002000000}" name="SHORTNAMER" dataDxfId="394"/>
    <tableColumn id="3" xr3:uid="{00000000-0010-0000-1C00-000003000000}" name="中资属性" dataDxfId="393"/>
    <tableColumn id="4" xr3:uid="{00000000-0010-0000-1C00-000004000000}" name="板块" dataDxfId="392"/>
  </tableColumns>
  <tableStyleInfo name="review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391"/>
    <tableColumn id="4" xr3:uid="{0C203217-F646-4D3C-BCC1-CB5D146D778A}" name="信用主体" dataDxfId="390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E10" totalsRowShown="0">
  <autoFilter ref="A6:E10" xr:uid="{808E568B-1200-457F-813E-717EE636BF7C}"/>
  <tableColumns count="5">
    <tableColumn id="1" xr3:uid="{E3EB91ED-4821-4A7E-BA3C-FCEACC27C3E7}" name="Index"/>
    <tableColumn id="5" xr3:uid="{D25341F3-1ECB-4BE5-96D6-884E8A5F506F}" name="信用主体及评级" dataDxfId="389"/>
    <tableColumn id="2" xr3:uid="{38E483B3-A458-4148-BCAA-8CE932CA4FBA}" name="板块" dataDxfId="388"/>
    <tableColumn id="3" xr3:uid="{5E891849-9559-434F-82D1-4DE41887D454}" name="货币" dataDxfId="387"/>
    <tableColumn id="4" xr3:uid="{9D21F886-4318-4A17-8974-1FEAF278DF3A}" name="Writer" dataDxfId="386"/>
  </tableColumns>
  <tableStyleInfo name="Qry Load 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E6D085-E21A-4E8F-A53A-C8E82C98F1D2}" name="wConso" displayName="wConso" ref="B6:CB30" tableType="queryTable" totalsRowShown="0">
  <autoFilter ref="B6:CB30" xr:uid="{11C6B267-9841-4AFA-84D0-7B04A87D3DA9}"/>
  <tableColumns count="79">
    <tableColumn id="1" xr3:uid="{49C84CFB-F7A2-42E9-A567-E78D80A6A9EB}" uniqueName="1" name="Index" queryTableFieldId="1" dataDxfId="77"/>
    <tableColumn id="2" xr3:uid="{5391C6C1-694E-4B38-B0E7-1D036FC97B80}" uniqueName="2" name="删除及隐藏" queryTableFieldId="2" dataDxfId="76"/>
    <tableColumn id="3" xr3:uid="{30AEE88C-F7D8-4915-9C60-E7FB9D2B6B0A}" uniqueName="3" name="信用主体" queryTableFieldId="3" dataDxfId="75"/>
    <tableColumn id="4" xr3:uid="{E4016D6D-F47F-44C4-BE9A-6B665A4B3B74}" uniqueName="4" name="ISIN" queryTableFieldId="4" dataDxfId="74"/>
    <tableColumn id="5" xr3:uid="{C5F3905A-7503-4C09-8BC2-F8F75FB787E2}" uniqueName="5" name="定价日" queryTableFieldId="5" dataDxfId="73"/>
    <tableColumn id="6" xr3:uid="{56423A97-32F1-4BA5-8F25-D70A4FA34F74}" uniqueName="6" name="发行评级" queryTableFieldId="6" dataDxfId="72"/>
    <tableColumn id="7" xr3:uid="{16AAB038-B673-4A11-9D4F-C69C2FBCA8F8}" uniqueName="7" name="主体评级" queryTableFieldId="7" dataDxfId="71"/>
    <tableColumn id="8" xr3:uid="{1968EBC8-5A19-45E9-AF08-5218615579D8}" uniqueName="8" name="境内主体评级" queryTableFieldId="8" dataDxfId="70"/>
    <tableColumn id="9" xr3:uid="{A650CF03-5030-46F2-82E5-B6F54676C743}" uniqueName="9" name="货币" queryTableFieldId="9" dataDxfId="69"/>
    <tableColumn id="10" xr3:uid="{21E51DCC-7040-45E3-A2B9-978FB679C460}" uniqueName="10" name="发行规模(亿)" queryTableFieldId="10" dataDxfId="68"/>
    <tableColumn id="11" xr3:uid="{EB439C5C-BAB2-4AFF-A57D-0318D4B8B590}" uniqueName="11" name="年期" queryTableFieldId="11" dataDxfId="67"/>
    <tableColumn id="12" xr3:uid="{802F46BB-319C-44D3-9FAD-4431BE10BF59}" uniqueName="12" name="票息" queryTableFieldId="12" dataDxfId="66"/>
    <tableColumn id="13" xr3:uid="{5636182E-856B-46D0-9A63-7E79773603D1}" uniqueName="13" name="IPG" queryTableFieldId="13" dataDxfId="65"/>
    <tableColumn id="14" xr3:uid="{75243A32-D580-486D-9826-B7B5135977DE}" uniqueName="14" name="FPG" queryTableFieldId="14" dataDxfId="64"/>
    <tableColumn id="15" xr3:uid="{B864466F-CF3D-4CA7-BFB3-976E3124C961}" uniqueName="15" name="定价" queryTableFieldId="15" dataDxfId="63"/>
    <tableColumn id="16" xr3:uid="{19734BE8-7A34-422B-87BC-EA6F796132A4}" uniqueName="16" name="收窄基点" queryTableFieldId="16" dataDxfId="62"/>
    <tableColumn id="17" xr3:uid="{7D768D0B-CF3E-47CB-A9C5-CAE9ED2FE7EE}" uniqueName="17" name="定价基准" queryTableFieldId="17" dataDxfId="61"/>
    <tableColumn id="18" xr3:uid="{BED07932-948A-44FA-AF6B-8B9CA8B3715E}" uniqueName="18" name="发行价" queryTableFieldId="18" dataDxfId="60"/>
    <tableColumn id="19" xr3:uid="{0A94885E-7247-426C-A1BA-829EE9864EFA}" uniqueName="19" name="结构" queryTableFieldId="19" dataDxfId="59"/>
    <tableColumn id="20" xr3:uid="{4C650ED6-C9D0-4B5B-BD04-4920F327DE76}" uniqueName="20" name="上市" queryTableFieldId="20" dataDxfId="58"/>
    <tableColumn id="21" xr3:uid="{9BB36B2D-00DF-46AB-A552-027C6B9E6698}" uniqueName="21" name="港分_ROLE" queryTableFieldId="21" dataDxfId="57"/>
    <tableColumn id="22" xr3:uid="{FCE5B259-E893-4D15-A23E-D3B85BC84284}" uniqueName="22" name="澳分_ROLE" queryTableFieldId="22" dataDxfId="56"/>
    <tableColumn id="23" xr3:uid="{DAD00B99-E16D-46F9-BBFE-C39B5E51F8B4}" uniqueName="23" name="增发判定" queryTableFieldId="23" dataDxfId="55"/>
    <tableColumn id="24" xr3:uid="{7E76AE3B-E535-4875-926F-50D9B0BD9CA3}" uniqueName="24" name="付息频率" queryTableFieldId="24" dataDxfId="54"/>
    <tableColumn id="25" xr3:uid="{D210E24B-6303-4F5B-964F-F043F84EADC0}" uniqueName="25" name="起息日期" queryTableFieldId="25" dataDxfId="53"/>
    <tableColumn id="26" xr3:uid="{3503A059-19B5-4994-AA31-2EB00F65C20D}" uniqueName="26" name="首次付息日" queryTableFieldId="26" dataDxfId="52"/>
    <tableColumn id="27" xr3:uid="{7BA8DB13-6078-4A5F-920B-455C89B692E8}" uniqueName="27" name="兑付日" queryTableFieldId="27" dataDxfId="51"/>
    <tableColumn id="28" xr3:uid="{34F18E86-AE88-43DF-A931-58B145B8C31B}" uniqueName="28" name="亿美元" queryTableFieldId="28" dataDxfId="50"/>
    <tableColumn id="29" xr3:uid="{5F450BB9-0D6C-4278-B44C-CE58B9AF8AD2}" uniqueName="29" name="亿元" queryTableFieldId="29" dataDxfId="49"/>
    <tableColumn id="30" xr3:uid="{89AFE930-1F34-4FBB-B11C-D71C795B0FE6}" uniqueName="30" name="亿港币" queryTableFieldId="30" dataDxfId="48"/>
    <tableColumn id="31" xr3:uid="{11137EDA-E209-4DE4-89EF-BFBC5F28196A}" uniqueName="31" name="TICKER" queryTableFieldId="31" dataDxfId="47"/>
    <tableColumn id="32" xr3:uid="{36301663-8F58-4550-84FE-8696F73CB6CA}" uniqueName="32" name="注册成立地" queryTableFieldId="32" dataDxfId="46"/>
    <tableColumn id="33" xr3:uid="{6725112C-5597-436E-8E0E-AA13B66F2F8E}" uniqueName="33" name="发行人主上市地" queryTableFieldId="33" dataDxfId="45"/>
    <tableColumn id="34" xr3:uid="{2C2BB375-0A4F-4358-B6A3-28775B7A1032}" uniqueName="34" name="通过分行" queryTableFieldId="34" dataDxfId="44"/>
    <tableColumn id="35" xr3:uid="{8D9845ED-E6A1-4236-9925-21C027C59C8B}" uniqueName="35" name="发行人" queryTableFieldId="35" dataDxfId="43"/>
    <tableColumn id="36" xr3:uid="{3E5B4170-3625-4006-8A05-027F6A1A926E}" uniqueName="36" name="担保人" queryTableFieldId="36" dataDxfId="42"/>
    <tableColumn id="37" xr3:uid="{9C047B2A-73C7-4782-9019-E64A80C8942B}" uniqueName="37" name="维好协议提供者" queryTableFieldId="37" dataDxfId="41"/>
    <tableColumn id="38" xr3:uid="{C1A6DE7D-1435-4AF9-BDDB-856A17B3441A}" uniqueName="38" name="备证行" queryTableFieldId="38" dataDxfId="40"/>
    <tableColumn id="39" xr3:uid="{308E3923-7218-4F54-942A-5F3AE05A87D3}" uniqueName="39" name="ESG" queryTableFieldId="39" dataDxfId="39"/>
    <tableColumn id="40" xr3:uid="{A8274D6B-F485-4D0B-AA5A-F76DB3BD48F9}" uniqueName="40" name="品种主题" queryTableFieldId="40" dataDxfId="38"/>
    <tableColumn id="41" xr3:uid="{450B9AE7-BD9C-4B5A-A014-DFCF4E39A058}" uniqueName="41" name="亮点" queryTableFieldId="41" dataDxfId="37"/>
    <tableColumn id="42" xr3:uid="{F468E57E-4B4B-49F0-9B1A-643846561B90}" uniqueName="42" name="期限备注" queryTableFieldId="42" dataDxfId="36"/>
    <tableColumn id="43" xr3:uid="{416DE0C2-D39B-4398-A881-FFB4F6F3DBED}" uniqueName="43" name="SPECIALs" queryTableFieldId="43" dataDxfId="35"/>
    <tableColumn id="44" xr3:uid="{A9A61A03-BCDF-47BC-8A88-6DD60BDA0D48}" uniqueName="44" name="OTHER_ISIN" queryTableFieldId="44" dataDxfId="34"/>
    <tableColumn id="45" xr3:uid="{3D555690-F5C6-4DEC-9A61-61FE5F3B393B}" uniqueName="45" name="Stats" queryTableFieldId="45" dataDxfId="33"/>
    <tableColumn id="46" xr3:uid="{1D4468C1-FE0C-47B6-A9B3-426D283F795B}" uniqueName="46" name="筹款用途" queryTableFieldId="46" dataDxfId="32"/>
    <tableColumn id="47" xr3:uid="{249E466B-DC8F-4E1C-87C7-318025F34396}" uniqueName="47" name="发行方式" queryTableFieldId="47" dataDxfId="31"/>
    <tableColumn id="48" xr3:uid="{0778CABD-2A27-4DD9-B44D-3F26DBDA112A}" uniqueName="48" name="DataSource" queryTableFieldId="48" dataDxfId="30"/>
    <tableColumn id="49" xr3:uid="{AE89ED19-4403-409F-BF1D-1BC079FC0AE7}" uniqueName="49" name="Updator" queryTableFieldId="49" dataDxfId="29"/>
    <tableColumn id="50" xr3:uid="{4515DAF1-F030-4E39-B35F-0CCBF6CBA330}" uniqueName="50" name="Timestamp" queryTableFieldId="50" dataDxfId="28"/>
    <tableColumn id="51" xr3:uid="{A1C8DF4C-5627-413A-9669-A64708A1B7E0}" uniqueName="51" name="Check" queryTableFieldId="51" dataDxfId="27"/>
    <tableColumn id="52" xr3:uid="{A7543B36-AE90-4A7B-84A9-58743741DDEA}" uniqueName="52" name="mCurated" queryTableFieldId="52" dataDxfId="26"/>
    <tableColumn id="53" xr3:uid="{C3E4DE16-F266-4E37-B887-201A1994C79F}" uniqueName="53" name="BISL_ROLE" queryTableFieldId="53" dataDxfId="25"/>
    <tableColumn id="54" xr3:uid="{0A1F1C73-ADAF-49EE-B732-FBE4F8EA6EC3}" uniqueName="54" name="IS_LEAD" queryTableFieldId="54" dataDxfId="24"/>
    <tableColumn id="55" xr3:uid="{EEA635BE-DB56-4DCA-83D6-2C9208EF96FF}" uniqueName="55" name="IS_B&amp;D" queryTableFieldId="55" dataDxfId="23"/>
    <tableColumn id="56" xr3:uid="{142DAE2B-1A5B-4ACB-9A5A-4D94A060AC5B}" uniqueName="56" name="是否合名" queryTableFieldId="56" dataDxfId="22"/>
    <tableColumn id="57" xr3:uid="{26FC0C70-3C7E-438F-A4C8-A26B0B8A7776}" uniqueName="57" name="新规角色" queryTableFieldId="57" dataDxfId="21"/>
    <tableColumn id="58" xr3:uid="{C859D04F-8FF3-4AE5-B54E-4C1238A4CF2D}" uniqueName="58" name="COVERAGE" queryTableFieldId="58" dataDxfId="20"/>
    <tableColumn id="59" xr3:uid="{8A2D9D71-A110-4C20-BE9E-24107E2E6717}" uniqueName="59" name="PROJECT_CODE" queryTableFieldId="59" dataDxfId="19"/>
    <tableColumn id="60" xr3:uid="{0BC8C201-9A40-4BF4-A9DF-D8E8ED230357}" uniqueName="60" name="期数" queryTableFieldId="60" dataDxfId="18"/>
    <tableColumn id="61" xr3:uid="{DF3C96F0-686A-48A2-A3F7-9E54CBC5E9BC}" uniqueName="61" name="台账序号" queryTableFieldId="61" dataDxfId="17"/>
    <tableColumn id="62" xr3:uid="{7F429C46-F900-4B7B-883E-921D5140D497}" uniqueName="62" name="多笔" queryTableFieldId="62" dataDxfId="16"/>
    <tableColumn id="63" xr3:uid="{5014187F-561F-4286-AC0B-C6C2D70E1D51}" uniqueName="63" name="多币种" queryTableFieldId="63" dataDxfId="15"/>
    <tableColumn id="64" xr3:uid="{0992A476-ADC0-4ADC-8508-CF5806D057B1}" uniqueName="64" name="多品种" queryTableFieldId="64" dataDxfId="14"/>
    <tableColumn id="65" xr3:uid="{5215B6A6-D323-45D0-A2D3-8F20033772D9}" uniqueName="65" name="FolderPath" queryTableFieldId="65" dataDxfId="13"/>
    <tableColumn id="79" xr3:uid="{0345E64D-DCE4-48D5-9233-2022919D13FA}" uniqueName="79" name="IS_KYC_DONE" queryTableFieldId="107"/>
    <tableColumn id="66" xr3:uid="{66FFF509-430F-4747-B1AA-3A099312B9FE}" uniqueName="66" name="PRJ对账号" queryTableFieldId="66" dataDxfId="12"/>
    <tableColumn id="67" xr3:uid="{E64E3C6B-E113-4763-B283-E7849DBD809B}" uniqueName="67" name="mBISL" queryTableFieldId="67" dataDxfId="11"/>
    <tableColumn id="68" xr3:uid="{4632AE26-2302-43CF-83AA-F156C643C478}" uniqueName="68" name="mChart" queryTableFieldId="68" dataDxfId="10"/>
    <tableColumn id="69" xr3:uid="{04025EC8-354D-456E-9ECE-64B470015BB4}" uniqueName="69" name="信用主体简称" queryTableFieldId="69" dataDxfId="9"/>
    <tableColumn id="70" xr3:uid="{EE9EE208-9F60-4444-B350-6176976954DF}" uniqueName="70" name="板块" queryTableFieldId="70" dataDxfId="8"/>
    <tableColumn id="71" xr3:uid="{E7031E0E-77AC-458C-B331-6C7CCE830EBB}" uniqueName="71" name="中资属性" queryTableFieldId="71" dataDxfId="7"/>
    <tableColumn id="72" xr3:uid="{131E437E-21CE-410B-B5C1-E34EB86A484E}" uniqueName="72" name="地区" queryTableFieldId="72" dataDxfId="6"/>
    <tableColumn id="73" xr3:uid="{2244270E-FA96-415C-B5E2-ADC83A3CBDCF}" uniqueName="73" name="城市" queryTableFieldId="73" dataDxfId="5"/>
    <tableColumn id="74" xr3:uid="{C8777FAB-8ECB-41CB-A913-F16ADEF5814F}" uniqueName="74" name="区县" queryTableFieldId="74" dataDxfId="4"/>
    <tableColumn id="75" xr3:uid="{1EB6DE4B-8B2B-4D5D-A12D-1992DC8A5373}" uniqueName="75" name="首次违约日" queryTableFieldId="75" dataDxfId="3"/>
    <tableColumn id="76" xr3:uid="{4A918AC7-B429-4FC3-B05E-F9A357436F09}" uniqueName="76" name="DEBUT_DATE" queryTableFieldId="76" dataDxfId="2"/>
    <tableColumn id="77" xr3:uid="{F872D00B-21AF-4B42-8560-25E0DE612BD0}" uniqueName="77" name="行业" queryTableFieldId="77" dataDxfId="1"/>
    <tableColumn id="78" xr3:uid="{E9C5B3D7-1F65-42A2-B490-4540C81D2036}" uniqueName="78" name="mCredit" queryTableFieldId="78" dataDxfId="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9" totalsRowShown="0">
  <autoFilter ref="A8:J9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name="定价日" dataDxfId="385"/>
    <tableColumn id="2" xr3:uid="{00000000-0010-0000-2000-000002000000}" name="ISIN" dataDxfId="384"/>
    <tableColumn id="3" xr3:uid="{00000000-0010-0000-2000-000003000000}" name="债券简称"/>
    <tableColumn id="4" xr3:uid="{00000000-0010-0000-2000-000004000000}" name="年期" dataDxfId="383"/>
    <tableColumn id="5" xr3:uid="{00000000-0010-0000-2000-000005000000}" name="亿美元" dataDxfId="382"/>
    <tableColumn id="10" xr3:uid="{4DD127ED-3CFA-482D-824F-8996B3B2FF61}" name="货币"/>
    <tableColumn id="11" xr3:uid="{736609AE-728A-49BC-8EC6-3BE5EAB61E97}" name="板块"/>
    <tableColumn id="7" xr3:uid="{00000000-0010-0000-2000-000007000000}" name="评级分类"/>
    <tableColumn id="8" xr3:uid="{00000000-0010-0000-2000-000008000000}" name="品种"/>
    <tableColumn id="9" xr3:uid="{00000000-0010-0000-2000-000009000000}" name="按年"/>
  </tableColumns>
  <tableStyleInfo name="Qry Load 3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15" totalsRowShown="0">
  <autoFilter ref="P8:AF1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name="Index" dataDxfId="381"/>
    <tableColumn id="33" xr3:uid="{00000000-0010-0000-1D00-000021000000}" name="ISIN" dataDxfId="380"/>
    <tableColumn id="1" xr3:uid="{00000000-0010-0000-1D00-000001000000}" name="定价日" dataDxfId="379"/>
    <tableColumn id="3" xr3:uid="{00000000-0010-0000-1D00-000003000000}" name="信用主体(备证行)"/>
    <tableColumn id="7" xr3:uid="{00000000-0010-0000-1D00-000007000000}" name="发行评级" dataDxfId="378"/>
    <tableColumn id="9" xr3:uid="{00000000-0010-0000-1D00-000009000000}" name="货币" dataDxfId="377"/>
    <tableColumn id="10" xr3:uid="{00000000-0010-0000-1D00-00000A000000}" name="发行规模(亿)" dataDxfId="376"/>
    <tableColumn id="11" xr3:uid="{00000000-0010-0000-1D00-00000B000000}" name="年期" dataDxfId="375"/>
    <tableColumn id="12" xr3:uid="{00000000-0010-0000-1D00-00000C000000}" name="票息" dataDxfId="374"/>
    <tableColumn id="13" xr3:uid="{00000000-0010-0000-1D00-00000D000000}" name="IPG" dataDxfId="373"/>
    <tableColumn id="15" xr3:uid="{00000000-0010-0000-1D00-00000F000000}" name="收窄基点" dataDxfId="372"/>
    <tableColumn id="16" xr3:uid="{00000000-0010-0000-1D00-000010000000}" name="结构" dataDxfId="371"/>
    <tableColumn id="17" xr3:uid="{00000000-0010-0000-1D00-000011000000}" name="主题"/>
    <tableColumn id="4" xr3:uid="{FA4F2C95-A39F-499C-B714-9F3BFC490D1F}" name="板块" dataDxfId="370"/>
    <tableColumn id="19" xr3:uid="{00000000-0010-0000-1D00-000013000000}" name="地区" dataDxfId="369"/>
    <tableColumn id="38" xr3:uid="{00000000-0010-0000-1D00-000026000000}" name="BOCOM_DEAL?" dataDxfId="368"/>
    <tableColumn id="23" xr3:uid="{00000000-0010-0000-1D00-000017000000}" name="亿美元" dataDxfId="367"/>
  </tableColumns>
  <tableStyleInfo name="Qry Load 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L8:N9" tableType="queryTable" insertRow="1" totalsRowShown="0">
  <autoFilter ref="L8:N9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/>
    <tableColumn id="2" xr3:uid="{857E8300-5E00-451D-A87A-FEB801CB337D}" uniqueName="2" name="上周亿美元" queryTableFieldId="2"/>
    <tableColumn id="3" xr3:uid="{53E88003-C23C-428B-99EE-7DB1B6538F3A}" uniqueName="3" name="上周笔数" queryTableFieldId="3"/>
  </tableColumns>
  <tableStyleInfo name="Qry Load 3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L12:N13" tableType="queryTable" insertRow="1" totalsRowShown="0">
  <autoFilter ref="L12:N13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366"/>
    <tableColumn id="2" xr3:uid="{47FE5343-0DFD-4CFF-B705-96BEB1393CEC}" uniqueName="2" name="上周亿美元" queryTableFieldId="2"/>
    <tableColumn id="3" xr3:uid="{53E645CE-2F6A-4C47-9C37-6B361745E8FA}" uniqueName="3" name="上周笔数" queryTableFieldId="3"/>
  </tableColumns>
  <tableStyleInfo name="Qry Load 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Z21" tableType="queryTable" totalsRowShown="0">
  <autoFilter ref="A4:AZ21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2">
    <tableColumn id="1" xr3:uid="{791E5B07-BD81-4C7D-914D-F61E0BD81704}" uniqueName="1" name="Index" queryTableFieldId="1" dataDxfId="151"/>
    <tableColumn id="50" xr3:uid="{56AFA799-4BDB-4EF4-B64C-858A5DD46BD4}" uniqueName="50" name="删除及隐藏" queryTableFieldId="70" dataDxfId="150"/>
    <tableColumn id="2" xr3:uid="{E4F1AA1A-4561-4DCC-BD36-6E0C0BF9681D}" uniqueName="2" name="信用主体" queryTableFieldId="2" dataDxfId="149"/>
    <tableColumn id="3" xr3:uid="{BCA724F0-8962-4CF8-9F27-DFAB5A7EE57F}" uniqueName="3" name="ISIN" queryTableFieldId="3" dataDxfId="148"/>
    <tableColumn id="4" xr3:uid="{7B86C8AE-E7F7-4B8E-A455-4336C7F9D6D4}" uniqueName="4" name="定价日" queryTableFieldId="4" dataDxfId="147"/>
    <tableColumn id="5" xr3:uid="{8479A384-B664-40C5-817C-35D95E248CA9}" uniqueName="5" name="发行评级" queryTableFieldId="5" dataDxfId="146"/>
    <tableColumn id="6" xr3:uid="{560F1DF2-A9DC-4732-81D4-617CC1DDABEC}" uniqueName="6" name="主体评级" queryTableFieldId="6" dataDxfId="145"/>
    <tableColumn id="7" xr3:uid="{78286578-0202-44D4-898F-7BC8053C30D1}" uniqueName="7" name="境内主体评级" queryTableFieldId="7" dataDxfId="144"/>
    <tableColumn id="8" xr3:uid="{11202A1D-7F53-4AFC-889F-FD580FC6F359}" uniqueName="8" name="货币" queryTableFieldId="8" dataDxfId="143"/>
    <tableColumn id="9" xr3:uid="{00F822E0-673A-426E-97E0-C7C03264A9B7}" uniqueName="9" name="发行规模(亿)" queryTableFieldId="9" dataDxfId="142"/>
    <tableColumn id="10" xr3:uid="{A4600EBC-E807-4C67-B01C-5CD1E3909F2C}" uniqueName="10" name="年期" queryTableFieldId="10" dataDxfId="141"/>
    <tableColumn id="11" xr3:uid="{3882855A-6F78-4733-843C-A5CCC8C71BBE}" uniqueName="11" name="票息" queryTableFieldId="11" dataDxfId="140"/>
    <tableColumn id="12" xr3:uid="{AA7813E9-B7C0-4485-97E4-3E4D3C485DA4}" uniqueName="12" name="IPG" queryTableFieldId="12" dataDxfId="139"/>
    <tableColumn id="13" xr3:uid="{6BC3F1E2-AC4E-42E4-8B1C-4FFDBF40A64D}" uniqueName="13" name="FPG" queryTableFieldId="13" dataDxfId="138"/>
    <tableColumn id="14" xr3:uid="{A56676CE-514E-4236-AF6A-12F9A2068657}" uniqueName="14" name="定价" queryTableFieldId="14" dataDxfId="137"/>
    <tableColumn id="15" xr3:uid="{8DC4F8E2-94E1-4CA7-8249-B35B934BB7A7}" uniqueName="15" name="收窄基点" queryTableFieldId="15" dataDxfId="136"/>
    <tableColumn id="16" xr3:uid="{2A30FA30-EA68-445A-B3B2-07A216AE817C}" uniqueName="16" name="定价基准" queryTableFieldId="16" dataDxfId="135"/>
    <tableColumn id="18" xr3:uid="{68B928C8-F110-4275-943D-B563184CF448}" uniqueName="18" name="发行价" queryTableFieldId="39" dataDxfId="134"/>
    <tableColumn id="17" xr3:uid="{0ACF0E03-B0D4-4057-BF46-E322F4936C17}" uniqueName="17" name="结构" queryTableFieldId="17" dataDxfId="133"/>
    <tableColumn id="19" xr3:uid="{979EE12C-AD42-4833-8A99-EC817C6F2D45}" uniqueName="19" name="上市" queryTableFieldId="19" dataDxfId="132"/>
    <tableColumn id="20" xr3:uid="{E6204F0C-29FB-48D4-9E0E-4731335D7A28}" uniqueName="20" name="港分_ROLE" queryTableFieldId="20" dataDxfId="131"/>
    <tableColumn id="21" xr3:uid="{DBF246C1-9F14-46AE-BBC3-92DB6B28A9F5}" uniqueName="21" name="澳分_ROLE" queryTableFieldId="21" dataDxfId="130"/>
    <tableColumn id="22" xr3:uid="{A427B15A-1E3B-4176-8AAF-3C66C694FA16}" uniqueName="22" name="增发判定" queryTableFieldId="22" dataDxfId="129"/>
    <tableColumn id="26" xr3:uid="{D81B8EC4-1E43-4536-91C9-D9443CB5B5E6}" uniqueName="26" name="付息频率" queryTableFieldId="40" dataDxfId="128"/>
    <tableColumn id="27" xr3:uid="{1B4F1862-A915-4343-BD42-60FE8D9C5914}" uniqueName="27" name="起息日期" queryTableFieldId="41" dataDxfId="127"/>
    <tableColumn id="39" xr3:uid="{63B90420-8840-4507-9FE7-AEEA98D3C1EA}" uniqueName="39" name="首次付息日" queryTableFieldId="42" dataDxfId="126"/>
    <tableColumn id="40" xr3:uid="{BD1F8AC9-D7AC-4D02-8E73-E640E429EA37}" uniqueName="40" name="兑付日" queryTableFieldId="43" dataDxfId="125"/>
    <tableColumn id="23" xr3:uid="{32278D46-AAFB-46AC-B876-F0B2F5B3D38C}" uniqueName="23" name="亿美元" queryTableFieldId="23" dataDxfId="124"/>
    <tableColumn id="24" xr3:uid="{1F885E33-0B82-4272-882B-8A2CC2097721}" uniqueName="24" name="亿元" queryTableFieldId="24" dataDxfId="123"/>
    <tableColumn id="25" xr3:uid="{636B29DB-50B6-49B5-9EE5-519500C5F4C5}" uniqueName="25" name="亿港币" queryTableFieldId="25" dataDxfId="122"/>
    <tableColumn id="41" xr3:uid="{88894D22-D148-449D-8AFE-C1E41A6237D0}" uniqueName="41" name="TICKER" queryTableFieldId="44" dataDxfId="121"/>
    <tableColumn id="45" xr3:uid="{D35F78CD-33DF-4BE5-B09E-5792350E6F5E}" uniqueName="45" name="注册成立地" queryTableFieldId="57" dataDxfId="120"/>
    <tableColumn id="46" xr3:uid="{8292EA6A-E652-4AD6-980B-A367229A037B}" uniqueName="46" name="发行人主上市地" queryTableFieldId="59" dataDxfId="119"/>
    <tableColumn id="32" xr3:uid="{DF9610CA-17E8-4B49-910E-BA6EB58E92E6}" uniqueName="32" name="通过分行" queryTableFieldId="32"/>
    <tableColumn id="42" xr3:uid="{A2CC7DB9-0BC7-4182-BD08-B5982994B9A6}" uniqueName="42" name="发行人" queryTableFieldId="45" dataDxfId="118"/>
    <tableColumn id="43" xr3:uid="{D8401749-5222-4202-B6A6-652D8A1D8E68}" uniqueName="43" name="担保人" queryTableFieldId="46" dataDxfId="117"/>
    <tableColumn id="44" xr3:uid="{38FFC5B5-8532-438A-9D5B-F9205283973B}" uniqueName="44" name="维好协议提供者" queryTableFieldId="47" dataDxfId="116"/>
    <tableColumn id="28" xr3:uid="{636A1BFB-2DD2-4E7A-8C04-E4AD77737D6B}" uniqueName="28" name="备证行" queryTableFieldId="28" dataDxfId="115"/>
    <tableColumn id="29" xr3:uid="{22C55275-6BA9-4912-9032-F35F16DFEF5E}" uniqueName="29" name="ESG" queryTableFieldId="29" dataDxfId="114"/>
    <tableColumn id="30" xr3:uid="{2EB27555-D39E-4DC6-9B68-30D70AC527E0}" uniqueName="30" name="品种主题" queryTableFieldId="121"/>
    <tableColumn id="31" xr3:uid="{C11B3DB5-9721-4EF1-B0A1-D0EB6C66C057}" uniqueName="31" name="亮点" queryTableFieldId="31"/>
    <tableColumn id="33" xr3:uid="{F3F9AA75-29DA-43EE-BB6E-5BA6DF5BB1E3}" uniqueName="33" name="期限备注" queryTableFieldId="33" dataDxfId="113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 dataDxfId="112"/>
    <tableColumn id="48" xr3:uid="{E1E50F04-1EEC-4969-9690-F77BC431406E}" uniqueName="48" name="筹款用途" queryTableFieldId="65" dataDxfId="111"/>
    <tableColumn id="49" xr3:uid="{F1995DCC-88E7-4FCF-A524-C4324C258A84}" uniqueName="49" name="发行方式" queryTableFieldId="66" dataDxfId="110"/>
    <tableColumn id="51" xr3:uid="{220C35B1-5CBF-43F8-8977-7181DB08812C}" uniqueName="51" name="DataSource" queryTableFieldId="71" dataDxfId="109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108"/>
    <tableColumn id="52" xr3:uid="{6F545A79-7795-4ADD-BD59-AFD3E9558D2C}" uniqueName="52" name="mCurated" queryTableFieldId="123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wBISL" displayName="wBISL" ref="A5:V7" tableType="queryTable" totalsRowShown="0">
  <autoFilter ref="A5:V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8" hiddenButton="1"/>
  </autoFilter>
  <tableColumns count="22">
    <tableColumn id="6" xr3:uid="{3411C0CF-976A-4264-975A-7FF83ECA3A4F}" uniqueName="6" name="Index" queryTableFieldId="33" dataDxfId="166"/>
    <tableColumn id="2" xr3:uid="{00000000-0010-0000-1F00-000002000000}" uniqueName="2" name="ISIN" queryTableFieldId="2" dataDxfId="165"/>
    <tableColumn id="3" xr3:uid="{00000000-0010-0000-1F00-000003000000}" uniqueName="3" name="定价日" queryTableFieldId="3" dataDxfId="164"/>
    <tableColumn id="4" xr3:uid="{00000000-0010-0000-1F00-000004000000}" uniqueName="4" name="信用主体" queryTableFieldId="4" dataDxfId="163"/>
    <tableColumn id="5" xr3:uid="{00000000-0010-0000-1F00-000005000000}" uniqueName="5" name="BISL_ROLE" queryTableFieldId="5" dataDxfId="162"/>
    <tableColumn id="12" xr3:uid="{00000000-0010-0000-1F00-00000C000000}" uniqueName="12" name="IS_LEAD" queryTableFieldId="14" dataDxfId="161"/>
    <tableColumn id="14" xr3:uid="{00000000-0010-0000-1F00-00000E000000}" uniqueName="14" name="IS_B&amp;D" queryTableFieldId="15" dataDxfId="160"/>
    <tableColumn id="15" xr3:uid="{00000000-0010-0000-1F00-00000F000000}" uniqueName="15" name="是否合名" queryTableFieldId="16" dataDxfId="159"/>
    <tableColumn id="10" xr3:uid="{00000000-0010-0000-1F00-00000A000000}" uniqueName="10" name="新规角色" queryTableFieldId="10"/>
    <tableColumn id="11" xr3:uid="{00000000-0010-0000-1F00-00000B000000}" uniqueName="11" name="COVERAGE" queryTableFieldId="11" dataDxfId="158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 dataDxfId="157"/>
    <tableColumn id="7" xr3:uid="{6DE07327-A6E4-4356-AA50-0A878930CEA5}" uniqueName="7" name="多笔" queryTableFieldId="34"/>
    <tableColumn id="13" xr3:uid="{46C7532C-3BEE-4236-939A-E9519058A4F0}" uniqueName="13" name="多币种" queryTableFieldId="35"/>
    <tableColumn id="16" xr3:uid="{A77870FD-F6DE-4CA1-B614-9C21258B5A9A}" uniqueName="16" name="多品种" queryTableFieldId="36"/>
    <tableColumn id="19" xr3:uid="{8A102DD9-0B8C-4F97-BA55-9B01A84C6980}" uniqueName="19" name="FolderPath" queryTableFieldId="58"/>
    <tableColumn id="22" xr3:uid="{2B269754-8090-423F-A97D-ED316E21F3BA}" uniqueName="22" name="IS_KYC_DONE" queryTableFieldId="62"/>
    <tableColumn id="1" xr3:uid="{00000000-0010-0000-1F00-000001000000}" uniqueName="1" name="Check" queryTableFieldId="1" dataDxfId="156"/>
    <tableColumn id="17" xr3:uid="{9E2825BA-C5C6-41D3-8AB9-1E787BE55C19}" uniqueName="17" name="PRJ对账号" queryTableFieldId="56"/>
    <tableColumn id="20" xr3:uid="{7B5C9B63-DFEA-440E-B1DF-2FEC37B653E1}" uniqueName="20" name="Timestamp" queryTableFieldId="59"/>
    <tableColumn id="21" xr3:uid="{B7F39807-4A80-4313-B523-60459D75AA8F}" uniqueName="21" name="mBISL" queryTableFieldId="61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insertRow="1" totalsRowShown="0" headerRowDxfId="365" dataDxfId="364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name="Index"/>
    <tableColumn id="2" xr3:uid="{DC9FDCD3-4D4A-4186-A5C9-F5B48634CAC0}" name="板块"/>
    <tableColumn id="19" xr3:uid="{00000000-0010-0000-2500-000013000000}" name="货币"/>
    <tableColumn id="52" xr3:uid="{AB26975F-D9EA-48BA-ABD9-CE520C3C1B20}" name="信用主体(备证行)"/>
    <tableColumn id="8" xr3:uid="{00000000-0010-0000-2500-000008000000}" name="描述"/>
    <tableColumn id="1" xr3:uid="{AAB49F9D-B49B-4DF6-8D13-D7CB4D93209D}" name="Stats描述" dataDxfId="363"/>
  </tableColumns>
  <tableStyleInfo name="Qry Load 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otalsRowShown="0" headerRowDxfId="362" dataDxfId="361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name="Index" dataDxfId="360"/>
    <tableColumn id="2" xr3:uid="{6DD35146-7DF1-4CCE-9356-C22B108F4F39}" name="板块"/>
    <tableColumn id="3" xr3:uid="{00000000-0010-0000-2300-000003000000}" name="货币" dataDxfId="359"/>
    <tableColumn id="52" xr3:uid="{747DCABA-F2CB-44A1-BB61-12F09EA77A65}" name="信用主体(备证行)" dataDxfId="358"/>
    <tableColumn id="5" xr3:uid="{00000000-0010-0000-2300-000005000000}" name="描述" dataDxfId="357"/>
    <tableColumn id="1" xr3:uid="{DCE0C678-7429-4B20-B919-874EAF955EBE}" name="Stats描述" dataDxfId="356"/>
  </tableColumns>
  <tableStyleInfo name="Qry Load 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insertRow="1" totalsRowShown="0" headerRowDxfId="355" dataDxfId="354">
  <autoFilter ref="A20:F21" xr:uid="{00000000-0009-0000-0100-000026000000}">
    <filterColumn colId="2" hiddenButton="1"/>
  </autoFilter>
  <tableColumns count="6">
    <tableColumn id="29" xr3:uid="{4034C07A-FF50-47F9-B7CA-29546EFE076C}" name="Index"/>
    <tableColumn id="30" xr3:uid="{DBFA98CA-6E72-4D81-8440-EBA25FE54F1E}" name="板块"/>
    <tableColumn id="3" xr3:uid="{00000000-0010-0000-2400-000003000000}" name="货币"/>
    <tableColumn id="31" xr3:uid="{80C50101-917E-4DDF-9752-6B53798DF4D8}" name="信用主体(备证行)"/>
    <tableColumn id="32" xr3:uid="{32A14984-53BA-479F-95AA-96A8A4B3F8FF}" name="描述"/>
    <tableColumn id="33" xr3:uid="{CDEAB1CD-6BC5-4842-A871-EB242FD7D248}" name="Stats"/>
  </tableColumns>
  <tableStyleInfo name="Qry Load 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27" tableType="queryTable" totalsRowShown="0">
  <autoFilter ref="A12:O27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27">
    <sortCondition descending="1" ref="I12:I27"/>
  </sortState>
  <tableColumns count="15">
    <tableColumn id="1" xr3:uid="{00000000-0010-0000-2600-000001000000}" uniqueName="1" name="Date" queryTableFieldId="1" dataDxfId="353"/>
    <tableColumn id="13" xr3:uid="{00000000-0010-0000-2600-00000D000000}" uniqueName="13" name="Region" queryTableFieldId="13" dataDxfId="352"/>
    <tableColumn id="3" xr3:uid="{00000000-0010-0000-2600-000003000000}" uniqueName="3" name="Event" queryTableFieldId="3" dataDxfId="351"/>
    <tableColumn id="14" xr3:uid="{00000000-0010-0000-2600-00000E000000}" uniqueName="14" name="Period" queryTableFieldId="14" dataDxfId="350"/>
    <tableColumn id="5" xr3:uid="{00000000-0010-0000-2600-000005000000}" uniqueName="5" name="Survey" queryTableFieldId="5" dataDxfId="349"/>
    <tableColumn id="6" xr3:uid="{00000000-0010-0000-2600-000006000000}" uniqueName="6" name="Actual" queryTableFieldId="6" dataDxfId="348"/>
    <tableColumn id="7" xr3:uid="{00000000-0010-0000-2600-000007000000}" uniqueName="7" name="Prior" queryTableFieldId="7" dataDxfId="347"/>
    <tableColumn id="8" xr3:uid="{00000000-0010-0000-2600-000008000000}" uniqueName="8" name="Revised" queryTableFieldId="8" dataDxfId="346"/>
    <tableColumn id="9" xr3:uid="{00000000-0010-0000-2600-000009000000}" uniqueName="9" name="Relevance" queryTableFieldId="9" dataDxfId="345"/>
    <tableColumn id="10" xr3:uid="{00000000-0010-0000-2600-00000A000000}" uniqueName="10" name="Ticker" queryTableFieldId="10" dataDxfId="344"/>
    <tableColumn id="11" xr3:uid="{00000000-0010-0000-2600-00000B000000}" uniqueName="11" name="Time" queryTableFieldId="11" dataDxfId="343"/>
    <tableColumn id="15" xr3:uid="{00000000-0010-0000-2600-00000F000000}" uniqueName="15" name="Table" queryTableFieldId="15" dataDxfId="342"/>
    <tableColumn id="17" xr3:uid="{00000000-0010-0000-2600-000011000000}" uniqueName="17" name="区间" queryTableFieldId="22" dataDxfId="341"/>
    <tableColumn id="18" xr3:uid="{00000000-0010-0000-2600-000012000000}" uniqueName="18" name="范围" queryTableFieldId="23" dataDxfId="340"/>
    <tableColumn id="16" xr3:uid="{00000000-0010-0000-2600-000010000000}" uniqueName="16" name="上周主要经济数据" queryTableFieldId="16" dataDxfId="339"/>
  </tableColumns>
  <tableStyleInfo name="Qry Load 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338" dataDxfId="337">
  <autoFilter ref="B2:G8" xr:uid="{644E2A09-C7EB-4F82-B548-1142239A8942}"/>
  <sortState ref="B3:G8">
    <sortCondition ref="D2:D8"/>
  </sortState>
  <tableColumns count="6">
    <tableColumn id="6" xr3:uid="{00000000-0010-0000-2700-000006000000}" name="Index" dataDxfId="336"/>
    <tableColumn id="1" xr3:uid="{00000000-0010-0000-2700-000001000000}" name="上周主要经济数据" dataDxfId="335"/>
    <tableColumn id="2" xr3:uid="{00000000-0010-0000-2700-000002000000}" name="发布(HKT) " dataDxfId="334"/>
    <tableColumn id="3" xr3:uid="{00000000-0010-0000-2700-000003000000}" name="前值" dataDxfId="333"/>
    <tableColumn id="4" xr3:uid="{00000000-0010-0000-2700-000004000000}" name="预期" dataDxfId="332"/>
    <tableColumn id="5" xr3:uid="{00000000-0010-0000-2700-000005000000}" name="现值" dataDxfId="331"/>
  </tableColumns>
  <tableStyleInfo name="Qry Load 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3" tableType="queryTable" totalsRowShown="0" dataDxfId="330">
  <autoFilter ref="A10:O23" xr:uid="{EC380FD7-61D3-49F7-9E43-37885EA54264}"/>
  <sortState ref="A11:O23">
    <sortCondition descending="1" ref="I10:I23"/>
  </sortState>
  <tableColumns count="15">
    <tableColumn id="1" xr3:uid="{00000000-0010-0000-2800-000001000000}" uniqueName="1" name="Date" queryTableFieldId="1" dataDxfId="329"/>
    <tableColumn id="2" xr3:uid="{00000000-0010-0000-2800-000002000000}" uniqueName="2" name="Region" queryTableFieldId="2" dataDxfId="328"/>
    <tableColumn id="3" xr3:uid="{00000000-0010-0000-2800-000003000000}" uniqueName="3" name="Event" queryTableFieldId="3" dataDxfId="327"/>
    <tableColumn id="4" xr3:uid="{00000000-0010-0000-2800-000004000000}" uniqueName="4" name="Period" queryTableFieldId="4" dataDxfId="326"/>
    <tableColumn id="5" xr3:uid="{00000000-0010-0000-2800-000005000000}" uniqueName="5" name="Survey" queryTableFieldId="5" dataDxfId="325"/>
    <tableColumn id="6" xr3:uid="{00000000-0010-0000-2800-000006000000}" uniqueName="6" name="Actual" queryTableFieldId="6" dataDxfId="324"/>
    <tableColumn id="7" xr3:uid="{00000000-0010-0000-2800-000007000000}" uniqueName="7" name="Prior" queryTableFieldId="7" dataDxfId="323"/>
    <tableColumn id="8" xr3:uid="{00000000-0010-0000-2800-000008000000}" uniqueName="8" name="Revised" queryTableFieldId="8" dataDxfId="322"/>
    <tableColumn id="9" xr3:uid="{00000000-0010-0000-2800-000009000000}" uniqueName="9" name="Relevance" queryTableFieldId="9" dataDxfId="321"/>
    <tableColumn id="10" xr3:uid="{00000000-0010-0000-2800-00000A000000}" uniqueName="10" name="Ticker" queryTableFieldId="10" dataDxfId="320"/>
    <tableColumn id="11" xr3:uid="{00000000-0010-0000-2800-00000B000000}" uniqueName="11" name="Time" queryTableFieldId="11" dataDxfId="319"/>
    <tableColumn id="12" xr3:uid="{00000000-0010-0000-2800-00000C000000}" uniqueName="12" name="Table" queryTableFieldId="12" dataDxfId="318"/>
    <tableColumn id="14" xr3:uid="{00000000-0010-0000-2800-00000E000000}" uniqueName="14" name="区间" queryTableFieldId="14" dataDxfId="317"/>
    <tableColumn id="15" xr3:uid="{00000000-0010-0000-2800-00000F000000}" uniqueName="15" name="范围" queryTableFieldId="15" dataDxfId="316"/>
    <tableColumn id="16" xr3:uid="{00000000-0010-0000-2800-000010000000}" uniqueName="16" name="未来一周主要经济数据" queryTableFieldId="16" dataDxfId="315"/>
  </tableColumns>
  <tableStyleInfo name="Qry Load 3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314" dataDxfId="313">
  <autoFilter ref="B2:F8" xr:uid="{39A1B0C9-8B1C-4C7A-AB01-A5DC6D5CE22B}"/>
  <sortState ref="B3:F8">
    <sortCondition ref="D2:D8"/>
  </sortState>
  <tableColumns count="5">
    <tableColumn id="6" xr3:uid="{00000000-0010-0000-2900-000006000000}" name="Index" dataDxfId="312"/>
    <tableColumn id="1" xr3:uid="{00000000-0010-0000-2900-000001000000}" name="未来一周主要经济数据" dataDxfId="311"/>
    <tableColumn id="2" xr3:uid="{00000000-0010-0000-2900-000002000000}" name="预计发布(HKT) " dataDxfId="310"/>
    <tableColumn id="3" xr3:uid="{00000000-0010-0000-2900-000003000000}" name="前值" dataDxfId="309"/>
    <tableColumn id="4" xr3:uid="{00000000-0010-0000-2900-000004000000}" name="预期" dataDxfId="308"/>
  </tableColumns>
  <tableStyleInfo name="Qry Load 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5714DA5-2F85-43CD-9AF7-23E1A4BE7CED}" name="wChart" displayName="wChart" ref="A2:L9" tableType="queryTable" totalsRowShown="0">
  <autoFilter ref="A2:L9" xr:uid="{0929954B-29C3-4504-9EDC-67D1EAAC0BE8}"/>
  <tableColumns count="12">
    <tableColumn id="1" xr3:uid="{00A1FE7B-CB1B-450B-96D4-A7C2A44816C1}" uniqueName="1" name="Index" queryTableFieldId="1"/>
    <tableColumn id="2" xr3:uid="{6D843772-2F42-4B9B-8361-6FE369712A82}" uniqueName="2" name="删除及隐藏" queryTableFieldId="2"/>
    <tableColumn id="3" xr3:uid="{DC7C4A45-AE89-46C2-B5CC-263D46714208}" uniqueName="3" name="定价日" queryTableFieldId="3" dataDxfId="107"/>
    <tableColumn id="4" xr3:uid="{56972BF7-D0A2-45BE-85AF-42CD4BC0C07C}" uniqueName="4" name="ISIN" queryTableFieldId="4" dataDxfId="106"/>
    <tableColumn id="5" xr3:uid="{3EE9FE56-784A-465A-8A3D-D0760F10D723}" uniqueName="5" name="信用主体" queryTableFieldId="5"/>
    <tableColumn id="6" xr3:uid="{71FEB4EC-9A23-48FE-B427-FA17FB83724A}" uniqueName="6" name="发行评级" queryTableFieldId="6"/>
    <tableColumn id="7" xr3:uid="{388B22D6-7275-4674-9DBA-38C93EED0C40}" uniqueName="7" name="货币" queryTableFieldId="7"/>
    <tableColumn id="8" xr3:uid="{48A8B314-ED6E-4C50-B982-A04C001710A3}" uniqueName="8" name="发行规模(亿)" queryTableFieldId="8"/>
    <tableColumn id="9" xr3:uid="{CF1C7724-269B-4B37-A402-12011F9DAA4D}" uniqueName="9" name="亿美元" queryTableFieldId="9"/>
    <tableColumn id="10" xr3:uid="{54EB0500-BD9E-471F-9AB8-E19DC72A9E2D}" uniqueName="10" name="年期" queryTableFieldId="10"/>
    <tableColumn id="11" xr3:uid="{F5D65BA1-355C-4FF2-AD0B-4320F6653F25}" uniqueName="11" name="Check" queryTableFieldId="11" dataDxfId="105"/>
    <tableColumn id="12" xr3:uid="{BB656818-0EBD-4E1B-A4BF-8E4CC6793ED8}" uniqueName="12" name="mChart" queryTableFieldId="1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K13" tableType="queryTable" totalsRowShown="0">
  <autoFilter ref="A4:K13" xr:uid="{00000000-0009-0000-0100-00001E000000}">
    <filterColumn colId="0" hiddenButton="1"/>
    <filterColumn colId="2" hiddenButton="1"/>
    <filterColumn colId="3" hiddenButton="1"/>
  </autoFilter>
  <tableColumns count="11">
    <tableColumn id="7" xr3:uid="{00000000-0010-0000-2100-000007000000}" uniqueName="7" name="信用主体" queryTableFieldId="7"/>
    <tableColumn id="5" xr3:uid="{39F42849-71AA-4C63-8C36-A04353710DCF}" uniqueName="5" name="信用主体简称" queryTableFieldId="87"/>
    <tableColumn id="3" xr3:uid="{B0A40063-19C6-436A-B9D7-8F869CBB7078}" uniqueName="3" name="板块" queryTableFieldId="22"/>
    <tableColumn id="2" xr3:uid="{2E2AEFE9-AB5E-4BE5-BAE0-A95DCF912FA9}" uniqueName="2" name="中资属性" queryTableFieldId="12"/>
    <tableColumn id="9" xr3:uid="{D0913078-9B10-4118-B419-DEE5380572EF}" uniqueName="9" name="地区" queryTableFieldId="90"/>
    <tableColumn id="10" xr3:uid="{2C667E99-43AC-4257-AA03-6FE008167845}" uniqueName="10" name="城市" queryTableFieldId="91"/>
    <tableColumn id="11" xr3:uid="{8049C5B0-2F5F-4FE0-BB0B-535F0DB21A56}" uniqueName="11" name="区县" queryTableFieldId="92"/>
    <tableColumn id="14" xr3:uid="{BA4EC7FE-7EED-41E7-AF59-55FB3EC71567}" uniqueName="14" name="首次违约日" queryTableFieldId="95" dataDxfId="170"/>
    <tableColumn id="15" xr3:uid="{D671119D-96FA-4266-A8AF-F4A410D3DF80}" uniqueName="15" name="DEBUT_DATE" queryTableFieldId="96" dataDxfId="169"/>
    <tableColumn id="18" xr3:uid="{47015928-8DEF-4D5E-BBAE-BDD62DB3E65F}" uniqueName="18" name="行业" queryTableFieldId="99"/>
    <tableColumn id="1" xr3:uid="{84BDBED0-D7D1-404F-9B76-BF5093CAA233}" uniqueName="1" name="mCredit" queryTableFieldId="128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9" tableType="queryTable" totalsRowShown="0">
  <autoFilter ref="B9:K19" xr:uid="{323D2C52-55F5-448C-89A1-53E3222370A9}"/>
  <tableColumns count="10">
    <tableColumn id="1" xr3:uid="{7ADECF00-A26F-4B7F-93A4-E2A2D5D0D959}" uniqueName="1" name="ISIN" queryTableFieldId="1" dataDxfId="307"/>
    <tableColumn id="2" xr3:uid="{5A227A28-586E-464F-9AB7-9CCC23E36EC8}" uniqueName="2" name="信用主体(备证行)" queryTableFieldId="2" dataDxfId="306"/>
    <tableColumn id="3" xr3:uid="{0B239332-56B8-40CA-A88B-C2D00F1EC27C}" uniqueName="3" name="定价日" queryTableFieldId="3"/>
    <tableColumn id="4" xr3:uid="{B900FAC1-E5F8-464A-98F0-33D0932C67D4}" uniqueName="4" name="发行评级" queryTableFieldId="4" dataDxfId="305"/>
    <tableColumn id="5" xr3:uid="{2124CC5C-5D3E-4A51-96CF-F221161607EE}" uniqueName="5" name="货币" queryTableFieldId="5" dataDxfId="304"/>
    <tableColumn id="6" xr3:uid="{615BFDCA-62F8-4C88-A165-3320C41472CF}" uniqueName="6" name="发行规模(亿)" queryTableFieldId="6"/>
    <tableColumn id="7" xr3:uid="{94489B69-EF55-4C00-9C68-0394414D1A96}" uniqueName="7" name="年期" queryTableFieldId="7" dataDxfId="303"/>
    <tableColumn id="8" xr3:uid="{BCFE781E-BC41-418C-AF78-D464B01EE5C3}" uniqueName="8" name="票息" queryTableFieldId="8" dataDxfId="302"/>
    <tableColumn id="9" xr3:uid="{0FFA5ACD-3877-43D2-AF99-E2D200D5CE96}" uniqueName="9" name="IPG" queryTableFieldId="9" dataDxfId="301"/>
    <tableColumn id="10" xr3:uid="{7A5C5E1E-FA1C-4357-843B-53554274E30B}" uniqueName="10" name="收窄基点" queryTableFieldId="10"/>
  </tableColumns>
  <tableStyleInfo name="Qry Load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22:K23" totalsRowShown="0" dataDxfId="300">
  <autoFilter ref="B22:K23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299"/>
    <tableColumn id="10" xr3:uid="{C2C4EF50-FD6F-4B1E-A545-2ECC96F9A905}" name="添加增发方式" dataDxfId="298"/>
    <tableColumn id="11" xr3:uid="{79B76218-E0E4-4A89-BE76-301D01940875}" name="增发判定" dataDxfId="297"/>
    <tableColumn id="12" xr3:uid="{EDA4F6FC-E9AF-428D-8455-7CAE58E2C730}" name="增发ISIN" dataDxfId="296"/>
    <tableColumn id="2" xr3:uid="{27B5EFE8-4072-49BD-B6A9-5FF970467B1C}" name="定价日" dataDxfId="295"/>
    <tableColumn id="3" xr3:uid="{AD0350DC-2C22-4D91-9AA2-3F091B8A9FED}" name="发行规模(亿)" dataDxfId="294"/>
    <tableColumn id="4" xr3:uid="{C498A0CC-CED1-41FB-877E-641A32287CEF}" name="IPT" dataDxfId="293"/>
    <tableColumn id="5" xr3:uid="{EDF855A7-BA7A-40AF-8D1C-50F6E2692F36}" name="FPG" dataDxfId="292"/>
    <tableColumn id="6" xr3:uid="{19553095-3CC0-4C17-9C9F-D62F43223F22}" name="BOCOM_JGC" dataDxfId="291"/>
    <tableColumn id="8" xr3:uid="{2ABEAA2D-F8C8-4F6E-BB0B-5ED3A2C55235}" name="BOCOM_JBR" dataDxfId="290"/>
  </tableColumns>
  <tableStyleInfo name="review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6:C59" tableType="queryTable" totalsRowShown="0">
  <autoFilter ref="B26:C59" xr:uid="{13E57BC5-5381-4B21-915A-56BB1155E16E}"/>
  <tableColumns count="2">
    <tableColumn id="23" xr3:uid="{2B4F470D-5393-407C-81AA-C0830E8F96A1}" uniqueName="23" name="Column1" queryTableFieldId="1" dataDxfId="289"/>
    <tableColumn id="24" xr3:uid="{EAD53C83-0843-49F8-80DF-27B7042770D9}" uniqueName="24" name="Column2" queryTableFieldId="2" dataDxfId="288"/>
  </tableColumns>
  <tableStyleInfo name="Qry Load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287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286"/>
    <tableColumn id="2" xr3:uid="{D1462E68-AD85-4F5B-9217-1461281B8D2F}" name="输入主体关键字" dataDxfId="285"/>
    <tableColumn id="3" xr3:uid="{7082A380-A3A2-4FAF-A950-6756985F63E9}" name="AddToDLD" dataDxfId="284"/>
  </tableColumns>
  <tableStyleInfo name="Qry Load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F19:F25" totalsRowShown="0">
  <autoFilter ref="F19:F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F14:F17" totalsRowShown="0">
  <autoFilter ref="F14:F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F33:F37" totalsRowShown="0">
  <autoFilter ref="F33:F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I14:J21" tableType="queryTable" totalsRowShown="0">
  <autoFilter ref="I14:J21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102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I31:J37" tableType="queryTable" totalsRowShown="0">
  <autoFilter ref="I31:J37" xr:uid="{FF208760-EA58-4FEC-8BFC-A2D10CC56FD3}">
    <filterColumn colId="0" hiddenButton="1"/>
  </autoFilter>
  <tableColumns count="2">
    <tableColumn id="1" xr3:uid="{E8A08C19-4FDD-411B-A6E1-3AEE07FBDDD9}" uniqueName="1" name="BISL_ROLE" queryTableFieldId="1" dataDxfId="103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I6:J11" tableType="queryTable" totalsRowShown="0">
  <autoFilter ref="I6:J11" xr:uid="{999A9F35-E4E0-4D85-AD86-43F048CB5B5A}">
    <filterColumn colId="0" hiddenButton="1"/>
  </autoFilter>
  <tableColumns count="2">
    <tableColumn id="1" xr3:uid="{2AA3E575-2017-4E83-9753-495BF623DBCA}" uniqueName="1" name="Updator" queryTableFieldId="1" dataDxfId="104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I61:J67" tableType="queryTable" totalsRowShown="0">
  <autoFilter ref="I61:J67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152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6:C105" tableType="queryTable" totalsRowShown="0">
  <autoFilter ref="C96:C105" xr:uid="{C59B98D9-DE6D-4FBE-945C-51BABF760B41}"/>
  <tableColumns count="1">
    <tableColumn id="1" xr3:uid="{A6F299EA-476D-4DD5-BED2-A486CAE02C36}" uniqueName="1" name="dd_结构" queryTableFieldId="2" dataDxfId="283"/>
  </tableColumns>
  <tableStyleInfo name="Named_dd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23:J29" tableType="queryTable" totalsRowShown="0">
  <autoFilter ref="I23:J29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153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I39:J50" tableType="queryTable" totalsRowShown="0">
  <autoFilter ref="I39:J50" xr:uid="{AF8038FA-F5FD-4B93-A069-021973B2B269}"/>
  <tableColumns count="2">
    <tableColumn id="1" xr3:uid="{DD06F972-EA09-468A-B735-0CEFD18E493E}" uniqueName="1" name="货币" queryTableFieldId="1" dataDxfId="154"/>
    <tableColumn id="2" xr3:uid="{6DB657FB-E1F1-4EA3-83FA-7AC2169895B1}" uniqueName="2" name="SortValue" queryTableFieldId="2" dataDxfId="282"/>
  </tableColumns>
  <tableStyleInfo name="Named_dd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I52:J59" tableType="queryTable" totalsRowShown="0">
  <autoFilter ref="I52:J59" xr:uid="{6603B9A1-E294-40E5-AD4D-4E9927CD4CAF}"/>
  <tableColumns count="2">
    <tableColumn id="1" xr3:uid="{369F5811-C952-4951-A1BB-EF52B7DFEE11}" uniqueName="1" name="上市分类" queryTableFieldId="1" dataDxfId="155"/>
    <tableColumn id="2" xr3:uid="{C1D12E41-5DFD-4B2B-90E5-92838B701E0D}" uniqueName="2" name="SortValue" queryTableFieldId="2" dataDxfId="281"/>
  </tableColumns>
  <tableStyleInfo name="Named_dd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F6:G12" totalsRowShown="0">
  <autoFilter ref="F6:G12" xr:uid="{F131EFEA-EDB6-4A52-9DED-ECD123312D50}"/>
  <tableColumns count="2">
    <tableColumn id="2" xr3:uid="{384BB053-CFF0-4AED-A763-F8A27CA9F7F0}" name="Find" dataDxfId="280"/>
    <tableColumn id="1" xr3:uid="{FFDAFF75-50D1-41BB-9E49-2BB8B082E04A}" name="Replace"/>
  </tableColumns>
  <tableStyleInfo name="Qry Source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D41:D93" tableType="queryTable" totalsRowShown="0">
  <autoFilter ref="D41:D93" xr:uid="{3D15E97E-A96B-46C8-8F14-CDD4B9B5EBE7}"/>
  <tableColumns count="1">
    <tableColumn id="1" xr3:uid="{31D67C13-2CDE-467D-9B70-F948A089647C}" uniqueName="1" name="备证行" queryTableFieldId="1" dataDxfId="167"/>
  </tableColumns>
  <tableStyleInfo name="Named_dd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D6:D39" tableType="queryTable" totalsRowShown="0">
  <autoFilter ref="D6:D39" xr:uid="{674F3B76-C03B-4E27-8476-5372BCDF0398}"/>
  <tableColumns count="1">
    <tableColumn id="1" xr3:uid="{C598F51B-4DEA-4A6F-AB97-273D8E4586FB}" uniqueName="1" name="地区" queryTableFieldId="1" dataDxfId="168"/>
  </tableColumns>
  <tableStyleInfo name="Named_dd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F27:F31" totalsRowShown="0">
  <autoFilter ref="F27:F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M6:N75" tableType="queryTable" totalsRowShown="0">
  <autoFilter ref="M6:N75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R6:S10" totalsRowShown="0">
  <autoFilter ref="R6:S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P6:P57" tableType="queryTable" totalsRowShown="0">
  <autoFilter ref="P6:P57" xr:uid="{67EDE75D-B77F-479E-AE38-E240ED6FF7A1}"/>
  <tableColumns count="1">
    <tableColumn id="1" xr3:uid="{570EC7CC-3877-428E-B59C-EA2EA4EFCDAE}" uniqueName="1" name="ColNow_mCurated" queryTableFieldId="1"/>
  </tableColumns>
  <tableStyleInfo name="Qry Source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D106:D139" tableType="queryTable" totalsRowShown="0">
  <autoFilter ref="D106:D139" xr:uid="{1DC51F1B-1F4F-4981-99A0-790DB39684D9}">
    <filterColumn colId="0" hiddenButton="1"/>
  </autoFilter>
  <tableColumns count="1">
    <tableColumn id="1" xr3:uid="{80691C07-9984-443C-A245-A32A722F8460}" uniqueName="1" name="DimMonday" queryTableFieldId="1" dataDxfId="171"/>
  </tableColumns>
  <tableStyleInfo name="Named_dd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B062175-B112-4C2F-8D1F-92B9612565F7}" name="DMI_HKEntity" displayName="DMI_HKEntity" ref="U6:V125" totalsRowShown="0">
  <autoFilter ref="U6:V125" xr:uid="{4B062175-B112-4C2F-8D1F-92B9612565F7}"/>
  <tableColumns count="2">
    <tableColumn id="1" xr3:uid="{95FC4F14-F848-4ECD-8084-D72717289F0F}" name="DMI_HK&amp;Macau"/>
    <tableColumn id="2" xr3:uid="{EDFC9426-E7E8-4BE4-A575-28EAE78C1B9C}" name="DMI_CNSubsi"/>
  </tableColumns>
  <tableStyleInfo name="Qry Source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11DFADF-F3AE-49D9-BC2B-5E6AD4CE759F}" name="dd_ESG" displayName="dd_ESG" ref="I69:J74" tableType="queryTable" totalsRowShown="0">
  <autoFilter ref="I69:J74" xr:uid="{111DFADF-F3AE-49D9-BC2B-5E6AD4CE759F}"/>
  <tableColumns count="2">
    <tableColumn id="1" xr3:uid="{F689DC6D-5E70-49EB-A51C-BB9EF30556B5}" uniqueName="1" name="ESG" queryTableFieldId="1" dataDxfId="279"/>
    <tableColumn id="2" xr3:uid="{6D7F5D52-78BC-4D49-A292-F6AF87AE5339}" uniqueName="2" name="SortValue" queryTableFieldId="2" dataDxfId="278"/>
  </tableColumns>
  <tableStyleInfo name="Named_dd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277">
  <autoFilter ref="B3:C4" xr:uid="{24E2BF76-3300-438F-8E58-CCD22086EA5B}"/>
  <tableColumns count="2">
    <tableColumn id="2" xr3:uid="{0B4B4AD7-3A5E-433D-ACCF-42F67840B2E1}" name="输入主体关键字" dataDxfId="276"/>
    <tableColumn id="3" xr3:uid="{16B87CBB-0A54-4266-9A25-E5E43224FB20}" name="AddToDLD" dataDxfId="275"/>
  </tableColumns>
  <tableStyleInfo name="Qry Load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274"/>
  </tableColumns>
  <tableStyleInfo name="Qry Load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273" dataDxfId="272">
  <autoFilter ref="B24:C38" xr:uid="{388A3E41-C0C7-41AE-A48B-DD7590A31971}"/>
  <tableColumns count="2">
    <tableColumn id="1" xr3:uid="{E44BDF86-0634-4A21-B8E8-0190644A6748}" name="债券详情" dataDxfId="271"/>
    <tableColumn id="2" xr3:uid="{14940635-2BDC-46A7-B0FA-93640165F19A}" name="Input" dataDxfId="270"/>
  </tableColumns>
  <tableStyleInfo name="Qry Load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DLD_DMI" displayName="DLD_DMI" ref="A5:BV29" tableType="queryTable" totalsRowShown="0">
  <autoFilter ref="A5:BV29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72" hiddenButton="1"/>
    <filterColumn colId="73" hiddenButton="1"/>
  </autoFilter>
  <tableColumns count="74">
    <tableColumn id="1" xr3:uid="{65CE1E33-8359-4C0B-9221-1E30F7E1CEF4}" uniqueName="1" name="信用主体" queryTableFieldId="1" dataDxfId="269"/>
    <tableColumn id="24" xr3:uid="{A81CDE9A-F459-467A-95A6-76B9882E80D7}" uniqueName="24" name="英文简称" queryTableFieldId="384" dataDxfId="268"/>
    <tableColumn id="9" xr3:uid="{6CF5A73E-65DE-485F-A790-2A65D986DCCA}" uniqueName="9" name="ISIN" queryTableFieldId="9" dataDxfId="267"/>
    <tableColumn id="12" xr3:uid="{2FAEB098-B99A-49BC-8F9E-60BB22B8B1A8}" uniqueName="12" name="定价日" queryTableFieldId="12" dataDxfId="266"/>
    <tableColumn id="8" xr3:uid="{5ABB02D5-4AA9-47AD-B0BA-BE18B2B3C4DE}" uniqueName="8" name="债券简称" queryTableFieldId="8" dataDxfId="265"/>
    <tableColumn id="13" xr3:uid="{5E4165C1-E3B4-48D3-8D3A-10EB35D470E0}" uniqueName="13" name="穆迪/标普" queryTableFieldId="13" dataDxfId="264"/>
    <tableColumn id="14" xr3:uid="{D0CD7E0A-5738-4057-9BC0-77E832B4C25E}" uniqueName="14" name="主体评级展望" queryTableFieldId="14" dataDxfId="263"/>
    <tableColumn id="15" xr3:uid="{32ECF4B7-EF13-4935-98C6-7E853C1916B9}" uniqueName="15" name="债项评级" queryTableFieldId="15" dataDxfId="262"/>
    <tableColumn id="27" xr3:uid="{00C79F5A-7701-4B0D-8C7E-8C5F683178C5}" uniqueName="27" name="发行规模(亿)" queryTableFieldId="27" dataDxfId="261"/>
    <tableColumn id="28" xr3:uid="{E7406E52-8977-4808-A788-298B36157479}" uniqueName="28" name="货币" queryTableFieldId="28" dataDxfId="260"/>
    <tableColumn id="29" xr3:uid="{697EF4DB-C377-4637-A8D4-B512822D8F0E}" uniqueName="29" name="发行期限(年)" queryTableFieldId="29" dataDxfId="259"/>
    <tableColumn id="18" xr3:uid="{35998095-7833-40E5-863C-D415A0A936DB}" uniqueName="18" name="票息_DMI" queryTableFieldId="504" dataDxfId="258"/>
    <tableColumn id="19" xr3:uid="{4C2677D7-B95D-4CBD-97D0-A324C689DECD}" uniqueName="19" name="兑付日" queryTableFieldId="19" dataDxfId="257"/>
    <tableColumn id="31" xr3:uid="{9394B226-D977-440D-BBB4-696AAAD92014}" uniqueName="31" name="发行场所" queryTableFieldId="31" dataDxfId="256"/>
    <tableColumn id="20" xr3:uid="{140F0A6F-50E8-4D1A-8A9F-8D00CEE04850}" uniqueName="20" name="IPT_DMI" queryTableFieldId="20" dataDxfId="255"/>
    <tableColumn id="21" xr3:uid="{536CD873-CE57-4DE2-A54F-18E33D004325}" uniqueName="21" name="FPG_DMI" queryTableFieldId="21" dataDxfId="254"/>
    <tableColumn id="22" xr3:uid="{82FAF641-AB3E-4935-B71A-3C539F35361C}" uniqueName="22" name="收窄幅度(bp)" queryTableFieldId="22" dataDxfId="253"/>
    <tableColumn id="71" xr3:uid="{E14716B4-D6D5-436D-BD61-6C2392A1635D}" uniqueName="71" name="发行规则" queryTableFieldId="484" dataDxfId="252"/>
    <tableColumn id="69" xr3:uid="{66B79F56-B661-4ED8-8D3C-3F444AAC1C7D}" uniqueName="69" name="发行架构" queryTableFieldId="78" dataDxfId="251"/>
    <tableColumn id="25" xr3:uid="{89B2DB1E-4CFE-4140-9A07-0F1E43F6C9AC}" uniqueName="25" name="SBLC提供者" queryTableFieldId="25" dataDxfId="250"/>
    <tableColumn id="26" xr3:uid="{C94A4441-8480-4C30-99DA-F2FF91A5E801}" uniqueName="26" name="偿还顺位" queryTableFieldId="26" dataDxfId="249"/>
    <tableColumn id="30" xr3:uid="{6BA1C82B-55CF-4344-AFEE-FD6746AB9A6C}" uniqueName="30" name="发行价" queryTableFieldId="30" dataDxfId="248"/>
    <tableColumn id="32" xr3:uid="{A6056AD5-48AD-4001-A74C-ECA77FC26CB2}" uniqueName="32" name="首日涨跌" queryTableFieldId="32" dataDxfId="247"/>
    <tableColumn id="5" xr3:uid="{FFD49085-9527-4367-B0C2-2E8443581C7C}" uniqueName="5" name="省份" queryTableFieldId="5" dataDxfId="246"/>
    <tableColumn id="6" xr3:uid="{851B0F66-A6A0-4EE3-AEC3-02593C4D8B13}" uniqueName="6" name="城市" queryTableFieldId="6" dataDxfId="245"/>
    <tableColumn id="7" xr3:uid="{015C4268-F544-4F8B-A375-27371977DA3A}" uniqueName="7" name="区县" queryTableFieldId="7" dataDxfId="244"/>
    <tableColumn id="33" xr3:uid="{072BF78A-2040-4CCF-95BA-462ACF02A26B}" uniqueName="33" name="认购额(亿)" queryTableFieldId="33" dataDxfId="243"/>
    <tableColumn id="34" xr3:uid="{79315342-FB4B-48FA-9D0E-BB5182F1342A}" uniqueName="34" name="认购倍数" queryTableFieldId="34" dataDxfId="242"/>
    <tableColumn id="35" xr3:uid="{3B7B9C0D-05D5-4554-9DD5-4648FC9FD35A}" uniqueName="35" name="亚洲占比" queryTableFieldId="35" dataDxfId="241"/>
    <tableColumn id="36" xr3:uid="{7E161805-3582-4E8B-AD1E-8D44C6578511}" uniqueName="36" name="基金占比" queryTableFieldId="36" dataDxfId="240"/>
    <tableColumn id="37" xr3:uid="{678B1454-0186-4392-9084-8A4631663D07}" uniqueName="37" name="联席全球协调人" queryTableFieldId="37" dataDxfId="239"/>
    <tableColumn id="23" xr3:uid="{50116619-6391-40C5-AAE1-F0D778876139}" uniqueName="23" name="发行方式" queryTableFieldId="23" dataDxfId="238"/>
    <tableColumn id="4" xr3:uid="{F2F32A9C-87BC-497A-A806-ABCC694FD9DD}" uniqueName="4" name="细分行业" queryTableFieldId="4" dataDxfId="237"/>
    <tableColumn id="16" xr3:uid="{31CB77BA-C75C-4904-BE05-EA3D31CB0E8E}" uniqueName="16" name="债项初始评级" queryTableFieldId="16" dataDxfId="236"/>
    <tableColumn id="17" xr3:uid="{EAB58105-9561-4364-BE64-FA9715A8F45D}" uniqueName="17" name="境内主体评级" queryTableFieldId="17" dataDxfId="235"/>
    <tableColumn id="10" xr3:uid="{43CE6995-65BA-4391-BADA-3C1BCBA73A55}" uniqueName="10" name="主题债券" queryTableFieldId="10" dataDxfId="234"/>
    <tableColumn id="3" xr3:uid="{0D6292F2-14C6-4D00-9C2B-D4771C6FCBEB}" uniqueName="3" name="行业" queryTableFieldId="3" dataDxfId="233"/>
    <tableColumn id="62" xr3:uid="{788704BA-E54A-4436-9FC7-E5EEF473C596}" uniqueName="62" name="剩余期限" queryTableFieldId="62" dataDxfId="232"/>
    <tableColumn id="2" xr3:uid="{D2679A15-B28C-4B9B-90D8-85DA1F060224}" uniqueName="2" name="公司类型" queryTableFieldId="2" dataDxfId="231"/>
    <tableColumn id="11" xr3:uid="{A0E133D3-082C-430A-8830-87B8C99C392A}" uniqueName="11" name="评级类型" queryTableFieldId="11" dataDxfId="230"/>
    <tableColumn id="63" xr3:uid="{EE264CCC-DCFC-4688-9A0B-4A404F87045B}" uniqueName="63" name="投资者账户数" queryTableFieldId="63" dataDxfId="229"/>
    <tableColumn id="64" xr3:uid="{EAE71064-4CB1-4B07-944E-84D6F3C49081}" uniqueName="64" name="投资者类型" queryTableFieldId="64" dataDxfId="228"/>
    <tableColumn id="65" xr3:uid="{E7174B24-DE40-43F6-8633-438CBA936C58}" uniqueName="65" name="投资者分布" queryTableFieldId="65" dataDxfId="227"/>
    <tableColumn id="66" xr3:uid="{CC4128EA-9B08-4BCD-B35C-71CF4AAFA24C}" uniqueName="66" name="筹款用途" queryTableFieldId="66" dataDxfId="226"/>
    <tableColumn id="38" xr3:uid="{975ADB86-B00A-4806-9500-96E93B0E8E67}" uniqueName="38" name="ticker" queryTableFieldId="38" dataDxfId="225"/>
    <tableColumn id="39" xr3:uid="{72AA5BB3-7E54-4DE0-9CE8-13DDE5A6A94C}" uniqueName="39" name="债券最新面值" queryTableFieldId="39" dataDxfId="224"/>
    <tableColumn id="40" xr3:uid="{4EE46BC2-E1CF-462A-A03E-DF0563BE31D9}" uniqueName="40" name="债券余额" queryTableFieldId="40" dataDxfId="223"/>
    <tableColumn id="41" xr3:uid="{4BFB0F89-8CA1-4D0F-9EB3-325F7C449AB2}" uniqueName="41" name="起息日期" queryTableFieldId="41" dataDxfId="222"/>
    <tableColumn id="42" xr3:uid="{2E685F7F-FFBA-484A-A377-6390F6A585BE}" uniqueName="42" name="行权兑付日" queryTableFieldId="42" dataDxfId="221"/>
    <tableColumn id="43" xr3:uid="{7A00E475-6904-4819-BC88-02B7AD3D67B7}" uniqueName="43" name="最新票面利率" queryTableFieldId="43" dataDxfId="220"/>
    <tableColumn id="44" xr3:uid="{0E120977-4EC2-4818-BC4D-6CCE5264355E}" uniqueName="44" name="计息基准" queryTableFieldId="44" dataDxfId="219"/>
    <tableColumn id="45" xr3:uid="{1C61FECB-9E8B-4B0A-A577-E0EADEE6ACB0}" uniqueName="45" name="首次付息日" queryTableFieldId="45" dataDxfId="218"/>
    <tableColumn id="46" xr3:uid="{20F5098B-FF11-4DA0-A626-7DF045DB0FB3}" uniqueName="46" name="发行人" queryTableFieldId="46" dataDxfId="217"/>
    <tableColumn id="47" xr3:uid="{17C9AFD4-5642-48EA-8D06-494AAC11A915}" uniqueName="47" name="担保人" queryTableFieldId="47" dataDxfId="216"/>
    <tableColumn id="48" xr3:uid="{E3D34E72-CB63-4E18-AED9-A3EC74CFDD3C}" uniqueName="48" name="发行起始日" queryTableFieldId="48" dataDxfId="215"/>
    <tableColumn id="67" xr3:uid="{AD599695-8522-46E7-B118-DE2179D8EA71}" uniqueName="67" name="定价_DMI" queryTableFieldId="67" dataDxfId="214"/>
    <tableColumn id="49" xr3:uid="{1682CF98-DB54-47C3-8A44-144BB70D0821}" uniqueName="49" name="上市日期" queryTableFieldId="49" dataDxfId="213"/>
    <tableColumn id="50" xr3:uid="{2215B6A7-05C9-4C6B-8AE1-E60AE330BE07}" uniqueName="50" name="特殊条款说明" queryTableFieldId="50" dataDxfId="212"/>
    <tableColumn id="51" xr3:uid="{E59ECFC4-F0C9-41B1-9733-1AEB70C7437B}" uniqueName="51" name="牵头经办人" queryTableFieldId="51" dataDxfId="211"/>
    <tableColumn id="68" xr3:uid="{DDA77D44-FA04-425D-9DA1-4DAB31A61BB6}" uniqueName="68" name="联席账簿管理人" queryTableFieldId="68" dataDxfId="210"/>
    <tableColumn id="52" xr3:uid="{A98F2AA1-AD8E-4BE7-8B74-C3458DC2EC64}" uniqueName="52" name="是否永续债" queryTableFieldId="52" dataDxfId="209"/>
    <tableColumn id="53" xr3:uid="{74446647-F415-46DC-A41C-CE06D819E843}" uniqueName="53" name="是否存单" queryTableFieldId="53" dataDxfId="208"/>
    <tableColumn id="54" xr3:uid="{D1474CED-58C4-4A46-81D9-D99210D02234}" uniqueName="54" name="利率类型" queryTableFieldId="54" dataDxfId="207"/>
    <tableColumn id="55" xr3:uid="{40CC185A-EE88-4DE1-8A90-03B8F737740F}" uniqueName="55" name="交易状态" queryTableFieldId="55" dataDxfId="206"/>
    <tableColumn id="56" xr3:uid="{6CE7EEB7-7E14-4960-892D-D2B4A752EA7F}" uniqueName="56" name="债券类型" queryTableFieldId="56" dataDxfId="205"/>
    <tableColumn id="57" xr3:uid="{145EA911-7D60-43D2-854F-080D2E91B1E5}" uniqueName="57" name="特殊条款" queryTableFieldId="57" dataDxfId="204"/>
    <tableColumn id="58" xr3:uid="{019381F3-72FB-4C5F-9AB8-FA53CD073BE5}" uniqueName="58" name="付息频率" queryTableFieldId="58" dataDxfId="203"/>
    <tableColumn id="59" xr3:uid="{C8D1AF04-7E6F-4D88-B06F-C8310837A162}" uniqueName="59" name="维好协议提供者" queryTableFieldId="59" dataDxfId="202"/>
    <tableColumn id="72" xr3:uid="{96F46060-893A-4B22-B404-CF1EE29A6D65}" uniqueName="72" name="临时isin" queryTableFieldId="485" dataDxfId="201"/>
    <tableColumn id="73" xr3:uid="{D45A8B32-650E-4461-9DBC-CC40BC94C9C7}" uniqueName="73" name="DataSource" queryTableFieldId="510" dataDxfId="200"/>
    <tableColumn id="70" xr3:uid="{C098BFC0-DF64-48A5-9DDA-B376C2CFBD48}" uniqueName="70" name="首次违约日" queryTableFieldId="579" dataDxfId="199"/>
    <tableColumn id="74" xr3:uid="{D3AD0107-C4F3-47F5-ACE8-5088D9D8E9BE}" uniqueName="74" name="IS_EXCH" queryTableFieldId="580"/>
    <tableColumn id="60" xr3:uid="{92CFA544-119D-46AF-AD53-05E6F7709CB5}" uniqueName="60" name="地区" queryTableFieldId="60" dataDxfId="198"/>
    <tableColumn id="61" xr3:uid="{EFAB649D-F0FE-4812-A2D5-2D3BCB496CCA}" uniqueName="61" name="Check" queryTableFieldId="61" dataDxfId="197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DLD_BBG_Corp" displayName="DLD_BBG_Corp" ref="A5:Y32" tableType="queryTable" totalsRowShown="0">
  <autoFilter ref="A5:Y32" xr:uid="{FD7ECA0B-0FF6-411A-8C06-812B258A1B50}">
    <filterColumn colId="0" hiddenButton="1"/>
    <filterColumn colId="1" hiddenButton="1"/>
    <filterColumn colId="3" hiddenButton="1"/>
    <filterColumn colId="4" hiddenButton="1"/>
    <filterColumn colId="7" hiddenButton="1"/>
    <filterColumn colId="8" hiddenButton="1"/>
    <filterColumn colId="9" hiddenButton="1"/>
    <filterColumn colId="24" hiddenButton="1"/>
  </autoFilter>
  <tableColumns count="25">
    <tableColumn id="2" xr3:uid="{C3F732B3-45FA-4844-A166-E4D90A2FF4A7}" uniqueName="2" name="定价日" queryTableFieldId="2" dataDxfId="196"/>
    <tableColumn id="3" xr3:uid="{693984F3-D10B-45D9-B70A-607684C923C4}" uniqueName="3" name="ISIN" queryTableFieldId="3" dataDxfId="195"/>
    <tableColumn id="14" xr3:uid="{1FE375EE-64D4-41E4-9AB6-C8F32DFC2099}" uniqueName="14" name="信用主体" queryTableFieldId="19" dataDxfId="194"/>
    <tableColumn id="4" xr3:uid="{B82F24B2-2DE7-431E-BEF8-F7696535CFF8}" uniqueName="4" name="补充OMAS updates" queryTableFieldId="4" dataDxfId="193"/>
    <tableColumn id="5" xr3:uid="{51954C56-B4CD-447B-A9B9-324865237CD6}" uniqueName="5" name="发行评级" queryTableFieldId="5" dataDxfId="192"/>
    <tableColumn id="12" xr3:uid="{F2329A4A-604D-4BC8-B12C-E58836340D28}" uniqueName="12" name="注册成立地" queryTableFieldId="85" dataDxfId="191"/>
    <tableColumn id="13" xr3:uid="{369EC4CC-5DB7-4BCD-99FE-A3F32004470B}" uniqueName="13" name="发行人主上市地" queryTableFieldId="15" dataDxfId="190"/>
    <tableColumn id="7" xr3:uid="{A5B0308D-B1F8-4208-A561-DF94E20F0BAA}" uniqueName="7" name="主体评级" queryTableFieldId="7" dataDxfId="189"/>
    <tableColumn id="8" xr3:uid="{8DD9D5B0-06FC-4925-B90A-757DFCE21989}" uniqueName="8" name="定价息差" queryTableFieldId="8" dataDxfId="188"/>
    <tableColumn id="9" xr3:uid="{6E3DDE2C-C376-4E7A-80DB-DA717BE2BC0D}" uniqueName="9" name="浮息息差" queryTableFieldId="9" dataDxfId="187"/>
    <tableColumn id="28" xr3:uid="{229E2AA5-4D42-4F9F-A308-D88B556B1052}" uniqueName="28" name="计息基准" queryTableFieldId="86" dataDxfId="186"/>
    <tableColumn id="16" xr3:uid="{3E06751F-A27C-4B1E-BD59-92656265A7A9}" uniqueName="16" name="发行人" queryTableFieldId="21" dataDxfId="185"/>
    <tableColumn id="17" xr3:uid="{EFF30CDB-A88C-42BD-A514-B174CC57CC5D}" uniqueName="17" name="担保人" queryTableFieldId="22" dataDxfId="184"/>
    <tableColumn id="18" xr3:uid="{96D1A663-CCB3-44A9-846A-F39B3CA437D8}" uniqueName="18" name="维好协议提供者" queryTableFieldId="23" dataDxfId="183"/>
    <tableColumn id="19" xr3:uid="{87375B86-F24A-452E-B65A-E8B35EB9352A}" uniqueName="19" name="起息日期" queryTableFieldId="24" dataDxfId="182"/>
    <tableColumn id="20" xr3:uid="{8859C58B-3298-479E-A954-938769580176}" uniqueName="20" name="兑付日" queryTableFieldId="25" dataDxfId="181"/>
    <tableColumn id="21" xr3:uid="{0C5CEC34-E95E-4857-8A41-8F7F44631569}" uniqueName="21" name="行权兑付日" queryTableFieldId="26" dataDxfId="180"/>
    <tableColumn id="22" xr3:uid="{A4BE284D-5EF5-47BE-9E18-C5BC347BCC1C}" uniqueName="22" name="票息" queryTableFieldId="27" dataDxfId="179"/>
    <tableColumn id="23" xr3:uid="{B383C507-7740-4FD0-94F7-85A9318DF079}" uniqueName="23" name="货币" queryTableFieldId="28" dataDxfId="178"/>
    <tableColumn id="29" xr3:uid="{92C376F0-AEF8-4A89-8B12-4375BAD83233}" uniqueName="29" name="发行价" queryTableFieldId="87" dataDxfId="177"/>
    <tableColumn id="24" xr3:uid="{6905DCD5-D9B9-4451-9777-0DA3B8755041}" uniqueName="24" name="发行规模(亿)" queryTableFieldId="29" dataDxfId="176"/>
    <tableColumn id="15" xr3:uid="{A3009FFD-D392-4D2E-999F-4A08797D61D0}" uniqueName="15" name="Parent company tiker" queryTableFieldId="67" dataDxfId="175"/>
    <tableColumn id="25" xr3:uid="{8E0E31D6-684B-4875-B983-55FCAD60BB9C}" uniqueName="25" name="Parent Company 评级" queryTableFieldId="68" dataDxfId="174"/>
    <tableColumn id="1" xr3:uid="{87EBDB82-2F66-49B7-A196-30AADE1A0BAC}" uniqueName="1" name="ESG_Indicator" queryTableFieldId="103" dataDxfId="173"/>
    <tableColumn id="10" xr3:uid="{FB6745CE-81E9-4406-ACE4-86067C25D3F3}" uniqueName="10" name="Check" queryTableFieldId="10" dataDxfId="17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2.xml"/><Relationship Id="rId13" Type="http://schemas.openxmlformats.org/officeDocument/2006/relationships/table" Target="../tables/table47.xml"/><Relationship Id="rId18" Type="http://schemas.openxmlformats.org/officeDocument/2006/relationships/table" Target="../tables/table52.xml"/><Relationship Id="rId26" Type="http://schemas.openxmlformats.org/officeDocument/2006/relationships/table" Target="../tables/table60.xml"/><Relationship Id="rId3" Type="http://schemas.openxmlformats.org/officeDocument/2006/relationships/table" Target="../tables/table37.xml"/><Relationship Id="rId21" Type="http://schemas.openxmlformats.org/officeDocument/2006/relationships/table" Target="../tables/table55.xml"/><Relationship Id="rId7" Type="http://schemas.openxmlformats.org/officeDocument/2006/relationships/table" Target="../tables/table41.xml"/><Relationship Id="rId12" Type="http://schemas.openxmlformats.org/officeDocument/2006/relationships/table" Target="../tables/table46.xml"/><Relationship Id="rId17" Type="http://schemas.openxmlformats.org/officeDocument/2006/relationships/table" Target="../tables/table51.xml"/><Relationship Id="rId25" Type="http://schemas.openxmlformats.org/officeDocument/2006/relationships/table" Target="../tables/table59.xml"/><Relationship Id="rId2" Type="http://schemas.openxmlformats.org/officeDocument/2006/relationships/table" Target="../tables/table36.xml"/><Relationship Id="rId16" Type="http://schemas.openxmlformats.org/officeDocument/2006/relationships/table" Target="../tables/table50.xml"/><Relationship Id="rId20" Type="http://schemas.openxmlformats.org/officeDocument/2006/relationships/table" Target="../tables/table54.xml"/><Relationship Id="rId29" Type="http://schemas.openxmlformats.org/officeDocument/2006/relationships/table" Target="../tables/table63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0.xml"/><Relationship Id="rId11" Type="http://schemas.openxmlformats.org/officeDocument/2006/relationships/table" Target="../tables/table45.xml"/><Relationship Id="rId24" Type="http://schemas.openxmlformats.org/officeDocument/2006/relationships/table" Target="../tables/table58.xml"/><Relationship Id="rId5" Type="http://schemas.openxmlformats.org/officeDocument/2006/relationships/table" Target="../tables/table39.xml"/><Relationship Id="rId15" Type="http://schemas.openxmlformats.org/officeDocument/2006/relationships/table" Target="../tables/table49.xml"/><Relationship Id="rId23" Type="http://schemas.openxmlformats.org/officeDocument/2006/relationships/table" Target="../tables/table57.xml"/><Relationship Id="rId28" Type="http://schemas.openxmlformats.org/officeDocument/2006/relationships/table" Target="../tables/table62.xml"/><Relationship Id="rId10" Type="http://schemas.openxmlformats.org/officeDocument/2006/relationships/table" Target="../tables/table44.xml"/><Relationship Id="rId19" Type="http://schemas.openxmlformats.org/officeDocument/2006/relationships/table" Target="../tables/table53.xml"/><Relationship Id="rId31" Type="http://schemas.openxmlformats.org/officeDocument/2006/relationships/table" Target="../tables/table65.xml"/><Relationship Id="rId4" Type="http://schemas.openxmlformats.org/officeDocument/2006/relationships/table" Target="../tables/table38.xml"/><Relationship Id="rId9" Type="http://schemas.openxmlformats.org/officeDocument/2006/relationships/table" Target="../tables/table43.xml"/><Relationship Id="rId14" Type="http://schemas.openxmlformats.org/officeDocument/2006/relationships/table" Target="../tables/table48.xml"/><Relationship Id="rId22" Type="http://schemas.openxmlformats.org/officeDocument/2006/relationships/table" Target="../tables/table56.xml"/><Relationship Id="rId27" Type="http://schemas.openxmlformats.org/officeDocument/2006/relationships/table" Target="../tables/table61.xml"/><Relationship Id="rId30" Type="http://schemas.openxmlformats.org/officeDocument/2006/relationships/table" Target="../tables/table6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69.xml"/><Relationship Id="rId4" Type="http://schemas.openxmlformats.org/officeDocument/2006/relationships/table" Target="../tables/table6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0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DB44"/>
  <sheetViews>
    <sheetView zoomScale="85" zoomScaleNormal="85" workbookViewId="0">
      <selection activeCell="K7" sqref="K7"/>
    </sheetView>
  </sheetViews>
  <sheetFormatPr defaultColWidth="8.88671875" defaultRowHeight="18" customHeight="1" outlineLevelCol="1" x14ac:dyDescent="0.25"/>
  <cols>
    <col min="1" max="1" width="6.21875" style="2" customWidth="1"/>
    <col min="2" max="3" width="20" style="2" customWidth="1"/>
    <col min="4" max="4" width="11.21875" style="130" customWidth="1"/>
    <col min="5" max="5" width="17.21875" style="2" customWidth="1"/>
    <col min="6" max="6" width="12" style="2" customWidth="1"/>
    <col min="7" max="7" width="4.77734375" style="2" customWidth="1"/>
    <col min="8" max="8" width="19.44140625" style="2" bestFit="1" customWidth="1"/>
    <col min="9" max="9" width="7.88671875" style="2" customWidth="1"/>
    <col min="10" max="10" width="5.5546875" style="2" bestFit="1" customWidth="1"/>
    <col min="11" max="11" width="9.77734375" style="2" bestFit="1" customWidth="1"/>
    <col min="12" max="12" width="29.88671875" style="2" bestFit="1" customWidth="1"/>
    <col min="13" max="13" width="4.33203125" style="2" bestFit="1" customWidth="1"/>
    <col min="14" max="14" width="13.33203125" style="2" bestFit="1" customWidth="1"/>
    <col min="15" max="15" width="10.33203125" style="2" bestFit="1" customWidth="1"/>
    <col min="16" max="16" width="4.6640625" style="2" bestFit="1" customWidth="1"/>
    <col min="17" max="17" width="9.33203125" style="2" bestFit="1" customWidth="1"/>
    <col min="18" max="18" width="28.5546875" style="2" bestFit="1" customWidth="1"/>
    <col min="19" max="19" width="24.109375" style="2" bestFit="1" customWidth="1"/>
    <col min="20" max="21" width="80.88671875" style="2" bestFit="1" customWidth="1" outlineLevel="1"/>
    <col min="22" max="22" width="26.21875" style="2" bestFit="1" customWidth="1" outlineLevel="1"/>
    <col min="23" max="23" width="7" style="2" bestFit="1" customWidth="1" outlineLevel="1"/>
    <col min="24" max="24" width="7.6640625" style="2" bestFit="1" customWidth="1" outlineLevel="1"/>
    <col min="25" max="25" width="25.88671875" style="2" bestFit="1" customWidth="1" outlineLevel="1"/>
    <col min="26" max="30" width="7.6640625" style="2" bestFit="1" customWidth="1" outlineLevel="1"/>
    <col min="31" max="31" width="9.33203125" style="2" bestFit="1" customWidth="1" outlineLevel="1"/>
    <col min="32" max="32" width="80.88671875" style="2" bestFit="1" customWidth="1" outlineLevel="1"/>
    <col min="33" max="33" width="19" style="2" bestFit="1" customWidth="1" outlineLevel="1"/>
    <col min="34" max="34" width="10.33203125" style="2" bestFit="1" customWidth="1" outlineLevel="1"/>
    <col min="35" max="35" width="23.77734375" style="2" bestFit="1" customWidth="1" outlineLevel="1"/>
    <col min="36" max="36" width="10.33203125" style="2" bestFit="1" customWidth="1" outlineLevel="1"/>
    <col min="37" max="37" width="31.33203125" style="2" bestFit="1" customWidth="1" outlineLevel="1"/>
    <col min="38" max="38" width="56.44140625" style="2" bestFit="1" customWidth="1" outlineLevel="1"/>
    <col min="39" max="39" width="10.33203125" style="2" bestFit="1" customWidth="1" outlineLevel="1"/>
    <col min="40" max="40" width="16.21875" style="2" bestFit="1" customWidth="1" outlineLevel="1"/>
    <col min="41" max="41" width="11" style="2" bestFit="1" customWidth="1" outlineLevel="1"/>
    <col min="42" max="42" width="9.33203125" style="2" bestFit="1" customWidth="1" outlineLevel="1"/>
    <col min="43" max="43" width="10.33203125" style="2" bestFit="1" customWidth="1" outlineLevel="1"/>
    <col min="44" max="44" width="7.6640625" style="2" bestFit="1" customWidth="1" outlineLevel="1"/>
    <col min="45" max="45" width="11" style="2" bestFit="1" customWidth="1" outlineLevel="1"/>
    <col min="46" max="46" width="8.44140625" style="2" bestFit="1" customWidth="1" outlineLevel="1"/>
    <col min="47" max="47" width="80.88671875" style="2" bestFit="1" customWidth="1" outlineLevel="1"/>
    <col min="48" max="49" width="9.33203125" style="2" bestFit="1" customWidth="1" outlineLevel="1"/>
    <col min="50" max="50" width="11" style="2" bestFit="1" customWidth="1" outlineLevel="1"/>
    <col min="51" max="51" width="7.6640625" style="2" bestFit="1" customWidth="1" outlineLevel="1"/>
    <col min="52" max="52" width="14.44140625" style="2" bestFit="1" customWidth="1" outlineLevel="1"/>
    <col min="53" max="53" width="7.6640625" style="2" bestFit="1" customWidth="1" outlineLevel="1"/>
    <col min="54" max="56" width="11" style="2" bestFit="1" customWidth="1" outlineLevel="1"/>
    <col min="57" max="60" width="7.6640625" style="2" bestFit="1" customWidth="1" outlineLevel="1"/>
    <col min="61" max="61" width="8.77734375" style="2" bestFit="1" customWidth="1" outlineLevel="1"/>
    <col min="62" max="62" width="9.33203125" style="2" bestFit="1" customWidth="1" outlineLevel="1"/>
    <col min="63" max="63" width="7.6640625" style="2" bestFit="1" customWidth="1" outlineLevel="1"/>
    <col min="64" max="64" width="12.6640625" style="2" bestFit="1" customWidth="1" outlineLevel="1"/>
    <col min="65" max="65" width="7.6640625" style="2" bestFit="1" customWidth="1" outlineLevel="1"/>
    <col min="66" max="66" width="7" style="2" bestFit="1" customWidth="1" outlineLevel="1"/>
    <col min="67" max="67" width="14.88671875" style="2" bestFit="1" customWidth="1" outlineLevel="1"/>
    <col min="68" max="68" width="24.6640625" style="2" bestFit="1" customWidth="1" outlineLevel="1"/>
    <col min="69" max="70" width="7.6640625" style="2" bestFit="1" customWidth="1" outlineLevel="1"/>
    <col min="71" max="71" width="11" style="2" bestFit="1" customWidth="1" outlineLevel="1"/>
    <col min="72" max="72" width="46.33203125" style="2" bestFit="1" customWidth="1" outlineLevel="1"/>
    <col min="73" max="73" width="10.33203125" style="2" bestFit="1" customWidth="1" outlineLevel="1"/>
    <col min="74" max="74" width="8.6640625" style="2" bestFit="1" customWidth="1" outlineLevel="1"/>
    <col min="75" max="76" width="10.44140625" style="1" bestFit="1" customWidth="1" outlineLevel="1"/>
    <col min="77" max="77" width="7.6640625" style="1" bestFit="1" customWidth="1" outlineLevel="1"/>
    <col min="78" max="78" width="11" style="2" bestFit="1" customWidth="1" outlineLevel="1"/>
    <col min="79" max="79" width="9.6640625" style="1" bestFit="1" customWidth="1" outlineLevel="1"/>
    <col min="80" max="80" width="28.6640625" style="2" bestFit="1" customWidth="1" outlineLevel="1"/>
    <col min="81" max="81" width="10.44140625" style="2" bestFit="1" customWidth="1" outlineLevel="1"/>
    <col min="82" max="82" width="9.33203125" style="2" bestFit="1" customWidth="1" outlineLevel="1"/>
    <col min="83" max="83" width="7.77734375" style="2" bestFit="1" customWidth="1" outlineLevel="1"/>
    <col min="84" max="84" width="4.33203125" style="2" bestFit="1" customWidth="1" outlineLevel="1"/>
    <col min="85" max="85" width="9.5546875" style="2" bestFit="1" customWidth="1" outlineLevel="1"/>
    <col min="86" max="86" width="9.33203125" style="1" bestFit="1" customWidth="1" outlineLevel="1"/>
    <col min="87" max="87" width="12.6640625" style="1" bestFit="1" customWidth="1" outlineLevel="1"/>
    <col min="88" max="88" width="16.6640625" style="1" bestFit="1" customWidth="1" outlineLevel="1"/>
    <col min="89" max="89" width="7.6640625" style="1" bestFit="1" customWidth="1" outlineLevel="1" collapsed="1"/>
    <col min="90" max="90" width="8" style="1" bestFit="1" customWidth="1" outlineLevel="1"/>
    <col min="91" max="91" width="12.109375" style="1" bestFit="1" customWidth="1" outlineLevel="1"/>
    <col min="92" max="92" width="12.21875" style="1" bestFit="1" customWidth="1" outlineLevel="1"/>
    <col min="93" max="93" width="19.44140625" style="1" bestFit="1" customWidth="1" outlineLevel="1"/>
    <col min="94" max="94" width="17.44140625" style="1" customWidth="1" outlineLevel="1"/>
    <col min="95" max="95" width="17.5546875" style="1" customWidth="1" outlineLevel="1"/>
    <col min="96" max="96" width="6.109375" style="1" bestFit="1" customWidth="1"/>
    <col min="97" max="97" width="13.5546875" style="1" bestFit="1" customWidth="1"/>
    <col min="98" max="98" width="13.77734375" style="1" bestFit="1" customWidth="1"/>
    <col min="99" max="99" width="13.33203125" style="1" bestFit="1" customWidth="1"/>
    <col min="100" max="100" width="21.44140625" style="1" bestFit="1" customWidth="1"/>
    <col min="101" max="103" width="9.44140625" style="2" bestFit="1" customWidth="1"/>
    <col min="104" max="104" width="11.6640625" style="2" bestFit="1" customWidth="1"/>
    <col min="105" max="105" width="11.109375" style="1" bestFit="1" customWidth="1"/>
    <col min="106" max="106" width="7.77734375" style="1" bestFit="1" customWidth="1"/>
    <col min="107" max="107" width="6" style="2" bestFit="1" customWidth="1"/>
    <col min="108" max="108" width="8.88671875" style="2" bestFit="1" customWidth="1"/>
    <col min="109" max="111" width="19.5546875" style="2" bestFit="1" customWidth="1"/>
    <col min="112" max="112" width="8.88671875" style="2" bestFit="1" customWidth="1"/>
    <col min="113" max="113" width="10.5546875" style="2" bestFit="1" customWidth="1"/>
    <col min="114" max="115" width="10.33203125" style="2" bestFit="1" customWidth="1"/>
    <col min="116" max="116" width="10.5546875" style="2" bestFit="1" customWidth="1"/>
    <col min="117" max="117" width="19.5546875" style="2" bestFit="1" customWidth="1"/>
    <col min="118" max="118" width="10.5546875" style="2" bestFit="1" customWidth="1"/>
    <col min="119" max="119" width="10.33203125" style="2" bestFit="1" customWidth="1"/>
    <col min="120" max="121" width="10.5546875" style="2" bestFit="1" customWidth="1"/>
    <col min="122" max="122" width="16.6640625" style="2" bestFit="1" customWidth="1"/>
    <col min="123" max="123" width="7.6640625" style="2" bestFit="1" customWidth="1"/>
    <col min="124" max="125" width="10.44140625" style="2" bestFit="1" customWidth="1"/>
    <col min="126" max="126" width="17.33203125" style="2" bestFit="1" customWidth="1"/>
    <col min="127" max="128" width="10.109375" style="2" bestFit="1" customWidth="1"/>
    <col min="129" max="130" width="12.44140625" style="2" bestFit="1" customWidth="1"/>
    <col min="131" max="131" width="8.6640625" style="2" bestFit="1" customWidth="1"/>
    <col min="132" max="134" width="8.6640625" style="2" customWidth="1"/>
    <col min="135" max="135" width="9.21875" style="2" customWidth="1"/>
    <col min="136" max="136" width="28.6640625" style="2" customWidth="1"/>
    <col min="137" max="137" width="9" style="2" customWidth="1"/>
    <col min="138" max="138" width="11.6640625" style="2" customWidth="1"/>
    <col min="139" max="140" width="9.21875" style="2" customWidth="1"/>
    <col min="141" max="141" width="10.44140625" style="2" customWidth="1"/>
    <col min="142" max="142" width="11.6640625" style="2" customWidth="1"/>
    <col min="143" max="143" width="9.21875" style="2" customWidth="1"/>
    <col min="144" max="144" width="10.44140625" style="2" customWidth="1"/>
    <col min="145" max="145" width="20.109375" style="2" customWidth="1"/>
    <col min="146" max="146" width="37.77734375" style="2" customWidth="1"/>
    <col min="147" max="147" width="43.21875" style="2" customWidth="1"/>
    <col min="148" max="148" width="9.21875" style="2" customWidth="1"/>
    <col min="149" max="149" width="13.77734375" style="2" customWidth="1"/>
    <col min="150" max="150" width="37.109375" style="2" customWidth="1"/>
    <col min="151" max="151" width="10.44140625" style="2" customWidth="1"/>
    <col min="152" max="157" width="9.21875" style="2" customWidth="1"/>
    <col min="158" max="158" width="12.33203125" style="2" bestFit="1" customWidth="1"/>
    <col min="159" max="159" width="11.109375" style="2" customWidth="1"/>
    <col min="160" max="160" width="11.6640625" style="2" bestFit="1" customWidth="1"/>
    <col min="161" max="161" width="11.6640625" style="2" customWidth="1"/>
    <col min="162" max="162" width="4.77734375" style="2" bestFit="1" customWidth="1"/>
    <col min="163" max="163" width="7.44140625" style="2" bestFit="1" customWidth="1"/>
    <col min="164" max="16384" width="8.88671875" style="2"/>
  </cols>
  <sheetData>
    <row r="1" spans="1:106" ht="64.5" customHeight="1" x14ac:dyDescent="0.25">
      <c r="A1" s="40" t="s">
        <v>203</v>
      </c>
      <c r="K1" s="133"/>
      <c r="BW1" s="2"/>
      <c r="BX1" s="2"/>
      <c r="BY1" s="2"/>
      <c r="CA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DA1" s="2"/>
      <c r="DB1" s="2"/>
    </row>
    <row r="2" spans="1:106" ht="64.5" customHeight="1" x14ac:dyDescent="0.25">
      <c r="A2" s="41" t="s">
        <v>108</v>
      </c>
      <c r="K2" s="133"/>
      <c r="BW2" s="2"/>
      <c r="BX2" s="2"/>
      <c r="BY2" s="2"/>
      <c r="CA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DA2" s="2"/>
      <c r="DB2" s="2"/>
    </row>
    <row r="3" spans="1:106" ht="32.25" customHeight="1" thickBot="1" x14ac:dyDescent="0.3">
      <c r="A3" s="126" t="s">
        <v>86</v>
      </c>
      <c r="B3" s="126" t="s">
        <v>484</v>
      </c>
      <c r="C3" s="126" t="s">
        <v>485</v>
      </c>
      <c r="I3" s="141"/>
      <c r="J3" s="141"/>
      <c r="K3" s="141"/>
      <c r="L3" s="46" t="s">
        <v>572</v>
      </c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46" t="s">
        <v>246</v>
      </c>
      <c r="CU3" s="46"/>
      <c r="CV3" s="141"/>
      <c r="CW3" s="141"/>
      <c r="DA3" s="2"/>
      <c r="DB3" s="2"/>
    </row>
    <row r="4" spans="1:106" ht="32.25" customHeight="1" thickTop="1" thickBot="1" x14ac:dyDescent="0.3">
      <c r="A4" s="126">
        <v>1</v>
      </c>
      <c r="B4" s="129" t="s">
        <v>329</v>
      </c>
      <c r="C4" s="131" t="s">
        <v>764</v>
      </c>
      <c r="BW4" s="2"/>
      <c r="BX4" s="2"/>
      <c r="BY4" s="2"/>
      <c r="CA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DA4" s="2"/>
      <c r="DB4" s="2"/>
    </row>
    <row r="5" spans="1:106" ht="32.25" customHeight="1" thickTop="1" thickBot="1" x14ac:dyDescent="0.3">
      <c r="A5" s="126">
        <v>2</v>
      </c>
      <c r="B5" s="129" t="s">
        <v>169</v>
      </c>
      <c r="C5" s="127" t="s">
        <v>231</v>
      </c>
      <c r="BW5" s="2"/>
      <c r="BX5" s="2"/>
      <c r="BY5" s="2"/>
      <c r="CA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DA5" s="2"/>
      <c r="DB5" s="2"/>
    </row>
    <row r="6" spans="1:106" ht="32.25" customHeight="1" thickTop="1" thickBot="1" x14ac:dyDescent="0.3">
      <c r="A6" s="126">
        <v>3</v>
      </c>
      <c r="B6" s="129" t="s">
        <v>519</v>
      </c>
      <c r="C6" s="132" t="s">
        <v>518</v>
      </c>
      <c r="BW6" s="2"/>
      <c r="BX6" s="2"/>
      <c r="BY6" s="2"/>
      <c r="CA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DA6" s="2"/>
      <c r="DB6" s="2"/>
    </row>
    <row r="7" spans="1:106" ht="32.25" customHeight="1" thickTop="1" thickBot="1" x14ac:dyDescent="0.3">
      <c r="A7" s="126">
        <v>4</v>
      </c>
      <c r="B7" s="129" t="s">
        <v>520</v>
      </c>
      <c r="C7" s="132" t="s">
        <v>518</v>
      </c>
      <c r="E7" s="134" t="s">
        <v>253</v>
      </c>
      <c r="F7" s="135"/>
      <c r="BW7" s="2"/>
      <c r="BX7" s="2"/>
      <c r="BY7" s="2"/>
      <c r="CA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DA7" s="2"/>
      <c r="DB7" s="2"/>
    </row>
    <row r="8" spans="1:106" ht="32.25" customHeight="1" thickTop="1" thickBot="1" x14ac:dyDescent="0.3">
      <c r="A8" s="126">
        <v>5</v>
      </c>
      <c r="B8" s="129" t="s">
        <v>566</v>
      </c>
      <c r="C8" s="132" t="s">
        <v>518</v>
      </c>
      <c r="E8" s="136" t="s">
        <v>247</v>
      </c>
      <c r="F8" s="137">
        <f>MAX(DLD_Conso[Index])</f>
        <v>24</v>
      </c>
      <c r="BW8" s="2"/>
      <c r="BX8" s="2"/>
      <c r="BY8" s="2"/>
      <c r="CA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128"/>
      <c r="CT8" s="2"/>
      <c r="CU8" s="2"/>
      <c r="CV8" s="2"/>
      <c r="DA8" s="2"/>
      <c r="DB8" s="2"/>
    </row>
    <row r="9" spans="1:106" ht="32.25" customHeight="1" thickTop="1" thickBot="1" x14ac:dyDescent="0.3">
      <c r="A9" s="126">
        <v>6</v>
      </c>
      <c r="B9" s="129" t="s">
        <v>517</v>
      </c>
      <c r="C9" s="132" t="s">
        <v>518</v>
      </c>
      <c r="E9" s="136" t="s">
        <v>248</v>
      </c>
      <c r="F9" s="137">
        <f>COUNTA(DLD_BBG_Corp[ISIN])</f>
        <v>27</v>
      </c>
      <c r="G9" s="61">
        <f>$F$9-F$8</f>
        <v>3</v>
      </c>
      <c r="BW9" s="2"/>
      <c r="BX9" s="2"/>
      <c r="BY9" s="2"/>
      <c r="CA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DA9" s="2"/>
      <c r="DB9" s="2"/>
    </row>
    <row r="10" spans="1:106" ht="32.25" customHeight="1" thickTop="1" thickBot="1" x14ac:dyDescent="0.3">
      <c r="A10" s="126">
        <v>7</v>
      </c>
      <c r="B10" s="129" t="s">
        <v>521</v>
      </c>
      <c r="C10" s="132" t="s">
        <v>518</v>
      </c>
      <c r="E10" s="138" t="s">
        <v>249</v>
      </c>
      <c r="F10" s="139">
        <f>MAX(DLD_QRC_23[台账序号])</f>
        <v>70</v>
      </c>
      <c r="BW10" s="2"/>
      <c r="BX10" s="2"/>
      <c r="BY10" s="2"/>
      <c r="CA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DA10" s="2"/>
      <c r="DB10" s="2"/>
    </row>
    <row r="11" spans="1:106" ht="32.25" customHeight="1" thickTop="1" thickBot="1" x14ac:dyDescent="0.3">
      <c r="A11" s="126">
        <v>8</v>
      </c>
      <c r="B11" s="129" t="s">
        <v>567</v>
      </c>
      <c r="C11" s="132" t="s">
        <v>320</v>
      </c>
      <c r="BW11" s="2"/>
      <c r="BX11" s="2"/>
      <c r="BY11" s="2"/>
      <c r="CA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DA11" s="2"/>
      <c r="DB11" s="2"/>
    </row>
    <row r="12" spans="1:106" ht="32.25" customHeight="1" thickTop="1" thickBot="1" x14ac:dyDescent="0.3">
      <c r="A12" s="126">
        <v>9</v>
      </c>
      <c r="B12" s="129" t="s">
        <v>568</v>
      </c>
      <c r="C12" s="132" t="s">
        <v>320</v>
      </c>
      <c r="CQ12" s="2"/>
      <c r="CR12" s="2"/>
      <c r="CS12" s="2"/>
      <c r="CT12" s="2"/>
      <c r="CU12" s="2"/>
      <c r="CV12" s="2"/>
      <c r="DA12" s="2"/>
      <c r="DB12" s="2"/>
    </row>
    <row r="13" spans="1:106" ht="32.25" hidden="1" customHeight="1" thickTop="1" x14ac:dyDescent="0.25">
      <c r="A13" s="126"/>
      <c r="B13" s="129"/>
      <c r="CQ13" s="2"/>
      <c r="CR13" s="2"/>
      <c r="CS13" s="2"/>
      <c r="CT13" s="2"/>
      <c r="CU13" s="2"/>
      <c r="CV13" s="2"/>
      <c r="DA13" s="2"/>
      <c r="DB13" s="2"/>
    </row>
    <row r="14" spans="1:106" ht="32.25" hidden="1" customHeight="1" x14ac:dyDescent="0.25">
      <c r="A14" s="126"/>
      <c r="B14" s="129"/>
      <c r="CS14" s="2"/>
      <c r="CT14" s="2"/>
      <c r="CU14" s="2"/>
      <c r="CV14" s="2"/>
      <c r="DA14" s="2"/>
      <c r="DB14" s="2"/>
    </row>
    <row r="15" spans="1:106" ht="19.5" thickTop="1" x14ac:dyDescent="0.25">
      <c r="G15" s="60"/>
      <c r="H15" s="32" t="s">
        <v>569</v>
      </c>
      <c r="J15" s="69" t="s">
        <v>86</v>
      </c>
      <c r="K15" s="69" t="s">
        <v>175</v>
      </c>
      <c r="L15" s="69" t="s">
        <v>94</v>
      </c>
      <c r="M15" s="69" t="s">
        <v>43</v>
      </c>
      <c r="N15" s="69" t="s">
        <v>48</v>
      </c>
      <c r="O15" s="69" t="s">
        <v>49</v>
      </c>
      <c r="P15" s="69" t="s">
        <v>64</v>
      </c>
      <c r="Q15" s="69" t="s">
        <v>96</v>
      </c>
      <c r="R15" s="69" t="s">
        <v>206</v>
      </c>
      <c r="S15" s="69" t="s">
        <v>207</v>
      </c>
      <c r="T15" s="69" t="s">
        <v>65</v>
      </c>
      <c r="U15" s="69" t="s">
        <v>75</v>
      </c>
      <c r="V15" s="69" t="s">
        <v>237</v>
      </c>
      <c r="W15" s="69" t="s">
        <v>325</v>
      </c>
      <c r="X15" s="69" t="s">
        <v>81</v>
      </c>
      <c r="Y15" s="69" t="s">
        <v>82</v>
      </c>
      <c r="Z15" s="69" t="s">
        <v>105</v>
      </c>
      <c r="AA15" s="69" t="s">
        <v>80</v>
      </c>
      <c r="AB15" s="69" t="s">
        <v>79</v>
      </c>
      <c r="AC15" s="69" t="s">
        <v>78</v>
      </c>
      <c r="AD15" s="69" t="s">
        <v>77</v>
      </c>
      <c r="AE15" s="69" t="s">
        <v>76</v>
      </c>
      <c r="AF15" s="69" t="s">
        <v>226</v>
      </c>
      <c r="AG15" s="69" t="s">
        <v>104</v>
      </c>
      <c r="AH15" s="69" t="s">
        <v>74</v>
      </c>
      <c r="AI15" s="69" t="s">
        <v>227</v>
      </c>
      <c r="AJ15" s="69" t="s">
        <v>73</v>
      </c>
      <c r="AK15" s="69" t="s">
        <v>72</v>
      </c>
      <c r="AL15" s="69" t="s">
        <v>71</v>
      </c>
      <c r="AM15" s="69" t="s">
        <v>70</v>
      </c>
      <c r="AN15" s="69" t="s">
        <v>69</v>
      </c>
      <c r="AO15" s="69" t="s">
        <v>103</v>
      </c>
      <c r="AP15" s="69" t="s">
        <v>68</v>
      </c>
      <c r="AQ15" s="69" t="s">
        <v>67</v>
      </c>
      <c r="AR15" s="69" t="s">
        <v>102</v>
      </c>
      <c r="AS15" s="69" t="s">
        <v>101</v>
      </c>
      <c r="AT15" s="69" t="s">
        <v>66</v>
      </c>
      <c r="AU15" s="69" t="s">
        <v>225</v>
      </c>
      <c r="AV15" s="69" t="s">
        <v>224</v>
      </c>
      <c r="AW15" s="69" t="s">
        <v>223</v>
      </c>
      <c r="AX15" s="69" t="s">
        <v>222</v>
      </c>
      <c r="AY15" s="69" t="s">
        <v>97</v>
      </c>
      <c r="AZ15" s="69" t="s">
        <v>42</v>
      </c>
      <c r="BA15" s="69" t="s">
        <v>221</v>
      </c>
      <c r="BB15" s="69" t="s">
        <v>51</v>
      </c>
      <c r="BC15" s="69" t="s">
        <v>176</v>
      </c>
      <c r="BD15" s="69" t="s">
        <v>44</v>
      </c>
      <c r="BE15" s="69" t="s">
        <v>199</v>
      </c>
      <c r="BF15" s="69" t="s">
        <v>63</v>
      </c>
      <c r="BG15" s="69" t="s">
        <v>62</v>
      </c>
      <c r="BH15" s="69" t="s">
        <v>61</v>
      </c>
      <c r="BI15" s="69" t="s">
        <v>132</v>
      </c>
      <c r="BJ15" s="69" t="s">
        <v>46</v>
      </c>
      <c r="BK15" s="69" t="s">
        <v>45</v>
      </c>
      <c r="BL15" s="69" t="s">
        <v>95</v>
      </c>
      <c r="BM15" s="69" t="s">
        <v>60</v>
      </c>
      <c r="BN15" s="69" t="s">
        <v>59</v>
      </c>
      <c r="BO15" s="69" t="s">
        <v>56</v>
      </c>
      <c r="BP15" s="69" t="s">
        <v>55</v>
      </c>
      <c r="BQ15" s="69" t="s">
        <v>238</v>
      </c>
      <c r="BR15" s="69" t="s">
        <v>324</v>
      </c>
      <c r="BS15" s="69" t="s">
        <v>54</v>
      </c>
      <c r="BT15" s="69" t="s">
        <v>100</v>
      </c>
      <c r="BU15" s="69" t="s">
        <v>52</v>
      </c>
      <c r="BV15" s="69" t="s">
        <v>405</v>
      </c>
      <c r="BW15" s="69" t="s">
        <v>58</v>
      </c>
      <c r="BX15" s="69" t="s">
        <v>57</v>
      </c>
      <c r="BY15" s="69" t="s">
        <v>50</v>
      </c>
      <c r="BZ15" s="69" t="s">
        <v>99</v>
      </c>
      <c r="CA15" s="69" t="s">
        <v>98</v>
      </c>
      <c r="CB15" s="69" t="s">
        <v>47</v>
      </c>
      <c r="CC15" s="69" t="s">
        <v>414</v>
      </c>
      <c r="CD15" s="69" t="s">
        <v>230</v>
      </c>
      <c r="CE15" s="69" t="s">
        <v>528</v>
      </c>
      <c r="CF15" s="69" t="s">
        <v>89</v>
      </c>
      <c r="CG15" s="69" t="s">
        <v>147</v>
      </c>
      <c r="CH15" s="69" t="s">
        <v>232</v>
      </c>
      <c r="CI15" s="69" t="s">
        <v>261</v>
      </c>
      <c r="CJ15" s="69" t="s">
        <v>145</v>
      </c>
      <c r="CK15" s="69" t="s">
        <v>119</v>
      </c>
      <c r="CL15" s="69" t="s">
        <v>135</v>
      </c>
      <c r="CM15" s="69" t="s">
        <v>177</v>
      </c>
      <c r="CN15" s="69" t="s">
        <v>557</v>
      </c>
      <c r="CO15" s="69" t="s">
        <v>140</v>
      </c>
      <c r="CS15" s="2"/>
      <c r="CT15" s="32" t="s">
        <v>188</v>
      </c>
      <c r="CU15" s="32" t="s">
        <v>48</v>
      </c>
      <c r="CV15" s="32" t="s">
        <v>243</v>
      </c>
      <c r="CW15" s="32" t="s">
        <v>204</v>
      </c>
      <c r="CX15" s="32" t="s">
        <v>244</v>
      </c>
      <c r="CY15" s="32" t="s">
        <v>171</v>
      </c>
      <c r="CZ15" s="32" t="s">
        <v>172</v>
      </c>
      <c r="DA15" s="32" t="s">
        <v>245</v>
      </c>
      <c r="DB15" s="2"/>
    </row>
    <row r="16" spans="1:106" ht="18.75" x14ac:dyDescent="0.25">
      <c r="G16" s="60"/>
      <c r="H16" t="s">
        <v>1149</v>
      </c>
      <c r="J16" s="69">
        <v>24</v>
      </c>
      <c r="K16" s="144" t="s">
        <v>312</v>
      </c>
      <c r="L16" s="69" t="s">
        <v>1170</v>
      </c>
      <c r="M16" s="69" t="s">
        <v>1</v>
      </c>
      <c r="N16" s="150" t="s">
        <v>1169</v>
      </c>
      <c r="O16" s="142">
        <v>45219</v>
      </c>
      <c r="P16" s="69" t="s">
        <v>85</v>
      </c>
      <c r="Q16" s="69" t="s">
        <v>312</v>
      </c>
      <c r="R16" s="69" t="s">
        <v>998</v>
      </c>
      <c r="S16" s="69" t="s">
        <v>1209</v>
      </c>
      <c r="T16" s="69" t="s">
        <v>1211</v>
      </c>
      <c r="U16" s="69" t="s">
        <v>1217</v>
      </c>
      <c r="V16" s="69" t="s">
        <v>1207</v>
      </c>
      <c r="W16" s="69" t="s">
        <v>92</v>
      </c>
      <c r="X16" s="69" t="s">
        <v>131</v>
      </c>
      <c r="Y16" s="69" t="s">
        <v>92</v>
      </c>
      <c r="Z16" s="69" t="s">
        <v>92</v>
      </c>
      <c r="AA16" s="69" t="s">
        <v>529</v>
      </c>
      <c r="AB16" s="69" t="s">
        <v>530</v>
      </c>
      <c r="AC16" s="69" t="s">
        <v>531</v>
      </c>
      <c r="AD16" s="69" t="s">
        <v>532</v>
      </c>
      <c r="AE16" s="69" t="s">
        <v>532</v>
      </c>
      <c r="AF16" s="69" t="s">
        <v>1218</v>
      </c>
      <c r="AG16" s="69" t="s">
        <v>92</v>
      </c>
      <c r="AH16" s="143">
        <v>45226</v>
      </c>
      <c r="AI16" s="69" t="s">
        <v>1216</v>
      </c>
      <c r="AJ16" s="143">
        <v>45226</v>
      </c>
      <c r="AK16" s="69" t="s">
        <v>1170</v>
      </c>
      <c r="AL16" s="69" t="s">
        <v>1215</v>
      </c>
      <c r="AM16" s="143"/>
      <c r="AN16" s="69" t="s">
        <v>92</v>
      </c>
      <c r="AO16" s="150">
        <v>7.4</v>
      </c>
      <c r="AP16" s="143"/>
      <c r="AQ16" s="143">
        <v>45226</v>
      </c>
      <c r="AR16" s="69">
        <v>2.8</v>
      </c>
      <c r="AS16" s="150">
        <v>1000</v>
      </c>
      <c r="AT16" s="69" t="s">
        <v>1214</v>
      </c>
      <c r="AU16" s="69" t="s">
        <v>1213</v>
      </c>
      <c r="AV16" s="69" t="s">
        <v>92</v>
      </c>
      <c r="AW16" s="69" t="s">
        <v>92</v>
      </c>
      <c r="AX16" s="69"/>
      <c r="AY16" s="69" t="s">
        <v>543</v>
      </c>
      <c r="AZ16" s="69" t="s">
        <v>534</v>
      </c>
      <c r="BA16" s="69" t="s">
        <v>931</v>
      </c>
      <c r="BB16" s="69" t="s">
        <v>552</v>
      </c>
      <c r="BC16" s="69" t="s">
        <v>535</v>
      </c>
      <c r="BD16" s="69" t="s">
        <v>1212</v>
      </c>
      <c r="BE16" s="69" t="s">
        <v>327</v>
      </c>
      <c r="BF16" s="69"/>
      <c r="BG16" s="69"/>
      <c r="BH16" s="69"/>
      <c r="BI16" s="69"/>
      <c r="BJ16" s="69" t="s">
        <v>1210</v>
      </c>
      <c r="BK16" s="69" t="s">
        <v>1000</v>
      </c>
      <c r="BL16" s="69" t="s">
        <v>763</v>
      </c>
      <c r="BM16" s="69"/>
      <c r="BN16" s="69">
        <v>100</v>
      </c>
      <c r="BO16" s="69" t="s">
        <v>537</v>
      </c>
      <c r="BP16" s="69" t="s">
        <v>92</v>
      </c>
      <c r="BQ16" s="69" t="s">
        <v>579</v>
      </c>
      <c r="BR16" s="69" t="s">
        <v>539</v>
      </c>
      <c r="BS16" s="69">
        <v>30</v>
      </c>
      <c r="BT16" s="69" t="s">
        <v>540</v>
      </c>
      <c r="BU16" s="143">
        <v>46322</v>
      </c>
      <c r="BV16" s="69">
        <v>7.4</v>
      </c>
      <c r="BW16" s="69" t="s">
        <v>541</v>
      </c>
      <c r="BX16" s="69">
        <v>2.8</v>
      </c>
      <c r="BY16" s="69" t="s">
        <v>535</v>
      </c>
      <c r="BZ16" s="69" t="s">
        <v>535</v>
      </c>
      <c r="CA16" s="69" t="s">
        <v>535</v>
      </c>
      <c r="CB16" s="69" t="s">
        <v>1208</v>
      </c>
      <c r="CC16" s="69" t="s">
        <v>242</v>
      </c>
      <c r="CD16" s="143"/>
      <c r="CE16" s="69" t="s">
        <v>7</v>
      </c>
      <c r="CF16" s="69" t="s">
        <v>10</v>
      </c>
      <c r="CG16" s="69" t="s">
        <v>149</v>
      </c>
      <c r="CH16" s="69" t="s">
        <v>832</v>
      </c>
      <c r="CI16" s="69" t="s">
        <v>7</v>
      </c>
      <c r="CJ16" s="143"/>
      <c r="CK16" s="69"/>
      <c r="CL16" s="69" t="s">
        <v>527</v>
      </c>
      <c r="CM16" s="69" t="s">
        <v>527</v>
      </c>
      <c r="CN16" s="150" t="s">
        <v>798</v>
      </c>
      <c r="CO16" s="150" t="s">
        <v>1175</v>
      </c>
      <c r="CS16" s="2"/>
      <c r="CT16" t="s">
        <v>1148</v>
      </c>
      <c r="CU16" t="s">
        <v>869</v>
      </c>
      <c r="CV16" t="s">
        <v>870</v>
      </c>
      <c r="CW16">
        <v>70</v>
      </c>
      <c r="CX16" s="32" t="s">
        <v>150</v>
      </c>
      <c r="CY16" t="s">
        <v>183</v>
      </c>
      <c r="CZ16" t="s">
        <v>184</v>
      </c>
      <c r="DA16">
        <v>45217</v>
      </c>
      <c r="DB16" s="2"/>
    </row>
    <row r="17" spans="2:106" ht="15" x14ac:dyDescent="0.25">
      <c r="H17" t="s">
        <v>438</v>
      </c>
      <c r="J17" s="69">
        <v>23</v>
      </c>
      <c r="K17" s="144" t="s">
        <v>749</v>
      </c>
      <c r="L17" s="69" t="s">
        <v>1156</v>
      </c>
      <c r="M17" s="69" t="s">
        <v>84</v>
      </c>
      <c r="N17" s="150" t="s">
        <v>1155</v>
      </c>
      <c r="O17" s="142">
        <v>45219</v>
      </c>
      <c r="P17" s="69" t="s">
        <v>85</v>
      </c>
      <c r="Q17" s="69" t="s">
        <v>92</v>
      </c>
      <c r="R17" s="69" t="s">
        <v>92</v>
      </c>
      <c r="S17" s="69" t="s">
        <v>92</v>
      </c>
      <c r="T17" s="69" t="s">
        <v>1202</v>
      </c>
      <c r="U17" s="69" t="s">
        <v>92</v>
      </c>
      <c r="V17" s="69" t="s">
        <v>1195</v>
      </c>
      <c r="W17" s="69" t="s">
        <v>92</v>
      </c>
      <c r="X17" s="69" t="s">
        <v>983</v>
      </c>
      <c r="Y17" s="69" t="s">
        <v>1156</v>
      </c>
      <c r="Z17" s="69" t="s">
        <v>92</v>
      </c>
      <c r="AA17" s="69" t="s">
        <v>529</v>
      </c>
      <c r="AB17" s="69" t="s">
        <v>530</v>
      </c>
      <c r="AC17" s="69" t="s">
        <v>982</v>
      </c>
      <c r="AD17" s="69" t="s">
        <v>532</v>
      </c>
      <c r="AE17" s="69" t="s">
        <v>532</v>
      </c>
      <c r="AF17" s="69" t="s">
        <v>1202</v>
      </c>
      <c r="AG17" s="69" t="s">
        <v>92</v>
      </c>
      <c r="AH17" s="143">
        <v>45226</v>
      </c>
      <c r="AI17" s="69" t="s">
        <v>92</v>
      </c>
      <c r="AJ17" s="143">
        <v>45226</v>
      </c>
      <c r="AK17" s="69" t="s">
        <v>92</v>
      </c>
      <c r="AL17" s="69" t="s">
        <v>1206</v>
      </c>
      <c r="AM17" s="143">
        <v>45320</v>
      </c>
      <c r="AN17" s="69" t="s">
        <v>1205</v>
      </c>
      <c r="AO17" s="150">
        <v>6.0347999999999997</v>
      </c>
      <c r="AP17" s="143"/>
      <c r="AQ17" s="143">
        <v>45226</v>
      </c>
      <c r="AR17" s="69">
        <v>0.2</v>
      </c>
      <c r="AS17" s="150">
        <v>1000</v>
      </c>
      <c r="AT17" s="69" t="s">
        <v>1204</v>
      </c>
      <c r="AU17" s="69" t="s">
        <v>92</v>
      </c>
      <c r="AV17" s="69" t="s">
        <v>92</v>
      </c>
      <c r="AW17" s="69" t="s">
        <v>92</v>
      </c>
      <c r="AX17" s="69"/>
      <c r="AY17" s="69" t="s">
        <v>543</v>
      </c>
      <c r="AZ17" s="69" t="s">
        <v>991</v>
      </c>
      <c r="BA17" s="69" t="s">
        <v>1203</v>
      </c>
      <c r="BB17" s="69" t="s">
        <v>552</v>
      </c>
      <c r="BC17" s="69" t="s">
        <v>535</v>
      </c>
      <c r="BD17" s="69" t="s">
        <v>580</v>
      </c>
      <c r="BE17" s="69" t="s">
        <v>327</v>
      </c>
      <c r="BF17" s="69"/>
      <c r="BG17" s="69"/>
      <c r="BH17" s="69"/>
      <c r="BI17" s="69"/>
      <c r="BJ17" s="69" t="s">
        <v>92</v>
      </c>
      <c r="BK17" s="69" t="s">
        <v>1201</v>
      </c>
      <c r="BL17" s="69" t="s">
        <v>1200</v>
      </c>
      <c r="BM17" s="69"/>
      <c r="BN17" s="69"/>
      <c r="BO17" s="69" t="s">
        <v>537</v>
      </c>
      <c r="BP17" s="69" t="s">
        <v>92</v>
      </c>
      <c r="BQ17" s="69" t="s">
        <v>1033</v>
      </c>
      <c r="BR17" s="69" t="s">
        <v>539</v>
      </c>
      <c r="BS17" s="69"/>
      <c r="BT17" s="69" t="s">
        <v>110</v>
      </c>
      <c r="BU17" s="143">
        <v>45411</v>
      </c>
      <c r="BV17" s="69"/>
      <c r="BW17" s="69" t="s">
        <v>1199</v>
      </c>
      <c r="BX17" s="69">
        <v>0.2</v>
      </c>
      <c r="BY17" s="69" t="s">
        <v>535</v>
      </c>
      <c r="BZ17" s="69" t="s">
        <v>1198</v>
      </c>
      <c r="CA17" s="69" t="s">
        <v>1197</v>
      </c>
      <c r="CB17" s="69" t="s">
        <v>1196</v>
      </c>
      <c r="CC17" s="69" t="s">
        <v>242</v>
      </c>
      <c r="CD17" s="143"/>
      <c r="CE17" s="69" t="s">
        <v>7</v>
      </c>
      <c r="CF17" s="69" t="s">
        <v>13</v>
      </c>
      <c r="CG17" s="69" t="s">
        <v>7</v>
      </c>
      <c r="CH17" s="69" t="s">
        <v>526</v>
      </c>
      <c r="CI17" s="69" t="s">
        <v>7</v>
      </c>
      <c r="CJ17" s="143"/>
      <c r="CK17" s="69"/>
      <c r="CL17" s="69" t="s">
        <v>83</v>
      </c>
      <c r="CM17" s="69" t="s">
        <v>1157</v>
      </c>
      <c r="CN17" s="150" t="s">
        <v>798</v>
      </c>
      <c r="CO17" s="150" t="s">
        <v>1163</v>
      </c>
      <c r="CV17" s="2"/>
      <c r="CZ17" s="1"/>
      <c r="DB17" s="2"/>
    </row>
    <row r="18" spans="2:106" ht="18.75" x14ac:dyDescent="0.25">
      <c r="B18"/>
      <c r="G18" s="60"/>
      <c r="J18" s="69">
        <v>22</v>
      </c>
      <c r="K18" s="144" t="s">
        <v>771</v>
      </c>
      <c r="L18" s="69" t="s">
        <v>1165</v>
      </c>
      <c r="M18" s="69" t="s">
        <v>1</v>
      </c>
      <c r="N18" s="150" t="s">
        <v>1164</v>
      </c>
      <c r="O18" s="142">
        <v>45219</v>
      </c>
      <c r="P18" s="69" t="s">
        <v>85</v>
      </c>
      <c r="Q18" s="69" t="s">
        <v>92</v>
      </c>
      <c r="R18" s="69" t="s">
        <v>92</v>
      </c>
      <c r="S18" s="69" t="s">
        <v>92</v>
      </c>
      <c r="T18" s="69" t="s">
        <v>1193</v>
      </c>
      <c r="U18" s="69" t="s">
        <v>92</v>
      </c>
      <c r="V18" s="69" t="s">
        <v>1188</v>
      </c>
      <c r="W18" s="69" t="s">
        <v>92</v>
      </c>
      <c r="X18" s="69" t="s">
        <v>131</v>
      </c>
      <c r="Y18" s="69" t="s">
        <v>92</v>
      </c>
      <c r="Z18" s="69" t="s">
        <v>92</v>
      </c>
      <c r="AA18" s="69" t="s">
        <v>529</v>
      </c>
      <c r="AB18" s="69" t="s">
        <v>530</v>
      </c>
      <c r="AC18" s="69" t="s">
        <v>531</v>
      </c>
      <c r="AD18" s="69" t="s">
        <v>532</v>
      </c>
      <c r="AE18" s="69" t="s">
        <v>532</v>
      </c>
      <c r="AF18" s="69" t="s">
        <v>1193</v>
      </c>
      <c r="AG18" s="69" t="s">
        <v>92</v>
      </c>
      <c r="AH18" s="143">
        <v>45226</v>
      </c>
      <c r="AI18" s="69" t="s">
        <v>92</v>
      </c>
      <c r="AJ18" s="143">
        <v>45226</v>
      </c>
      <c r="AK18" s="69" t="s">
        <v>92</v>
      </c>
      <c r="AL18" s="69" t="s">
        <v>1165</v>
      </c>
      <c r="AM18" s="143">
        <v>45409</v>
      </c>
      <c r="AN18" s="69" t="s">
        <v>92</v>
      </c>
      <c r="AO18" s="150">
        <v>7.9</v>
      </c>
      <c r="AP18" s="143"/>
      <c r="AQ18" s="143">
        <v>45226</v>
      </c>
      <c r="AR18" s="69">
        <v>1.1000000000000001</v>
      </c>
      <c r="AS18" s="150">
        <v>1000</v>
      </c>
      <c r="AT18" s="69" t="s">
        <v>1194</v>
      </c>
      <c r="AU18" s="69" t="s">
        <v>92</v>
      </c>
      <c r="AV18" s="69" t="s">
        <v>92</v>
      </c>
      <c r="AW18" s="69" t="s">
        <v>92</v>
      </c>
      <c r="AX18" s="69"/>
      <c r="AY18" s="69" t="s">
        <v>546</v>
      </c>
      <c r="AZ18" s="69" t="s">
        <v>534</v>
      </c>
      <c r="BA18" s="69" t="s">
        <v>931</v>
      </c>
      <c r="BB18" s="69" t="s">
        <v>548</v>
      </c>
      <c r="BC18" s="69" t="s">
        <v>535</v>
      </c>
      <c r="BD18" s="69" t="s">
        <v>536</v>
      </c>
      <c r="BE18" s="69" t="s">
        <v>327</v>
      </c>
      <c r="BF18" s="69"/>
      <c r="BG18" s="69"/>
      <c r="BH18" s="69"/>
      <c r="BI18" s="69"/>
      <c r="BJ18" s="69" t="s">
        <v>1192</v>
      </c>
      <c r="BK18" s="69" t="s">
        <v>1191</v>
      </c>
      <c r="BL18" s="69" t="s">
        <v>1190</v>
      </c>
      <c r="BM18" s="69"/>
      <c r="BN18" s="69">
        <v>100</v>
      </c>
      <c r="BO18" s="69" t="s">
        <v>537</v>
      </c>
      <c r="BP18" s="69" t="s">
        <v>92</v>
      </c>
      <c r="BQ18" s="69" t="s">
        <v>538</v>
      </c>
      <c r="BR18" s="69" t="s">
        <v>539</v>
      </c>
      <c r="BS18" s="69"/>
      <c r="BT18" s="69" t="s">
        <v>110</v>
      </c>
      <c r="BU18" s="143">
        <v>46322</v>
      </c>
      <c r="BV18" s="69">
        <v>7.9</v>
      </c>
      <c r="BW18" s="69" t="s">
        <v>541</v>
      </c>
      <c r="BX18" s="69">
        <v>1.1000000000000001</v>
      </c>
      <c r="BY18" s="69" t="s">
        <v>535</v>
      </c>
      <c r="BZ18" s="69" t="s">
        <v>535</v>
      </c>
      <c r="CA18" s="69" t="s">
        <v>535</v>
      </c>
      <c r="CB18" s="69" t="s">
        <v>1189</v>
      </c>
      <c r="CC18" s="69" t="s">
        <v>242</v>
      </c>
      <c r="CD18" s="143"/>
      <c r="CE18" s="69" t="s">
        <v>7</v>
      </c>
      <c r="CF18" s="69" t="s">
        <v>22</v>
      </c>
      <c r="CG18" s="69" t="s">
        <v>7</v>
      </c>
      <c r="CH18" s="69" t="s">
        <v>250</v>
      </c>
      <c r="CI18" s="69" t="s">
        <v>7</v>
      </c>
      <c r="CJ18" s="143"/>
      <c r="CK18" s="69"/>
      <c r="CL18" s="69" t="s">
        <v>83</v>
      </c>
      <c r="CM18" s="69" t="s">
        <v>83</v>
      </c>
      <c r="CN18" s="150" t="s">
        <v>798</v>
      </c>
      <c r="CO18" s="150" t="s">
        <v>1168</v>
      </c>
      <c r="CV18" s="2"/>
      <c r="CZ18" s="1"/>
      <c r="DB18" s="2"/>
    </row>
    <row r="19" spans="2:106" ht="15.75" x14ac:dyDescent="0.25">
      <c r="E19" s="140"/>
      <c r="F19" s="140"/>
      <c r="J19" s="69">
        <v>21</v>
      </c>
      <c r="K19" s="144" t="s">
        <v>749</v>
      </c>
      <c r="L19" s="69" t="s">
        <v>590</v>
      </c>
      <c r="M19" s="69" t="s">
        <v>84</v>
      </c>
      <c r="N19" s="150" t="s">
        <v>1150</v>
      </c>
      <c r="O19" s="142">
        <v>45219</v>
      </c>
      <c r="P19" s="69" t="s">
        <v>85</v>
      </c>
      <c r="Q19" s="69" t="s">
        <v>92</v>
      </c>
      <c r="R19" s="69" t="s">
        <v>92</v>
      </c>
      <c r="S19" s="69" t="s">
        <v>92</v>
      </c>
      <c r="T19" s="69" t="s">
        <v>1183</v>
      </c>
      <c r="U19" s="69" t="s">
        <v>92</v>
      </c>
      <c r="V19" s="69" t="s">
        <v>1179</v>
      </c>
      <c r="W19" s="69" t="s">
        <v>92</v>
      </c>
      <c r="X19" s="69" t="s">
        <v>92</v>
      </c>
      <c r="Y19" s="69" t="s">
        <v>92</v>
      </c>
      <c r="Z19" s="69" t="s">
        <v>92</v>
      </c>
      <c r="AA19" s="69" t="s">
        <v>529</v>
      </c>
      <c r="AB19" s="69" t="s">
        <v>530</v>
      </c>
      <c r="AC19" s="69" t="s">
        <v>531</v>
      </c>
      <c r="AD19" s="69" t="s">
        <v>532</v>
      </c>
      <c r="AE19" s="69" t="s">
        <v>532</v>
      </c>
      <c r="AF19" s="69" t="s">
        <v>1183</v>
      </c>
      <c r="AG19" s="69" t="s">
        <v>92</v>
      </c>
      <c r="AH19" s="143">
        <v>45225</v>
      </c>
      <c r="AI19" s="69" t="s">
        <v>92</v>
      </c>
      <c r="AJ19" s="143">
        <v>45225</v>
      </c>
      <c r="AK19" s="69" t="s">
        <v>92</v>
      </c>
      <c r="AL19" s="69" t="s">
        <v>1187</v>
      </c>
      <c r="AM19" s="143">
        <v>45408</v>
      </c>
      <c r="AN19" s="69" t="s">
        <v>92</v>
      </c>
      <c r="AO19" s="150">
        <v>6.1</v>
      </c>
      <c r="AP19" s="143"/>
      <c r="AQ19" s="143">
        <v>45225</v>
      </c>
      <c r="AR19" s="69">
        <v>0.25</v>
      </c>
      <c r="AS19" s="150">
        <v>1000</v>
      </c>
      <c r="AT19" s="69" t="s">
        <v>1186</v>
      </c>
      <c r="AU19" s="69" t="s">
        <v>92</v>
      </c>
      <c r="AV19" s="69" t="s">
        <v>92</v>
      </c>
      <c r="AW19" s="69" t="s">
        <v>92</v>
      </c>
      <c r="AX19" s="69"/>
      <c r="AY19" s="69" t="s">
        <v>543</v>
      </c>
      <c r="AZ19" s="69" t="s">
        <v>991</v>
      </c>
      <c r="BA19" s="69" t="s">
        <v>1185</v>
      </c>
      <c r="BB19" s="69" t="s">
        <v>92</v>
      </c>
      <c r="BC19" s="69" t="s">
        <v>535</v>
      </c>
      <c r="BD19" s="69" t="s">
        <v>1184</v>
      </c>
      <c r="BE19" s="69" t="s">
        <v>327</v>
      </c>
      <c r="BF19" s="69"/>
      <c r="BG19" s="69"/>
      <c r="BH19" s="69"/>
      <c r="BI19" s="69"/>
      <c r="BJ19" s="69" t="s">
        <v>92</v>
      </c>
      <c r="BK19" s="69" t="s">
        <v>988</v>
      </c>
      <c r="BL19" s="69" t="s">
        <v>921</v>
      </c>
      <c r="BM19" s="69"/>
      <c r="BN19" s="69"/>
      <c r="BO19" s="69" t="s">
        <v>537</v>
      </c>
      <c r="BP19" s="69" t="s">
        <v>92</v>
      </c>
      <c r="BQ19" s="69" t="s">
        <v>538</v>
      </c>
      <c r="BR19" s="69" t="s">
        <v>92</v>
      </c>
      <c r="BS19" s="69"/>
      <c r="BT19" s="69" t="s">
        <v>110</v>
      </c>
      <c r="BU19" s="143">
        <v>45408</v>
      </c>
      <c r="BV19" s="69">
        <v>6.1</v>
      </c>
      <c r="BW19" s="69" t="s">
        <v>1182</v>
      </c>
      <c r="BX19" s="69">
        <v>0.25</v>
      </c>
      <c r="BY19" s="69" t="s">
        <v>535</v>
      </c>
      <c r="BZ19" s="69" t="s">
        <v>554</v>
      </c>
      <c r="CA19" s="69" t="s">
        <v>1181</v>
      </c>
      <c r="CB19" s="69" t="s">
        <v>1180</v>
      </c>
      <c r="CC19" s="69" t="s">
        <v>242</v>
      </c>
      <c r="CD19" s="143"/>
      <c r="CE19" s="69" t="s">
        <v>7</v>
      </c>
      <c r="CF19" s="69" t="s">
        <v>144</v>
      </c>
      <c r="CG19" s="69" t="s">
        <v>7</v>
      </c>
      <c r="CH19" s="69" t="s">
        <v>526</v>
      </c>
      <c r="CI19" s="69" t="s">
        <v>526</v>
      </c>
      <c r="CJ19" s="143"/>
      <c r="CK19" s="69"/>
      <c r="CL19" s="69" t="s">
        <v>83</v>
      </c>
      <c r="CM19" s="69" t="s">
        <v>443</v>
      </c>
      <c r="CN19" s="150" t="s">
        <v>798</v>
      </c>
      <c r="CO19" s="150" t="s">
        <v>1154</v>
      </c>
      <c r="CV19" s="2"/>
      <c r="CZ19" s="1"/>
      <c r="DB19" s="2"/>
    </row>
    <row r="20" spans="2:106" ht="15" x14ac:dyDescent="0.25">
      <c r="J20" s="69">
        <v>20</v>
      </c>
      <c r="K20" s="144" t="s">
        <v>749</v>
      </c>
      <c r="L20" s="69" t="s">
        <v>753</v>
      </c>
      <c r="M20" s="69" t="s">
        <v>84</v>
      </c>
      <c r="N20" s="150" t="s">
        <v>796</v>
      </c>
      <c r="O20" s="142">
        <v>45219</v>
      </c>
      <c r="P20" s="69" t="s">
        <v>106</v>
      </c>
      <c r="Q20" s="69" t="s">
        <v>92</v>
      </c>
      <c r="R20" s="69" t="s">
        <v>92</v>
      </c>
      <c r="S20" s="69" t="s">
        <v>92</v>
      </c>
      <c r="T20" s="69" t="s">
        <v>758</v>
      </c>
      <c r="U20" s="69" t="s">
        <v>92</v>
      </c>
      <c r="V20" s="69" t="s">
        <v>914</v>
      </c>
      <c r="W20" s="69" t="s">
        <v>92</v>
      </c>
      <c r="X20" s="69" t="s">
        <v>92</v>
      </c>
      <c r="Y20" s="69" t="s">
        <v>92</v>
      </c>
      <c r="Z20" s="69" t="s">
        <v>92</v>
      </c>
      <c r="AA20" s="69" t="s">
        <v>529</v>
      </c>
      <c r="AB20" s="69" t="s">
        <v>530</v>
      </c>
      <c r="AC20" s="69" t="s">
        <v>531</v>
      </c>
      <c r="AD20" s="69" t="s">
        <v>532</v>
      </c>
      <c r="AE20" s="69" t="s">
        <v>532</v>
      </c>
      <c r="AF20" s="69" t="s">
        <v>758</v>
      </c>
      <c r="AG20" s="69" t="s">
        <v>92</v>
      </c>
      <c r="AH20" s="143">
        <v>45224</v>
      </c>
      <c r="AI20" s="69" t="s">
        <v>92</v>
      </c>
      <c r="AJ20" s="143">
        <v>45224</v>
      </c>
      <c r="AK20" s="69" t="s">
        <v>753</v>
      </c>
      <c r="AL20" s="69" t="s">
        <v>760</v>
      </c>
      <c r="AM20" s="143">
        <v>45316</v>
      </c>
      <c r="AN20" s="69" t="s">
        <v>92</v>
      </c>
      <c r="AO20" s="150">
        <v>2.85</v>
      </c>
      <c r="AP20" s="143"/>
      <c r="AQ20" s="143">
        <v>45224</v>
      </c>
      <c r="AR20" s="69">
        <v>0.2</v>
      </c>
      <c r="AS20" s="150">
        <v>10000</v>
      </c>
      <c r="AT20" s="69" t="s">
        <v>759</v>
      </c>
      <c r="AU20" s="69" t="s">
        <v>92</v>
      </c>
      <c r="AV20" s="69" t="s">
        <v>92</v>
      </c>
      <c r="AW20" s="69" t="s">
        <v>92</v>
      </c>
      <c r="AX20" s="69"/>
      <c r="AY20" s="69" t="s">
        <v>546</v>
      </c>
      <c r="AZ20" s="69" t="s">
        <v>534</v>
      </c>
      <c r="BA20" s="69" t="s">
        <v>1178</v>
      </c>
      <c r="BB20" s="69" t="s">
        <v>92</v>
      </c>
      <c r="BC20" s="69" t="s">
        <v>535</v>
      </c>
      <c r="BD20" s="69" t="s">
        <v>580</v>
      </c>
      <c r="BE20" s="69" t="s">
        <v>327</v>
      </c>
      <c r="BF20" s="69"/>
      <c r="BG20" s="69"/>
      <c r="BH20" s="69"/>
      <c r="BI20" s="69"/>
      <c r="BJ20" s="69" t="s">
        <v>92</v>
      </c>
      <c r="BK20" s="69" t="s">
        <v>92</v>
      </c>
      <c r="BL20" s="69" t="s">
        <v>550</v>
      </c>
      <c r="BM20" s="69"/>
      <c r="BN20" s="69">
        <v>100</v>
      </c>
      <c r="BO20" s="69" t="s">
        <v>537</v>
      </c>
      <c r="BP20" s="69" t="s">
        <v>92</v>
      </c>
      <c r="BQ20" s="69" t="s">
        <v>579</v>
      </c>
      <c r="BR20" s="69" t="s">
        <v>539</v>
      </c>
      <c r="BS20" s="69"/>
      <c r="BT20" s="69" t="s">
        <v>110</v>
      </c>
      <c r="BU20" s="143">
        <v>45316</v>
      </c>
      <c r="BV20" s="69">
        <v>2.85</v>
      </c>
      <c r="BW20" s="69" t="s">
        <v>784</v>
      </c>
      <c r="BX20" s="69">
        <v>0.2</v>
      </c>
      <c r="BY20" s="69" t="s">
        <v>535</v>
      </c>
      <c r="BZ20" s="69" t="s">
        <v>535</v>
      </c>
      <c r="CA20" s="69" t="s">
        <v>535</v>
      </c>
      <c r="CB20" s="69" t="s">
        <v>915</v>
      </c>
      <c r="CC20" s="69" t="s">
        <v>242</v>
      </c>
      <c r="CD20" s="143"/>
      <c r="CE20" s="69" t="s">
        <v>7</v>
      </c>
      <c r="CF20" s="69" t="s">
        <v>12</v>
      </c>
      <c r="CG20" s="69" t="s">
        <v>7</v>
      </c>
      <c r="CH20" s="69" t="s">
        <v>526</v>
      </c>
      <c r="CI20" s="69" t="s">
        <v>7</v>
      </c>
      <c r="CJ20" s="143"/>
      <c r="CK20" s="69"/>
      <c r="CL20" s="69" t="s">
        <v>83</v>
      </c>
      <c r="CM20" s="69" t="s">
        <v>83</v>
      </c>
      <c r="CN20" s="150" t="s">
        <v>798</v>
      </c>
      <c r="CO20" s="150" t="s">
        <v>799</v>
      </c>
      <c r="CV20" s="2"/>
      <c r="CZ20" s="1"/>
      <c r="DB20" s="2"/>
    </row>
    <row r="21" spans="2:106" ht="15" x14ac:dyDescent="0.25">
      <c r="J21" s="69">
        <v>19</v>
      </c>
      <c r="K21" s="144" t="s">
        <v>559</v>
      </c>
      <c r="L21" s="69" t="s">
        <v>816</v>
      </c>
      <c r="M21" s="69" t="s">
        <v>1</v>
      </c>
      <c r="N21" s="150" t="s">
        <v>815</v>
      </c>
      <c r="O21" s="142">
        <v>45218</v>
      </c>
      <c r="P21" s="69" t="s">
        <v>262</v>
      </c>
      <c r="Q21" s="69" t="s">
        <v>92</v>
      </c>
      <c r="R21" s="69" t="s">
        <v>927</v>
      </c>
      <c r="S21" s="69" t="s">
        <v>928</v>
      </c>
      <c r="T21" s="69" t="s">
        <v>930</v>
      </c>
      <c r="U21" s="69" t="s">
        <v>934</v>
      </c>
      <c r="V21" s="69" t="s">
        <v>925</v>
      </c>
      <c r="W21" s="69" t="s">
        <v>92</v>
      </c>
      <c r="X21" s="69" t="s">
        <v>131</v>
      </c>
      <c r="Y21" s="69" t="s">
        <v>92</v>
      </c>
      <c r="Z21" s="69" t="s">
        <v>92</v>
      </c>
      <c r="AA21" s="69" t="s">
        <v>529</v>
      </c>
      <c r="AB21" s="69" t="s">
        <v>530</v>
      </c>
      <c r="AC21" s="69" t="s">
        <v>531</v>
      </c>
      <c r="AD21" s="69" t="s">
        <v>532</v>
      </c>
      <c r="AE21" s="69" t="s">
        <v>532</v>
      </c>
      <c r="AF21" s="69" t="s">
        <v>935</v>
      </c>
      <c r="AG21" s="69" t="s">
        <v>542</v>
      </c>
      <c r="AH21" s="143">
        <v>45224</v>
      </c>
      <c r="AI21" s="69" t="s">
        <v>928</v>
      </c>
      <c r="AJ21" s="143">
        <v>45224</v>
      </c>
      <c r="AK21" s="69" t="s">
        <v>92</v>
      </c>
      <c r="AL21" s="69" t="s">
        <v>816</v>
      </c>
      <c r="AM21" s="143">
        <v>45407</v>
      </c>
      <c r="AN21" s="69" t="s">
        <v>92</v>
      </c>
      <c r="AO21" s="150">
        <v>1.4</v>
      </c>
      <c r="AP21" s="143"/>
      <c r="AQ21" s="143">
        <v>45224</v>
      </c>
      <c r="AR21" s="69">
        <v>106</v>
      </c>
      <c r="AS21" s="150">
        <v>10000000</v>
      </c>
      <c r="AT21" s="69" t="s">
        <v>933</v>
      </c>
      <c r="AU21" s="69" t="s">
        <v>932</v>
      </c>
      <c r="AV21" s="69" t="s">
        <v>92</v>
      </c>
      <c r="AW21" s="69" t="s">
        <v>92</v>
      </c>
      <c r="AX21" s="69"/>
      <c r="AY21" s="69" t="s">
        <v>546</v>
      </c>
      <c r="AZ21" s="69" t="s">
        <v>534</v>
      </c>
      <c r="BA21" s="69" t="s">
        <v>1085</v>
      </c>
      <c r="BB21" s="69" t="s">
        <v>409</v>
      </c>
      <c r="BC21" s="69" t="s">
        <v>535</v>
      </c>
      <c r="BD21" s="69" t="s">
        <v>536</v>
      </c>
      <c r="BE21" s="69" t="s">
        <v>327</v>
      </c>
      <c r="BF21" s="69"/>
      <c r="BG21" s="69"/>
      <c r="BH21" s="69"/>
      <c r="BI21" s="69"/>
      <c r="BJ21" s="69" t="s">
        <v>1219</v>
      </c>
      <c r="BK21" s="69" t="s">
        <v>775</v>
      </c>
      <c r="BL21" s="69" t="s">
        <v>776</v>
      </c>
      <c r="BM21" s="69"/>
      <c r="BN21" s="69">
        <v>100</v>
      </c>
      <c r="BO21" s="69" t="s">
        <v>537</v>
      </c>
      <c r="BP21" s="69" t="s">
        <v>929</v>
      </c>
      <c r="BQ21" s="69" t="s">
        <v>544</v>
      </c>
      <c r="BR21" s="69" t="s">
        <v>539</v>
      </c>
      <c r="BS21" s="69">
        <v>30</v>
      </c>
      <c r="BT21" s="69" t="s">
        <v>540</v>
      </c>
      <c r="BU21" s="143">
        <v>46320</v>
      </c>
      <c r="BV21" s="69">
        <v>1.4</v>
      </c>
      <c r="BW21" s="69" t="s">
        <v>541</v>
      </c>
      <c r="BX21" s="69">
        <v>106</v>
      </c>
      <c r="BY21" s="69" t="s">
        <v>535</v>
      </c>
      <c r="BZ21" s="69" t="s">
        <v>535</v>
      </c>
      <c r="CA21" s="69" t="s">
        <v>535</v>
      </c>
      <c r="CB21" s="69" t="s">
        <v>926</v>
      </c>
      <c r="CC21" s="69" t="s">
        <v>242</v>
      </c>
      <c r="CD21" s="143"/>
      <c r="CE21" s="69" t="s">
        <v>7</v>
      </c>
      <c r="CF21" s="69" t="s">
        <v>19</v>
      </c>
      <c r="CG21" s="69" t="s">
        <v>7</v>
      </c>
      <c r="CH21" s="69" t="s">
        <v>250</v>
      </c>
      <c r="CI21" s="69" t="s">
        <v>7</v>
      </c>
      <c r="CJ21" s="143"/>
      <c r="CK21" s="69"/>
      <c r="CL21" s="69" t="s">
        <v>83</v>
      </c>
      <c r="CM21" s="69" t="s">
        <v>83</v>
      </c>
      <c r="CN21" s="150" t="s">
        <v>798</v>
      </c>
      <c r="CO21" s="150" t="s">
        <v>820</v>
      </c>
      <c r="CV21" s="2"/>
      <c r="CZ21" s="1"/>
      <c r="DB21" s="2"/>
    </row>
    <row r="22" spans="2:106" ht="15" x14ac:dyDescent="0.25">
      <c r="J22" s="69">
        <v>18</v>
      </c>
      <c r="K22" s="144" t="s">
        <v>749</v>
      </c>
      <c r="L22" s="69" t="s">
        <v>619</v>
      </c>
      <c r="M22" s="69" t="s">
        <v>84</v>
      </c>
      <c r="N22" s="150" t="s">
        <v>809</v>
      </c>
      <c r="O22" s="142">
        <v>45218</v>
      </c>
      <c r="P22" s="69" t="s">
        <v>106</v>
      </c>
      <c r="Q22" s="69" t="s">
        <v>92</v>
      </c>
      <c r="R22" s="69" t="s">
        <v>92</v>
      </c>
      <c r="S22" s="69" t="s">
        <v>92</v>
      </c>
      <c r="T22" s="69" t="s">
        <v>922</v>
      </c>
      <c r="U22" s="69" t="s">
        <v>92</v>
      </c>
      <c r="V22" s="69" t="s">
        <v>918</v>
      </c>
      <c r="W22" s="69" t="s">
        <v>92</v>
      </c>
      <c r="X22" s="69" t="s">
        <v>92</v>
      </c>
      <c r="Y22" s="69" t="s">
        <v>92</v>
      </c>
      <c r="Z22" s="69" t="s">
        <v>92</v>
      </c>
      <c r="AA22" s="69" t="s">
        <v>529</v>
      </c>
      <c r="AB22" s="69" t="s">
        <v>530</v>
      </c>
      <c r="AC22" s="69" t="s">
        <v>531</v>
      </c>
      <c r="AD22" s="69" t="s">
        <v>532</v>
      </c>
      <c r="AE22" s="69" t="s">
        <v>532</v>
      </c>
      <c r="AF22" s="69" t="s">
        <v>922</v>
      </c>
      <c r="AG22" s="69" t="s">
        <v>92</v>
      </c>
      <c r="AH22" s="143">
        <v>45226</v>
      </c>
      <c r="AI22" s="69" t="s">
        <v>92</v>
      </c>
      <c r="AJ22" s="143">
        <v>45226</v>
      </c>
      <c r="AK22" s="69" t="s">
        <v>811</v>
      </c>
      <c r="AL22" s="69" t="s">
        <v>810</v>
      </c>
      <c r="AM22" s="143">
        <v>45590</v>
      </c>
      <c r="AN22" s="69" t="s">
        <v>92</v>
      </c>
      <c r="AO22" s="150">
        <v>3.7</v>
      </c>
      <c r="AP22" s="143"/>
      <c r="AQ22" s="143">
        <v>45226</v>
      </c>
      <c r="AR22" s="69">
        <v>2</v>
      </c>
      <c r="AS22" s="150">
        <v>1000000</v>
      </c>
      <c r="AT22" s="69" t="s">
        <v>924</v>
      </c>
      <c r="AU22" s="69" t="s">
        <v>92</v>
      </c>
      <c r="AV22" s="69" t="s">
        <v>92</v>
      </c>
      <c r="AW22" s="69" t="s">
        <v>92</v>
      </c>
      <c r="AX22" s="69"/>
      <c r="AY22" s="69" t="s">
        <v>543</v>
      </c>
      <c r="AZ22" s="69" t="s">
        <v>923</v>
      </c>
      <c r="BA22" s="69" t="s">
        <v>1020</v>
      </c>
      <c r="BB22" s="69" t="s">
        <v>92</v>
      </c>
      <c r="BC22" s="69" t="s">
        <v>535</v>
      </c>
      <c r="BD22" s="69" t="s">
        <v>580</v>
      </c>
      <c r="BE22" s="69" t="s">
        <v>327</v>
      </c>
      <c r="BF22" s="69"/>
      <c r="BG22" s="69"/>
      <c r="BH22" s="69"/>
      <c r="BI22" s="69"/>
      <c r="BJ22" s="69" t="s">
        <v>92</v>
      </c>
      <c r="BK22" s="69" t="s">
        <v>92</v>
      </c>
      <c r="BL22" s="69" t="s">
        <v>921</v>
      </c>
      <c r="BM22" s="69"/>
      <c r="BN22" s="69">
        <v>100</v>
      </c>
      <c r="BO22" s="69" t="s">
        <v>537</v>
      </c>
      <c r="BP22" s="69" t="s">
        <v>92</v>
      </c>
      <c r="BQ22" s="69" t="s">
        <v>579</v>
      </c>
      <c r="BR22" s="69" t="s">
        <v>92</v>
      </c>
      <c r="BS22" s="69"/>
      <c r="BT22" s="69" t="s">
        <v>110</v>
      </c>
      <c r="BU22" s="143">
        <v>45590</v>
      </c>
      <c r="BV22" s="69">
        <v>3.7</v>
      </c>
      <c r="BW22" s="69" t="s">
        <v>549</v>
      </c>
      <c r="BX22" s="69">
        <v>2</v>
      </c>
      <c r="BY22" s="69" t="s">
        <v>535</v>
      </c>
      <c r="BZ22" s="69" t="s">
        <v>554</v>
      </c>
      <c r="CA22" s="69" t="s">
        <v>920</v>
      </c>
      <c r="CB22" s="69" t="s">
        <v>919</v>
      </c>
      <c r="CC22" s="69" t="s">
        <v>242</v>
      </c>
      <c r="CD22" s="143"/>
      <c r="CE22" s="69" t="s">
        <v>7</v>
      </c>
      <c r="CF22" s="69" t="s">
        <v>144</v>
      </c>
      <c r="CG22" s="69" t="s">
        <v>7</v>
      </c>
      <c r="CH22" s="69" t="s">
        <v>573</v>
      </c>
      <c r="CI22" s="69" t="s">
        <v>7</v>
      </c>
      <c r="CJ22" s="143"/>
      <c r="CK22" s="69"/>
      <c r="CL22" s="69" t="s">
        <v>83</v>
      </c>
      <c r="CM22" s="69" t="s">
        <v>1139</v>
      </c>
      <c r="CN22" s="150" t="s">
        <v>798</v>
      </c>
      <c r="CO22" s="150" t="s">
        <v>814</v>
      </c>
      <c r="DB22" s="2"/>
    </row>
    <row r="23" spans="2:106" ht="15.75" x14ac:dyDescent="0.25">
      <c r="D23" s="126"/>
      <c r="E23" s="126"/>
      <c r="F23" s="126"/>
      <c r="H23" s="32" t="s">
        <v>570</v>
      </c>
      <c r="J23" s="69">
        <v>17</v>
      </c>
      <c r="K23" s="144" t="s">
        <v>749</v>
      </c>
      <c r="L23" s="69" t="s">
        <v>753</v>
      </c>
      <c r="M23" s="69" t="s">
        <v>84</v>
      </c>
      <c r="N23" s="150" t="s">
        <v>800</v>
      </c>
      <c r="O23" s="142">
        <v>45218</v>
      </c>
      <c r="P23" s="69" t="s">
        <v>109</v>
      </c>
      <c r="Q23" s="69" t="s">
        <v>92</v>
      </c>
      <c r="R23" s="69" t="s">
        <v>92</v>
      </c>
      <c r="S23" s="69" t="s">
        <v>92</v>
      </c>
      <c r="T23" s="69" t="s">
        <v>758</v>
      </c>
      <c r="U23" s="69" t="s">
        <v>92</v>
      </c>
      <c r="V23" s="69" t="s">
        <v>916</v>
      </c>
      <c r="W23" s="69" t="s">
        <v>92</v>
      </c>
      <c r="X23" s="69" t="s">
        <v>92</v>
      </c>
      <c r="Y23" s="69" t="s">
        <v>92</v>
      </c>
      <c r="Z23" s="69" t="s">
        <v>92</v>
      </c>
      <c r="AA23" s="69" t="s">
        <v>529</v>
      </c>
      <c r="AB23" s="69" t="s">
        <v>530</v>
      </c>
      <c r="AC23" s="69" t="s">
        <v>531</v>
      </c>
      <c r="AD23" s="69" t="s">
        <v>532</v>
      </c>
      <c r="AE23" s="69" t="s">
        <v>532</v>
      </c>
      <c r="AF23" s="69" t="s">
        <v>758</v>
      </c>
      <c r="AG23" s="69" t="s">
        <v>92</v>
      </c>
      <c r="AH23" s="143">
        <v>45224</v>
      </c>
      <c r="AI23" s="69" t="s">
        <v>92</v>
      </c>
      <c r="AJ23" s="143">
        <v>45224</v>
      </c>
      <c r="AK23" s="69" t="s">
        <v>753</v>
      </c>
      <c r="AL23" s="69" t="s">
        <v>760</v>
      </c>
      <c r="AM23" s="143">
        <v>45316</v>
      </c>
      <c r="AN23" s="69" t="s">
        <v>92</v>
      </c>
      <c r="AO23" s="150">
        <v>4.6500000000000004</v>
      </c>
      <c r="AP23" s="143"/>
      <c r="AQ23" s="143">
        <v>45224</v>
      </c>
      <c r="AR23" s="69">
        <v>0.05</v>
      </c>
      <c r="AS23" s="150">
        <v>5000000</v>
      </c>
      <c r="AT23" s="69" t="s">
        <v>759</v>
      </c>
      <c r="AU23" s="69" t="s">
        <v>92</v>
      </c>
      <c r="AV23" s="69" t="s">
        <v>92</v>
      </c>
      <c r="AW23" s="69" t="s">
        <v>92</v>
      </c>
      <c r="AX23" s="69"/>
      <c r="AY23" s="69" t="s">
        <v>546</v>
      </c>
      <c r="AZ23" s="69" t="s">
        <v>534</v>
      </c>
      <c r="BA23" s="69" t="s">
        <v>1178</v>
      </c>
      <c r="BB23" s="69" t="s">
        <v>92</v>
      </c>
      <c r="BC23" s="69" t="s">
        <v>535</v>
      </c>
      <c r="BD23" s="69" t="s">
        <v>580</v>
      </c>
      <c r="BE23" s="69" t="s">
        <v>327</v>
      </c>
      <c r="BF23" s="69"/>
      <c r="BG23" s="69"/>
      <c r="BH23" s="69"/>
      <c r="BI23" s="69"/>
      <c r="BJ23" s="69" t="s">
        <v>92</v>
      </c>
      <c r="BK23" s="69" t="s">
        <v>92</v>
      </c>
      <c r="BL23" s="69" t="s">
        <v>550</v>
      </c>
      <c r="BM23" s="69"/>
      <c r="BN23" s="69">
        <v>100</v>
      </c>
      <c r="BO23" s="69" t="s">
        <v>537</v>
      </c>
      <c r="BP23" s="69" t="s">
        <v>92</v>
      </c>
      <c r="BQ23" s="69" t="s">
        <v>579</v>
      </c>
      <c r="BR23" s="69" t="s">
        <v>539</v>
      </c>
      <c r="BS23" s="69"/>
      <c r="BT23" s="69" t="s">
        <v>110</v>
      </c>
      <c r="BU23" s="143">
        <v>45316</v>
      </c>
      <c r="BV23" s="69">
        <v>4.6500000000000004</v>
      </c>
      <c r="BW23" s="69" t="s">
        <v>784</v>
      </c>
      <c r="BX23" s="69">
        <v>0.05</v>
      </c>
      <c r="BY23" s="69" t="s">
        <v>535</v>
      </c>
      <c r="BZ23" s="69" t="s">
        <v>535</v>
      </c>
      <c r="CA23" s="69" t="s">
        <v>535</v>
      </c>
      <c r="CB23" s="69" t="s">
        <v>917</v>
      </c>
      <c r="CC23" s="69" t="s">
        <v>242</v>
      </c>
      <c r="CD23" s="143"/>
      <c r="CE23" s="69" t="s">
        <v>7</v>
      </c>
      <c r="CF23" s="69" t="s">
        <v>12</v>
      </c>
      <c r="CG23" s="69" t="s">
        <v>7</v>
      </c>
      <c r="CH23" s="69" t="s">
        <v>526</v>
      </c>
      <c r="CI23" s="69" t="s">
        <v>7</v>
      </c>
      <c r="CJ23" s="143"/>
      <c r="CK23" s="69"/>
      <c r="CL23" s="69" t="s">
        <v>83</v>
      </c>
      <c r="CM23" s="69" t="s">
        <v>83</v>
      </c>
      <c r="CN23" s="150" t="s">
        <v>798</v>
      </c>
      <c r="CO23" s="150" t="s">
        <v>802</v>
      </c>
      <c r="DB23" s="2"/>
    </row>
    <row r="24" spans="2:106" ht="15.75" x14ac:dyDescent="0.25">
      <c r="D24" s="126"/>
      <c r="E24" s="126"/>
      <c r="F24" s="126"/>
      <c r="H24" t="s">
        <v>1149</v>
      </c>
      <c r="J24" s="69">
        <v>16</v>
      </c>
      <c r="K24" s="144" t="s">
        <v>388</v>
      </c>
      <c r="L24" s="69" t="s">
        <v>862</v>
      </c>
      <c r="M24" s="69" t="s">
        <v>1</v>
      </c>
      <c r="N24" s="150" t="s">
        <v>861</v>
      </c>
      <c r="O24" s="142">
        <v>45217</v>
      </c>
      <c r="P24" s="69" t="s">
        <v>85</v>
      </c>
      <c r="Q24" s="69" t="s">
        <v>388</v>
      </c>
      <c r="R24" s="69" t="s">
        <v>1031</v>
      </c>
      <c r="S24" s="69" t="s">
        <v>1032</v>
      </c>
      <c r="T24" s="69" t="s">
        <v>1035</v>
      </c>
      <c r="U24" s="69" t="s">
        <v>1039</v>
      </c>
      <c r="V24" s="69" t="s">
        <v>1027</v>
      </c>
      <c r="W24" s="69" t="s">
        <v>92</v>
      </c>
      <c r="X24" s="69" t="s">
        <v>131</v>
      </c>
      <c r="Y24" s="69" t="s">
        <v>862</v>
      </c>
      <c r="Z24" s="69" t="s">
        <v>92</v>
      </c>
      <c r="AA24" s="69" t="s">
        <v>529</v>
      </c>
      <c r="AB24" s="69" t="s">
        <v>530</v>
      </c>
      <c r="AC24" s="69" t="s">
        <v>531</v>
      </c>
      <c r="AD24" s="69" t="s">
        <v>532</v>
      </c>
      <c r="AE24" s="69" t="s">
        <v>532</v>
      </c>
      <c r="AF24" s="69" t="s">
        <v>1040</v>
      </c>
      <c r="AG24" s="69" t="s">
        <v>533</v>
      </c>
      <c r="AH24" s="143">
        <v>45224</v>
      </c>
      <c r="AI24" s="69" t="s">
        <v>1032</v>
      </c>
      <c r="AJ24" s="143">
        <v>45224</v>
      </c>
      <c r="AK24" s="69" t="s">
        <v>92</v>
      </c>
      <c r="AL24" s="69" t="s">
        <v>1038</v>
      </c>
      <c r="AM24" s="143">
        <v>45407</v>
      </c>
      <c r="AN24" s="69" t="s">
        <v>92</v>
      </c>
      <c r="AO24" s="150">
        <v>7</v>
      </c>
      <c r="AP24" s="143"/>
      <c r="AQ24" s="143">
        <v>45224</v>
      </c>
      <c r="AR24" s="69">
        <v>2.1</v>
      </c>
      <c r="AS24" s="150">
        <v>1000</v>
      </c>
      <c r="AT24" s="69" t="s">
        <v>1037</v>
      </c>
      <c r="AU24" s="69" t="s">
        <v>1036</v>
      </c>
      <c r="AV24" s="69" t="s">
        <v>92</v>
      </c>
      <c r="AW24" s="69" t="s">
        <v>92</v>
      </c>
      <c r="AX24" s="69"/>
      <c r="AY24" s="69" t="s">
        <v>543</v>
      </c>
      <c r="AZ24" s="69" t="s">
        <v>534</v>
      </c>
      <c r="BA24" s="69" t="s">
        <v>1085</v>
      </c>
      <c r="BB24" s="69" t="s">
        <v>552</v>
      </c>
      <c r="BC24" s="69" t="s">
        <v>535</v>
      </c>
      <c r="BD24" s="69" t="s">
        <v>772</v>
      </c>
      <c r="BE24" s="69" t="s">
        <v>327</v>
      </c>
      <c r="BF24" s="69"/>
      <c r="BG24" s="69"/>
      <c r="BH24" s="69"/>
      <c r="BI24" s="69"/>
      <c r="BJ24" s="69" t="s">
        <v>92</v>
      </c>
      <c r="BK24" s="69" t="s">
        <v>1034</v>
      </c>
      <c r="BL24" s="69" t="s">
        <v>763</v>
      </c>
      <c r="BM24" s="69"/>
      <c r="BN24" s="69">
        <v>100</v>
      </c>
      <c r="BO24" s="69" t="s">
        <v>537</v>
      </c>
      <c r="BP24" s="69" t="s">
        <v>92</v>
      </c>
      <c r="BQ24" s="69" t="s">
        <v>1033</v>
      </c>
      <c r="BR24" s="69" t="s">
        <v>539</v>
      </c>
      <c r="BS24" s="69">
        <v>60</v>
      </c>
      <c r="BT24" s="69" t="s">
        <v>547</v>
      </c>
      <c r="BU24" s="143">
        <v>46320</v>
      </c>
      <c r="BV24" s="69">
        <v>7</v>
      </c>
      <c r="BW24" s="69" t="s">
        <v>541</v>
      </c>
      <c r="BX24" s="69">
        <v>2.1</v>
      </c>
      <c r="BY24" s="69" t="s">
        <v>535</v>
      </c>
      <c r="BZ24" s="69" t="s">
        <v>1030</v>
      </c>
      <c r="CA24" s="69" t="s">
        <v>1029</v>
      </c>
      <c r="CB24" s="69" t="s">
        <v>1028</v>
      </c>
      <c r="CC24" s="69" t="s">
        <v>242</v>
      </c>
      <c r="CD24" s="143"/>
      <c r="CE24" s="69" t="s">
        <v>7</v>
      </c>
      <c r="CF24" s="69" t="s">
        <v>10</v>
      </c>
      <c r="CG24" s="69" t="s">
        <v>7</v>
      </c>
      <c r="CH24" s="69" t="s">
        <v>573</v>
      </c>
      <c r="CI24" s="69" t="s">
        <v>7</v>
      </c>
      <c r="CJ24" s="143"/>
      <c r="CK24" s="69"/>
      <c r="CL24" s="69" t="s">
        <v>83</v>
      </c>
      <c r="CM24" s="69" t="s">
        <v>863</v>
      </c>
      <c r="CN24" s="150" t="s">
        <v>867</v>
      </c>
      <c r="CO24" s="150" t="s">
        <v>868</v>
      </c>
    </row>
    <row r="25" spans="2:106" ht="15.75" x14ac:dyDescent="0.25">
      <c r="D25" s="126"/>
      <c r="E25" s="126"/>
      <c r="F25" s="126"/>
      <c r="H25" t="s">
        <v>305</v>
      </c>
      <c r="J25" s="69">
        <v>15</v>
      </c>
      <c r="K25" s="144" t="s">
        <v>771</v>
      </c>
      <c r="L25" s="69" t="s">
        <v>840</v>
      </c>
      <c r="M25" s="69" t="s">
        <v>1</v>
      </c>
      <c r="N25" s="150" t="s">
        <v>839</v>
      </c>
      <c r="O25" s="142">
        <v>45217</v>
      </c>
      <c r="P25" s="69" t="s">
        <v>106</v>
      </c>
      <c r="Q25" s="69" t="s">
        <v>92</v>
      </c>
      <c r="R25" s="69" t="s">
        <v>92</v>
      </c>
      <c r="S25" s="69" t="s">
        <v>1016</v>
      </c>
      <c r="T25" s="69" t="s">
        <v>1019</v>
      </c>
      <c r="U25" s="69" t="s">
        <v>1025</v>
      </c>
      <c r="V25" s="69" t="s">
        <v>1014</v>
      </c>
      <c r="W25" s="69" t="s">
        <v>92</v>
      </c>
      <c r="X25" s="69" t="s">
        <v>131</v>
      </c>
      <c r="Y25" s="69" t="s">
        <v>92</v>
      </c>
      <c r="Z25" s="69" t="s">
        <v>92</v>
      </c>
      <c r="AA25" s="69" t="s">
        <v>529</v>
      </c>
      <c r="AB25" s="69" t="s">
        <v>530</v>
      </c>
      <c r="AC25" s="69" t="s">
        <v>531</v>
      </c>
      <c r="AD25" s="69" t="s">
        <v>532</v>
      </c>
      <c r="AE25" s="69" t="s">
        <v>532</v>
      </c>
      <c r="AF25" s="69" t="s">
        <v>1026</v>
      </c>
      <c r="AG25" s="69" t="s">
        <v>92</v>
      </c>
      <c r="AH25" s="143">
        <v>45223</v>
      </c>
      <c r="AI25" s="69" t="s">
        <v>1024</v>
      </c>
      <c r="AJ25" s="143">
        <v>45223</v>
      </c>
      <c r="AK25" s="69" t="s">
        <v>840</v>
      </c>
      <c r="AL25" s="69" t="s">
        <v>1023</v>
      </c>
      <c r="AM25" s="143">
        <v>45406</v>
      </c>
      <c r="AN25" s="69" t="s">
        <v>92</v>
      </c>
      <c r="AO25" s="150">
        <v>7.8</v>
      </c>
      <c r="AP25" s="143"/>
      <c r="AQ25" s="143">
        <v>45223</v>
      </c>
      <c r="AR25" s="69">
        <v>0.6</v>
      </c>
      <c r="AS25" s="150">
        <v>10000</v>
      </c>
      <c r="AT25" s="69" t="s">
        <v>1022</v>
      </c>
      <c r="AU25" s="69" t="s">
        <v>1021</v>
      </c>
      <c r="AV25" s="69" t="s">
        <v>92</v>
      </c>
      <c r="AW25" s="69" t="s">
        <v>92</v>
      </c>
      <c r="AX25" s="69"/>
      <c r="AY25" s="69" t="s">
        <v>546</v>
      </c>
      <c r="AZ25" s="69" t="s">
        <v>534</v>
      </c>
      <c r="BA25" s="69" t="s">
        <v>939</v>
      </c>
      <c r="BB25" s="69" t="s">
        <v>409</v>
      </c>
      <c r="BC25" s="69" t="s">
        <v>535</v>
      </c>
      <c r="BD25" s="69" t="s">
        <v>536</v>
      </c>
      <c r="BE25" s="69" t="s">
        <v>327</v>
      </c>
      <c r="BF25" s="69"/>
      <c r="BG25" s="69"/>
      <c r="BH25" s="69"/>
      <c r="BI25" s="69"/>
      <c r="BJ25" s="69" t="s">
        <v>1018</v>
      </c>
      <c r="BK25" s="69" t="s">
        <v>1017</v>
      </c>
      <c r="BL25" s="69" t="s">
        <v>763</v>
      </c>
      <c r="BM25" s="69"/>
      <c r="BN25" s="69">
        <v>100</v>
      </c>
      <c r="BO25" s="69" t="s">
        <v>537</v>
      </c>
      <c r="BP25" s="69" t="s">
        <v>92</v>
      </c>
      <c r="BQ25" s="69" t="s">
        <v>579</v>
      </c>
      <c r="BR25" s="69" t="s">
        <v>539</v>
      </c>
      <c r="BS25" s="69"/>
      <c r="BT25" s="69" t="s">
        <v>547</v>
      </c>
      <c r="BU25" s="143">
        <v>45587</v>
      </c>
      <c r="BV25" s="69">
        <v>7.8</v>
      </c>
      <c r="BW25" s="69" t="s">
        <v>549</v>
      </c>
      <c r="BX25" s="69">
        <v>0.6</v>
      </c>
      <c r="BY25" s="69" t="s">
        <v>535</v>
      </c>
      <c r="BZ25" s="69" t="s">
        <v>535</v>
      </c>
      <c r="CA25" s="69" t="s">
        <v>535</v>
      </c>
      <c r="CB25" s="69" t="s">
        <v>1015</v>
      </c>
      <c r="CC25" s="69" t="s">
        <v>242</v>
      </c>
      <c r="CD25" s="143"/>
      <c r="CE25" s="69" t="s">
        <v>7</v>
      </c>
      <c r="CF25" s="69" t="s">
        <v>10</v>
      </c>
      <c r="CG25" s="69" t="s">
        <v>7</v>
      </c>
      <c r="CH25" s="69" t="s">
        <v>573</v>
      </c>
      <c r="CI25" s="69" t="s">
        <v>7</v>
      </c>
      <c r="CJ25" s="143"/>
      <c r="CK25" s="69"/>
      <c r="CL25" s="69" t="s">
        <v>83</v>
      </c>
      <c r="CM25" s="69" t="s">
        <v>83</v>
      </c>
      <c r="CN25" s="150" t="s">
        <v>798</v>
      </c>
      <c r="CO25" s="150" t="s">
        <v>845</v>
      </c>
    </row>
    <row r="26" spans="2:106" ht="15.75" x14ac:dyDescent="0.25">
      <c r="D26" s="126"/>
      <c r="E26" s="126"/>
      <c r="F26" s="126"/>
      <c r="J26" s="69">
        <v>14</v>
      </c>
      <c r="K26" s="144" t="s">
        <v>558</v>
      </c>
      <c r="L26" s="69" t="s">
        <v>825</v>
      </c>
      <c r="M26" s="69" t="s">
        <v>2</v>
      </c>
      <c r="N26" s="150" t="s">
        <v>824</v>
      </c>
      <c r="O26" s="142">
        <v>45217</v>
      </c>
      <c r="P26" s="69" t="s">
        <v>85</v>
      </c>
      <c r="Q26" s="69" t="s">
        <v>92</v>
      </c>
      <c r="R26" s="69" t="s">
        <v>92</v>
      </c>
      <c r="S26" s="69" t="s">
        <v>92</v>
      </c>
      <c r="T26" s="69" t="s">
        <v>1009</v>
      </c>
      <c r="U26" s="69" t="s">
        <v>1012</v>
      </c>
      <c r="V26" s="69" t="s">
        <v>1007</v>
      </c>
      <c r="W26" s="69" t="s">
        <v>92</v>
      </c>
      <c r="X26" s="69" t="s">
        <v>545</v>
      </c>
      <c r="Y26" s="69" t="s">
        <v>92</v>
      </c>
      <c r="Z26" s="69" t="s">
        <v>92</v>
      </c>
      <c r="AA26" s="69" t="s">
        <v>529</v>
      </c>
      <c r="AB26" s="69" t="s">
        <v>530</v>
      </c>
      <c r="AC26" s="69" t="s">
        <v>531</v>
      </c>
      <c r="AD26" s="69" t="s">
        <v>532</v>
      </c>
      <c r="AE26" s="69" t="s">
        <v>532</v>
      </c>
      <c r="AF26" s="69" t="s">
        <v>1013</v>
      </c>
      <c r="AG26" s="69" t="s">
        <v>92</v>
      </c>
      <c r="AH26" s="143">
        <v>45225</v>
      </c>
      <c r="AI26" s="69" t="s">
        <v>92</v>
      </c>
      <c r="AJ26" s="143">
        <v>45225</v>
      </c>
      <c r="AK26" s="69" t="s">
        <v>825</v>
      </c>
      <c r="AL26" s="69" t="s">
        <v>826</v>
      </c>
      <c r="AM26" s="143">
        <v>45591</v>
      </c>
      <c r="AN26" s="69" t="s">
        <v>92</v>
      </c>
      <c r="AO26" s="150">
        <v>7</v>
      </c>
      <c r="AP26" s="143"/>
      <c r="AQ26" s="143">
        <v>45225</v>
      </c>
      <c r="AR26" s="69">
        <v>1.7</v>
      </c>
      <c r="AS26" s="150">
        <v>1000</v>
      </c>
      <c r="AT26" s="69" t="s">
        <v>1011</v>
      </c>
      <c r="AU26" s="69" t="s">
        <v>92</v>
      </c>
      <c r="AV26" s="69" t="s">
        <v>92</v>
      </c>
      <c r="AW26" s="69" t="s">
        <v>92</v>
      </c>
      <c r="AX26" s="69"/>
      <c r="AY26" s="69" t="s">
        <v>546</v>
      </c>
      <c r="AZ26" s="69" t="s">
        <v>534</v>
      </c>
      <c r="BA26" s="69" t="s">
        <v>1085</v>
      </c>
      <c r="BB26" s="69" t="s">
        <v>92</v>
      </c>
      <c r="BC26" s="69" t="s">
        <v>535</v>
      </c>
      <c r="BD26" s="69" t="s">
        <v>1010</v>
      </c>
      <c r="BE26" s="69" t="s">
        <v>327</v>
      </c>
      <c r="BF26" s="69"/>
      <c r="BG26" s="69"/>
      <c r="BH26" s="69"/>
      <c r="BI26" s="69"/>
      <c r="BJ26" s="69" t="s">
        <v>92</v>
      </c>
      <c r="BK26" s="69" t="s">
        <v>773</v>
      </c>
      <c r="BL26" s="69" t="s">
        <v>774</v>
      </c>
      <c r="BM26" s="69"/>
      <c r="BN26" s="69">
        <v>100</v>
      </c>
      <c r="BO26" s="69" t="s">
        <v>537</v>
      </c>
      <c r="BP26" s="69" t="s">
        <v>92</v>
      </c>
      <c r="BQ26" s="69" t="s">
        <v>579</v>
      </c>
      <c r="BR26" s="69" t="s">
        <v>539</v>
      </c>
      <c r="BS26" s="69"/>
      <c r="BT26" s="69" t="s">
        <v>540</v>
      </c>
      <c r="BU26" s="143">
        <v>46321</v>
      </c>
      <c r="BV26" s="69">
        <v>7</v>
      </c>
      <c r="BW26" s="69" t="s">
        <v>541</v>
      </c>
      <c r="BX26" s="69">
        <v>1.7</v>
      </c>
      <c r="BY26" s="69" t="s">
        <v>535</v>
      </c>
      <c r="BZ26" s="69" t="s">
        <v>535</v>
      </c>
      <c r="CA26" s="69" t="s">
        <v>535</v>
      </c>
      <c r="CB26" s="69" t="s">
        <v>1008</v>
      </c>
      <c r="CC26" s="69" t="s">
        <v>242</v>
      </c>
      <c r="CD26" s="143"/>
      <c r="CE26" s="69" t="s">
        <v>7</v>
      </c>
      <c r="CF26" s="69" t="s">
        <v>15</v>
      </c>
      <c r="CG26" s="69" t="s">
        <v>7</v>
      </c>
      <c r="CH26" s="69" t="s">
        <v>250</v>
      </c>
      <c r="CI26" s="69" t="s">
        <v>7</v>
      </c>
      <c r="CJ26" s="143"/>
      <c r="CK26" s="69"/>
      <c r="CL26" s="69" t="s">
        <v>83</v>
      </c>
      <c r="CM26" s="69" t="s">
        <v>83</v>
      </c>
      <c r="CN26" s="150" t="s">
        <v>798</v>
      </c>
      <c r="CO26" s="150" t="s">
        <v>830</v>
      </c>
    </row>
    <row r="27" spans="2:106" ht="15.75" x14ac:dyDescent="0.25">
      <c r="D27" s="126"/>
      <c r="E27" s="126"/>
      <c r="F27" s="126"/>
      <c r="J27" s="69">
        <v>13</v>
      </c>
      <c r="K27" s="144" t="s">
        <v>312</v>
      </c>
      <c r="L27" s="69" t="s">
        <v>870</v>
      </c>
      <c r="M27" s="69" t="s">
        <v>1</v>
      </c>
      <c r="N27" s="150" t="s">
        <v>869</v>
      </c>
      <c r="O27" s="142">
        <v>45217</v>
      </c>
      <c r="P27" s="69" t="s">
        <v>85</v>
      </c>
      <c r="Q27" s="69" t="s">
        <v>312</v>
      </c>
      <c r="R27" s="69" t="s">
        <v>998</v>
      </c>
      <c r="S27" s="69" t="s">
        <v>999</v>
      </c>
      <c r="T27" s="69" t="s">
        <v>1002</v>
      </c>
      <c r="U27" s="69" t="s">
        <v>1005</v>
      </c>
      <c r="V27" s="69" t="s">
        <v>996</v>
      </c>
      <c r="W27" s="69" t="s">
        <v>92</v>
      </c>
      <c r="X27" s="69" t="s">
        <v>131</v>
      </c>
      <c r="Y27" s="69" t="s">
        <v>92</v>
      </c>
      <c r="Z27" s="69" t="s">
        <v>92</v>
      </c>
      <c r="AA27" s="69" t="s">
        <v>529</v>
      </c>
      <c r="AB27" s="69" t="s">
        <v>530</v>
      </c>
      <c r="AC27" s="69" t="s">
        <v>531</v>
      </c>
      <c r="AD27" s="69" t="s">
        <v>532</v>
      </c>
      <c r="AE27" s="69" t="s">
        <v>532</v>
      </c>
      <c r="AF27" s="69" t="s">
        <v>1006</v>
      </c>
      <c r="AG27" s="69" t="s">
        <v>92</v>
      </c>
      <c r="AH27" s="143">
        <v>45225</v>
      </c>
      <c r="AI27" s="69" t="s">
        <v>999</v>
      </c>
      <c r="AJ27" s="143">
        <v>45225</v>
      </c>
      <c r="AK27" s="69" t="s">
        <v>92</v>
      </c>
      <c r="AL27" s="69" t="s">
        <v>870</v>
      </c>
      <c r="AM27" s="143">
        <v>45408</v>
      </c>
      <c r="AN27" s="69" t="s">
        <v>92</v>
      </c>
      <c r="AO27" s="150">
        <v>7.3</v>
      </c>
      <c r="AP27" s="143"/>
      <c r="AQ27" s="143">
        <v>45225</v>
      </c>
      <c r="AR27" s="69">
        <v>3</v>
      </c>
      <c r="AS27" s="150">
        <v>1000</v>
      </c>
      <c r="AT27" s="69" t="s">
        <v>1004</v>
      </c>
      <c r="AU27" s="69" t="s">
        <v>1003</v>
      </c>
      <c r="AV27" s="69" t="s">
        <v>92</v>
      </c>
      <c r="AW27" s="69" t="s">
        <v>92</v>
      </c>
      <c r="AX27" s="69"/>
      <c r="AY27" s="69" t="s">
        <v>546</v>
      </c>
      <c r="AZ27" s="69" t="s">
        <v>534</v>
      </c>
      <c r="BA27" s="69" t="s">
        <v>1085</v>
      </c>
      <c r="BB27" s="69" t="s">
        <v>409</v>
      </c>
      <c r="BC27" s="69" t="s">
        <v>535</v>
      </c>
      <c r="BD27" s="69" t="s">
        <v>772</v>
      </c>
      <c r="BE27" s="69" t="s">
        <v>327</v>
      </c>
      <c r="BF27" s="69"/>
      <c r="BG27" s="69"/>
      <c r="BH27" s="69"/>
      <c r="BI27" s="69"/>
      <c r="BJ27" s="69" t="s">
        <v>1001</v>
      </c>
      <c r="BK27" s="69" t="s">
        <v>1000</v>
      </c>
      <c r="BL27" s="69" t="s">
        <v>763</v>
      </c>
      <c r="BM27" s="69"/>
      <c r="BN27" s="69">
        <v>100</v>
      </c>
      <c r="BO27" s="69" t="s">
        <v>537</v>
      </c>
      <c r="BP27" s="69" t="s">
        <v>92</v>
      </c>
      <c r="BQ27" s="69" t="s">
        <v>538</v>
      </c>
      <c r="BR27" s="69" t="s">
        <v>539</v>
      </c>
      <c r="BS27" s="69">
        <v>40</v>
      </c>
      <c r="BT27" s="69" t="s">
        <v>540</v>
      </c>
      <c r="BU27" s="143">
        <v>46321</v>
      </c>
      <c r="BV27" s="69">
        <v>7.3</v>
      </c>
      <c r="BW27" s="69" t="s">
        <v>541</v>
      </c>
      <c r="BX27" s="69">
        <v>3</v>
      </c>
      <c r="BY27" s="69" t="s">
        <v>535</v>
      </c>
      <c r="BZ27" s="69" t="s">
        <v>535</v>
      </c>
      <c r="CA27" s="69" t="s">
        <v>535</v>
      </c>
      <c r="CB27" s="69" t="s">
        <v>997</v>
      </c>
      <c r="CC27" s="69" t="s">
        <v>242</v>
      </c>
      <c r="CD27" s="143"/>
      <c r="CE27" s="69" t="s">
        <v>7</v>
      </c>
      <c r="CF27" s="69" t="s">
        <v>10</v>
      </c>
      <c r="CG27" s="69" t="s">
        <v>150</v>
      </c>
      <c r="CH27" s="69" t="s">
        <v>250</v>
      </c>
      <c r="CI27" s="69" t="s">
        <v>7</v>
      </c>
      <c r="CJ27" s="143"/>
      <c r="CK27" s="69"/>
      <c r="CL27" s="69" t="s">
        <v>83</v>
      </c>
      <c r="CM27" s="69" t="s">
        <v>83</v>
      </c>
      <c r="CN27" s="150" t="s">
        <v>859</v>
      </c>
      <c r="CO27" s="150" t="s">
        <v>873</v>
      </c>
    </row>
    <row r="28" spans="2:106" ht="15.75" x14ac:dyDescent="0.25">
      <c r="D28" s="126"/>
      <c r="E28" s="126"/>
      <c r="F28" s="126"/>
      <c r="J28" s="69">
        <v>12</v>
      </c>
      <c r="K28" s="144" t="s">
        <v>558</v>
      </c>
      <c r="L28" s="69" t="s">
        <v>692</v>
      </c>
      <c r="M28" s="69" t="s">
        <v>3</v>
      </c>
      <c r="N28" s="150" t="s">
        <v>831</v>
      </c>
      <c r="O28" s="142">
        <v>45217</v>
      </c>
      <c r="P28" s="69" t="s">
        <v>106</v>
      </c>
      <c r="Q28" s="69" t="s">
        <v>92</v>
      </c>
      <c r="R28" s="69" t="s">
        <v>92</v>
      </c>
      <c r="S28" s="69" t="s">
        <v>92</v>
      </c>
      <c r="T28" s="69" t="s">
        <v>989</v>
      </c>
      <c r="U28" s="69" t="s">
        <v>994</v>
      </c>
      <c r="V28" s="69" t="s">
        <v>984</v>
      </c>
      <c r="W28" s="69" t="s">
        <v>92</v>
      </c>
      <c r="X28" s="69" t="s">
        <v>131</v>
      </c>
      <c r="Y28" s="69" t="s">
        <v>92</v>
      </c>
      <c r="Z28" s="69" t="s">
        <v>92</v>
      </c>
      <c r="AA28" s="69" t="s">
        <v>529</v>
      </c>
      <c r="AB28" s="69" t="s">
        <v>530</v>
      </c>
      <c r="AC28" s="69" t="s">
        <v>531</v>
      </c>
      <c r="AD28" s="69" t="s">
        <v>532</v>
      </c>
      <c r="AE28" s="69" t="s">
        <v>532</v>
      </c>
      <c r="AF28" s="69" t="s">
        <v>995</v>
      </c>
      <c r="AG28" s="69" t="s">
        <v>92</v>
      </c>
      <c r="AH28" s="143">
        <v>45224</v>
      </c>
      <c r="AI28" s="69" t="s">
        <v>92</v>
      </c>
      <c r="AJ28" s="143">
        <v>45224</v>
      </c>
      <c r="AK28" s="69" t="s">
        <v>692</v>
      </c>
      <c r="AL28" s="69" t="s">
        <v>993</v>
      </c>
      <c r="AM28" s="143">
        <v>45407</v>
      </c>
      <c r="AN28" s="69" t="s">
        <v>92</v>
      </c>
      <c r="AO28" s="150">
        <v>3.5</v>
      </c>
      <c r="AP28" s="143"/>
      <c r="AQ28" s="143">
        <v>45224</v>
      </c>
      <c r="AR28" s="69">
        <v>31.9</v>
      </c>
      <c r="AS28" s="150">
        <v>10000</v>
      </c>
      <c r="AT28" s="69" t="s">
        <v>992</v>
      </c>
      <c r="AU28" s="69" t="s">
        <v>92</v>
      </c>
      <c r="AV28" s="69" t="s">
        <v>92</v>
      </c>
      <c r="AW28" s="69" t="s">
        <v>92</v>
      </c>
      <c r="AX28" s="69"/>
      <c r="AY28" s="69" t="s">
        <v>543</v>
      </c>
      <c r="AZ28" s="69" t="s">
        <v>991</v>
      </c>
      <c r="BA28" s="69" t="s">
        <v>1085</v>
      </c>
      <c r="BB28" s="69" t="s">
        <v>92</v>
      </c>
      <c r="BC28" s="69" t="s">
        <v>535</v>
      </c>
      <c r="BD28" s="69" t="s">
        <v>990</v>
      </c>
      <c r="BE28" s="69" t="s">
        <v>327</v>
      </c>
      <c r="BF28" s="69"/>
      <c r="BG28" s="69"/>
      <c r="BH28" s="69"/>
      <c r="BI28" s="69"/>
      <c r="BJ28" s="69" t="s">
        <v>92</v>
      </c>
      <c r="BK28" s="69" t="s">
        <v>988</v>
      </c>
      <c r="BL28" s="69" t="s">
        <v>921</v>
      </c>
      <c r="BM28" s="69"/>
      <c r="BN28" s="69">
        <v>100</v>
      </c>
      <c r="BO28" s="69" t="s">
        <v>537</v>
      </c>
      <c r="BP28" s="69" t="s">
        <v>92</v>
      </c>
      <c r="BQ28" s="69" t="s">
        <v>579</v>
      </c>
      <c r="BR28" s="69" t="s">
        <v>539</v>
      </c>
      <c r="BS28" s="69"/>
      <c r="BT28" s="69" t="s">
        <v>110</v>
      </c>
      <c r="BU28" s="143">
        <v>46320</v>
      </c>
      <c r="BV28" s="69">
        <v>3.5</v>
      </c>
      <c r="BW28" s="69" t="s">
        <v>541</v>
      </c>
      <c r="BX28" s="69">
        <v>31.9</v>
      </c>
      <c r="BY28" s="69" t="s">
        <v>535</v>
      </c>
      <c r="BZ28" s="69" t="s">
        <v>987</v>
      </c>
      <c r="CA28" s="69" t="s">
        <v>986</v>
      </c>
      <c r="CB28" s="69" t="s">
        <v>985</v>
      </c>
      <c r="CC28" s="69" t="s">
        <v>242</v>
      </c>
      <c r="CD28" s="143"/>
      <c r="CE28" s="69" t="s">
        <v>7</v>
      </c>
      <c r="CF28" s="69" t="s">
        <v>144</v>
      </c>
      <c r="CG28" s="69" t="s">
        <v>7</v>
      </c>
      <c r="CH28" s="69" t="s">
        <v>832</v>
      </c>
      <c r="CI28" s="69" t="s">
        <v>7</v>
      </c>
      <c r="CJ28" s="143"/>
      <c r="CK28" s="69"/>
      <c r="CL28" s="69" t="s">
        <v>83</v>
      </c>
      <c r="CM28" s="69" t="s">
        <v>837</v>
      </c>
      <c r="CN28" s="150" t="s">
        <v>798</v>
      </c>
      <c r="CO28" s="150" t="s">
        <v>838</v>
      </c>
    </row>
    <row r="29" spans="2:106" ht="15" x14ac:dyDescent="0.25">
      <c r="J29" s="69">
        <v>11</v>
      </c>
      <c r="K29" s="144" t="s">
        <v>312</v>
      </c>
      <c r="L29" s="69" t="s">
        <v>847</v>
      </c>
      <c r="M29" s="69" t="s">
        <v>84</v>
      </c>
      <c r="N29" s="150" t="s">
        <v>854</v>
      </c>
      <c r="O29" s="142">
        <v>45217</v>
      </c>
      <c r="P29" s="69" t="s">
        <v>111</v>
      </c>
      <c r="Q29" s="69" t="s">
        <v>312</v>
      </c>
      <c r="R29" s="69" t="s">
        <v>955</v>
      </c>
      <c r="S29" s="69" t="s">
        <v>92</v>
      </c>
      <c r="T29" s="69" t="s">
        <v>956</v>
      </c>
      <c r="U29" s="69" t="s">
        <v>960</v>
      </c>
      <c r="V29" s="69" t="s">
        <v>952</v>
      </c>
      <c r="W29" s="69" t="s">
        <v>92</v>
      </c>
      <c r="X29" s="69" t="s">
        <v>545</v>
      </c>
      <c r="Y29" s="69" t="s">
        <v>92</v>
      </c>
      <c r="Z29" s="69" t="s">
        <v>92</v>
      </c>
      <c r="AA29" s="69" t="s">
        <v>529</v>
      </c>
      <c r="AB29" s="69" t="s">
        <v>530</v>
      </c>
      <c r="AC29" s="69" t="s">
        <v>531</v>
      </c>
      <c r="AD29" s="69" t="s">
        <v>532</v>
      </c>
      <c r="AE29" s="69" t="s">
        <v>532</v>
      </c>
      <c r="AF29" s="69" t="s">
        <v>961</v>
      </c>
      <c r="AG29" s="69" t="s">
        <v>92</v>
      </c>
      <c r="AH29" s="143">
        <v>45224</v>
      </c>
      <c r="AI29" s="69" t="s">
        <v>959</v>
      </c>
      <c r="AJ29" s="143">
        <v>45224</v>
      </c>
      <c r="AK29" s="69" t="s">
        <v>92</v>
      </c>
      <c r="AL29" s="69" t="s">
        <v>958</v>
      </c>
      <c r="AM29" s="143">
        <v>45590</v>
      </c>
      <c r="AN29" s="69" t="s">
        <v>92</v>
      </c>
      <c r="AO29" s="150">
        <v>4.125</v>
      </c>
      <c r="AP29" s="143"/>
      <c r="AQ29" s="143">
        <v>45224</v>
      </c>
      <c r="AR29" s="69">
        <v>3</v>
      </c>
      <c r="AS29" s="150">
        <v>1000</v>
      </c>
      <c r="AT29" s="69" t="s">
        <v>948</v>
      </c>
      <c r="AU29" s="69" t="s">
        <v>957</v>
      </c>
      <c r="AV29" s="69" t="s">
        <v>92</v>
      </c>
      <c r="AW29" s="69" t="s">
        <v>92</v>
      </c>
      <c r="AX29" s="69"/>
      <c r="AY29" s="69" t="s">
        <v>543</v>
      </c>
      <c r="AZ29" s="69" t="s">
        <v>551</v>
      </c>
      <c r="BA29" s="69" t="s">
        <v>1085</v>
      </c>
      <c r="BB29" s="69" t="s">
        <v>552</v>
      </c>
      <c r="BC29" s="69" t="s">
        <v>535</v>
      </c>
      <c r="BD29" s="69" t="s">
        <v>444</v>
      </c>
      <c r="BE29" s="69" t="s">
        <v>327</v>
      </c>
      <c r="BF29" s="69"/>
      <c r="BG29" s="69"/>
      <c r="BH29" s="69"/>
      <c r="BI29" s="69"/>
      <c r="BJ29" s="69" t="s">
        <v>92</v>
      </c>
      <c r="BK29" s="69" t="s">
        <v>553</v>
      </c>
      <c r="BL29" s="69" t="s">
        <v>550</v>
      </c>
      <c r="BM29" s="69"/>
      <c r="BN29" s="69">
        <v>99.745999999999995</v>
      </c>
      <c r="BO29" s="69" t="s">
        <v>537</v>
      </c>
      <c r="BP29" s="69" t="s">
        <v>92</v>
      </c>
      <c r="BQ29" s="69" t="s">
        <v>538</v>
      </c>
      <c r="BR29" s="69" t="s">
        <v>539</v>
      </c>
      <c r="BS29" s="69"/>
      <c r="BT29" s="69" t="s">
        <v>954</v>
      </c>
      <c r="BU29" s="143">
        <v>46320</v>
      </c>
      <c r="BV29" s="69">
        <v>4.125</v>
      </c>
      <c r="BW29" s="69" t="s">
        <v>541</v>
      </c>
      <c r="BX29" s="69">
        <v>3</v>
      </c>
      <c r="BY29" s="69" t="s">
        <v>535</v>
      </c>
      <c r="BZ29" s="69" t="s">
        <v>554</v>
      </c>
      <c r="CA29" s="69" t="s">
        <v>555</v>
      </c>
      <c r="CB29" s="69" t="s">
        <v>953</v>
      </c>
      <c r="CC29" s="69" t="s">
        <v>242</v>
      </c>
      <c r="CD29" s="143"/>
      <c r="CE29" s="69" t="s">
        <v>7</v>
      </c>
      <c r="CF29" s="69" t="s">
        <v>12</v>
      </c>
      <c r="CG29" s="69" t="s">
        <v>7</v>
      </c>
      <c r="CH29" s="69" t="s">
        <v>250</v>
      </c>
      <c r="CI29" s="69" t="s">
        <v>7</v>
      </c>
      <c r="CJ29" s="143"/>
      <c r="CK29" s="69">
        <v>60</v>
      </c>
      <c r="CL29" s="69" t="s">
        <v>1176</v>
      </c>
      <c r="CM29" s="69" t="s">
        <v>464</v>
      </c>
      <c r="CN29" s="150" t="s">
        <v>859</v>
      </c>
      <c r="CO29" s="150" t="s">
        <v>856</v>
      </c>
    </row>
    <row r="30" spans="2:106" ht="15" x14ac:dyDescent="0.25">
      <c r="J30" s="69">
        <v>10</v>
      </c>
      <c r="K30" s="144" t="s">
        <v>312</v>
      </c>
      <c r="L30" s="69" t="s">
        <v>847</v>
      </c>
      <c r="M30" s="69" t="s">
        <v>84</v>
      </c>
      <c r="N30" s="150" t="s">
        <v>846</v>
      </c>
      <c r="O30" s="142">
        <v>45217</v>
      </c>
      <c r="P30" s="69" t="s">
        <v>85</v>
      </c>
      <c r="Q30" s="69" t="s">
        <v>312</v>
      </c>
      <c r="R30" s="69" t="s">
        <v>965</v>
      </c>
      <c r="S30" s="69" t="s">
        <v>966</v>
      </c>
      <c r="T30" s="69" t="s">
        <v>967</v>
      </c>
      <c r="U30" s="69" t="s">
        <v>970</v>
      </c>
      <c r="V30" s="69" t="s">
        <v>962</v>
      </c>
      <c r="W30" s="69" t="s">
        <v>92</v>
      </c>
      <c r="X30" s="69" t="s">
        <v>131</v>
      </c>
      <c r="Y30" s="69" t="s">
        <v>92</v>
      </c>
      <c r="Z30" s="69" t="s">
        <v>92</v>
      </c>
      <c r="AA30" s="69" t="s">
        <v>529</v>
      </c>
      <c r="AB30" s="69" t="s">
        <v>530</v>
      </c>
      <c r="AC30" s="69" t="s">
        <v>531</v>
      </c>
      <c r="AD30" s="69" t="s">
        <v>532</v>
      </c>
      <c r="AE30" s="69" t="s">
        <v>532</v>
      </c>
      <c r="AF30" s="69" t="s">
        <v>971</v>
      </c>
      <c r="AG30" s="69" t="s">
        <v>92</v>
      </c>
      <c r="AH30" s="143">
        <v>45224</v>
      </c>
      <c r="AI30" s="69" t="s">
        <v>969</v>
      </c>
      <c r="AJ30" s="143">
        <v>45224</v>
      </c>
      <c r="AK30" s="69" t="s">
        <v>92</v>
      </c>
      <c r="AL30" s="69" t="s">
        <v>968</v>
      </c>
      <c r="AM30" s="143">
        <v>45407</v>
      </c>
      <c r="AN30" s="69" t="s">
        <v>92</v>
      </c>
      <c r="AO30" s="150">
        <v>5.375</v>
      </c>
      <c r="AP30" s="143"/>
      <c r="AQ30" s="143">
        <v>45224</v>
      </c>
      <c r="AR30" s="69">
        <v>5</v>
      </c>
      <c r="AS30" s="150">
        <v>1000</v>
      </c>
      <c r="AT30" s="69" t="s">
        <v>948</v>
      </c>
      <c r="AU30" s="69" t="s">
        <v>957</v>
      </c>
      <c r="AV30" s="69" t="s">
        <v>92</v>
      </c>
      <c r="AW30" s="69" t="s">
        <v>92</v>
      </c>
      <c r="AX30" s="69"/>
      <c r="AY30" s="69" t="s">
        <v>543</v>
      </c>
      <c r="AZ30" s="69" t="s">
        <v>551</v>
      </c>
      <c r="BA30" s="69" t="s">
        <v>1085</v>
      </c>
      <c r="BB30" s="69" t="s">
        <v>552</v>
      </c>
      <c r="BC30" s="69" t="s">
        <v>535</v>
      </c>
      <c r="BD30" s="69" t="s">
        <v>444</v>
      </c>
      <c r="BE30" s="69" t="s">
        <v>327</v>
      </c>
      <c r="BF30" s="69"/>
      <c r="BG30" s="69"/>
      <c r="BH30" s="69"/>
      <c r="BI30" s="69"/>
      <c r="BJ30" s="69" t="s">
        <v>92</v>
      </c>
      <c r="BK30" s="69" t="s">
        <v>553</v>
      </c>
      <c r="BL30" s="69" t="s">
        <v>550</v>
      </c>
      <c r="BM30" s="69">
        <v>-5.9999999999999995E-4</v>
      </c>
      <c r="BN30" s="69">
        <v>99.816999999999993</v>
      </c>
      <c r="BO30" s="69" t="s">
        <v>537</v>
      </c>
      <c r="BP30" s="69" t="s">
        <v>92</v>
      </c>
      <c r="BQ30" s="69" t="s">
        <v>538</v>
      </c>
      <c r="BR30" s="69" t="s">
        <v>539</v>
      </c>
      <c r="BS30" s="69">
        <v>45</v>
      </c>
      <c r="BT30" s="69" t="s">
        <v>964</v>
      </c>
      <c r="BU30" s="143">
        <v>46320</v>
      </c>
      <c r="BV30" s="69">
        <v>5.375</v>
      </c>
      <c r="BW30" s="69" t="s">
        <v>541</v>
      </c>
      <c r="BX30" s="69">
        <v>5</v>
      </c>
      <c r="BY30" s="69" t="s">
        <v>535</v>
      </c>
      <c r="BZ30" s="69" t="s">
        <v>554</v>
      </c>
      <c r="CA30" s="69" t="s">
        <v>555</v>
      </c>
      <c r="CB30" s="69" t="s">
        <v>963</v>
      </c>
      <c r="CC30" s="69" t="s">
        <v>242</v>
      </c>
      <c r="CD30" s="143"/>
      <c r="CE30" s="69" t="s">
        <v>7</v>
      </c>
      <c r="CF30" s="69" t="s">
        <v>12</v>
      </c>
      <c r="CG30" s="69" t="s">
        <v>7</v>
      </c>
      <c r="CH30" s="69" t="s">
        <v>250</v>
      </c>
      <c r="CI30" s="69" t="s">
        <v>7</v>
      </c>
      <c r="CJ30" s="143"/>
      <c r="CK30" s="69"/>
      <c r="CL30" s="69" t="s">
        <v>1176</v>
      </c>
      <c r="CM30" s="69" t="s">
        <v>464</v>
      </c>
      <c r="CN30" s="150" t="s">
        <v>859</v>
      </c>
      <c r="CO30" s="150" t="s">
        <v>850</v>
      </c>
    </row>
    <row r="31" spans="2:106" ht="15" x14ac:dyDescent="0.25">
      <c r="J31" s="69">
        <v>9</v>
      </c>
      <c r="K31" s="144" t="s">
        <v>312</v>
      </c>
      <c r="L31" s="69" t="s">
        <v>847</v>
      </c>
      <c r="M31" s="69" t="s">
        <v>84</v>
      </c>
      <c r="N31" s="150" t="s">
        <v>851</v>
      </c>
      <c r="O31" s="142">
        <v>45217</v>
      </c>
      <c r="P31" s="69" t="s">
        <v>85</v>
      </c>
      <c r="Q31" s="69" t="s">
        <v>312</v>
      </c>
      <c r="R31" s="69" t="s">
        <v>974</v>
      </c>
      <c r="S31" s="69" t="s">
        <v>975</v>
      </c>
      <c r="T31" s="69" t="s">
        <v>976</v>
      </c>
      <c r="U31" s="69" t="s">
        <v>980</v>
      </c>
      <c r="V31" s="69" t="s">
        <v>972</v>
      </c>
      <c r="W31" s="69" t="s">
        <v>92</v>
      </c>
      <c r="X31" s="69" t="s">
        <v>983</v>
      </c>
      <c r="Y31" s="69" t="s">
        <v>92</v>
      </c>
      <c r="Z31" s="69" t="s">
        <v>92</v>
      </c>
      <c r="AA31" s="69" t="s">
        <v>529</v>
      </c>
      <c r="AB31" s="69" t="s">
        <v>530</v>
      </c>
      <c r="AC31" s="69" t="s">
        <v>982</v>
      </c>
      <c r="AD31" s="69" t="s">
        <v>532</v>
      </c>
      <c r="AE31" s="69" t="s">
        <v>532</v>
      </c>
      <c r="AF31" s="69" t="s">
        <v>981</v>
      </c>
      <c r="AG31" s="69" t="s">
        <v>92</v>
      </c>
      <c r="AH31" s="143">
        <v>45224</v>
      </c>
      <c r="AI31" s="69" t="s">
        <v>979</v>
      </c>
      <c r="AJ31" s="143">
        <v>45224</v>
      </c>
      <c r="AK31" s="69" t="s">
        <v>92</v>
      </c>
      <c r="AL31" s="69" t="s">
        <v>978</v>
      </c>
      <c r="AM31" s="143">
        <v>45316</v>
      </c>
      <c r="AN31" s="69" t="s">
        <v>977</v>
      </c>
      <c r="AO31" s="150">
        <v>5.9454000000000002</v>
      </c>
      <c r="AP31" s="143"/>
      <c r="AQ31" s="143">
        <v>45224</v>
      </c>
      <c r="AR31" s="69">
        <v>10</v>
      </c>
      <c r="AS31" s="150">
        <v>1000</v>
      </c>
      <c r="AT31" s="69" t="s">
        <v>948</v>
      </c>
      <c r="AU31" s="69" t="s">
        <v>947</v>
      </c>
      <c r="AV31" s="69" t="s">
        <v>92</v>
      </c>
      <c r="AW31" s="69" t="s">
        <v>92</v>
      </c>
      <c r="AX31" s="69"/>
      <c r="AY31" s="69" t="s">
        <v>543</v>
      </c>
      <c r="AZ31" s="69" t="s">
        <v>551</v>
      </c>
      <c r="BA31" s="69" t="s">
        <v>1085</v>
      </c>
      <c r="BB31" s="69" t="s">
        <v>552</v>
      </c>
      <c r="BC31" s="69" t="s">
        <v>535</v>
      </c>
      <c r="BD31" s="69" t="s">
        <v>444</v>
      </c>
      <c r="BE31" s="69" t="s">
        <v>327</v>
      </c>
      <c r="BF31" s="69"/>
      <c r="BG31" s="69"/>
      <c r="BH31" s="69"/>
      <c r="BI31" s="69"/>
      <c r="BJ31" s="69" t="s">
        <v>92</v>
      </c>
      <c r="BK31" s="69" t="s">
        <v>553</v>
      </c>
      <c r="BL31" s="69" t="s">
        <v>550</v>
      </c>
      <c r="BM31" s="69"/>
      <c r="BN31" s="69">
        <v>100</v>
      </c>
      <c r="BO31" s="69" t="s">
        <v>537</v>
      </c>
      <c r="BP31" s="69" t="s">
        <v>92</v>
      </c>
      <c r="BQ31" s="69" t="s">
        <v>538</v>
      </c>
      <c r="BR31" s="69" t="s">
        <v>539</v>
      </c>
      <c r="BS31" s="69">
        <v>45</v>
      </c>
      <c r="BT31" s="69" t="s">
        <v>964</v>
      </c>
      <c r="BU31" s="143">
        <v>46320</v>
      </c>
      <c r="BV31" s="69">
        <v>5.9454000000000002</v>
      </c>
      <c r="BW31" s="69" t="s">
        <v>541</v>
      </c>
      <c r="BX31" s="69">
        <v>10</v>
      </c>
      <c r="BY31" s="69" t="s">
        <v>535</v>
      </c>
      <c r="BZ31" s="69" t="s">
        <v>554</v>
      </c>
      <c r="CA31" s="69" t="s">
        <v>555</v>
      </c>
      <c r="CB31" s="69" t="s">
        <v>973</v>
      </c>
      <c r="CC31" s="69" t="s">
        <v>242</v>
      </c>
      <c r="CD31" s="143"/>
      <c r="CE31" s="69" t="s">
        <v>7</v>
      </c>
      <c r="CF31" s="69" t="s">
        <v>12</v>
      </c>
      <c r="CG31" s="69" t="s">
        <v>7</v>
      </c>
      <c r="CH31" s="69" t="s">
        <v>250</v>
      </c>
      <c r="CI31" s="69" t="s">
        <v>7</v>
      </c>
      <c r="CJ31" s="143"/>
      <c r="CK31" s="69">
        <v>60</v>
      </c>
      <c r="CL31" s="69" t="s">
        <v>1176</v>
      </c>
      <c r="CM31" s="69" t="s">
        <v>464</v>
      </c>
      <c r="CN31" s="150" t="s">
        <v>859</v>
      </c>
      <c r="CO31" s="150" t="s">
        <v>853</v>
      </c>
    </row>
    <row r="32" spans="2:106" ht="15" x14ac:dyDescent="0.25">
      <c r="J32" s="69">
        <v>8</v>
      </c>
      <c r="K32" s="144" t="s">
        <v>312</v>
      </c>
      <c r="L32" s="69" t="s">
        <v>847</v>
      </c>
      <c r="M32" s="69" t="s">
        <v>84</v>
      </c>
      <c r="N32" s="150" t="s">
        <v>857</v>
      </c>
      <c r="O32" s="142">
        <v>45217</v>
      </c>
      <c r="P32" s="69" t="s">
        <v>106</v>
      </c>
      <c r="Q32" s="69" t="s">
        <v>312</v>
      </c>
      <c r="R32" s="69" t="s">
        <v>944</v>
      </c>
      <c r="S32" s="69" t="s">
        <v>945</v>
      </c>
      <c r="T32" s="69" t="s">
        <v>946</v>
      </c>
      <c r="U32" s="69" t="s">
        <v>950</v>
      </c>
      <c r="V32" s="69" t="s">
        <v>940</v>
      </c>
      <c r="W32" s="69" t="s">
        <v>92</v>
      </c>
      <c r="X32" s="69" t="s">
        <v>131</v>
      </c>
      <c r="Y32" s="69" t="s">
        <v>92</v>
      </c>
      <c r="Z32" s="69" t="s">
        <v>92</v>
      </c>
      <c r="AA32" s="69" t="s">
        <v>529</v>
      </c>
      <c r="AB32" s="69" t="s">
        <v>530</v>
      </c>
      <c r="AC32" s="69" t="s">
        <v>531</v>
      </c>
      <c r="AD32" s="69" t="s">
        <v>532</v>
      </c>
      <c r="AE32" s="69" t="s">
        <v>532</v>
      </c>
      <c r="AF32" s="69" t="s">
        <v>951</v>
      </c>
      <c r="AG32" s="69" t="s">
        <v>92</v>
      </c>
      <c r="AH32" s="143">
        <v>45224</v>
      </c>
      <c r="AI32" s="69" t="s">
        <v>945</v>
      </c>
      <c r="AJ32" s="143">
        <v>45224</v>
      </c>
      <c r="AK32" s="69" t="s">
        <v>92</v>
      </c>
      <c r="AL32" s="69" t="s">
        <v>949</v>
      </c>
      <c r="AM32" s="143">
        <v>45407</v>
      </c>
      <c r="AN32" s="69" t="s">
        <v>92</v>
      </c>
      <c r="AO32" s="150">
        <v>3.2</v>
      </c>
      <c r="AP32" s="143"/>
      <c r="AQ32" s="143">
        <v>45224</v>
      </c>
      <c r="AR32" s="69">
        <v>16</v>
      </c>
      <c r="AS32" s="150">
        <v>10000</v>
      </c>
      <c r="AT32" s="69" t="s">
        <v>948</v>
      </c>
      <c r="AU32" s="69" t="s">
        <v>947</v>
      </c>
      <c r="AV32" s="69" t="s">
        <v>92</v>
      </c>
      <c r="AW32" s="69" t="s">
        <v>92</v>
      </c>
      <c r="AX32" s="69"/>
      <c r="AY32" s="69" t="s">
        <v>543</v>
      </c>
      <c r="AZ32" s="69" t="s">
        <v>551</v>
      </c>
      <c r="BA32" s="69" t="s">
        <v>1221</v>
      </c>
      <c r="BB32" s="69" t="s">
        <v>552</v>
      </c>
      <c r="BC32" s="69" t="s">
        <v>535</v>
      </c>
      <c r="BD32" s="69" t="s">
        <v>444</v>
      </c>
      <c r="BE32" s="69" t="s">
        <v>327</v>
      </c>
      <c r="BF32" s="69"/>
      <c r="BG32" s="69"/>
      <c r="BH32" s="69"/>
      <c r="BI32" s="69"/>
      <c r="BJ32" s="69" t="s">
        <v>92</v>
      </c>
      <c r="BK32" s="69" t="s">
        <v>553</v>
      </c>
      <c r="BL32" s="69" t="s">
        <v>550</v>
      </c>
      <c r="BM32" s="69"/>
      <c r="BN32" s="69">
        <v>100</v>
      </c>
      <c r="BO32" s="69" t="s">
        <v>537</v>
      </c>
      <c r="BP32" s="69" t="s">
        <v>92</v>
      </c>
      <c r="BQ32" s="69" t="s">
        <v>538</v>
      </c>
      <c r="BR32" s="69" t="s">
        <v>539</v>
      </c>
      <c r="BS32" s="69">
        <v>35</v>
      </c>
      <c r="BT32" s="69" t="s">
        <v>943</v>
      </c>
      <c r="BU32" s="143">
        <v>45955</v>
      </c>
      <c r="BV32" s="69">
        <v>3.2</v>
      </c>
      <c r="BW32" s="69" t="s">
        <v>942</v>
      </c>
      <c r="BX32" s="69">
        <v>16</v>
      </c>
      <c r="BY32" s="69" t="s">
        <v>535</v>
      </c>
      <c r="BZ32" s="69" t="s">
        <v>554</v>
      </c>
      <c r="CA32" s="69" t="s">
        <v>555</v>
      </c>
      <c r="CB32" s="69" t="s">
        <v>941</v>
      </c>
      <c r="CC32" s="69" t="s">
        <v>242</v>
      </c>
      <c r="CD32" s="143"/>
      <c r="CE32" s="69" t="s">
        <v>7</v>
      </c>
      <c r="CF32" s="69" t="s">
        <v>12</v>
      </c>
      <c r="CG32" s="69" t="s">
        <v>7</v>
      </c>
      <c r="CH32" s="69" t="s">
        <v>250</v>
      </c>
      <c r="CI32" s="69" t="s">
        <v>7</v>
      </c>
      <c r="CJ32" s="143"/>
      <c r="CK32" s="69"/>
      <c r="CL32" s="69" t="s">
        <v>1176</v>
      </c>
      <c r="CM32" s="69" t="s">
        <v>464</v>
      </c>
      <c r="CN32" s="150" t="s">
        <v>859</v>
      </c>
      <c r="CO32" s="150" t="s">
        <v>860</v>
      </c>
    </row>
    <row r="33" spans="10:93" ht="15" x14ac:dyDescent="0.25">
      <c r="J33" s="69">
        <v>7</v>
      </c>
      <c r="K33" s="144" t="s">
        <v>749</v>
      </c>
      <c r="L33" s="69" t="s">
        <v>753</v>
      </c>
      <c r="M33" s="69" t="s">
        <v>84</v>
      </c>
      <c r="N33" s="150" t="s">
        <v>821</v>
      </c>
      <c r="O33" s="142">
        <v>45217</v>
      </c>
      <c r="P33" s="69" t="s">
        <v>106</v>
      </c>
      <c r="Q33" s="69" t="s">
        <v>92</v>
      </c>
      <c r="R33" s="69" t="s">
        <v>92</v>
      </c>
      <c r="S33" s="69" t="s">
        <v>92</v>
      </c>
      <c r="T33" s="69" t="s">
        <v>758</v>
      </c>
      <c r="U33" s="69" t="s">
        <v>92</v>
      </c>
      <c r="V33" s="69" t="s">
        <v>936</v>
      </c>
      <c r="W33" s="69" t="s">
        <v>92</v>
      </c>
      <c r="X33" s="69" t="s">
        <v>131</v>
      </c>
      <c r="Y33" s="69" t="s">
        <v>92</v>
      </c>
      <c r="Z33" s="69" t="s">
        <v>92</v>
      </c>
      <c r="AA33" s="69" t="s">
        <v>761</v>
      </c>
      <c r="AB33" s="69" t="s">
        <v>530</v>
      </c>
      <c r="AC33" s="69" t="s">
        <v>531</v>
      </c>
      <c r="AD33" s="69" t="s">
        <v>532</v>
      </c>
      <c r="AE33" s="69" t="s">
        <v>532</v>
      </c>
      <c r="AF33" s="69" t="s">
        <v>758</v>
      </c>
      <c r="AG33" s="69" t="s">
        <v>92</v>
      </c>
      <c r="AH33" s="143">
        <v>45224</v>
      </c>
      <c r="AI33" s="69" t="s">
        <v>92</v>
      </c>
      <c r="AJ33" s="143">
        <v>45224</v>
      </c>
      <c r="AK33" s="69" t="s">
        <v>753</v>
      </c>
      <c r="AL33" s="69" t="s">
        <v>760</v>
      </c>
      <c r="AM33" s="143">
        <v>45405</v>
      </c>
      <c r="AN33" s="69" t="s">
        <v>92</v>
      </c>
      <c r="AO33" s="150">
        <v>6.7</v>
      </c>
      <c r="AP33" s="143"/>
      <c r="AQ33" s="143">
        <v>45224</v>
      </c>
      <c r="AR33" s="69">
        <v>0.25700000000000001</v>
      </c>
      <c r="AS33" s="150">
        <v>1000</v>
      </c>
      <c r="AT33" s="69" t="s">
        <v>759</v>
      </c>
      <c r="AU33" s="69" t="s">
        <v>92</v>
      </c>
      <c r="AV33" s="69" t="s">
        <v>92</v>
      </c>
      <c r="AW33" s="69" t="s">
        <v>92</v>
      </c>
      <c r="AX33" s="69"/>
      <c r="AY33" s="69" t="s">
        <v>546</v>
      </c>
      <c r="AZ33" s="69" t="s">
        <v>534</v>
      </c>
      <c r="BA33" s="69" t="s">
        <v>1220</v>
      </c>
      <c r="BB33" s="69" t="s">
        <v>92</v>
      </c>
      <c r="BC33" s="69" t="s">
        <v>535</v>
      </c>
      <c r="BD33" s="69" t="s">
        <v>580</v>
      </c>
      <c r="BE33" s="69" t="s">
        <v>327</v>
      </c>
      <c r="BF33" s="69"/>
      <c r="BG33" s="69"/>
      <c r="BH33" s="69"/>
      <c r="BI33" s="69"/>
      <c r="BJ33" s="69" t="s">
        <v>92</v>
      </c>
      <c r="BK33" s="69" t="s">
        <v>92</v>
      </c>
      <c r="BL33" s="69" t="s">
        <v>550</v>
      </c>
      <c r="BM33" s="69"/>
      <c r="BN33" s="69">
        <v>100</v>
      </c>
      <c r="BO33" s="69" t="s">
        <v>537</v>
      </c>
      <c r="BP33" s="69" t="s">
        <v>92</v>
      </c>
      <c r="BQ33" s="69" t="s">
        <v>579</v>
      </c>
      <c r="BR33" s="69" t="s">
        <v>92</v>
      </c>
      <c r="BS33" s="69"/>
      <c r="BT33" s="69" t="s">
        <v>110</v>
      </c>
      <c r="BU33" s="143">
        <v>45583</v>
      </c>
      <c r="BV33" s="69">
        <v>6.7</v>
      </c>
      <c r="BW33" s="69" t="s">
        <v>938</v>
      </c>
      <c r="BX33" s="69">
        <v>0.25700000000000001</v>
      </c>
      <c r="BY33" s="69" t="s">
        <v>535</v>
      </c>
      <c r="BZ33" s="69" t="s">
        <v>535</v>
      </c>
      <c r="CA33" s="69" t="s">
        <v>535</v>
      </c>
      <c r="CB33" s="69" t="s">
        <v>937</v>
      </c>
      <c r="CC33" s="69" t="s">
        <v>242</v>
      </c>
      <c r="CD33" s="143"/>
      <c r="CE33" s="69" t="s">
        <v>7</v>
      </c>
      <c r="CF33" s="69" t="s">
        <v>12</v>
      </c>
      <c r="CG33" s="69" t="s">
        <v>7</v>
      </c>
      <c r="CH33" s="69" t="s">
        <v>526</v>
      </c>
      <c r="CI33" s="69" t="s">
        <v>7</v>
      </c>
      <c r="CJ33" s="143"/>
      <c r="CK33" s="69"/>
      <c r="CL33" s="69" t="s">
        <v>83</v>
      </c>
      <c r="CM33" s="69" t="s">
        <v>83</v>
      </c>
      <c r="CN33" s="150" t="s">
        <v>798</v>
      </c>
      <c r="CO33" s="150" t="s">
        <v>823</v>
      </c>
    </row>
    <row r="34" spans="10:93" ht="15" x14ac:dyDescent="0.25">
      <c r="J34" s="69">
        <v>6</v>
      </c>
      <c r="K34" s="144" t="s">
        <v>558</v>
      </c>
      <c r="L34" s="69" t="s">
        <v>879</v>
      </c>
      <c r="M34" s="69" t="s">
        <v>1</v>
      </c>
      <c r="N34" s="150" t="s">
        <v>878</v>
      </c>
      <c r="O34" s="142">
        <v>45216</v>
      </c>
      <c r="P34" s="69" t="s">
        <v>106</v>
      </c>
      <c r="Q34" s="69" t="s">
        <v>92</v>
      </c>
      <c r="R34" s="69" t="s">
        <v>92</v>
      </c>
      <c r="S34" s="69" t="s">
        <v>92</v>
      </c>
      <c r="T34" s="69" t="s">
        <v>1057</v>
      </c>
      <c r="U34" s="69" t="s">
        <v>1061</v>
      </c>
      <c r="V34" s="69" t="s">
        <v>1053</v>
      </c>
      <c r="W34" s="69" t="s">
        <v>92</v>
      </c>
      <c r="X34" s="69" t="s">
        <v>131</v>
      </c>
      <c r="Y34" s="69" t="s">
        <v>92</v>
      </c>
      <c r="Z34" s="69" t="s">
        <v>92</v>
      </c>
      <c r="AA34" s="69" t="s">
        <v>529</v>
      </c>
      <c r="AB34" s="69" t="s">
        <v>530</v>
      </c>
      <c r="AC34" s="69" t="s">
        <v>531</v>
      </c>
      <c r="AD34" s="69" t="s">
        <v>532</v>
      </c>
      <c r="AE34" s="69" t="s">
        <v>532</v>
      </c>
      <c r="AF34" s="69" t="s">
        <v>1062</v>
      </c>
      <c r="AG34" s="69" t="s">
        <v>533</v>
      </c>
      <c r="AH34" s="143">
        <v>45223</v>
      </c>
      <c r="AI34" s="69" t="s">
        <v>1060</v>
      </c>
      <c r="AJ34" s="143">
        <v>45223</v>
      </c>
      <c r="AK34" s="69" t="s">
        <v>92</v>
      </c>
      <c r="AL34" s="69" t="s">
        <v>879</v>
      </c>
      <c r="AM34" s="143">
        <v>45406</v>
      </c>
      <c r="AN34" s="69" t="s">
        <v>92</v>
      </c>
      <c r="AO34" s="150">
        <v>4.5</v>
      </c>
      <c r="AP34" s="143"/>
      <c r="AQ34" s="143">
        <v>45223</v>
      </c>
      <c r="AR34" s="69">
        <v>4.5</v>
      </c>
      <c r="AS34" s="150">
        <v>10000</v>
      </c>
      <c r="AT34" s="69" t="s">
        <v>1059</v>
      </c>
      <c r="AU34" s="69" t="s">
        <v>1058</v>
      </c>
      <c r="AV34" s="69" t="s">
        <v>92</v>
      </c>
      <c r="AW34" s="69" t="s">
        <v>92</v>
      </c>
      <c r="AX34" s="69"/>
      <c r="AY34" s="69" t="s">
        <v>546</v>
      </c>
      <c r="AZ34" s="69" t="s">
        <v>534</v>
      </c>
      <c r="BA34" s="69" t="s">
        <v>1085</v>
      </c>
      <c r="BB34" s="69" t="s">
        <v>409</v>
      </c>
      <c r="BC34" s="69" t="s">
        <v>535</v>
      </c>
      <c r="BD34" s="69" t="s">
        <v>536</v>
      </c>
      <c r="BE34" s="69" t="s">
        <v>327</v>
      </c>
      <c r="BF34" s="69"/>
      <c r="BG34" s="69"/>
      <c r="BH34" s="69"/>
      <c r="BI34" s="69"/>
      <c r="BJ34" s="69" t="s">
        <v>1056</v>
      </c>
      <c r="BK34" s="69" t="s">
        <v>1055</v>
      </c>
      <c r="BL34" s="69" t="s">
        <v>556</v>
      </c>
      <c r="BM34" s="69"/>
      <c r="BN34" s="69">
        <v>100</v>
      </c>
      <c r="BO34" s="69" t="s">
        <v>537</v>
      </c>
      <c r="BP34" s="69" t="s">
        <v>92</v>
      </c>
      <c r="BQ34" s="69" t="s">
        <v>538</v>
      </c>
      <c r="BR34" s="69" t="s">
        <v>539</v>
      </c>
      <c r="BS34" s="69"/>
      <c r="BT34" s="69" t="s">
        <v>547</v>
      </c>
      <c r="BU34" s="143">
        <v>46319</v>
      </c>
      <c r="BV34" s="69">
        <v>4.5</v>
      </c>
      <c r="BW34" s="69" t="s">
        <v>541</v>
      </c>
      <c r="BX34" s="69">
        <v>4.5</v>
      </c>
      <c r="BY34" s="69" t="s">
        <v>535</v>
      </c>
      <c r="BZ34" s="69" t="s">
        <v>535</v>
      </c>
      <c r="CA34" s="69" t="s">
        <v>535</v>
      </c>
      <c r="CB34" s="69" t="s">
        <v>1054</v>
      </c>
      <c r="CC34" s="69" t="s">
        <v>242</v>
      </c>
      <c r="CD34" s="143"/>
      <c r="CE34" s="69" t="s">
        <v>7</v>
      </c>
      <c r="CF34" s="69" t="s">
        <v>17</v>
      </c>
      <c r="CG34" s="69" t="s">
        <v>7</v>
      </c>
      <c r="CH34" s="69" t="s">
        <v>250</v>
      </c>
      <c r="CI34" s="69" t="s">
        <v>7</v>
      </c>
      <c r="CJ34" s="143"/>
      <c r="CK34" s="69"/>
      <c r="CL34" s="69" t="s">
        <v>83</v>
      </c>
      <c r="CM34" s="69" t="s">
        <v>83</v>
      </c>
      <c r="CN34" s="150" t="s">
        <v>798</v>
      </c>
      <c r="CO34" s="150" t="s">
        <v>883</v>
      </c>
    </row>
    <row r="35" spans="10:93" ht="15" x14ac:dyDescent="0.25">
      <c r="J35" s="69">
        <v>5</v>
      </c>
      <c r="K35" s="144" t="s">
        <v>559</v>
      </c>
      <c r="L35" s="69" t="s">
        <v>885</v>
      </c>
      <c r="M35" s="69" t="s">
        <v>1</v>
      </c>
      <c r="N35" s="150" t="s">
        <v>884</v>
      </c>
      <c r="O35" s="142">
        <v>45216</v>
      </c>
      <c r="P35" s="69" t="s">
        <v>262</v>
      </c>
      <c r="Q35" s="69" t="s">
        <v>92</v>
      </c>
      <c r="R35" s="69" t="s">
        <v>1043</v>
      </c>
      <c r="S35" s="69" t="s">
        <v>1044</v>
      </c>
      <c r="T35" s="69" t="s">
        <v>1048</v>
      </c>
      <c r="U35" s="69" t="s">
        <v>1051</v>
      </c>
      <c r="V35" s="69" t="s">
        <v>1041</v>
      </c>
      <c r="W35" s="69" t="s">
        <v>92</v>
      </c>
      <c r="X35" s="69" t="s">
        <v>131</v>
      </c>
      <c r="Y35" s="69" t="s">
        <v>92</v>
      </c>
      <c r="Z35" s="69" t="s">
        <v>92</v>
      </c>
      <c r="AA35" s="69" t="s">
        <v>529</v>
      </c>
      <c r="AB35" s="69" t="s">
        <v>530</v>
      </c>
      <c r="AC35" s="69" t="s">
        <v>531</v>
      </c>
      <c r="AD35" s="69" t="s">
        <v>532</v>
      </c>
      <c r="AE35" s="69" t="s">
        <v>532</v>
      </c>
      <c r="AF35" s="69" t="s">
        <v>1052</v>
      </c>
      <c r="AG35" s="69" t="s">
        <v>542</v>
      </c>
      <c r="AH35" s="143">
        <v>45224</v>
      </c>
      <c r="AI35" s="69" t="s">
        <v>1044</v>
      </c>
      <c r="AJ35" s="143">
        <v>45224</v>
      </c>
      <c r="AK35" s="69" t="s">
        <v>92</v>
      </c>
      <c r="AL35" s="69" t="s">
        <v>885</v>
      </c>
      <c r="AM35" s="143">
        <v>45407</v>
      </c>
      <c r="AN35" s="69" t="s">
        <v>92</v>
      </c>
      <c r="AO35" s="150">
        <v>1.65</v>
      </c>
      <c r="AP35" s="143"/>
      <c r="AQ35" s="143">
        <v>45224</v>
      </c>
      <c r="AR35" s="69">
        <v>45</v>
      </c>
      <c r="AS35" s="150">
        <v>10000000</v>
      </c>
      <c r="AT35" s="69" t="s">
        <v>1050</v>
      </c>
      <c r="AU35" s="69" t="s">
        <v>1049</v>
      </c>
      <c r="AV35" s="69" t="s">
        <v>92</v>
      </c>
      <c r="AW35" s="69" t="s">
        <v>92</v>
      </c>
      <c r="AX35" s="69"/>
      <c r="AY35" s="69" t="s">
        <v>546</v>
      </c>
      <c r="AZ35" s="69" t="s">
        <v>534</v>
      </c>
      <c r="BA35" s="69" t="s">
        <v>1085</v>
      </c>
      <c r="BB35" s="69" t="s">
        <v>548</v>
      </c>
      <c r="BC35" s="69" t="s">
        <v>535</v>
      </c>
      <c r="BD35" s="69" t="s">
        <v>536</v>
      </c>
      <c r="BE35" s="69" t="s">
        <v>327</v>
      </c>
      <c r="BF35" s="69"/>
      <c r="BG35" s="69"/>
      <c r="BH35" s="69"/>
      <c r="BI35" s="69"/>
      <c r="BJ35" s="69" t="s">
        <v>1047</v>
      </c>
      <c r="BK35" s="69" t="s">
        <v>1046</v>
      </c>
      <c r="BL35" s="69" t="s">
        <v>556</v>
      </c>
      <c r="BM35" s="69"/>
      <c r="BN35" s="69">
        <v>100</v>
      </c>
      <c r="BO35" s="69" t="s">
        <v>537</v>
      </c>
      <c r="BP35" s="69" t="s">
        <v>1045</v>
      </c>
      <c r="BQ35" s="69" t="s">
        <v>544</v>
      </c>
      <c r="BR35" s="69" t="s">
        <v>539</v>
      </c>
      <c r="BS35" s="69">
        <v>15</v>
      </c>
      <c r="BT35" s="69" t="s">
        <v>547</v>
      </c>
      <c r="BU35" s="143">
        <v>46320</v>
      </c>
      <c r="BV35" s="69">
        <v>1.65</v>
      </c>
      <c r="BW35" s="69" t="s">
        <v>541</v>
      </c>
      <c r="BX35" s="69">
        <v>45</v>
      </c>
      <c r="BY35" s="69" t="s">
        <v>535</v>
      </c>
      <c r="BZ35" s="69" t="s">
        <v>535</v>
      </c>
      <c r="CA35" s="69" t="s">
        <v>535</v>
      </c>
      <c r="CB35" s="69" t="s">
        <v>1042</v>
      </c>
      <c r="CC35" s="69" t="s">
        <v>242</v>
      </c>
      <c r="CD35" s="143"/>
      <c r="CE35" s="69" t="s">
        <v>7</v>
      </c>
      <c r="CF35" s="69" t="s">
        <v>17</v>
      </c>
      <c r="CG35" s="69" t="s">
        <v>7</v>
      </c>
      <c r="CH35" s="69" t="s">
        <v>250</v>
      </c>
      <c r="CI35" s="69" t="s">
        <v>7</v>
      </c>
      <c r="CJ35" s="143"/>
      <c r="CK35" s="69"/>
      <c r="CL35" s="69" t="s">
        <v>83</v>
      </c>
      <c r="CM35" s="69" t="s">
        <v>83</v>
      </c>
      <c r="CN35" s="150" t="s">
        <v>798</v>
      </c>
      <c r="CO35" s="150" t="s">
        <v>889</v>
      </c>
    </row>
    <row r="36" spans="10:93" ht="15" x14ac:dyDescent="0.25">
      <c r="J36" s="69">
        <v>4</v>
      </c>
      <c r="K36" s="144" t="s">
        <v>1101</v>
      </c>
      <c r="L36" s="69" t="s">
        <v>900</v>
      </c>
      <c r="M36" s="69" t="s">
        <v>1</v>
      </c>
      <c r="N36" s="150" t="s">
        <v>899</v>
      </c>
      <c r="O36" s="142">
        <v>45215</v>
      </c>
      <c r="P36" s="69" t="s">
        <v>106</v>
      </c>
      <c r="Q36" s="69" t="s">
        <v>92</v>
      </c>
      <c r="R36" s="69" t="s">
        <v>92</v>
      </c>
      <c r="S36" s="69" t="s">
        <v>1092</v>
      </c>
      <c r="T36" s="69" t="s">
        <v>1095</v>
      </c>
      <c r="U36" s="69" t="s">
        <v>1099</v>
      </c>
      <c r="V36" s="69" t="s">
        <v>1090</v>
      </c>
      <c r="W36" s="69" t="s">
        <v>92</v>
      </c>
      <c r="X36" s="69" t="s">
        <v>131</v>
      </c>
      <c r="Y36" s="69" t="s">
        <v>92</v>
      </c>
      <c r="Z36" s="69" t="s">
        <v>92</v>
      </c>
      <c r="AA36" s="69" t="s">
        <v>529</v>
      </c>
      <c r="AB36" s="69" t="s">
        <v>530</v>
      </c>
      <c r="AC36" s="69" t="s">
        <v>531</v>
      </c>
      <c r="AD36" s="69" t="s">
        <v>532</v>
      </c>
      <c r="AE36" s="69" t="s">
        <v>532</v>
      </c>
      <c r="AF36" s="69" t="s">
        <v>1100</v>
      </c>
      <c r="AG36" s="69" t="s">
        <v>533</v>
      </c>
      <c r="AH36" s="143">
        <v>45223</v>
      </c>
      <c r="AI36" s="69" t="s">
        <v>1016</v>
      </c>
      <c r="AJ36" s="143">
        <v>45223</v>
      </c>
      <c r="AK36" s="69" t="s">
        <v>900</v>
      </c>
      <c r="AL36" s="69" t="s">
        <v>1098</v>
      </c>
      <c r="AM36" s="143">
        <v>45406</v>
      </c>
      <c r="AN36" s="69" t="s">
        <v>92</v>
      </c>
      <c r="AO36" s="150">
        <v>7.8</v>
      </c>
      <c r="AP36" s="143"/>
      <c r="AQ36" s="143">
        <v>45223</v>
      </c>
      <c r="AR36" s="69">
        <v>2.7</v>
      </c>
      <c r="AS36" s="150">
        <v>10000</v>
      </c>
      <c r="AT36" s="69" t="s">
        <v>1097</v>
      </c>
      <c r="AU36" s="69" t="s">
        <v>1096</v>
      </c>
      <c r="AV36" s="69" t="s">
        <v>92</v>
      </c>
      <c r="AW36" s="69" t="s">
        <v>92</v>
      </c>
      <c r="AX36" s="69"/>
      <c r="AY36" s="69" t="s">
        <v>546</v>
      </c>
      <c r="AZ36" s="69" t="s">
        <v>534</v>
      </c>
      <c r="BA36" s="69" t="s">
        <v>1085</v>
      </c>
      <c r="BB36" s="69" t="s">
        <v>409</v>
      </c>
      <c r="BC36" s="69" t="s">
        <v>535</v>
      </c>
      <c r="BD36" s="69" t="s">
        <v>536</v>
      </c>
      <c r="BE36" s="69" t="s">
        <v>327</v>
      </c>
      <c r="BF36" s="69"/>
      <c r="BG36" s="69"/>
      <c r="BH36" s="69"/>
      <c r="BI36" s="69"/>
      <c r="BJ36" s="69" t="s">
        <v>1094</v>
      </c>
      <c r="BK36" s="69" t="s">
        <v>1093</v>
      </c>
      <c r="BL36" s="69" t="s">
        <v>763</v>
      </c>
      <c r="BM36" s="69"/>
      <c r="BN36" s="69">
        <v>100</v>
      </c>
      <c r="BO36" s="69" t="s">
        <v>537</v>
      </c>
      <c r="BP36" s="69" t="s">
        <v>92</v>
      </c>
      <c r="BQ36" s="69" t="s">
        <v>579</v>
      </c>
      <c r="BR36" s="69" t="s">
        <v>539</v>
      </c>
      <c r="BS36" s="69"/>
      <c r="BT36" s="69" t="s">
        <v>547</v>
      </c>
      <c r="BU36" s="143">
        <v>46319</v>
      </c>
      <c r="BV36" s="69">
        <v>7.8</v>
      </c>
      <c r="BW36" s="69" t="s">
        <v>541</v>
      </c>
      <c r="BX36" s="69">
        <v>2.7</v>
      </c>
      <c r="BY36" s="69" t="s">
        <v>535</v>
      </c>
      <c r="BZ36" s="69" t="s">
        <v>535</v>
      </c>
      <c r="CA36" s="69" t="s">
        <v>535</v>
      </c>
      <c r="CB36" s="69" t="s">
        <v>1091</v>
      </c>
      <c r="CC36" s="69" t="s">
        <v>242</v>
      </c>
      <c r="CD36" s="143"/>
      <c r="CE36" s="69" t="s">
        <v>7</v>
      </c>
      <c r="CF36" s="69" t="s">
        <v>10</v>
      </c>
      <c r="CG36" s="69" t="s">
        <v>7</v>
      </c>
      <c r="CH36" s="69" t="s">
        <v>901</v>
      </c>
      <c r="CI36" s="69" t="s">
        <v>7</v>
      </c>
      <c r="CJ36" s="143"/>
      <c r="CK36" s="69"/>
      <c r="CL36" s="69" t="s">
        <v>83</v>
      </c>
      <c r="CM36" s="69" t="s">
        <v>83</v>
      </c>
      <c r="CN36" s="150" t="s">
        <v>798</v>
      </c>
      <c r="CO36" s="150" t="s">
        <v>904</v>
      </c>
    </row>
    <row r="37" spans="10:93" ht="15" x14ac:dyDescent="0.25">
      <c r="J37" s="69">
        <v>3</v>
      </c>
      <c r="K37" s="144" t="s">
        <v>559</v>
      </c>
      <c r="L37" s="69" t="s">
        <v>909</v>
      </c>
      <c r="M37" s="69" t="s">
        <v>1</v>
      </c>
      <c r="N37" s="150" t="s">
        <v>908</v>
      </c>
      <c r="O37" s="142">
        <v>45215</v>
      </c>
      <c r="P37" s="69" t="s">
        <v>106</v>
      </c>
      <c r="Q37" s="69" t="s">
        <v>785</v>
      </c>
      <c r="R37" s="69" t="s">
        <v>1079</v>
      </c>
      <c r="S37" s="69" t="s">
        <v>1080</v>
      </c>
      <c r="T37" s="69" t="s">
        <v>1083</v>
      </c>
      <c r="U37" s="69" t="s">
        <v>1088</v>
      </c>
      <c r="V37" s="69" t="s">
        <v>1075</v>
      </c>
      <c r="W37" s="69" t="s">
        <v>92</v>
      </c>
      <c r="X37" s="69" t="s">
        <v>131</v>
      </c>
      <c r="Y37" s="69" t="s">
        <v>92</v>
      </c>
      <c r="Z37" s="69" t="s">
        <v>92</v>
      </c>
      <c r="AA37" s="69" t="s">
        <v>529</v>
      </c>
      <c r="AB37" s="69" t="s">
        <v>530</v>
      </c>
      <c r="AC37" s="69" t="s">
        <v>531</v>
      </c>
      <c r="AD37" s="69" t="s">
        <v>532</v>
      </c>
      <c r="AE37" s="69" t="s">
        <v>532</v>
      </c>
      <c r="AF37" s="69" t="s">
        <v>1089</v>
      </c>
      <c r="AG37" s="69" t="s">
        <v>533</v>
      </c>
      <c r="AH37" s="143">
        <v>45219</v>
      </c>
      <c r="AI37" s="69" t="s">
        <v>565</v>
      </c>
      <c r="AJ37" s="143">
        <v>45219</v>
      </c>
      <c r="AK37" s="69" t="s">
        <v>92</v>
      </c>
      <c r="AL37" s="69" t="s">
        <v>909</v>
      </c>
      <c r="AM37" s="143">
        <v>45402</v>
      </c>
      <c r="AN37" s="69" t="s">
        <v>92</v>
      </c>
      <c r="AO37" s="150">
        <v>4</v>
      </c>
      <c r="AP37" s="143"/>
      <c r="AQ37" s="143">
        <v>45219</v>
      </c>
      <c r="AR37" s="69">
        <v>17.75</v>
      </c>
      <c r="AS37" s="150">
        <v>10000</v>
      </c>
      <c r="AT37" s="69" t="s">
        <v>1087</v>
      </c>
      <c r="AU37" s="69" t="s">
        <v>1086</v>
      </c>
      <c r="AV37" s="69" t="s">
        <v>92</v>
      </c>
      <c r="AW37" s="69" t="s">
        <v>92</v>
      </c>
      <c r="AX37" s="69"/>
      <c r="AY37" s="69" t="s">
        <v>543</v>
      </c>
      <c r="AZ37" s="69" t="s">
        <v>534</v>
      </c>
      <c r="BA37" s="69" t="s">
        <v>1068</v>
      </c>
      <c r="BB37" s="69" t="s">
        <v>552</v>
      </c>
      <c r="BC37" s="69" t="s">
        <v>535</v>
      </c>
      <c r="BD37" s="69" t="s">
        <v>1084</v>
      </c>
      <c r="BE37" s="69" t="s">
        <v>327</v>
      </c>
      <c r="BF37" s="69"/>
      <c r="BG37" s="69"/>
      <c r="BH37" s="69"/>
      <c r="BI37" s="69"/>
      <c r="BJ37" s="69" t="s">
        <v>92</v>
      </c>
      <c r="BK37" s="69" t="s">
        <v>1082</v>
      </c>
      <c r="BL37" s="69" t="s">
        <v>1081</v>
      </c>
      <c r="BM37" s="69"/>
      <c r="BN37" s="69">
        <v>100</v>
      </c>
      <c r="BO37" s="69" t="s">
        <v>537</v>
      </c>
      <c r="BP37" s="69" t="s">
        <v>92</v>
      </c>
      <c r="BQ37" s="69" t="s">
        <v>538</v>
      </c>
      <c r="BR37" s="69" t="s">
        <v>539</v>
      </c>
      <c r="BS37" s="69">
        <v>20</v>
      </c>
      <c r="BT37" s="69" t="s">
        <v>540</v>
      </c>
      <c r="BU37" s="143">
        <v>46315</v>
      </c>
      <c r="BV37" s="69">
        <v>4</v>
      </c>
      <c r="BW37" s="69" t="s">
        <v>541</v>
      </c>
      <c r="BX37" s="69">
        <v>17.75</v>
      </c>
      <c r="BY37" s="69" t="s">
        <v>535</v>
      </c>
      <c r="BZ37" s="69" t="s">
        <v>1078</v>
      </c>
      <c r="CA37" s="69" t="s">
        <v>1077</v>
      </c>
      <c r="CB37" s="69" t="s">
        <v>1076</v>
      </c>
      <c r="CC37" s="69" t="s">
        <v>242</v>
      </c>
      <c r="CD37" s="143"/>
      <c r="CE37" s="69" t="s">
        <v>7</v>
      </c>
      <c r="CF37" s="69" t="s">
        <v>8</v>
      </c>
      <c r="CG37" s="69" t="s">
        <v>7</v>
      </c>
      <c r="CH37" s="69" t="s">
        <v>250</v>
      </c>
      <c r="CI37" s="69" t="s">
        <v>7</v>
      </c>
      <c r="CJ37" s="143"/>
      <c r="CK37" s="69"/>
      <c r="CL37" s="69" t="s">
        <v>83</v>
      </c>
      <c r="CM37" s="69" t="s">
        <v>527</v>
      </c>
      <c r="CN37" s="150" t="s">
        <v>798</v>
      </c>
      <c r="CO37" s="150" t="s">
        <v>913</v>
      </c>
    </row>
    <row r="38" spans="10:93" ht="15" x14ac:dyDescent="0.25">
      <c r="J38" s="69">
        <v>2</v>
      </c>
      <c r="K38" s="144" t="s">
        <v>749</v>
      </c>
      <c r="L38" s="69" t="s">
        <v>753</v>
      </c>
      <c r="M38" s="69" t="s">
        <v>84</v>
      </c>
      <c r="N38" s="150" t="s">
        <v>897</v>
      </c>
      <c r="O38" s="142">
        <v>45215</v>
      </c>
      <c r="P38" s="69" t="s">
        <v>109</v>
      </c>
      <c r="Q38" s="69" t="s">
        <v>92</v>
      </c>
      <c r="R38" s="69" t="s">
        <v>92</v>
      </c>
      <c r="S38" s="69" t="s">
        <v>92</v>
      </c>
      <c r="T38" s="69" t="s">
        <v>758</v>
      </c>
      <c r="U38" s="69" t="s">
        <v>92</v>
      </c>
      <c r="V38" s="69" t="s">
        <v>1072</v>
      </c>
      <c r="W38" s="69" t="s">
        <v>92</v>
      </c>
      <c r="X38" s="69" t="s">
        <v>92</v>
      </c>
      <c r="Y38" s="69" t="s">
        <v>92</v>
      </c>
      <c r="Z38" s="69" t="s">
        <v>92</v>
      </c>
      <c r="AA38" s="69" t="s">
        <v>529</v>
      </c>
      <c r="AB38" s="69" t="s">
        <v>530</v>
      </c>
      <c r="AC38" s="69" t="s">
        <v>531</v>
      </c>
      <c r="AD38" s="69" t="s">
        <v>532</v>
      </c>
      <c r="AE38" s="69" t="s">
        <v>532</v>
      </c>
      <c r="AF38" s="69" t="s">
        <v>758</v>
      </c>
      <c r="AG38" s="69" t="s">
        <v>92</v>
      </c>
      <c r="AH38" s="143">
        <v>45219</v>
      </c>
      <c r="AI38" s="69" t="s">
        <v>92</v>
      </c>
      <c r="AJ38" s="143">
        <v>45219</v>
      </c>
      <c r="AK38" s="69" t="s">
        <v>753</v>
      </c>
      <c r="AL38" s="69" t="s">
        <v>760</v>
      </c>
      <c r="AM38" s="143">
        <v>45310</v>
      </c>
      <c r="AN38" s="69" t="s">
        <v>92</v>
      </c>
      <c r="AO38" s="150">
        <v>4.8</v>
      </c>
      <c r="AP38" s="143"/>
      <c r="AQ38" s="143">
        <v>45219</v>
      </c>
      <c r="AR38" s="69">
        <v>7.0000000000000007E-2</v>
      </c>
      <c r="AS38" s="150">
        <v>7000000</v>
      </c>
      <c r="AT38" s="69" t="s">
        <v>759</v>
      </c>
      <c r="AU38" s="69" t="s">
        <v>92</v>
      </c>
      <c r="AV38" s="69" t="s">
        <v>92</v>
      </c>
      <c r="AW38" s="69" t="s">
        <v>92</v>
      </c>
      <c r="AX38" s="69"/>
      <c r="AY38" s="69" t="s">
        <v>546</v>
      </c>
      <c r="AZ38" s="69" t="s">
        <v>534</v>
      </c>
      <c r="BA38" s="69" t="s">
        <v>1223</v>
      </c>
      <c r="BB38" s="69" t="s">
        <v>92</v>
      </c>
      <c r="BC38" s="69" t="s">
        <v>535</v>
      </c>
      <c r="BD38" s="69" t="s">
        <v>580</v>
      </c>
      <c r="BE38" s="69" t="s">
        <v>327</v>
      </c>
      <c r="BF38" s="69"/>
      <c r="BG38" s="69"/>
      <c r="BH38" s="69"/>
      <c r="BI38" s="69"/>
      <c r="BJ38" s="69" t="s">
        <v>92</v>
      </c>
      <c r="BK38" s="69" t="s">
        <v>92</v>
      </c>
      <c r="BL38" s="69" t="s">
        <v>550</v>
      </c>
      <c r="BM38" s="69"/>
      <c r="BN38" s="69">
        <v>100</v>
      </c>
      <c r="BO38" s="69" t="s">
        <v>537</v>
      </c>
      <c r="BP38" s="69" t="s">
        <v>92</v>
      </c>
      <c r="BQ38" s="69" t="s">
        <v>579</v>
      </c>
      <c r="BR38" s="69" t="s">
        <v>539</v>
      </c>
      <c r="BS38" s="69"/>
      <c r="BT38" s="69" t="s">
        <v>110</v>
      </c>
      <c r="BU38" s="143">
        <v>45310</v>
      </c>
      <c r="BV38" s="69">
        <v>4.8</v>
      </c>
      <c r="BW38" s="69" t="s">
        <v>1074</v>
      </c>
      <c r="BX38" s="69">
        <v>7.0000000000000007E-2</v>
      </c>
      <c r="BY38" s="69" t="s">
        <v>535</v>
      </c>
      <c r="BZ38" s="69" t="s">
        <v>535</v>
      </c>
      <c r="CA38" s="69" t="s">
        <v>535</v>
      </c>
      <c r="CB38" s="69" t="s">
        <v>1073</v>
      </c>
      <c r="CC38" s="69" t="s">
        <v>242</v>
      </c>
      <c r="CD38" s="143"/>
      <c r="CE38" s="69" t="s">
        <v>7</v>
      </c>
      <c r="CF38" s="69" t="s">
        <v>12</v>
      </c>
      <c r="CG38" s="69" t="s">
        <v>7</v>
      </c>
      <c r="CH38" s="69" t="s">
        <v>526</v>
      </c>
      <c r="CI38" s="69" t="s">
        <v>7</v>
      </c>
      <c r="CJ38" s="143"/>
      <c r="CK38" s="69"/>
      <c r="CL38" s="69" t="s">
        <v>83</v>
      </c>
      <c r="CM38" s="69" t="s">
        <v>83</v>
      </c>
      <c r="CN38" s="150" t="s">
        <v>798</v>
      </c>
      <c r="CO38" s="150" t="s">
        <v>898</v>
      </c>
    </row>
    <row r="39" spans="10:93" ht="15" x14ac:dyDescent="0.25">
      <c r="J39" s="69">
        <v>1</v>
      </c>
      <c r="K39" s="144" t="s">
        <v>1101</v>
      </c>
      <c r="L39" s="69" t="s">
        <v>777</v>
      </c>
      <c r="M39" s="69" t="s">
        <v>1</v>
      </c>
      <c r="N39" s="150" t="s">
        <v>905</v>
      </c>
      <c r="O39" s="142">
        <v>45215</v>
      </c>
      <c r="P39" s="69" t="s">
        <v>85</v>
      </c>
      <c r="Q39" s="69" t="s">
        <v>92</v>
      </c>
      <c r="R39" s="69" t="s">
        <v>92</v>
      </c>
      <c r="S39" s="69" t="s">
        <v>1065</v>
      </c>
      <c r="T39" s="69" t="s">
        <v>1067</v>
      </c>
      <c r="U39" s="69" t="s">
        <v>1070</v>
      </c>
      <c r="V39" s="69" t="s">
        <v>1063</v>
      </c>
      <c r="W39" s="69" t="s">
        <v>92</v>
      </c>
      <c r="X39" s="69" t="s">
        <v>131</v>
      </c>
      <c r="Y39" s="69" t="s">
        <v>92</v>
      </c>
      <c r="Z39" s="69" t="s">
        <v>92</v>
      </c>
      <c r="AA39" s="69" t="s">
        <v>529</v>
      </c>
      <c r="AB39" s="69" t="s">
        <v>530</v>
      </c>
      <c r="AC39" s="69" t="s">
        <v>531</v>
      </c>
      <c r="AD39" s="69" t="s">
        <v>532</v>
      </c>
      <c r="AE39" s="69" t="s">
        <v>532</v>
      </c>
      <c r="AF39" s="69" t="s">
        <v>1071</v>
      </c>
      <c r="AG39" s="69" t="s">
        <v>542</v>
      </c>
      <c r="AH39" s="143">
        <v>45217</v>
      </c>
      <c r="AI39" s="69" t="s">
        <v>1069</v>
      </c>
      <c r="AJ39" s="143">
        <v>45217</v>
      </c>
      <c r="AK39" s="69" t="s">
        <v>92</v>
      </c>
      <c r="AL39" s="69" t="s">
        <v>777</v>
      </c>
      <c r="AM39" s="143">
        <v>45400</v>
      </c>
      <c r="AN39" s="69" t="s">
        <v>92</v>
      </c>
      <c r="AO39" s="150">
        <v>6.5</v>
      </c>
      <c r="AP39" s="143"/>
      <c r="AQ39" s="143">
        <v>45217</v>
      </c>
      <c r="AR39" s="69">
        <v>0.3</v>
      </c>
      <c r="AS39" s="150">
        <v>1000</v>
      </c>
      <c r="AT39" s="69" t="s">
        <v>778</v>
      </c>
      <c r="AU39" s="69" t="s">
        <v>779</v>
      </c>
      <c r="AV39" s="69" t="s">
        <v>92</v>
      </c>
      <c r="AW39" s="69" t="s">
        <v>92</v>
      </c>
      <c r="AX39" s="69"/>
      <c r="AY39" s="69" t="s">
        <v>780</v>
      </c>
      <c r="AZ39" s="69" t="s">
        <v>534</v>
      </c>
      <c r="BA39" s="69" t="s">
        <v>1222</v>
      </c>
      <c r="BB39" s="69" t="s">
        <v>409</v>
      </c>
      <c r="BC39" s="69" t="s">
        <v>535</v>
      </c>
      <c r="BD39" s="69" t="s">
        <v>536</v>
      </c>
      <c r="BE39" s="69" t="s">
        <v>327</v>
      </c>
      <c r="BF39" s="69"/>
      <c r="BG39" s="69"/>
      <c r="BH39" s="69"/>
      <c r="BI39" s="69"/>
      <c r="BJ39" s="69" t="s">
        <v>92</v>
      </c>
      <c r="BK39" s="69" t="s">
        <v>781</v>
      </c>
      <c r="BL39" s="69" t="s">
        <v>782</v>
      </c>
      <c r="BM39" s="69"/>
      <c r="BN39" s="69">
        <v>100</v>
      </c>
      <c r="BO39" s="69" t="s">
        <v>537</v>
      </c>
      <c r="BP39" s="69" t="s">
        <v>1066</v>
      </c>
      <c r="BQ39" s="69" t="s">
        <v>544</v>
      </c>
      <c r="BR39" s="69" t="s">
        <v>539</v>
      </c>
      <c r="BS39" s="69"/>
      <c r="BT39" s="69" t="s">
        <v>540</v>
      </c>
      <c r="BU39" s="143">
        <v>46313</v>
      </c>
      <c r="BV39" s="69">
        <v>6.5</v>
      </c>
      <c r="BW39" s="69" t="s">
        <v>541</v>
      </c>
      <c r="BX39" s="69">
        <v>0.3</v>
      </c>
      <c r="BY39" s="69" t="s">
        <v>535</v>
      </c>
      <c r="BZ39" s="69" t="s">
        <v>535</v>
      </c>
      <c r="CA39" s="69" t="s">
        <v>535</v>
      </c>
      <c r="CB39" s="69" t="s">
        <v>1064</v>
      </c>
      <c r="CC39" s="69" t="s">
        <v>242</v>
      </c>
      <c r="CD39" s="143"/>
      <c r="CE39" s="69" t="s">
        <v>7</v>
      </c>
      <c r="CF39" s="69" t="s">
        <v>20</v>
      </c>
      <c r="CG39" s="69" t="s">
        <v>7</v>
      </c>
      <c r="CH39" s="69" t="s">
        <v>250</v>
      </c>
      <c r="CI39" s="69" t="s">
        <v>7</v>
      </c>
      <c r="CJ39" s="143"/>
      <c r="CK39" s="69"/>
      <c r="CL39" s="69" t="s">
        <v>83</v>
      </c>
      <c r="CM39" s="69" t="s">
        <v>783</v>
      </c>
      <c r="CN39" s="150" t="s">
        <v>798</v>
      </c>
      <c r="CO39" s="150" t="s">
        <v>907</v>
      </c>
    </row>
    <row r="40" spans="10:93" ht="19.5" customHeight="1" x14ac:dyDescent="0.25"/>
    <row r="41" spans="10:93" ht="19.5" customHeight="1" x14ac:dyDescent="0.25"/>
    <row r="42" spans="10:93" ht="19.5" customHeight="1" x14ac:dyDescent="0.25"/>
    <row r="43" spans="10:93" ht="19.5" customHeight="1" x14ac:dyDescent="0.25"/>
    <row r="44" spans="10:93" ht="19.5" customHeight="1" x14ac:dyDescent="0.25"/>
  </sheetData>
  <phoneticPr fontId="14" type="noConversion"/>
  <conditionalFormatting sqref="G9">
    <cfRule type="iconSet" priority="20">
      <iconSet showValue="0">
        <cfvo type="percent" val="0"/>
        <cfvo type="num" val="-1"/>
        <cfvo type="num" val="0"/>
      </iconSet>
    </cfRule>
  </conditionalFormatting>
  <conditionalFormatting sqref="C5">
    <cfRule type="containsText" dxfId="101" priority="13" operator="containsText" text="KT">
      <formula>NOT(ISERROR(SEARCH("KT",C5)))</formula>
    </cfRule>
    <cfRule type="containsText" dxfId="100" priority="14" operator="containsText" text="JH">
      <formula>NOT(ISERROR(SEARCH("JH",C5)))</formula>
    </cfRule>
    <cfRule type="containsText" dxfId="99" priority="15" operator="containsText" text="CL">
      <formula>NOT(ISERROR(SEARCH("CL",C5)))</formula>
    </cfRule>
    <cfRule type="containsText" dxfId="98" priority="16" operator="containsText" text="CY">
      <formula>NOT(ISERROR(SEARCH("CY",C5)))</formula>
    </cfRule>
    <cfRule type="containsText" dxfId="97" priority="17" operator="containsText" text="ES">
      <formula>NOT(ISERROR(SEARCH("ES",C5)))</formula>
    </cfRule>
  </conditionalFormatting>
  <conditionalFormatting sqref="K16:K39">
    <cfRule type="containsText" dxfId="96" priority="10" operator="containsText" text="【">
      <formula>NOT(ISERROR(SEARCH("【",K16)))</formula>
    </cfRule>
  </conditionalFormatting>
  <conditionalFormatting sqref="H16">
    <cfRule type="notContainsText" dxfId="95" priority="7" operator="notContains" text="/">
      <formula>ISERROR(SEARCH("/",H16))</formula>
    </cfRule>
  </conditionalFormatting>
  <conditionalFormatting sqref="H17">
    <cfRule type="notContainsText" dxfId="94" priority="6" operator="notContains" text="DMI">
      <formula>ISERROR(SEARCH("DMI",H17))</formula>
    </cfRule>
  </conditionalFormatting>
  <conditionalFormatting sqref="H24">
    <cfRule type="notContainsText" dxfId="93" priority="3" operator="notContains" text="/">
      <formula>ISERROR(SEARCH("/",H24))</formula>
    </cfRule>
  </conditionalFormatting>
  <conditionalFormatting sqref="H25">
    <cfRule type="notContainsText" dxfId="92" priority="2" operator="notContains" text="DMI">
      <formula>ISERROR(SEARCH("DMI",H25))</formula>
    </cfRule>
  </conditionalFormatting>
  <dataValidations count="9">
    <dataValidation type="list" allowBlank="1" showInputMessage="1" showErrorMessage="1" promptTitle="⚠️Change Updator" prompt="will wipe out  last week's results" sqref="C5" xr:uid="{80944F2B-924C-45EA-9BD6-6FF73D2FD1F9}">
      <formula1>dd_updator</formula1>
    </dataValidation>
    <dataValidation type="list" allowBlank="1" showInputMessage="1" showErrorMessage="1" promptTitle="Weekly AM folder name " prompt="In YYYYMMDD format_x000a__x000a_Regardless of holidays, only set folder name to a Monday date" sqref="C4" xr:uid="{EB7A7B11-81D2-4F6D-96B6-417C54D1E8DB}">
      <formula1>dd_Monday</formula1>
    </dataValidation>
    <dataValidation type="list" allowBlank="1" showInputMessage="1" showErrorMessage="1" sqref="C8:C9" xr:uid="{A80797E9-1E83-4191-8030-5056F54365C4}">
      <formula1>"ON,OFF"</formula1>
    </dataValidation>
    <dataValidation type="list" allowBlank="1" showInputMessage="1" showErrorMessage="1" promptTitle="澳门主体Filter" prompt="If this Filter is set as &quot;ON&quot; - credit entity located in Macau will be filtered out when loading DMI data" sqref="C6" xr:uid="{DABD8501-D4B1-4495-B925-F4098D9932D3}">
      <formula1>"ON,OFF"</formula1>
    </dataValidation>
    <dataValidation type="list" allowBlank="1" showInputMessage="1" showErrorMessage="1" promptTitle="香港主体Filter" prompt="If this Filter is set as &quot;ON&quot; - credit entity located in HK will be filtered out when loading DMI data" sqref="C7" xr:uid="{09D54662-5BA4-488A-B1D2-D58E08F4086C}">
      <formula1>"ON,OFF"</formula1>
    </dataValidation>
    <dataValidation type="list" allowBlank="1" showInputMessage="1" showErrorMessage="1" promptTitle="DMI only or DMI+BBG+台账?" prompt="If set to OFF - only DMI data will be loaded" sqref="C10:C12" xr:uid="{7354D1B4-C643-4336-B89D-A74F904D673A}">
      <formula1>"ON,OFF"</formula1>
    </dataValidation>
    <dataValidation type="list" allowBlank="1" showInputMessage="1" showErrorMessage="1" promptTitle="Has DMI Missed Any ISIN?" prompt="Please spark if you notice" sqref="C11" xr:uid="{2C203DC6-7F28-47BA-9162-EB9D2EFAC4A2}">
      <formula1>"N,YES"</formula1>
    </dataValidation>
    <dataValidation type="list" allowBlank="1" showInputMessage="1" showErrorMessage="1" promptTitle="Need to add tap deal?" prompt="Please spark when needed" sqref="C12" xr:uid="{D786BBAC-8B85-4826-8AFB-917C888E43CA}">
      <formula1>"N,YES"</formula1>
    </dataValidation>
    <dataValidation type="list" allowBlank="1" showInputMessage="1" showErrorMessage="1" sqref="K16:K39" xr:uid="{DB4DAF89-C876-4A80-8B87-F3FF22B16AC6}">
      <formula1>"【Y】,Y,--"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ownload" altText="Refresh_x000a_Button">
                <anchor moveWithCells="1" sizeWithCells="1">
                  <from>
                    <xdr:col>3</xdr:col>
                    <xdr:colOff>1600200</xdr:colOff>
                    <xdr:row>3</xdr:row>
                    <xdr:rowOff>66675</xdr:rowOff>
                  </from>
                  <to>
                    <xdr:col>5</xdr:col>
                    <xdr:colOff>1533525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K73"/>
  <sheetViews>
    <sheetView topLeftCell="B1" zoomScale="85" zoomScaleNormal="85" workbookViewId="0">
      <selection activeCell="B6" sqref="B6:L22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1.109375" style="3" bestFit="1" customWidth="1"/>
    <col min="3" max="3" width="13.44140625" style="3" bestFit="1" customWidth="1"/>
    <col min="4" max="4" width="10.44140625" style="3" bestFit="1" customWidth="1"/>
    <col min="5" max="5" width="30" style="3" bestFit="1" customWidth="1"/>
    <col min="6" max="6" width="9.44140625" style="3" bestFit="1" customWidth="1"/>
    <col min="7" max="7" width="12.21875" style="3" bestFit="1" customWidth="1" outlineLevel="1"/>
    <col min="8" max="8" width="6.109375" style="3" bestFit="1" customWidth="1" outlineLevel="1"/>
    <col min="9" max="9" width="7.77734375" style="3" bestFit="1" customWidth="1" outlineLevel="1"/>
    <col min="10" max="11" width="11.109375" style="3" bestFit="1" customWidth="1" outlineLevel="1"/>
    <col min="12" max="12" width="19.5546875" style="3" bestFit="1" customWidth="1" outlineLevel="1"/>
    <col min="13" max="15" width="3.6640625" style="3" customWidth="1"/>
    <col min="16" max="16" width="10.33203125" style="3" bestFit="1" customWidth="1"/>
    <col min="17" max="17" width="29.88671875" style="3" bestFit="1" customWidth="1"/>
    <col min="18" max="18" width="6" style="3" bestFit="1" customWidth="1"/>
    <col min="19" max="19" width="10.44140625" style="3" bestFit="1" customWidth="1"/>
    <col min="20" max="20" width="8.5546875" style="3" bestFit="1" customWidth="1" outlineLevel="1"/>
    <col min="21" max="21" width="7.6640625" style="3" bestFit="1" customWidth="1" outlineLevel="1"/>
    <col min="22" max="22" width="8.5546875" style="3" bestFit="1" customWidth="1" outlineLevel="1"/>
    <col min="23" max="23" width="7.6640625" style="3" bestFit="1" customWidth="1" outlineLevel="1"/>
    <col min="24" max="24" width="4.6640625" style="3" bestFit="1" customWidth="1" outlineLevel="1"/>
    <col min="25" max="25" width="10.44140625" style="3" bestFit="1" customWidth="1" outlineLevel="1"/>
    <col min="26" max="26" width="4.33203125" style="3" bestFit="1" customWidth="1" outlineLevel="1"/>
    <col min="27" max="27" width="8.5546875" style="3" bestFit="1" customWidth="1" outlineLevel="1"/>
    <col min="28" max="28" width="7.6640625" style="3" bestFit="1" customWidth="1" outlineLevel="1"/>
    <col min="29" max="29" width="20.5546875" style="3" bestFit="1" customWidth="1" outlineLevel="1"/>
    <col min="30" max="30" width="7.6640625" style="3" bestFit="1" customWidth="1" outlineLevel="1"/>
    <col min="31" max="31" width="6" style="3" bestFit="1" customWidth="1" outlineLevel="1"/>
    <col min="32" max="33" width="7" style="3" bestFit="1" customWidth="1" outlineLevel="1"/>
    <col min="34" max="34" width="13.33203125" style="3" bestFit="1" customWidth="1" outlineLevel="1"/>
    <col min="35" max="35" width="19.44140625" style="3" bestFit="1" customWidth="1" outlineLevel="1"/>
    <col min="36" max="36" width="17.44140625" style="3" bestFit="1" customWidth="1" outlineLevel="1"/>
    <col min="37" max="40" width="2" style="3" customWidth="1"/>
    <col min="41" max="41" width="21.33203125" style="3" bestFit="1" customWidth="1"/>
    <col min="42" max="42" width="19.33203125" style="3" bestFit="1" customWidth="1"/>
    <col min="43" max="43" width="13.21875" style="3" bestFit="1" customWidth="1"/>
    <col min="44" max="44" width="10.33203125" style="3" bestFit="1" customWidth="1" outlineLevel="1"/>
    <col min="45" max="45" width="7.6640625" style="3" bestFit="1" customWidth="1" outlineLevel="1"/>
    <col min="46" max="46" width="12" style="3" bestFit="1" customWidth="1" outlineLevel="1"/>
    <col min="47" max="47" width="9.88671875" style="3" bestFit="1" customWidth="1" outlineLevel="1"/>
    <col min="48" max="48" width="7.6640625" style="3" bestFit="1" customWidth="1" outlineLevel="1"/>
    <col min="49" max="49" width="13.6640625" style="3" bestFit="1" customWidth="1" outlineLevel="1"/>
    <col min="50" max="50" width="4.33203125" style="3" bestFit="1" customWidth="1" outlineLevel="1"/>
    <col min="51" max="51" width="9.5546875" style="3" bestFit="1" customWidth="1" outlineLevel="1"/>
    <col min="52" max="52" width="7.6640625" style="3" bestFit="1" customWidth="1" outlineLevel="1"/>
    <col min="53" max="53" width="7.21875" style="3" bestFit="1" customWidth="1" outlineLevel="1"/>
    <col min="54" max="54" width="7.6640625" style="3" bestFit="1" customWidth="1"/>
    <col min="55" max="55" width="7.77734375" style="3" bestFit="1" customWidth="1"/>
    <col min="56" max="56" width="7.6640625" style="3" bestFit="1" customWidth="1"/>
    <col min="57" max="58" width="7.77734375" style="3" bestFit="1" customWidth="1"/>
    <col min="59" max="59" width="7.33203125" style="3" bestFit="1" customWidth="1"/>
    <col min="60" max="60" width="21.33203125" style="3" bestFit="1" customWidth="1"/>
    <col min="61" max="61" width="13.109375" style="23" bestFit="1" customWidth="1"/>
    <col min="62" max="62" width="7.21875" style="23" bestFit="1" customWidth="1"/>
    <col min="63" max="64" width="7.6640625" style="23" bestFit="1" customWidth="1"/>
    <col min="65" max="65" width="9.21875" style="23" bestFit="1" customWidth="1"/>
    <col min="66" max="67" width="9.44140625" style="23" bestFit="1" customWidth="1"/>
    <col min="68" max="69" width="11.109375" style="23" bestFit="1" customWidth="1"/>
    <col min="70" max="70" width="9.44140625" style="23" bestFit="1" customWidth="1"/>
    <col min="71" max="71" width="9" style="23" bestFit="1" customWidth="1"/>
    <col min="72" max="73" width="9.44140625" style="23" bestFit="1" customWidth="1"/>
    <col min="74" max="74" width="9.21875" style="23" bestFit="1" customWidth="1"/>
    <col min="75" max="75" width="8.77734375" style="23" bestFit="1" customWidth="1"/>
    <col min="76" max="76" width="9.21875" style="23" bestFit="1" customWidth="1"/>
    <col min="77" max="77" width="42.77734375" style="23" bestFit="1" customWidth="1"/>
    <col min="78" max="78" width="9.21875" style="23" bestFit="1" customWidth="1"/>
    <col min="79" max="79" width="9.44140625" style="23" bestFit="1" customWidth="1"/>
    <col min="80" max="80" width="8.77734375" style="23" bestFit="1" customWidth="1"/>
    <col min="81" max="81" width="9.21875" style="23" bestFit="1" customWidth="1"/>
    <col min="82" max="82" width="15.21875" style="23" bestFit="1" customWidth="1"/>
    <col min="83" max="83" width="5.88671875" style="23" bestFit="1" customWidth="1"/>
    <col min="84" max="84" width="10.77734375" style="23" bestFit="1" customWidth="1"/>
    <col min="85" max="85" width="10.88671875" style="23" bestFit="1" customWidth="1"/>
    <col min="86" max="86" width="11.44140625" style="23" bestFit="1" customWidth="1"/>
    <col min="87" max="87" width="13.5546875" style="23" bestFit="1" customWidth="1"/>
    <col min="88" max="88" width="42.77734375" style="23" bestFit="1" customWidth="1"/>
    <col min="89" max="89" width="9.21875" style="23" bestFit="1" customWidth="1"/>
    <col min="90" max="90" width="10.88671875" style="23" bestFit="1" customWidth="1"/>
    <col min="91" max="91" width="11.44140625" style="23" bestFit="1" customWidth="1"/>
    <col min="92" max="92" width="13.5546875" style="23" bestFit="1" customWidth="1"/>
    <col min="93" max="93" width="51.44140625" style="23" bestFit="1" customWidth="1"/>
    <col min="94" max="94" width="9.21875" style="23" bestFit="1" customWidth="1"/>
    <col min="95" max="95" width="51.44140625" style="23" bestFit="1" customWidth="1"/>
    <col min="96" max="96" width="9.21875" style="23" bestFit="1" customWidth="1"/>
    <col min="97" max="97" width="11.6640625" style="23" bestFit="1" customWidth="1"/>
    <col min="98" max="98" width="15.5546875" style="23" bestFit="1" customWidth="1"/>
    <col min="99" max="99" width="9.44140625" style="23" bestFit="1" customWidth="1"/>
    <col min="100" max="100" width="11.6640625" style="23" bestFit="1" customWidth="1"/>
    <col min="101" max="101" width="15.5546875" style="23" bestFit="1" customWidth="1"/>
    <col min="102" max="102" width="9.44140625" style="23" bestFit="1" customWidth="1"/>
    <col min="103" max="103" width="15.44140625" style="23" bestFit="1" customWidth="1"/>
    <col min="104" max="104" width="6.109375" style="23" bestFit="1" customWidth="1"/>
    <col min="105" max="105" width="15.21875" style="23" bestFit="1" customWidth="1"/>
    <col min="106" max="106" width="5.88671875" style="23" bestFit="1" customWidth="1"/>
    <col min="107" max="107" width="13.109375" style="23" bestFit="1" customWidth="1"/>
    <col min="108" max="108" width="5.88671875" style="23" bestFit="1" customWidth="1"/>
    <col min="109" max="109" width="9.6640625" style="23" bestFit="1" customWidth="1"/>
    <col min="110" max="110" width="14" style="23" bestFit="1" customWidth="1"/>
    <col min="111" max="111" width="14.109375" style="23" bestFit="1" customWidth="1"/>
    <col min="112" max="112" width="13.33203125" style="23" bestFit="1" customWidth="1"/>
    <col min="113" max="114" width="8.109375" style="23" customWidth="1"/>
    <col min="115" max="115" width="8.88671875" style="23" bestFit="1" customWidth="1"/>
    <col min="116" max="136" width="8.109375" style="3" customWidth="1"/>
    <col min="137" max="140" width="9" style="3" customWidth="1"/>
    <col min="141" max="141" width="2.88671875" style="3" customWidth="1"/>
    <col min="142" max="142" width="8.109375" style="3" customWidth="1"/>
    <col min="143" max="143" width="9" style="3" customWidth="1"/>
    <col min="144" max="144" width="6.109375" style="3" bestFit="1" customWidth="1"/>
    <col min="145" max="145" width="7.77734375" style="3" bestFit="1" customWidth="1"/>
    <col min="146" max="16384" width="8.88671875" style="3"/>
  </cols>
  <sheetData>
    <row r="1" spans="1:115" s="1" customFormat="1" ht="49.5" customHeight="1" x14ac:dyDescent="0.25">
      <c r="A1" s="34" t="s">
        <v>146</v>
      </c>
      <c r="C1" s="5"/>
      <c r="E1" s="122">
        <f>COUNTA(ForReview_Issuer[#Headers])</f>
        <v>11</v>
      </c>
      <c r="F1" s="102">
        <f>IF(E1&lt;=11,1,IF(E1&gt;13,-5,0))</f>
        <v>1</v>
      </c>
      <c r="Q1" s="7"/>
      <c r="R1" s="122">
        <f>COUNTA(ForReview_wCurated[#Headers])</f>
        <v>20</v>
      </c>
      <c r="S1" s="102">
        <f>IF(R1&lt;=20,1,IF(R1&gt;22,-5,0))</f>
        <v>1</v>
      </c>
      <c r="AP1" s="122">
        <f>COUNTA(ForReview_wBOCOM[#Headers])</f>
        <v>14</v>
      </c>
      <c r="AQ1" s="102">
        <f>IF(AP1&lt;=14,1,IF(AP1&gt;16,-5,0))</f>
        <v>1</v>
      </c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</row>
    <row r="2" spans="1:115" s="1" customFormat="1" ht="49.5" customHeight="1" x14ac:dyDescent="0.25"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S2" s="23"/>
      <c r="CY2" s="23"/>
      <c r="CZ2" s="23"/>
      <c r="DA2" s="23"/>
      <c r="DB2" s="23"/>
      <c r="DC2" s="23"/>
      <c r="DD2" s="23"/>
      <c r="DE2" s="23"/>
      <c r="DF2" s="23"/>
      <c r="DG2" s="23"/>
      <c r="DH2" s="23"/>
      <c r="DI2" s="23"/>
      <c r="DJ2" s="23"/>
      <c r="DK2" s="23"/>
    </row>
    <row r="3" spans="1:115" s="1" customFormat="1" ht="49.5" customHeight="1" x14ac:dyDescent="0.25">
      <c r="I3" s="10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</row>
    <row r="4" spans="1:115" ht="61.5" customHeight="1" x14ac:dyDescent="0.25">
      <c r="P4" s="4"/>
      <c r="Q4" s="7"/>
      <c r="R4" s="7"/>
      <c r="T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5" ht="15" x14ac:dyDescent="0.25">
      <c r="B5" t="s">
        <v>427</v>
      </c>
      <c r="C5" t="s">
        <v>48</v>
      </c>
      <c r="D5" t="s">
        <v>49</v>
      </c>
      <c r="E5" t="s">
        <v>94</v>
      </c>
      <c r="F5" t="s">
        <v>135</v>
      </c>
      <c r="G5" t="s">
        <v>177</v>
      </c>
      <c r="H5" t="s">
        <v>90</v>
      </c>
      <c r="I5" t="s">
        <v>41</v>
      </c>
      <c r="J5" t="s">
        <v>186</v>
      </c>
      <c r="K5" t="s">
        <v>187</v>
      </c>
      <c r="L5" t="s">
        <v>140</v>
      </c>
      <c r="P5" t="s">
        <v>49</v>
      </c>
      <c r="Q5" t="s">
        <v>94</v>
      </c>
      <c r="R5" t="s">
        <v>139</v>
      </c>
      <c r="S5" t="s">
        <v>88</v>
      </c>
      <c r="T5" t="s">
        <v>53</v>
      </c>
      <c r="U5" t="s">
        <v>166</v>
      </c>
      <c r="V5" t="s">
        <v>152</v>
      </c>
      <c r="W5" t="s">
        <v>141</v>
      </c>
      <c r="X5" t="s">
        <v>64</v>
      </c>
      <c r="Y5" t="s">
        <v>57</v>
      </c>
      <c r="Z5" t="s">
        <v>87</v>
      </c>
      <c r="AA5" t="s">
        <v>120</v>
      </c>
      <c r="AB5" t="s">
        <v>577</v>
      </c>
      <c r="AC5" t="s">
        <v>91</v>
      </c>
      <c r="AD5" t="s">
        <v>210</v>
      </c>
      <c r="AE5" t="s">
        <v>173</v>
      </c>
      <c r="AF5" t="s">
        <v>174</v>
      </c>
      <c r="AG5" t="s">
        <v>211</v>
      </c>
      <c r="AH5" t="s">
        <v>48</v>
      </c>
      <c r="AI5" t="s">
        <v>140</v>
      </c>
      <c r="AO5" t="s">
        <v>94</v>
      </c>
      <c r="AP5" s="68" t="s">
        <v>140</v>
      </c>
      <c r="AQ5" s="68" t="s">
        <v>48</v>
      </c>
      <c r="AR5" s="68" t="s">
        <v>49</v>
      </c>
      <c r="AS5" s="69" t="s">
        <v>204</v>
      </c>
      <c r="AT5" s="69" t="s">
        <v>188</v>
      </c>
      <c r="AU5" s="69" t="s">
        <v>172</v>
      </c>
      <c r="AV5" s="68" t="s">
        <v>171</v>
      </c>
      <c r="AW5" s="69" t="s">
        <v>182</v>
      </c>
      <c r="AX5" s="69" t="s">
        <v>170</v>
      </c>
      <c r="AY5" s="68" t="s">
        <v>147</v>
      </c>
      <c r="AZ5" s="69" t="s">
        <v>200</v>
      </c>
      <c r="BA5" s="69" t="s">
        <v>201</v>
      </c>
      <c r="BB5" s="69" t="s">
        <v>202</v>
      </c>
      <c r="BH5" t="s">
        <v>94</v>
      </c>
      <c r="BI5" t="s">
        <v>178</v>
      </c>
      <c r="BJ5" t="s">
        <v>205</v>
      </c>
      <c r="BK5" t="s">
        <v>228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</row>
    <row r="6" spans="1:115" ht="15" x14ac:dyDescent="0.25">
      <c r="B6" s="145"/>
      <c r="C6" s="147" t="s">
        <v>1169</v>
      </c>
      <c r="D6" s="146">
        <v>45219</v>
      </c>
      <c r="E6" s="147" t="s">
        <v>1170</v>
      </c>
      <c r="F6" s="147" t="s">
        <v>527</v>
      </c>
      <c r="G6" s="147" t="s">
        <v>527</v>
      </c>
      <c r="H6" s="147" t="s">
        <v>39</v>
      </c>
      <c r="I6" s="147" t="s">
        <v>92</v>
      </c>
      <c r="J6" s="147" t="s">
        <v>7</v>
      </c>
      <c r="K6" s="147" t="s">
        <v>7</v>
      </c>
      <c r="L6" s="147" t="s">
        <v>1175</v>
      </c>
      <c r="P6" s="146">
        <v>45219</v>
      </c>
      <c r="Q6" s="147" t="s">
        <v>1170</v>
      </c>
      <c r="R6" s="145" t="s">
        <v>752</v>
      </c>
      <c r="S6" s="147" t="s">
        <v>1116</v>
      </c>
      <c r="T6" s="147" t="s">
        <v>1216</v>
      </c>
      <c r="U6" s="145">
        <v>30</v>
      </c>
      <c r="V6" s="147" t="s">
        <v>92</v>
      </c>
      <c r="W6" s="147" t="s">
        <v>92</v>
      </c>
      <c r="X6" s="147" t="s">
        <v>85</v>
      </c>
      <c r="Y6" s="147">
        <v>2.8</v>
      </c>
      <c r="Z6" s="147" t="s">
        <v>151</v>
      </c>
      <c r="AA6" s="147" t="s">
        <v>1216</v>
      </c>
      <c r="AB6" t="s">
        <v>7</v>
      </c>
      <c r="AC6" s="147" t="s">
        <v>263</v>
      </c>
      <c r="AD6" s="147" t="s">
        <v>92</v>
      </c>
      <c r="AE6" s="147">
        <v>2.8</v>
      </c>
      <c r="AF6" s="147">
        <v>20.51</v>
      </c>
      <c r="AG6" s="147">
        <v>21.91</v>
      </c>
      <c r="AH6" s="147" t="s">
        <v>1169</v>
      </c>
      <c r="AI6" s="147" t="s">
        <v>1175</v>
      </c>
      <c r="AO6" t="s">
        <v>1170</v>
      </c>
      <c r="AP6" s="69" t="s">
        <v>1175</v>
      </c>
      <c r="AQ6" s="68" t="s">
        <v>1169</v>
      </c>
      <c r="AR6" s="83">
        <v>45219</v>
      </c>
      <c r="AS6" s="69" t="s">
        <v>762</v>
      </c>
      <c r="AT6" s="69" t="s">
        <v>762</v>
      </c>
      <c r="AU6" s="69" t="s">
        <v>571</v>
      </c>
      <c r="AV6" s="69" t="s">
        <v>571</v>
      </c>
      <c r="AW6" s="69" t="s">
        <v>571</v>
      </c>
      <c r="AX6" s="69" t="s">
        <v>571</v>
      </c>
      <c r="AY6" s="69" t="s">
        <v>149</v>
      </c>
      <c r="AZ6" s="69" t="s">
        <v>92</v>
      </c>
      <c r="BA6" s="69" t="s">
        <v>92</v>
      </c>
      <c r="BB6" s="69" t="s">
        <v>7</v>
      </c>
      <c r="BH6" t="s">
        <v>1165</v>
      </c>
      <c r="BI6" t="s">
        <v>1230</v>
      </c>
      <c r="BJ6" t="s">
        <v>571</v>
      </c>
      <c r="BK6" t="s">
        <v>571</v>
      </c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</row>
    <row r="7" spans="1:115" ht="15" x14ac:dyDescent="0.25">
      <c r="B7" s="145"/>
      <c r="C7" s="147" t="s">
        <v>1164</v>
      </c>
      <c r="D7" s="146">
        <v>45219</v>
      </c>
      <c r="E7" s="147" t="s">
        <v>1165</v>
      </c>
      <c r="F7" s="147" t="s">
        <v>83</v>
      </c>
      <c r="G7" s="147" t="s">
        <v>83</v>
      </c>
      <c r="H7" s="147" t="s">
        <v>37</v>
      </c>
      <c r="I7" s="147" t="s">
        <v>92</v>
      </c>
      <c r="J7" s="147" t="s">
        <v>7</v>
      </c>
      <c r="K7" s="147" t="s">
        <v>7</v>
      </c>
      <c r="L7" s="147" t="s">
        <v>1168</v>
      </c>
      <c r="P7" s="146">
        <v>45219</v>
      </c>
      <c r="Q7" s="147" t="s">
        <v>1165</v>
      </c>
      <c r="R7" s="145" t="s">
        <v>92</v>
      </c>
      <c r="S7" s="147" t="s">
        <v>92</v>
      </c>
      <c r="T7" s="147" t="s">
        <v>92</v>
      </c>
      <c r="U7" s="145"/>
      <c r="V7" s="147" t="s">
        <v>92</v>
      </c>
      <c r="W7" s="147" t="s">
        <v>92</v>
      </c>
      <c r="X7" s="147" t="s">
        <v>85</v>
      </c>
      <c r="Y7" s="147">
        <v>1.1000000000000001</v>
      </c>
      <c r="Z7" s="147" t="s">
        <v>151</v>
      </c>
      <c r="AA7" s="147" t="s">
        <v>1228</v>
      </c>
      <c r="AB7" t="s">
        <v>7</v>
      </c>
      <c r="AC7" s="147" t="s">
        <v>110</v>
      </c>
      <c r="AD7" s="147" t="s">
        <v>92</v>
      </c>
      <c r="AE7" s="147">
        <v>1.1000000000000001</v>
      </c>
      <c r="AF7" s="147">
        <v>8.0579999999999998</v>
      </c>
      <c r="AG7" s="147">
        <v>8.6080000000000005</v>
      </c>
      <c r="AH7" s="147" t="s">
        <v>1164</v>
      </c>
      <c r="AI7" s="147" t="s">
        <v>1168</v>
      </c>
      <c r="AO7" t="s">
        <v>870</v>
      </c>
      <c r="AP7" s="69" t="s">
        <v>873</v>
      </c>
      <c r="AQ7" s="68" t="s">
        <v>869</v>
      </c>
      <c r="AR7" s="83">
        <v>45217</v>
      </c>
      <c r="AS7" s="69" t="s">
        <v>1224</v>
      </c>
      <c r="AT7" s="69" t="s">
        <v>1148</v>
      </c>
      <c r="AU7" s="69" t="s">
        <v>184</v>
      </c>
      <c r="AV7" s="69" t="s">
        <v>183</v>
      </c>
      <c r="AW7" s="69" t="s">
        <v>571</v>
      </c>
      <c r="AX7" s="69" t="s">
        <v>571</v>
      </c>
      <c r="AY7" s="69" t="s">
        <v>150</v>
      </c>
      <c r="AZ7" s="69" t="s">
        <v>571</v>
      </c>
      <c r="BA7" s="69" t="s">
        <v>571</v>
      </c>
      <c r="BB7" s="69" t="s">
        <v>7</v>
      </c>
      <c r="BH7" t="s">
        <v>816</v>
      </c>
      <c r="BI7" t="s">
        <v>1102</v>
      </c>
      <c r="BJ7" t="s">
        <v>571</v>
      </c>
      <c r="BK7" t="s">
        <v>571</v>
      </c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</row>
    <row r="8" spans="1:115" ht="15" x14ac:dyDescent="0.25">
      <c r="B8" s="145"/>
      <c r="C8" s="147" t="s">
        <v>815</v>
      </c>
      <c r="D8" s="146">
        <v>45218</v>
      </c>
      <c r="E8" s="147" t="s">
        <v>816</v>
      </c>
      <c r="F8" s="147" t="s">
        <v>83</v>
      </c>
      <c r="G8" s="147" t="s">
        <v>83</v>
      </c>
      <c r="H8" s="147" t="s">
        <v>112</v>
      </c>
      <c r="I8" s="147" t="s">
        <v>344</v>
      </c>
      <c r="J8" s="147" t="s">
        <v>7</v>
      </c>
      <c r="K8" s="147" t="s">
        <v>7</v>
      </c>
      <c r="L8" s="147" t="s">
        <v>820</v>
      </c>
      <c r="P8" s="146">
        <v>45218</v>
      </c>
      <c r="Q8" s="147" t="s">
        <v>816</v>
      </c>
      <c r="R8" s="145" t="s">
        <v>92</v>
      </c>
      <c r="S8" s="147" t="s">
        <v>1111</v>
      </c>
      <c r="T8" s="147" t="s">
        <v>928</v>
      </c>
      <c r="U8" s="145">
        <v>30</v>
      </c>
      <c r="V8" s="147" t="s">
        <v>92</v>
      </c>
      <c r="W8" s="147" t="s">
        <v>92</v>
      </c>
      <c r="X8" s="147" t="s">
        <v>262</v>
      </c>
      <c r="Y8" s="147">
        <v>106</v>
      </c>
      <c r="Z8" s="147" t="s">
        <v>151</v>
      </c>
      <c r="AA8" s="147" t="s">
        <v>928</v>
      </c>
      <c r="AB8" t="s">
        <v>7</v>
      </c>
      <c r="AC8" s="147" t="s">
        <v>263</v>
      </c>
      <c r="AD8" s="147" t="s">
        <v>92</v>
      </c>
      <c r="AE8" s="147">
        <v>0.74199999999999999</v>
      </c>
      <c r="AF8" s="147">
        <v>5.194</v>
      </c>
      <c r="AG8" s="147">
        <v>5.5119999999999996</v>
      </c>
      <c r="AH8" s="147" t="s">
        <v>815</v>
      </c>
      <c r="AI8" s="147" t="s">
        <v>820</v>
      </c>
      <c r="AX8" s="23"/>
      <c r="AY8" s="23"/>
      <c r="AZ8" s="23"/>
      <c r="BA8" s="23"/>
      <c r="BB8" s="23"/>
      <c r="BH8" t="s">
        <v>862</v>
      </c>
      <c r="BI8" t="s">
        <v>1103</v>
      </c>
      <c r="BJ8" t="s">
        <v>571</v>
      </c>
      <c r="BK8" t="s">
        <v>571</v>
      </c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</row>
    <row r="9" spans="1:115" ht="15" x14ac:dyDescent="0.25">
      <c r="B9" s="145"/>
      <c r="C9" s="147" t="s">
        <v>861</v>
      </c>
      <c r="D9" s="146">
        <v>45217</v>
      </c>
      <c r="E9" s="147" t="s">
        <v>862</v>
      </c>
      <c r="F9" s="147" t="s">
        <v>83</v>
      </c>
      <c r="G9" s="147" t="s">
        <v>863</v>
      </c>
      <c r="H9" s="147" t="s">
        <v>40</v>
      </c>
      <c r="I9" s="147" t="s">
        <v>92</v>
      </c>
      <c r="J9" s="147" t="s">
        <v>7</v>
      </c>
      <c r="K9" s="147" t="s">
        <v>7</v>
      </c>
      <c r="L9" s="147" t="s">
        <v>868</v>
      </c>
      <c r="P9" s="146">
        <v>45217</v>
      </c>
      <c r="Q9" s="147" t="s">
        <v>862</v>
      </c>
      <c r="R9" s="145" t="s">
        <v>787</v>
      </c>
      <c r="S9" s="147" t="s">
        <v>1114</v>
      </c>
      <c r="T9" s="147" t="s">
        <v>1032</v>
      </c>
      <c r="U9" s="145">
        <v>60</v>
      </c>
      <c r="V9" s="147" t="s">
        <v>92</v>
      </c>
      <c r="W9" s="147" t="s">
        <v>92</v>
      </c>
      <c r="X9" s="147" t="s">
        <v>85</v>
      </c>
      <c r="Y9" s="147">
        <v>2.1</v>
      </c>
      <c r="Z9" s="147" t="s">
        <v>151</v>
      </c>
      <c r="AA9" s="147" t="s">
        <v>1032</v>
      </c>
      <c r="AB9" t="s">
        <v>7</v>
      </c>
      <c r="AC9" s="147" t="s">
        <v>251</v>
      </c>
      <c r="AD9" s="147" t="s">
        <v>92</v>
      </c>
      <c r="AE9" s="147">
        <v>2.1</v>
      </c>
      <c r="AF9" s="147">
        <v>15.391</v>
      </c>
      <c r="AG9" s="147">
        <v>16.440999999999999</v>
      </c>
      <c r="AH9" s="147" t="s">
        <v>861</v>
      </c>
      <c r="AI9" s="147" t="s">
        <v>868</v>
      </c>
      <c r="AX9" s="23"/>
      <c r="AY9" s="23"/>
      <c r="AZ9" s="23"/>
      <c r="BA9" s="23"/>
      <c r="BB9" s="23"/>
      <c r="BH9" t="s">
        <v>840</v>
      </c>
      <c r="BI9" t="s">
        <v>1104</v>
      </c>
      <c r="BJ9" t="s">
        <v>571</v>
      </c>
      <c r="BK9" t="s">
        <v>571</v>
      </c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</row>
    <row r="10" spans="1:115" ht="15" x14ac:dyDescent="0.25">
      <c r="B10" s="145"/>
      <c r="C10" s="147" t="s">
        <v>839</v>
      </c>
      <c r="D10" s="146">
        <v>45217</v>
      </c>
      <c r="E10" s="147" t="s">
        <v>840</v>
      </c>
      <c r="F10" s="147" t="s">
        <v>83</v>
      </c>
      <c r="G10" s="147" t="s">
        <v>83</v>
      </c>
      <c r="H10" s="147" t="s">
        <v>39</v>
      </c>
      <c r="I10" s="147" t="s">
        <v>92</v>
      </c>
      <c r="J10" s="147" t="s">
        <v>7</v>
      </c>
      <c r="K10" s="147" t="s">
        <v>7</v>
      </c>
      <c r="L10" s="147" t="s">
        <v>845</v>
      </c>
      <c r="P10" s="146">
        <v>45217</v>
      </c>
      <c r="Q10" s="147" t="s">
        <v>840</v>
      </c>
      <c r="R10" s="145" t="s">
        <v>92</v>
      </c>
      <c r="S10" s="147" t="s">
        <v>92</v>
      </c>
      <c r="T10" s="147" t="s">
        <v>1016</v>
      </c>
      <c r="U10" s="145"/>
      <c r="V10" s="147" t="s">
        <v>92</v>
      </c>
      <c r="W10" s="147" t="s">
        <v>92</v>
      </c>
      <c r="X10" s="147" t="s">
        <v>106</v>
      </c>
      <c r="Y10" s="147">
        <v>0.6</v>
      </c>
      <c r="Z10" s="147" t="s">
        <v>560</v>
      </c>
      <c r="AA10" s="147" t="s">
        <v>1016</v>
      </c>
      <c r="AB10" t="s">
        <v>7</v>
      </c>
      <c r="AC10" s="147" t="s">
        <v>251</v>
      </c>
      <c r="AD10" s="147" t="s">
        <v>561</v>
      </c>
      <c r="AE10" s="147">
        <v>8.2000000000000003E-2</v>
      </c>
      <c r="AF10" s="147">
        <v>0.6</v>
      </c>
      <c r="AG10" s="147">
        <v>0.64100000000000001</v>
      </c>
      <c r="AH10" s="147" t="s">
        <v>839</v>
      </c>
      <c r="AI10" s="147" t="s">
        <v>845</v>
      </c>
      <c r="AQ10" s="23"/>
      <c r="AR10" s="23"/>
      <c r="AS10" s="23"/>
      <c r="AT10" s="23"/>
      <c r="AX10" s="23"/>
      <c r="AY10" s="23"/>
      <c r="AZ10" s="23"/>
      <c r="BA10" s="23"/>
      <c r="BB10" s="23"/>
      <c r="BH10" t="s">
        <v>825</v>
      </c>
      <c r="BI10" t="s">
        <v>1105</v>
      </c>
      <c r="BJ10" t="s">
        <v>571</v>
      </c>
      <c r="BK10" t="s">
        <v>571</v>
      </c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</row>
    <row r="11" spans="1:115" ht="15" x14ac:dyDescent="0.25">
      <c r="B11" s="145"/>
      <c r="C11" s="147" t="s">
        <v>824</v>
      </c>
      <c r="D11" s="146">
        <v>45217</v>
      </c>
      <c r="E11" s="147" t="s">
        <v>825</v>
      </c>
      <c r="F11" s="147" t="s">
        <v>83</v>
      </c>
      <c r="G11" s="147" t="s">
        <v>83</v>
      </c>
      <c r="H11" s="147" t="s">
        <v>39</v>
      </c>
      <c r="I11" s="147" t="s">
        <v>92</v>
      </c>
      <c r="J11" s="147" t="s">
        <v>7</v>
      </c>
      <c r="K11" s="147" t="s">
        <v>7</v>
      </c>
      <c r="L11" s="147" t="s">
        <v>830</v>
      </c>
      <c r="P11" s="146">
        <v>45217</v>
      </c>
      <c r="Q11" s="147" t="s">
        <v>825</v>
      </c>
      <c r="R11" s="145" t="s">
        <v>92</v>
      </c>
      <c r="S11" s="147" t="s">
        <v>92</v>
      </c>
      <c r="T11" s="147" t="s">
        <v>92</v>
      </c>
      <c r="U11" s="145"/>
      <c r="V11" s="147" t="s">
        <v>92</v>
      </c>
      <c r="W11" s="147" t="s">
        <v>92</v>
      </c>
      <c r="X11" s="147" t="s">
        <v>85</v>
      </c>
      <c r="Y11" s="147">
        <v>1.7</v>
      </c>
      <c r="Z11" s="147" t="s">
        <v>151</v>
      </c>
      <c r="AA11" s="147" t="s">
        <v>1032</v>
      </c>
      <c r="AB11" t="s">
        <v>7</v>
      </c>
      <c r="AC11" s="147" t="s">
        <v>263</v>
      </c>
      <c r="AD11" s="147" t="s">
        <v>92</v>
      </c>
      <c r="AE11" s="147">
        <v>1.7</v>
      </c>
      <c r="AF11" s="147">
        <v>12.459</v>
      </c>
      <c r="AG11" s="147">
        <v>13.308999999999999</v>
      </c>
      <c r="AH11" s="147" t="s">
        <v>824</v>
      </c>
      <c r="AI11" s="147" t="s">
        <v>830</v>
      </c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33"/>
      <c r="BF11" s="23"/>
      <c r="BG11" s="23"/>
      <c r="BH11" t="s">
        <v>870</v>
      </c>
      <c r="BI11" t="s">
        <v>1106</v>
      </c>
      <c r="BJ11" t="s">
        <v>571</v>
      </c>
      <c r="BK11" t="s">
        <v>571</v>
      </c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</row>
    <row r="12" spans="1:115" ht="15" x14ac:dyDescent="0.25">
      <c r="B12" s="145"/>
      <c r="C12" s="147" t="s">
        <v>869</v>
      </c>
      <c r="D12" s="146">
        <v>45217</v>
      </c>
      <c r="E12" s="147" t="s">
        <v>870</v>
      </c>
      <c r="F12" s="147" t="s">
        <v>83</v>
      </c>
      <c r="G12" s="147" t="s">
        <v>83</v>
      </c>
      <c r="H12" s="147" t="s">
        <v>37</v>
      </c>
      <c r="I12" s="147" t="s">
        <v>92</v>
      </c>
      <c r="J12" s="147" t="s">
        <v>7</v>
      </c>
      <c r="K12" s="147" t="s">
        <v>7</v>
      </c>
      <c r="L12" s="147" t="s">
        <v>873</v>
      </c>
      <c r="P12" s="146">
        <v>45217</v>
      </c>
      <c r="Q12" s="147" t="s">
        <v>870</v>
      </c>
      <c r="R12" s="145" t="s">
        <v>752</v>
      </c>
      <c r="S12" s="147" t="s">
        <v>1116</v>
      </c>
      <c r="T12" s="147" t="s">
        <v>999</v>
      </c>
      <c r="U12" s="145">
        <v>40</v>
      </c>
      <c r="V12" s="147" t="s">
        <v>92</v>
      </c>
      <c r="W12" s="147" t="s">
        <v>92</v>
      </c>
      <c r="X12" s="147" t="s">
        <v>85</v>
      </c>
      <c r="Y12" s="147">
        <v>3</v>
      </c>
      <c r="Z12" s="147" t="s">
        <v>151</v>
      </c>
      <c r="AA12" s="147" t="s">
        <v>999</v>
      </c>
      <c r="AB12" t="s">
        <v>7</v>
      </c>
      <c r="AC12" s="147" t="s">
        <v>263</v>
      </c>
      <c r="AD12" s="147" t="s">
        <v>92</v>
      </c>
      <c r="AE12" s="147">
        <v>3</v>
      </c>
      <c r="AF12" s="147">
        <v>21.986999999999998</v>
      </c>
      <c r="AG12" s="147">
        <v>23.486999999999998</v>
      </c>
      <c r="AH12" s="147" t="s">
        <v>869</v>
      </c>
      <c r="AI12" s="147" t="s">
        <v>873</v>
      </c>
      <c r="AJ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G12" s="23"/>
      <c r="BH12" t="s">
        <v>692</v>
      </c>
      <c r="BI12" t="s">
        <v>1107</v>
      </c>
      <c r="BJ12" t="s">
        <v>571</v>
      </c>
      <c r="BK12" t="s">
        <v>571</v>
      </c>
      <c r="BL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</row>
    <row r="13" spans="1:115" ht="15" x14ac:dyDescent="0.25">
      <c r="B13" s="145"/>
      <c r="C13" s="147" t="s">
        <v>831</v>
      </c>
      <c r="D13" s="146">
        <v>45217</v>
      </c>
      <c r="E13" s="147" t="s">
        <v>692</v>
      </c>
      <c r="F13" s="147" t="s">
        <v>83</v>
      </c>
      <c r="G13" s="147" t="s">
        <v>837</v>
      </c>
      <c r="H13" s="147" t="s">
        <v>39</v>
      </c>
      <c r="I13" s="147" t="s">
        <v>92</v>
      </c>
      <c r="J13" s="147" t="s">
        <v>149</v>
      </c>
      <c r="K13" s="147" t="s">
        <v>7</v>
      </c>
      <c r="L13" s="147" t="s">
        <v>838</v>
      </c>
      <c r="P13" s="146">
        <v>45217</v>
      </c>
      <c r="Q13" s="147" t="s">
        <v>692</v>
      </c>
      <c r="R13" s="145" t="s">
        <v>92</v>
      </c>
      <c r="S13" s="147" t="s">
        <v>92</v>
      </c>
      <c r="T13" s="147" t="s">
        <v>92</v>
      </c>
      <c r="U13" s="145"/>
      <c r="V13" s="147" t="s">
        <v>92</v>
      </c>
      <c r="W13" s="147" t="s">
        <v>92</v>
      </c>
      <c r="X13" s="147" t="s">
        <v>106</v>
      </c>
      <c r="Y13" s="147">
        <v>31.9</v>
      </c>
      <c r="Z13" s="147" t="s">
        <v>151</v>
      </c>
      <c r="AA13" s="147" t="s">
        <v>1117</v>
      </c>
      <c r="AB13" t="s">
        <v>7</v>
      </c>
      <c r="AC13" s="147" t="s">
        <v>110</v>
      </c>
      <c r="AD13" s="147" t="s">
        <v>92</v>
      </c>
      <c r="AE13" s="147">
        <v>4.3380000000000001</v>
      </c>
      <c r="AF13" s="147">
        <v>31.9</v>
      </c>
      <c r="AG13" s="147">
        <v>34.069000000000003</v>
      </c>
      <c r="AH13" s="147" t="s">
        <v>831</v>
      </c>
      <c r="AI13" s="147" t="s">
        <v>838</v>
      </c>
      <c r="AJ13" s="23"/>
      <c r="AM13" s="23"/>
      <c r="AP13" s="23"/>
      <c r="AQ13" s="23"/>
      <c r="AR13" s="23"/>
      <c r="AS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t="s">
        <v>879</v>
      </c>
      <c r="BI13" t="s">
        <v>1108</v>
      </c>
      <c r="BJ13" t="s">
        <v>571</v>
      </c>
      <c r="BK13" t="s">
        <v>571</v>
      </c>
      <c r="BL13" s="3"/>
      <c r="BM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</row>
    <row r="14" spans="1:115" ht="15" x14ac:dyDescent="0.25">
      <c r="B14" s="145"/>
      <c r="C14" s="147" t="s">
        <v>851</v>
      </c>
      <c r="D14" s="146">
        <v>45217</v>
      </c>
      <c r="E14" s="147" t="s">
        <v>847</v>
      </c>
      <c r="F14" s="147" t="s">
        <v>1176</v>
      </c>
      <c r="G14" s="147" t="s">
        <v>464</v>
      </c>
      <c r="H14" s="147" t="s">
        <v>37</v>
      </c>
      <c r="I14" s="147" t="s">
        <v>92</v>
      </c>
      <c r="J14" s="147" t="s">
        <v>7</v>
      </c>
      <c r="K14" s="147" t="s">
        <v>7</v>
      </c>
      <c r="L14" s="147" t="s">
        <v>853</v>
      </c>
      <c r="P14" s="146">
        <v>45217</v>
      </c>
      <c r="Q14" s="147" t="s">
        <v>847</v>
      </c>
      <c r="R14" s="145" t="s">
        <v>752</v>
      </c>
      <c r="S14" s="147" t="s">
        <v>477</v>
      </c>
      <c r="T14" s="147" t="s">
        <v>476</v>
      </c>
      <c r="U14" s="145">
        <v>45</v>
      </c>
      <c r="V14" s="147" t="s">
        <v>476</v>
      </c>
      <c r="W14" s="147" t="s">
        <v>92</v>
      </c>
      <c r="X14" s="147" t="s">
        <v>85</v>
      </c>
      <c r="Y14" s="147">
        <v>10</v>
      </c>
      <c r="Z14" s="147" t="s">
        <v>151</v>
      </c>
      <c r="AA14" s="147" t="s">
        <v>476</v>
      </c>
      <c r="AB14" t="s">
        <v>1127</v>
      </c>
      <c r="AC14" s="147" t="s">
        <v>1120</v>
      </c>
      <c r="AD14" s="147" t="s">
        <v>92</v>
      </c>
      <c r="AE14" s="147">
        <v>10</v>
      </c>
      <c r="AF14" s="147">
        <v>73.290000000000006</v>
      </c>
      <c r="AG14" s="147">
        <v>78.290000000000006</v>
      </c>
      <c r="AH14" s="147" t="s">
        <v>851</v>
      </c>
      <c r="AI14" s="147" t="s">
        <v>853</v>
      </c>
      <c r="AJ14" s="23"/>
      <c r="AN14" s="23"/>
      <c r="AS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t="s">
        <v>909</v>
      </c>
      <c r="BI14" t="s">
        <v>1109</v>
      </c>
      <c r="BJ14" t="s">
        <v>571</v>
      </c>
      <c r="BK14" t="s">
        <v>571</v>
      </c>
      <c r="BL14" s="3"/>
      <c r="BM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</row>
    <row r="15" spans="1:115" ht="15" x14ac:dyDescent="0.25">
      <c r="B15" s="145"/>
      <c r="C15" s="147" t="s">
        <v>846</v>
      </c>
      <c r="D15" s="146">
        <v>45217</v>
      </c>
      <c r="E15" s="147" t="s">
        <v>847</v>
      </c>
      <c r="F15" s="147" t="s">
        <v>1176</v>
      </c>
      <c r="G15" s="147" t="s">
        <v>464</v>
      </c>
      <c r="H15" s="147" t="s">
        <v>37</v>
      </c>
      <c r="I15" s="147" t="s">
        <v>92</v>
      </c>
      <c r="J15" s="147" t="s">
        <v>149</v>
      </c>
      <c r="K15" s="147" t="s">
        <v>7</v>
      </c>
      <c r="L15" s="147" t="s">
        <v>850</v>
      </c>
      <c r="P15" s="146">
        <v>45217</v>
      </c>
      <c r="Q15" s="147" t="s">
        <v>847</v>
      </c>
      <c r="R15" s="145" t="s">
        <v>752</v>
      </c>
      <c r="S15" s="147" t="s">
        <v>1123</v>
      </c>
      <c r="T15" s="147" t="s">
        <v>1124</v>
      </c>
      <c r="U15" s="145"/>
      <c r="V15" s="147" t="s">
        <v>92</v>
      </c>
      <c r="W15" s="147" t="s">
        <v>92</v>
      </c>
      <c r="X15" s="147" t="s">
        <v>85</v>
      </c>
      <c r="Y15" s="147">
        <v>5</v>
      </c>
      <c r="Z15" s="147" t="s">
        <v>151</v>
      </c>
      <c r="AA15" s="147" t="s">
        <v>969</v>
      </c>
      <c r="AB15" t="s">
        <v>7</v>
      </c>
      <c r="AC15" s="147" t="s">
        <v>1120</v>
      </c>
      <c r="AD15" s="147" t="s">
        <v>92</v>
      </c>
      <c r="AE15" s="147">
        <v>5</v>
      </c>
      <c r="AF15" s="147">
        <v>36.645000000000003</v>
      </c>
      <c r="AG15" s="147">
        <v>39.145000000000003</v>
      </c>
      <c r="AH15" s="147" t="s">
        <v>846</v>
      </c>
      <c r="AI15" s="147" t="s">
        <v>850</v>
      </c>
      <c r="AJ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I15" s="3"/>
      <c r="BJ15" s="3"/>
      <c r="BK15" s="3"/>
      <c r="BL15" s="3"/>
      <c r="BM15" s="3"/>
      <c r="BN15" s="3"/>
      <c r="BO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</row>
    <row r="16" spans="1:115" ht="15" x14ac:dyDescent="0.25">
      <c r="B16" s="145"/>
      <c r="C16" s="147" t="s">
        <v>854</v>
      </c>
      <c r="D16" s="146">
        <v>45217</v>
      </c>
      <c r="E16" s="147" t="s">
        <v>847</v>
      </c>
      <c r="F16" s="147" t="s">
        <v>1176</v>
      </c>
      <c r="G16" s="147" t="s">
        <v>464</v>
      </c>
      <c r="H16" s="147" t="s">
        <v>37</v>
      </c>
      <c r="I16" s="147" t="s">
        <v>92</v>
      </c>
      <c r="J16" s="147" t="s">
        <v>149</v>
      </c>
      <c r="K16" s="147" t="s">
        <v>7</v>
      </c>
      <c r="L16" s="147" t="s">
        <v>856</v>
      </c>
      <c r="P16" s="146">
        <v>45217</v>
      </c>
      <c r="Q16" s="147" t="s">
        <v>847</v>
      </c>
      <c r="R16" s="145" t="s">
        <v>752</v>
      </c>
      <c r="S16" s="147" t="s">
        <v>1129</v>
      </c>
      <c r="T16" s="147" t="s">
        <v>571</v>
      </c>
      <c r="U16" s="145"/>
      <c r="V16" s="147" t="s">
        <v>571</v>
      </c>
      <c r="W16" s="147" t="s">
        <v>92</v>
      </c>
      <c r="X16" s="147" t="s">
        <v>111</v>
      </c>
      <c r="Y16" s="147">
        <v>3</v>
      </c>
      <c r="Z16" s="147" t="s">
        <v>151</v>
      </c>
      <c r="AA16" s="147" t="s">
        <v>959</v>
      </c>
      <c r="AB16" t="s">
        <v>7</v>
      </c>
      <c r="AC16" s="147" t="s">
        <v>1120</v>
      </c>
      <c r="AD16" s="147" t="s">
        <v>92</v>
      </c>
      <c r="AE16" s="147">
        <v>3.1589999999999998</v>
      </c>
      <c r="AF16" s="147">
        <v>23.154</v>
      </c>
      <c r="AG16" s="147">
        <v>24.734999999999999</v>
      </c>
      <c r="AH16" s="147" t="s">
        <v>854</v>
      </c>
      <c r="AI16" s="147" t="s">
        <v>856</v>
      </c>
      <c r="AJ16" s="23"/>
      <c r="AM16" s="23"/>
      <c r="AO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I16" s="3"/>
      <c r="BJ16" s="3"/>
      <c r="BK16" s="3"/>
      <c r="BL16" s="3"/>
      <c r="BM16" s="3"/>
      <c r="BN16" s="3"/>
      <c r="BO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</row>
    <row r="17" spans="2:115" ht="15" x14ac:dyDescent="0.25">
      <c r="B17" s="145"/>
      <c r="C17" s="147" t="s">
        <v>857</v>
      </c>
      <c r="D17" s="146">
        <v>45217</v>
      </c>
      <c r="E17" s="147" t="s">
        <v>847</v>
      </c>
      <c r="F17" s="147" t="s">
        <v>1176</v>
      </c>
      <c r="G17" s="147" t="s">
        <v>464</v>
      </c>
      <c r="H17" s="147" t="s">
        <v>37</v>
      </c>
      <c r="I17" s="147" t="s">
        <v>92</v>
      </c>
      <c r="J17" s="147" t="s">
        <v>149</v>
      </c>
      <c r="K17" s="147" t="s">
        <v>7</v>
      </c>
      <c r="L17" s="147" t="s">
        <v>860</v>
      </c>
      <c r="P17" s="146">
        <v>45217</v>
      </c>
      <c r="Q17" s="147" t="s">
        <v>847</v>
      </c>
      <c r="R17" s="145" t="s">
        <v>752</v>
      </c>
      <c r="S17" s="147" t="s">
        <v>1131</v>
      </c>
      <c r="T17" s="147" t="s">
        <v>1132</v>
      </c>
      <c r="U17" s="145">
        <v>35</v>
      </c>
      <c r="V17" s="147" t="s">
        <v>92</v>
      </c>
      <c r="W17" s="147" t="s">
        <v>92</v>
      </c>
      <c r="X17" s="147" t="s">
        <v>106</v>
      </c>
      <c r="Y17" s="147">
        <v>16</v>
      </c>
      <c r="Z17" s="147" t="s">
        <v>576</v>
      </c>
      <c r="AA17" s="147" t="s">
        <v>1132</v>
      </c>
      <c r="AB17" t="s">
        <v>7</v>
      </c>
      <c r="AC17" s="147" t="s">
        <v>1120</v>
      </c>
      <c r="AD17" s="147" t="s">
        <v>92</v>
      </c>
      <c r="AE17" s="147">
        <v>2.1760000000000002</v>
      </c>
      <c r="AF17" s="147">
        <v>16</v>
      </c>
      <c r="AG17" s="147">
        <v>17.088000000000001</v>
      </c>
      <c r="AH17" s="147" t="s">
        <v>857</v>
      </c>
      <c r="AI17" s="147" t="s">
        <v>860</v>
      </c>
      <c r="AJ17" s="23"/>
      <c r="AO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I17" s="3"/>
      <c r="BJ17" s="3"/>
      <c r="BK17" s="3"/>
      <c r="BL17" s="3"/>
      <c r="BM17" s="3"/>
      <c r="BN17" s="3"/>
      <c r="BO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</row>
    <row r="18" spans="2:115" ht="15" x14ac:dyDescent="0.25">
      <c r="B18" s="145"/>
      <c r="C18" s="147" t="s">
        <v>878</v>
      </c>
      <c r="D18" s="146">
        <v>45216</v>
      </c>
      <c r="E18" s="147" t="s">
        <v>879</v>
      </c>
      <c r="F18" s="147" t="s">
        <v>83</v>
      </c>
      <c r="G18" s="147" t="s">
        <v>83</v>
      </c>
      <c r="H18" s="147" t="s">
        <v>37</v>
      </c>
      <c r="I18" s="147" t="s">
        <v>92</v>
      </c>
      <c r="J18" s="147" t="s">
        <v>7</v>
      </c>
      <c r="K18" s="147" t="s">
        <v>7</v>
      </c>
      <c r="L18" s="147" t="s">
        <v>883</v>
      </c>
      <c r="P18" s="146">
        <v>45216</v>
      </c>
      <c r="Q18" s="147" t="s">
        <v>879</v>
      </c>
      <c r="R18" s="145" t="s">
        <v>92</v>
      </c>
      <c r="S18" s="147" t="s">
        <v>92</v>
      </c>
      <c r="T18" s="147" t="s">
        <v>92</v>
      </c>
      <c r="U18" s="145"/>
      <c r="V18" s="147" t="s">
        <v>92</v>
      </c>
      <c r="W18" s="147" t="s">
        <v>92</v>
      </c>
      <c r="X18" s="147" t="s">
        <v>106</v>
      </c>
      <c r="Y18" s="147">
        <v>4.5</v>
      </c>
      <c r="Z18" s="147" t="s">
        <v>151</v>
      </c>
      <c r="AA18" s="147" t="s">
        <v>1135</v>
      </c>
      <c r="AB18" t="s">
        <v>7</v>
      </c>
      <c r="AC18" s="147" t="s">
        <v>251</v>
      </c>
      <c r="AD18" s="147" t="s">
        <v>92</v>
      </c>
      <c r="AE18" s="147">
        <v>0.61599999999999999</v>
      </c>
      <c r="AF18" s="147">
        <v>4.5</v>
      </c>
      <c r="AG18" s="147">
        <v>4.8099999999999996</v>
      </c>
      <c r="AH18" s="147" t="s">
        <v>878</v>
      </c>
      <c r="AI18" s="147" t="s">
        <v>883</v>
      </c>
      <c r="AJ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I18" s="3"/>
      <c r="BJ18" s="3"/>
      <c r="BK18" s="3"/>
      <c r="BL18" s="3"/>
      <c r="BM18" s="3"/>
      <c r="BN18" s="3"/>
      <c r="BO18" s="3"/>
      <c r="BP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</row>
    <row r="19" spans="2:115" ht="15" x14ac:dyDescent="0.25">
      <c r="B19" s="145"/>
      <c r="C19" s="147" t="s">
        <v>884</v>
      </c>
      <c r="D19" s="146">
        <v>45216</v>
      </c>
      <c r="E19" s="147" t="s">
        <v>885</v>
      </c>
      <c r="F19" s="147" t="s">
        <v>83</v>
      </c>
      <c r="G19" s="147" t="s">
        <v>83</v>
      </c>
      <c r="H19" s="147" t="s">
        <v>112</v>
      </c>
      <c r="I19" s="147" t="s">
        <v>343</v>
      </c>
      <c r="J19" s="147" t="s">
        <v>7</v>
      </c>
      <c r="K19" s="147" t="s">
        <v>7</v>
      </c>
      <c r="L19" s="147" t="s">
        <v>889</v>
      </c>
      <c r="M19" s="23"/>
      <c r="N19" s="23"/>
      <c r="O19" s="23"/>
      <c r="P19" s="146">
        <v>45216</v>
      </c>
      <c r="Q19" s="147" t="s">
        <v>885</v>
      </c>
      <c r="R19" s="145" t="s">
        <v>92</v>
      </c>
      <c r="S19" s="147" t="s">
        <v>1136</v>
      </c>
      <c r="T19" s="147" t="s">
        <v>1044</v>
      </c>
      <c r="U19" s="145">
        <v>15</v>
      </c>
      <c r="V19" s="147" t="s">
        <v>92</v>
      </c>
      <c r="W19" s="147" t="s">
        <v>92</v>
      </c>
      <c r="X19" s="147" t="s">
        <v>262</v>
      </c>
      <c r="Y19" s="147">
        <v>45</v>
      </c>
      <c r="Z19" s="147" t="s">
        <v>151</v>
      </c>
      <c r="AA19" s="147" t="s">
        <v>1044</v>
      </c>
      <c r="AB19" t="s">
        <v>7</v>
      </c>
      <c r="AC19" s="147" t="s">
        <v>251</v>
      </c>
      <c r="AD19" s="147" t="s">
        <v>92</v>
      </c>
      <c r="AE19" s="147">
        <v>0.315</v>
      </c>
      <c r="AF19" s="147">
        <v>2.2050000000000001</v>
      </c>
      <c r="AG19" s="147">
        <v>2.34</v>
      </c>
      <c r="AH19" s="147" t="s">
        <v>884</v>
      </c>
      <c r="AI19" s="147" t="s">
        <v>889</v>
      </c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3"/>
      <c r="BK19" s="3"/>
      <c r="BS19" s="3"/>
      <c r="BU19" s="3"/>
      <c r="BV19" s="3"/>
      <c r="BW19" s="3"/>
      <c r="BX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</row>
    <row r="20" spans="2:115" ht="15" x14ac:dyDescent="0.25">
      <c r="B20" s="145"/>
      <c r="C20" s="147" t="s">
        <v>899</v>
      </c>
      <c r="D20" s="146">
        <v>45215</v>
      </c>
      <c r="E20" s="147" t="s">
        <v>900</v>
      </c>
      <c r="F20" s="147" t="s">
        <v>83</v>
      </c>
      <c r="G20" s="147" t="s">
        <v>83</v>
      </c>
      <c r="H20" s="147" t="s">
        <v>39</v>
      </c>
      <c r="I20" s="147" t="s">
        <v>92</v>
      </c>
      <c r="J20" s="147" t="s">
        <v>7</v>
      </c>
      <c r="K20" s="147" t="s">
        <v>7</v>
      </c>
      <c r="L20" s="147" t="s">
        <v>904</v>
      </c>
      <c r="M20" s="23"/>
      <c r="N20" s="23"/>
      <c r="O20" s="23"/>
      <c r="P20" s="146">
        <v>45215</v>
      </c>
      <c r="Q20" s="147" t="s">
        <v>900</v>
      </c>
      <c r="R20" s="145" t="s">
        <v>92</v>
      </c>
      <c r="S20" s="147" t="s">
        <v>92</v>
      </c>
      <c r="T20" s="147" t="s">
        <v>1016</v>
      </c>
      <c r="U20" s="145"/>
      <c r="V20" s="147" t="s">
        <v>92</v>
      </c>
      <c r="W20" s="147" t="s">
        <v>92</v>
      </c>
      <c r="X20" s="147" t="s">
        <v>106</v>
      </c>
      <c r="Y20" s="147">
        <v>2.7</v>
      </c>
      <c r="Z20" s="147" t="s">
        <v>151</v>
      </c>
      <c r="AA20" s="147" t="s">
        <v>1016</v>
      </c>
      <c r="AB20" t="s">
        <v>7</v>
      </c>
      <c r="AC20" s="147" t="s">
        <v>251</v>
      </c>
      <c r="AD20" s="147" t="s">
        <v>92</v>
      </c>
      <c r="AE20" s="147">
        <v>0.37</v>
      </c>
      <c r="AF20" s="147">
        <v>2.7</v>
      </c>
      <c r="AG20" s="147">
        <v>2.8860000000000001</v>
      </c>
      <c r="AH20" s="147" t="s">
        <v>899</v>
      </c>
      <c r="AI20" s="147" t="s">
        <v>904</v>
      </c>
      <c r="AJ20" s="23"/>
      <c r="AK20" s="23"/>
      <c r="AL20" s="23"/>
      <c r="AM20" s="23"/>
      <c r="AN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J20" s="3"/>
      <c r="CB20" s="3"/>
      <c r="CC20" s="3"/>
      <c r="CF20" s="3"/>
      <c r="CG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2:115" ht="15" x14ac:dyDescent="0.25">
      <c r="B21" s="145"/>
      <c r="C21" s="147" t="s">
        <v>908</v>
      </c>
      <c r="D21" s="146">
        <v>45215</v>
      </c>
      <c r="E21" s="147" t="s">
        <v>909</v>
      </c>
      <c r="F21" s="147" t="s">
        <v>83</v>
      </c>
      <c r="G21" s="147" t="s">
        <v>527</v>
      </c>
      <c r="H21" s="147" t="s">
        <v>37</v>
      </c>
      <c r="I21" s="147" t="s">
        <v>92</v>
      </c>
      <c r="J21" s="147" t="s">
        <v>7</v>
      </c>
      <c r="K21" s="147" t="s">
        <v>7</v>
      </c>
      <c r="L21" s="147" t="s">
        <v>913</v>
      </c>
      <c r="M21" s="23"/>
      <c r="N21" s="23"/>
      <c r="O21" s="23"/>
      <c r="P21" s="146">
        <v>45215</v>
      </c>
      <c r="Q21" s="147" t="s">
        <v>909</v>
      </c>
      <c r="R21" s="145" t="s">
        <v>92</v>
      </c>
      <c r="S21" s="147" t="s">
        <v>795</v>
      </c>
      <c r="T21" s="147" t="s">
        <v>565</v>
      </c>
      <c r="U21" s="145">
        <v>20</v>
      </c>
      <c r="V21" s="147" t="s">
        <v>92</v>
      </c>
      <c r="W21" s="147" t="s">
        <v>92</v>
      </c>
      <c r="X21" s="147" t="s">
        <v>106</v>
      </c>
      <c r="Y21" s="147">
        <v>17.75</v>
      </c>
      <c r="Z21" s="147" t="s">
        <v>151</v>
      </c>
      <c r="AA21" s="147" t="s">
        <v>565</v>
      </c>
      <c r="AB21" t="s">
        <v>7</v>
      </c>
      <c r="AC21" s="147" t="s">
        <v>263</v>
      </c>
      <c r="AD21" s="147" t="s">
        <v>92</v>
      </c>
      <c r="AE21" s="147">
        <v>2.4319999999999999</v>
      </c>
      <c r="AF21" s="147">
        <v>17.75</v>
      </c>
      <c r="AG21" s="147">
        <v>18.975000000000001</v>
      </c>
      <c r="AH21" s="147" t="s">
        <v>908</v>
      </c>
      <c r="AI21" s="147" t="s">
        <v>913</v>
      </c>
      <c r="AJ21" s="23"/>
      <c r="AK21" s="23"/>
      <c r="AL21" s="23"/>
      <c r="AM21" s="23"/>
      <c r="AN21" s="23"/>
      <c r="AO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J21" s="3"/>
      <c r="BK21" s="3"/>
      <c r="CB21" s="3"/>
      <c r="CC21" s="3"/>
      <c r="CF21" s="3"/>
      <c r="CG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</row>
    <row r="22" spans="2:115" ht="15" x14ac:dyDescent="0.25">
      <c r="B22" s="145"/>
      <c r="C22" s="147" t="s">
        <v>905</v>
      </c>
      <c r="D22" s="146">
        <v>45215</v>
      </c>
      <c r="E22" s="147" t="s">
        <v>777</v>
      </c>
      <c r="F22" s="147" t="s">
        <v>83</v>
      </c>
      <c r="G22" s="147" t="s">
        <v>783</v>
      </c>
      <c r="H22" s="147" t="s">
        <v>112</v>
      </c>
      <c r="I22" s="147" t="s">
        <v>342</v>
      </c>
      <c r="J22" s="147" t="s">
        <v>7</v>
      </c>
      <c r="K22" s="147" t="s">
        <v>7</v>
      </c>
      <c r="L22" s="147" t="s">
        <v>907</v>
      </c>
      <c r="M22" s="23"/>
      <c r="N22" s="23"/>
      <c r="O22" s="23"/>
      <c r="P22" s="146">
        <v>45215</v>
      </c>
      <c r="Q22" s="147" t="s">
        <v>777</v>
      </c>
      <c r="R22" s="145" t="s">
        <v>92</v>
      </c>
      <c r="S22" s="147" t="s">
        <v>92</v>
      </c>
      <c r="T22" s="147" t="s">
        <v>788</v>
      </c>
      <c r="U22" s="145"/>
      <c r="V22" s="147" t="s">
        <v>92</v>
      </c>
      <c r="W22" s="147" t="s">
        <v>92</v>
      </c>
      <c r="X22" s="147" t="s">
        <v>85</v>
      </c>
      <c r="Y22" s="147">
        <v>0.3</v>
      </c>
      <c r="Z22" s="147" t="s">
        <v>151</v>
      </c>
      <c r="AA22" s="147" t="s">
        <v>788</v>
      </c>
      <c r="AB22" t="s">
        <v>7</v>
      </c>
      <c r="AC22" s="147" t="s">
        <v>263</v>
      </c>
      <c r="AD22" s="147" t="s">
        <v>92</v>
      </c>
      <c r="AE22" s="147">
        <v>0.3</v>
      </c>
      <c r="AF22" s="147">
        <v>2.194</v>
      </c>
      <c r="AG22" s="147">
        <v>2.3460000000000001</v>
      </c>
      <c r="AH22" s="147" t="s">
        <v>905</v>
      </c>
      <c r="AI22" s="147" t="s">
        <v>907</v>
      </c>
      <c r="AJ22" s="23"/>
      <c r="AK22" s="23"/>
      <c r="AL22" s="23"/>
      <c r="AM22" s="23"/>
      <c r="AN22" s="23"/>
      <c r="AO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J22" s="3"/>
      <c r="BK22" s="3"/>
      <c r="CG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2:115" ht="13.5" x14ac:dyDescent="0.25"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J23" s="3"/>
      <c r="BK23" s="3"/>
      <c r="CG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2:115" ht="13.5" x14ac:dyDescent="0.25"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J24" s="3"/>
      <c r="BK24" s="3"/>
      <c r="CG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2:115" ht="13.5" x14ac:dyDescent="0.25"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J25" s="3"/>
      <c r="BK25" s="3"/>
      <c r="CG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2:115" ht="13.5" x14ac:dyDescent="0.25"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J26" s="3"/>
      <c r="BK26" s="3"/>
      <c r="CG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2:115" ht="13.5" x14ac:dyDescent="0.25"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CH27" s="3"/>
      <c r="CI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2:115" ht="13.5" x14ac:dyDescent="0.25"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CH28" s="3"/>
      <c r="CI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2:115" ht="13.5" x14ac:dyDescent="0.25"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CH29" s="3"/>
      <c r="CI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2:115" ht="13.5" x14ac:dyDescent="0.25"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CH30" s="3"/>
      <c r="CI30" s="3"/>
      <c r="CK30" s="3"/>
      <c r="CL30" s="3"/>
      <c r="CM30" s="3"/>
      <c r="CN30" s="3"/>
      <c r="CO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2:115" ht="13.5" x14ac:dyDescent="0.25"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CH31" s="3"/>
      <c r="CI31" s="3"/>
      <c r="CK31" s="3"/>
      <c r="CL31" s="3"/>
      <c r="CM31" s="3"/>
      <c r="CN31" s="3"/>
      <c r="CO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2:115" ht="13.5" x14ac:dyDescent="0.25"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CH32" s="3"/>
      <c r="CI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2:115" ht="13.5" x14ac:dyDescent="0.25"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CH33" s="3"/>
      <c r="CI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2:115" ht="13.5" x14ac:dyDescent="0.25"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CI34" s="3"/>
      <c r="CJ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2:115" ht="13.5" x14ac:dyDescent="0.25"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CI35" s="3"/>
      <c r="CJ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2:115" ht="13.5" x14ac:dyDescent="0.25"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CI36" s="3"/>
      <c r="CJ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2:115" ht="13.5" x14ac:dyDescent="0.25"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CI37" s="3"/>
      <c r="CJ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2:115" ht="13.5" x14ac:dyDescent="0.25"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CI38" s="3"/>
      <c r="CJ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2:115" ht="13.5" x14ac:dyDescent="0.25"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CI39" s="3"/>
      <c r="CJ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2:115" ht="13.5" x14ac:dyDescent="0.25"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CI40" s="3"/>
      <c r="CJ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2:115" ht="13.5" x14ac:dyDescent="0.25"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CI41" s="3"/>
      <c r="CJ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2:115" ht="13.5" x14ac:dyDescent="0.25"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CI42" s="3"/>
      <c r="CJ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2:115" ht="13.5" x14ac:dyDescent="0.25"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CI43" s="3"/>
      <c r="CJ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2:115" ht="13.5" x14ac:dyDescent="0.25"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CI44" s="3"/>
      <c r="CJ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2:115" ht="13.5" x14ac:dyDescent="0.25"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CI45" s="3"/>
      <c r="CJ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2:115" ht="13.5" x14ac:dyDescent="0.25"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CI46" s="3"/>
      <c r="CJ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2:115" ht="13.5" x14ac:dyDescent="0.25"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CI47" s="3"/>
      <c r="CJ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2:115" ht="13.5" x14ac:dyDescent="0.25"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CI48" s="3"/>
      <c r="CJ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3:115" ht="13.5" x14ac:dyDescent="0.25"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CI49" s="3"/>
      <c r="CJ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3:115" ht="13.5" x14ac:dyDescent="0.25"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CI50" s="3"/>
      <c r="CJ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3:115" ht="15.75" customHeight="1" x14ac:dyDescent="0.25"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CI51" s="3"/>
      <c r="CJ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3:115" ht="15.75" customHeight="1" x14ac:dyDescent="0.25"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CI52" s="3"/>
      <c r="CJ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3:115" ht="15.75" customHeight="1" x14ac:dyDescent="0.25"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CI53" s="3"/>
      <c r="CJ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3:115" ht="15.75" customHeight="1" x14ac:dyDescent="0.25"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Q54" s="23"/>
      <c r="AR54" s="23"/>
      <c r="AS54" s="23"/>
      <c r="AT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CI54" s="3"/>
      <c r="CJ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3:115" ht="15.75" customHeight="1" x14ac:dyDescent="0.25"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Q55" s="23"/>
      <c r="AR55" s="23"/>
      <c r="AS55" s="23"/>
      <c r="AT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CI55" s="3"/>
      <c r="CJ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3:115" ht="15.75" customHeight="1" x14ac:dyDescent="0.25"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Q56" s="23"/>
      <c r="AR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CI56" s="3"/>
      <c r="CJ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3:115" ht="15.75" customHeight="1" x14ac:dyDescent="0.25"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R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CI57" s="3"/>
      <c r="CJ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3:115" ht="15.75" customHeight="1" x14ac:dyDescent="0.25"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W58" s="23"/>
      <c r="AZ58" s="23"/>
      <c r="BA58" s="23"/>
      <c r="BB58" s="23"/>
      <c r="BC58" s="23"/>
      <c r="BD58" s="23"/>
      <c r="BE58" s="23"/>
      <c r="BF58" s="23"/>
      <c r="BG58" s="23"/>
      <c r="BH58" s="23"/>
      <c r="CI58" s="3"/>
      <c r="CJ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3:115" ht="13.5" x14ac:dyDescent="0.25"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W59" s="23"/>
      <c r="AZ59" s="23"/>
      <c r="BA59" s="23"/>
      <c r="BB59" s="23"/>
      <c r="BC59" s="23"/>
      <c r="BD59" s="23"/>
      <c r="BE59" s="23"/>
      <c r="BF59" s="23"/>
      <c r="BG59" s="23"/>
      <c r="BH59" s="23"/>
      <c r="CI59" s="3"/>
      <c r="CJ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3:115" ht="13.5" x14ac:dyDescent="0.25"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K60" s="23"/>
      <c r="AL60" s="23"/>
      <c r="AM60" s="23"/>
      <c r="AN60" s="23"/>
      <c r="AW60" s="23"/>
      <c r="AZ60" s="23"/>
      <c r="BA60" s="23"/>
      <c r="BB60" s="23"/>
      <c r="BD60" s="23"/>
      <c r="BE60" s="23"/>
      <c r="BH60" s="23"/>
      <c r="CI60" s="3"/>
      <c r="CJ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3:115" ht="13.5" x14ac:dyDescent="0.25"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K61" s="23"/>
      <c r="AL61" s="23"/>
      <c r="AM61" s="23"/>
      <c r="AW61" s="23"/>
      <c r="AZ61" s="23"/>
      <c r="BD61" s="23"/>
      <c r="BE61" s="23"/>
      <c r="BH61" s="23"/>
      <c r="CI61" s="3"/>
      <c r="CJ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3:115" ht="13.5" x14ac:dyDescent="0.25"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K62" s="23"/>
      <c r="AL62" s="23"/>
      <c r="AM62" s="23"/>
      <c r="AW62" s="23"/>
      <c r="BD62" s="23"/>
      <c r="BE62" s="23"/>
      <c r="BH62" s="23"/>
      <c r="CI62" s="3"/>
      <c r="CJ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3:115" ht="13.5" x14ac:dyDescent="0.25"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K63" s="23"/>
      <c r="AL63" s="23"/>
      <c r="AM63" s="23"/>
      <c r="BD63" s="23"/>
      <c r="BE63" s="23"/>
      <c r="BH63" s="23"/>
      <c r="CI63" s="3"/>
      <c r="CJ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3:115" ht="13.5" x14ac:dyDescent="0.25"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K64" s="23"/>
      <c r="AL64" s="23"/>
      <c r="AM64" s="23"/>
      <c r="BH64" s="23"/>
      <c r="CI64" s="3"/>
      <c r="CJ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3:115" ht="13.5" x14ac:dyDescent="0.25"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K65" s="23"/>
      <c r="AL65" s="23"/>
      <c r="AM65" s="23"/>
      <c r="BH65" s="23"/>
      <c r="CI65" s="3"/>
      <c r="CJ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3:115" ht="13.5" x14ac:dyDescent="0.25"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K66" s="23"/>
      <c r="AL66" s="23"/>
      <c r="AM66" s="23"/>
      <c r="BH66" s="23"/>
      <c r="CI66" s="3"/>
      <c r="CJ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3:115" ht="13.5" x14ac:dyDescent="0.25"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BH67" s="2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3:115" ht="13.5" x14ac:dyDescent="0.25"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3:115" ht="13.5" x14ac:dyDescent="0.25"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3:115" ht="13.5" x14ac:dyDescent="0.25"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3:115" ht="13.5" x14ac:dyDescent="0.25"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3:115" ht="13.5" x14ac:dyDescent="0.25"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3:115" ht="13.5" x14ac:dyDescent="0.25"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</sheetData>
  <phoneticPr fontId="14" type="noConversion"/>
  <conditionalFormatting sqref="G3:L3">
    <cfRule type="expression" dxfId="91" priority="19">
      <formula>$G$3&lt;&gt;0</formula>
    </cfRule>
  </conditionalFormatting>
  <conditionalFormatting sqref="S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Q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11</xdr:col>
                    <xdr:colOff>1000125</xdr:colOff>
                    <xdr:row>1</xdr:row>
                    <xdr:rowOff>190500</xdr:rowOff>
                  </from>
                  <to>
                    <xdr:col>15</xdr:col>
                    <xdr:colOff>342900</xdr:colOff>
                    <xdr:row>3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Button 11">
              <controlPr defaultSize="0" print="0" autoFill="0" autoPict="0" macro="[0]!RefreshDLDForReview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3</xdr:col>
                    <xdr:colOff>800100</xdr:colOff>
                    <xdr:row>3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B71E-ECA4-48AC-9BFF-6FF6EFEE5281}">
  <sheetPr codeName="Sheet16"/>
  <dimension ref="A1:CZ30"/>
  <sheetViews>
    <sheetView workbookViewId="0">
      <selection activeCell="J12" sqref="J12"/>
    </sheetView>
  </sheetViews>
  <sheetFormatPr defaultRowHeight="15" x14ac:dyDescent="0.25"/>
  <cols>
    <col min="1" max="1" width="7.33203125" style="1" bestFit="1" customWidth="1"/>
    <col min="2" max="2" width="10.5546875" style="1" bestFit="1" customWidth="1"/>
    <col min="3" max="3" width="29.88671875" style="1" bestFit="1" customWidth="1"/>
    <col min="4" max="4" width="6.109375" style="1" bestFit="1" customWidth="1"/>
    <col min="5" max="5" width="13.33203125" style="1" bestFit="1" customWidth="1"/>
    <col min="6" max="6" width="10.33203125" style="1" bestFit="1" customWidth="1"/>
    <col min="7" max="7" width="6.109375" style="1" bestFit="1" customWidth="1"/>
    <col min="8" max="8" width="20.44140625" style="1" bestFit="1" customWidth="1"/>
    <col min="9" max="9" width="28.5546875" style="1" bestFit="1" customWidth="1"/>
    <col min="10" max="10" width="24.109375" style="1" bestFit="1" customWidth="1"/>
    <col min="11" max="12" width="80.88671875" style="1" bestFit="1" customWidth="1"/>
    <col min="13" max="13" width="26.21875" style="1" bestFit="1" customWidth="1"/>
    <col min="14" max="14" width="8.77734375" style="1" bestFit="1" customWidth="1"/>
    <col min="15" max="15" width="9.44140625" style="1" bestFit="1" customWidth="1"/>
    <col min="16" max="16" width="25.88671875" style="1" bestFit="1" customWidth="1"/>
    <col min="17" max="21" width="9.44140625" style="1" bestFit="1" customWidth="1"/>
    <col min="22" max="22" width="11.109375" style="1" bestFit="1" customWidth="1"/>
    <col min="23" max="23" width="80.88671875" style="1" bestFit="1" customWidth="1"/>
    <col min="24" max="24" width="19" style="1" bestFit="1" customWidth="1"/>
    <col min="25" max="25" width="10.33203125" style="1" bestFit="1" customWidth="1"/>
    <col min="26" max="26" width="23.77734375" style="1" bestFit="1" customWidth="1"/>
    <col min="27" max="27" width="11.109375" style="1" bestFit="1" customWidth="1"/>
    <col min="28" max="28" width="31.33203125" style="1" bestFit="1" customWidth="1"/>
    <col min="29" max="29" width="56.44140625" style="1" bestFit="1" customWidth="1"/>
    <col min="30" max="30" width="11.109375" style="1" bestFit="1" customWidth="1"/>
    <col min="31" max="31" width="16.21875" style="1" bestFit="1" customWidth="1"/>
    <col min="32" max="32" width="12.77734375" style="1" bestFit="1" customWidth="1"/>
    <col min="33" max="33" width="11.109375" style="1" bestFit="1" customWidth="1"/>
    <col min="34" max="34" width="10.33203125" style="1" bestFit="1" customWidth="1"/>
    <col min="35" max="35" width="9.44140625" style="1" bestFit="1" customWidth="1"/>
    <col min="36" max="36" width="12.77734375" style="1" bestFit="1" customWidth="1"/>
    <col min="37" max="37" width="8.44140625" style="1" bestFit="1" customWidth="1"/>
    <col min="38" max="38" width="80.88671875" style="1" bestFit="1" customWidth="1"/>
    <col min="39" max="40" width="11.109375" style="1" bestFit="1" customWidth="1"/>
    <col min="41" max="41" width="12.77734375" style="1" bestFit="1" customWidth="1"/>
    <col min="42" max="42" width="9.44140625" style="1" bestFit="1" customWidth="1"/>
    <col min="43" max="43" width="14.44140625" style="1" bestFit="1" customWidth="1"/>
    <col min="44" max="44" width="9.44140625" style="1" bestFit="1" customWidth="1"/>
    <col min="45" max="46" width="12.77734375" style="1" bestFit="1" customWidth="1"/>
    <col min="47" max="47" width="11" style="1" bestFit="1" customWidth="1"/>
    <col min="48" max="51" width="9.44140625" style="1" bestFit="1" customWidth="1"/>
    <col min="52" max="52" width="10.5546875" style="1" bestFit="1" customWidth="1"/>
    <col min="53" max="53" width="9.33203125" style="1" bestFit="1" customWidth="1"/>
    <col min="54" max="54" width="7.6640625" style="1" bestFit="1" customWidth="1"/>
    <col min="55" max="55" width="12.6640625" style="1" bestFit="1" customWidth="1"/>
    <col min="56" max="56" width="9.44140625" style="1" bestFit="1" customWidth="1"/>
    <col min="57" max="57" width="7.77734375" style="1" bestFit="1" customWidth="1"/>
    <col min="58" max="58" width="14.88671875" style="1" bestFit="1" customWidth="1"/>
    <col min="59" max="59" width="24.6640625" style="1" bestFit="1" customWidth="1"/>
    <col min="60" max="61" width="9.44140625" style="1" bestFit="1" customWidth="1"/>
    <col min="62" max="62" width="12.77734375" style="1" bestFit="1" customWidth="1"/>
    <col min="63" max="63" width="46.33203125" style="1" bestFit="1" customWidth="1"/>
    <col min="64" max="64" width="10.33203125" style="1" bestFit="1" customWidth="1"/>
    <col min="65" max="65" width="10.44140625" style="1" bestFit="1" customWidth="1"/>
    <col min="66" max="67" width="12.21875" style="1" bestFit="1" customWidth="1"/>
    <col min="68" max="68" width="9.44140625" style="1" bestFit="1" customWidth="1"/>
    <col min="69" max="69" width="12.77734375" style="1" bestFit="1" customWidth="1"/>
    <col min="70" max="70" width="10.21875" style="1" bestFit="1" customWidth="1"/>
    <col min="71" max="71" width="28.6640625" style="1" bestFit="1" customWidth="1"/>
    <col min="72" max="72" width="12.21875" style="1" bestFit="1" customWidth="1"/>
    <col min="73" max="73" width="11.109375" style="1" bestFit="1" customWidth="1"/>
    <col min="74" max="74" width="9.5546875" style="1" bestFit="1" customWidth="1"/>
    <col min="75" max="75" width="6.109375" style="1" bestFit="1" customWidth="1"/>
    <col min="76" max="76" width="11.33203125" style="1" bestFit="1" customWidth="1"/>
    <col min="77" max="77" width="11.109375" style="1" bestFit="1" customWidth="1"/>
    <col min="78" max="78" width="14.44140625" style="1" bestFit="1" customWidth="1"/>
    <col min="79" max="79" width="18.44140625" style="1" bestFit="1" customWidth="1"/>
    <col min="80" max="81" width="9.44140625" style="1" bestFit="1" customWidth="1"/>
    <col min="82" max="82" width="12.109375" style="1" bestFit="1" customWidth="1"/>
    <col min="83" max="83" width="6.109375" style="1" bestFit="1" customWidth="1"/>
    <col min="84" max="84" width="7.77734375" style="1" bestFit="1" customWidth="1"/>
    <col min="85" max="85" width="20.5546875" style="1" bestFit="1" customWidth="1"/>
    <col min="86" max="86" width="9.44140625" style="1" bestFit="1" customWidth="1"/>
    <col min="87" max="87" width="7.77734375" style="1" bestFit="1" customWidth="1"/>
    <col min="88" max="88" width="7" style="1" bestFit="1" customWidth="1"/>
    <col min="89" max="89" width="7.77734375" style="1" bestFit="1" customWidth="1"/>
    <col min="90" max="90" width="9.44140625" style="1" bestFit="1" customWidth="1"/>
    <col min="91" max="91" width="6.77734375" style="1" bestFit="1" customWidth="1"/>
    <col min="92" max="93" width="11.109375" style="1" bestFit="1" customWidth="1"/>
    <col min="94" max="95" width="9.44140625" style="1" bestFit="1" customWidth="1"/>
    <col min="96" max="96" width="10.44140625" style="1" bestFit="1" customWidth="1"/>
    <col min="97" max="99" width="8.5546875" style="1" bestFit="1" customWidth="1"/>
    <col min="100" max="100" width="6.109375" style="1" bestFit="1" customWidth="1"/>
    <col min="101" max="102" width="9.44140625" style="1" bestFit="1" customWidth="1"/>
    <col min="103" max="103" width="6" style="1" bestFit="1" customWidth="1"/>
    <col min="104" max="104" width="19.44140625" style="1" bestFit="1" customWidth="1"/>
    <col min="105" max="105" width="11.109375" style="1" bestFit="1" customWidth="1"/>
    <col min="106" max="106" width="14.44140625" style="1" bestFit="1" customWidth="1"/>
    <col min="107" max="107" width="10" style="1" bestFit="1" customWidth="1"/>
    <col min="108" max="108" width="10.33203125" style="1" bestFit="1" customWidth="1"/>
    <col min="109" max="109" width="9.44140625" style="1" bestFit="1" customWidth="1"/>
    <col min="110" max="110" width="12.6640625" style="1" bestFit="1" customWidth="1"/>
    <col min="111" max="111" width="15.5546875" style="1" bestFit="1" customWidth="1"/>
    <col min="112" max="112" width="9.44140625" style="1" bestFit="1" customWidth="1"/>
    <col min="113" max="113" width="7.6640625" style="1" bestFit="1" customWidth="1"/>
    <col min="114" max="114" width="6.88671875" style="1" bestFit="1" customWidth="1"/>
    <col min="115" max="115" width="5.88671875" style="1" bestFit="1" customWidth="1"/>
    <col min="116" max="118" width="6.109375" style="1" bestFit="1" customWidth="1"/>
    <col min="119" max="120" width="9.44140625" style="1" bestFit="1" customWidth="1"/>
    <col min="121" max="121" width="5.88671875" style="1" bestFit="1" customWidth="1"/>
    <col min="122" max="123" width="17.44140625" style="1" bestFit="1" customWidth="1"/>
    <col min="124" max="124" width="17.44140625" style="1" customWidth="1"/>
    <col min="125" max="125" width="17.44140625" style="1" bestFit="1" customWidth="1"/>
    <col min="126" max="16384" width="8.88671875" style="1"/>
  </cols>
  <sheetData>
    <row r="1" spans="1:104" ht="46.5" x14ac:dyDescent="0.25">
      <c r="A1" s="46" t="s">
        <v>564</v>
      </c>
    </row>
    <row r="6" spans="1:104" x14ac:dyDescent="0.25">
      <c r="A6" t="s">
        <v>86</v>
      </c>
      <c r="B6" t="s">
        <v>175</v>
      </c>
      <c r="C6" t="s">
        <v>94</v>
      </c>
      <c r="D6" t="s">
        <v>43</v>
      </c>
      <c r="E6" t="s">
        <v>48</v>
      </c>
      <c r="F6" t="s">
        <v>49</v>
      </c>
      <c r="G6" t="s">
        <v>64</v>
      </c>
      <c r="H6" t="s">
        <v>562</v>
      </c>
      <c r="I6" t="s">
        <v>206</v>
      </c>
      <c r="J6" t="s">
        <v>207</v>
      </c>
      <c r="K6" t="s">
        <v>65</v>
      </c>
      <c r="L6" t="s">
        <v>75</v>
      </c>
      <c r="M6" t="s">
        <v>237</v>
      </c>
      <c r="N6" t="s">
        <v>325</v>
      </c>
      <c r="O6" t="s">
        <v>81</v>
      </c>
      <c r="P6" t="s">
        <v>82</v>
      </c>
      <c r="Q6" t="s">
        <v>105</v>
      </c>
      <c r="R6" t="s">
        <v>80</v>
      </c>
      <c r="S6" t="s">
        <v>79</v>
      </c>
      <c r="T6" t="s">
        <v>78</v>
      </c>
      <c r="U6" t="s">
        <v>77</v>
      </c>
      <c r="V6" t="s">
        <v>76</v>
      </c>
      <c r="W6" t="s">
        <v>226</v>
      </c>
      <c r="X6" t="s">
        <v>104</v>
      </c>
      <c r="Y6" t="s">
        <v>74</v>
      </c>
      <c r="Z6" t="s">
        <v>227</v>
      </c>
      <c r="AA6" t="s">
        <v>73</v>
      </c>
      <c r="AB6" t="s">
        <v>72</v>
      </c>
      <c r="AC6" t="s">
        <v>71</v>
      </c>
      <c r="AD6" t="s">
        <v>70</v>
      </c>
      <c r="AE6" t="s">
        <v>69</v>
      </c>
      <c r="AF6" t="s">
        <v>103</v>
      </c>
      <c r="AG6" t="s">
        <v>68</v>
      </c>
      <c r="AH6" t="s">
        <v>67</v>
      </c>
      <c r="AI6" t="s">
        <v>102</v>
      </c>
      <c r="AJ6" t="s">
        <v>101</v>
      </c>
      <c r="AK6" t="s">
        <v>66</v>
      </c>
      <c r="AL6" t="s">
        <v>225</v>
      </c>
      <c r="AM6" t="s">
        <v>224</v>
      </c>
      <c r="AN6" t="s">
        <v>223</v>
      </c>
      <c r="AO6" t="s">
        <v>222</v>
      </c>
      <c r="AP6" t="s">
        <v>97</v>
      </c>
      <c r="AQ6" t="s">
        <v>42</v>
      </c>
      <c r="AR6" t="s">
        <v>221</v>
      </c>
      <c r="AS6" t="s">
        <v>51</v>
      </c>
      <c r="AT6" t="s">
        <v>176</v>
      </c>
      <c r="AU6" t="s">
        <v>44</v>
      </c>
      <c r="AV6" t="s">
        <v>199</v>
      </c>
      <c r="AW6" t="s">
        <v>63</v>
      </c>
      <c r="AX6" t="s">
        <v>62</v>
      </c>
      <c r="AY6" t="s">
        <v>61</v>
      </c>
      <c r="AZ6" t="s">
        <v>132</v>
      </c>
      <c r="BA6" t="s">
        <v>46</v>
      </c>
      <c r="BB6" t="s">
        <v>45</v>
      </c>
      <c r="BC6" t="s">
        <v>95</v>
      </c>
      <c r="BD6" t="s">
        <v>60</v>
      </c>
      <c r="BE6" t="s">
        <v>59</v>
      </c>
      <c r="BF6" t="s">
        <v>56</v>
      </c>
      <c r="BG6" t="s">
        <v>55</v>
      </c>
      <c r="BH6" t="s">
        <v>238</v>
      </c>
      <c r="BI6" t="s">
        <v>324</v>
      </c>
      <c r="BJ6" t="s">
        <v>54</v>
      </c>
      <c r="BK6" t="s">
        <v>100</v>
      </c>
      <c r="BL6" t="s">
        <v>52</v>
      </c>
      <c r="BM6" t="s">
        <v>405</v>
      </c>
      <c r="BN6" t="s">
        <v>58</v>
      </c>
      <c r="BO6" t="s">
        <v>57</v>
      </c>
      <c r="BP6" t="s">
        <v>50</v>
      </c>
      <c r="BQ6" t="s">
        <v>99</v>
      </c>
      <c r="BR6" t="s">
        <v>98</v>
      </c>
      <c r="BS6" t="s">
        <v>47</v>
      </c>
      <c r="BT6" t="s">
        <v>414</v>
      </c>
      <c r="BU6" t="s">
        <v>230</v>
      </c>
      <c r="BV6" t="s">
        <v>528</v>
      </c>
      <c r="BW6" t="s">
        <v>89</v>
      </c>
      <c r="BX6" t="s">
        <v>147</v>
      </c>
      <c r="BY6" t="s">
        <v>232</v>
      </c>
      <c r="BZ6" t="s">
        <v>261</v>
      </c>
      <c r="CA6" t="s">
        <v>145</v>
      </c>
      <c r="CB6" t="s">
        <v>119</v>
      </c>
      <c r="CC6" t="s">
        <v>135</v>
      </c>
      <c r="CD6" t="s">
        <v>177</v>
      </c>
      <c r="CE6" t="s">
        <v>90</v>
      </c>
      <c r="CF6" t="s">
        <v>41</v>
      </c>
      <c r="CG6" t="s">
        <v>91</v>
      </c>
      <c r="CH6" t="s">
        <v>208</v>
      </c>
      <c r="CI6" t="s">
        <v>173</v>
      </c>
      <c r="CJ6" t="s">
        <v>174</v>
      </c>
      <c r="CK6" t="s">
        <v>211</v>
      </c>
      <c r="CL6" t="s">
        <v>141</v>
      </c>
      <c r="CM6" t="s">
        <v>303</v>
      </c>
      <c r="CN6" t="s">
        <v>187</v>
      </c>
      <c r="CO6" t="s">
        <v>186</v>
      </c>
      <c r="CP6" t="s">
        <v>168</v>
      </c>
      <c r="CQ6" t="s">
        <v>166</v>
      </c>
      <c r="CR6" t="s">
        <v>88</v>
      </c>
      <c r="CS6" t="s">
        <v>53</v>
      </c>
      <c r="CT6" t="s">
        <v>152</v>
      </c>
      <c r="CU6" t="s">
        <v>120</v>
      </c>
      <c r="CV6" t="s">
        <v>87</v>
      </c>
      <c r="CW6" t="s">
        <v>210</v>
      </c>
      <c r="CX6" t="s">
        <v>577</v>
      </c>
      <c r="CY6" t="s">
        <v>139</v>
      </c>
      <c r="CZ6" t="s">
        <v>140</v>
      </c>
    </row>
    <row r="7" spans="1:104" x14ac:dyDescent="0.25">
      <c r="A7" s="145">
        <v>24</v>
      </c>
      <c r="B7" s="145" t="s">
        <v>312</v>
      </c>
      <c r="C7" s="147" t="s">
        <v>1170</v>
      </c>
      <c r="D7" s="147" t="s">
        <v>1</v>
      </c>
      <c r="E7" s="147" t="s">
        <v>1169</v>
      </c>
      <c r="F7" s="146">
        <v>45219</v>
      </c>
      <c r="G7" s="147" t="s">
        <v>85</v>
      </c>
      <c r="H7" s="147" t="s">
        <v>1118</v>
      </c>
      <c r="I7" s="147" t="s">
        <v>998</v>
      </c>
      <c r="J7" s="147" t="s">
        <v>1209</v>
      </c>
      <c r="K7" s="147" t="s">
        <v>1211</v>
      </c>
      <c r="L7" s="147" t="s">
        <v>1217</v>
      </c>
      <c r="M7" s="147" t="s">
        <v>1207</v>
      </c>
      <c r="N7" s="147" t="s">
        <v>92</v>
      </c>
      <c r="O7" s="147" t="s">
        <v>131</v>
      </c>
      <c r="P7" s="147" t="s">
        <v>92</v>
      </c>
      <c r="Q7" s="147" t="s">
        <v>92</v>
      </c>
      <c r="R7" s="147" t="s">
        <v>529</v>
      </c>
      <c r="S7" s="147" t="s">
        <v>530</v>
      </c>
      <c r="T7" s="147" t="s">
        <v>531</v>
      </c>
      <c r="U7" s="147" t="s">
        <v>532</v>
      </c>
      <c r="V7" s="147" t="s">
        <v>532</v>
      </c>
      <c r="W7" s="147" t="s">
        <v>1218</v>
      </c>
      <c r="X7" s="147" t="s">
        <v>92</v>
      </c>
      <c r="Y7" s="146">
        <v>45226</v>
      </c>
      <c r="Z7" s="147" t="s">
        <v>1216</v>
      </c>
      <c r="AA7" s="146">
        <v>45226</v>
      </c>
      <c r="AB7" s="147" t="s">
        <v>1170</v>
      </c>
      <c r="AC7" s="147" t="s">
        <v>1215</v>
      </c>
      <c r="AD7" s="146"/>
      <c r="AE7" s="147" t="s">
        <v>92</v>
      </c>
      <c r="AF7" s="145">
        <v>7.4</v>
      </c>
      <c r="AG7" s="146"/>
      <c r="AH7" s="146">
        <v>45226</v>
      </c>
      <c r="AI7" s="145">
        <v>2.8</v>
      </c>
      <c r="AJ7" s="145">
        <v>1000</v>
      </c>
      <c r="AK7" s="147" t="s">
        <v>1214</v>
      </c>
      <c r="AL7" s="147" t="s">
        <v>1213</v>
      </c>
      <c r="AM7" s="147" t="s">
        <v>92</v>
      </c>
      <c r="AN7" s="147" t="s">
        <v>92</v>
      </c>
      <c r="AO7" s="145"/>
      <c r="AP7" s="147" t="s">
        <v>543</v>
      </c>
      <c r="AQ7" s="147" t="s">
        <v>534</v>
      </c>
      <c r="AR7" s="145" t="s">
        <v>931</v>
      </c>
      <c r="AS7" s="147" t="s">
        <v>552</v>
      </c>
      <c r="AT7" s="147" t="s">
        <v>535</v>
      </c>
      <c r="AU7" s="147" t="s">
        <v>1212</v>
      </c>
      <c r="AV7" s="147" t="s">
        <v>327</v>
      </c>
      <c r="AW7" s="145"/>
      <c r="AX7" s="145"/>
      <c r="AY7" s="145"/>
      <c r="AZ7" s="145"/>
      <c r="BA7" s="147" t="s">
        <v>1210</v>
      </c>
      <c r="BB7" s="147" t="s">
        <v>1000</v>
      </c>
      <c r="BC7" s="147" t="s">
        <v>763</v>
      </c>
      <c r="BD7" s="145"/>
      <c r="BE7" s="145">
        <v>100</v>
      </c>
      <c r="BF7" s="147" t="s">
        <v>537</v>
      </c>
      <c r="BG7" s="147" t="s">
        <v>92</v>
      </c>
      <c r="BH7" s="147" t="s">
        <v>579</v>
      </c>
      <c r="BI7" s="147" t="s">
        <v>539</v>
      </c>
      <c r="BJ7" s="145">
        <v>30</v>
      </c>
      <c r="BK7" s="147" t="s">
        <v>540</v>
      </c>
      <c r="BL7" s="146">
        <v>46322</v>
      </c>
      <c r="BM7" s="145">
        <v>7.4</v>
      </c>
      <c r="BN7" s="147" t="s">
        <v>541</v>
      </c>
      <c r="BO7" s="147">
        <v>2.8</v>
      </c>
      <c r="BP7" s="147" t="s">
        <v>535</v>
      </c>
      <c r="BQ7" s="147" t="s">
        <v>535</v>
      </c>
      <c r="BR7" s="147" t="s">
        <v>535</v>
      </c>
      <c r="BS7" s="147" t="s">
        <v>1208</v>
      </c>
      <c r="BT7" s="147" t="s">
        <v>242</v>
      </c>
      <c r="BU7" s="146"/>
      <c r="BV7" s="145" t="s">
        <v>7</v>
      </c>
      <c r="BW7" s="147" t="s">
        <v>10</v>
      </c>
      <c r="BX7" s="147" t="s">
        <v>149</v>
      </c>
      <c r="BY7" s="147" t="s">
        <v>832</v>
      </c>
      <c r="BZ7" s="147" t="s">
        <v>7</v>
      </c>
      <c r="CA7" s="146"/>
      <c r="CB7" s="145"/>
      <c r="CC7" s="147" t="s">
        <v>527</v>
      </c>
      <c r="CD7" s="147" t="s">
        <v>527</v>
      </c>
      <c r="CE7" s="147" t="s">
        <v>39</v>
      </c>
      <c r="CF7" s="147" t="s">
        <v>92</v>
      </c>
      <c r="CG7" s="147" t="s">
        <v>263</v>
      </c>
      <c r="CH7" s="147" t="s">
        <v>92</v>
      </c>
      <c r="CI7" s="147">
        <v>2.8</v>
      </c>
      <c r="CJ7" s="147">
        <v>20.51</v>
      </c>
      <c r="CK7" s="147">
        <v>21.91</v>
      </c>
      <c r="CL7" s="147" t="s">
        <v>92</v>
      </c>
      <c r="CM7" s="147" t="s">
        <v>92</v>
      </c>
      <c r="CN7" s="147" t="s">
        <v>7</v>
      </c>
      <c r="CO7" s="147" t="s">
        <v>7</v>
      </c>
      <c r="CP7" s="145" t="s">
        <v>115</v>
      </c>
      <c r="CQ7" s="145">
        <v>30</v>
      </c>
      <c r="CR7" s="145" t="s">
        <v>1116</v>
      </c>
      <c r="CS7" s="145" t="s">
        <v>1216</v>
      </c>
      <c r="CT7" s="145" t="s">
        <v>92</v>
      </c>
      <c r="CU7" s="145" t="s">
        <v>1216</v>
      </c>
      <c r="CV7" s="145" t="s">
        <v>151</v>
      </c>
      <c r="CW7" s="145" t="s">
        <v>92</v>
      </c>
      <c r="CX7" t="s">
        <v>7</v>
      </c>
      <c r="CY7" t="s">
        <v>752</v>
      </c>
      <c r="CZ7" s="147" t="s">
        <v>1175</v>
      </c>
    </row>
    <row r="8" spans="1:104" x14ac:dyDescent="0.25">
      <c r="A8" s="145">
        <v>23</v>
      </c>
      <c r="B8" s="145" t="s">
        <v>750</v>
      </c>
      <c r="C8" s="147" t="s">
        <v>1156</v>
      </c>
      <c r="D8" s="147" t="s">
        <v>84</v>
      </c>
      <c r="E8" s="147" t="s">
        <v>1155</v>
      </c>
      <c r="F8" s="146">
        <v>45219</v>
      </c>
      <c r="G8" s="147" t="s">
        <v>85</v>
      </c>
      <c r="H8" s="147" t="s">
        <v>798</v>
      </c>
      <c r="I8" s="147" t="s">
        <v>92</v>
      </c>
      <c r="J8" s="147" t="s">
        <v>92</v>
      </c>
      <c r="K8" s="147" t="s">
        <v>1202</v>
      </c>
      <c r="L8" s="147" t="s">
        <v>92</v>
      </c>
      <c r="M8" s="147" t="s">
        <v>1195</v>
      </c>
      <c r="N8" s="147" t="s">
        <v>92</v>
      </c>
      <c r="O8" s="147" t="s">
        <v>983</v>
      </c>
      <c r="P8" s="147" t="s">
        <v>1156</v>
      </c>
      <c r="Q8" s="147" t="s">
        <v>92</v>
      </c>
      <c r="R8" s="147" t="s">
        <v>529</v>
      </c>
      <c r="S8" s="147" t="s">
        <v>530</v>
      </c>
      <c r="T8" s="147" t="s">
        <v>982</v>
      </c>
      <c r="U8" s="147" t="s">
        <v>532</v>
      </c>
      <c r="V8" s="147" t="s">
        <v>532</v>
      </c>
      <c r="W8" s="147" t="s">
        <v>1202</v>
      </c>
      <c r="X8" s="147" t="s">
        <v>92</v>
      </c>
      <c r="Y8" s="146">
        <v>45226</v>
      </c>
      <c r="Z8" s="147" t="s">
        <v>92</v>
      </c>
      <c r="AA8" s="146">
        <v>45226</v>
      </c>
      <c r="AB8" s="147" t="s">
        <v>92</v>
      </c>
      <c r="AC8" s="147" t="s">
        <v>1206</v>
      </c>
      <c r="AD8" s="146">
        <v>45320</v>
      </c>
      <c r="AE8" s="147" t="s">
        <v>1205</v>
      </c>
      <c r="AF8" s="145">
        <v>6.0347999999999997</v>
      </c>
      <c r="AG8" s="146"/>
      <c r="AH8" s="146">
        <v>45226</v>
      </c>
      <c r="AI8" s="145">
        <v>0.2</v>
      </c>
      <c r="AJ8" s="145">
        <v>1000</v>
      </c>
      <c r="AK8" s="147" t="s">
        <v>1204</v>
      </c>
      <c r="AL8" s="147" t="s">
        <v>92</v>
      </c>
      <c r="AM8" s="147" t="s">
        <v>92</v>
      </c>
      <c r="AN8" s="147" t="s">
        <v>92</v>
      </c>
      <c r="AO8" s="145"/>
      <c r="AP8" s="147" t="s">
        <v>543</v>
      </c>
      <c r="AQ8" s="147" t="s">
        <v>991</v>
      </c>
      <c r="AR8" s="145" t="s">
        <v>1203</v>
      </c>
      <c r="AS8" s="147" t="s">
        <v>552</v>
      </c>
      <c r="AT8" s="147" t="s">
        <v>535</v>
      </c>
      <c r="AU8" s="147" t="s">
        <v>580</v>
      </c>
      <c r="AV8" s="147" t="s">
        <v>327</v>
      </c>
      <c r="AW8" s="145"/>
      <c r="AX8" s="145"/>
      <c r="AY8" s="145"/>
      <c r="AZ8" s="145"/>
      <c r="BA8" s="147" t="s">
        <v>92</v>
      </c>
      <c r="BB8" s="147" t="s">
        <v>1201</v>
      </c>
      <c r="BC8" s="147" t="s">
        <v>1200</v>
      </c>
      <c r="BD8" s="145"/>
      <c r="BE8" s="145"/>
      <c r="BF8" s="147" t="s">
        <v>537</v>
      </c>
      <c r="BG8" s="147" t="s">
        <v>92</v>
      </c>
      <c r="BH8" s="147" t="s">
        <v>1033</v>
      </c>
      <c r="BI8" s="147" t="s">
        <v>539</v>
      </c>
      <c r="BJ8" s="145"/>
      <c r="BK8" s="147" t="s">
        <v>110</v>
      </c>
      <c r="BL8" s="146">
        <v>45411</v>
      </c>
      <c r="BM8" s="145"/>
      <c r="BN8" s="147" t="s">
        <v>1199</v>
      </c>
      <c r="BO8" s="147">
        <v>0.2</v>
      </c>
      <c r="BP8" s="147" t="s">
        <v>535</v>
      </c>
      <c r="BQ8" s="147" t="s">
        <v>1198</v>
      </c>
      <c r="BR8" s="147" t="s">
        <v>1197</v>
      </c>
      <c r="BS8" s="147" t="s">
        <v>1196</v>
      </c>
      <c r="BT8" s="147" t="s">
        <v>242</v>
      </c>
      <c r="BU8" s="146"/>
      <c r="BV8" s="145" t="s">
        <v>7</v>
      </c>
      <c r="BW8" s="147" t="s">
        <v>13</v>
      </c>
      <c r="BX8" s="147" t="s">
        <v>7</v>
      </c>
      <c r="BY8" s="147" t="s">
        <v>526</v>
      </c>
      <c r="BZ8" s="147" t="s">
        <v>7</v>
      </c>
      <c r="CA8" s="146"/>
      <c r="CB8" s="145">
        <v>70</v>
      </c>
      <c r="CC8" s="147" t="s">
        <v>83</v>
      </c>
      <c r="CD8" s="147" t="s">
        <v>1157</v>
      </c>
      <c r="CE8" s="147" t="s">
        <v>40</v>
      </c>
      <c r="CF8" s="147" t="s">
        <v>92</v>
      </c>
      <c r="CG8" s="147" t="s">
        <v>110</v>
      </c>
      <c r="CH8" s="147" t="s">
        <v>92</v>
      </c>
      <c r="CI8" s="147">
        <v>0.2</v>
      </c>
      <c r="CJ8" s="147">
        <v>1.4650000000000001</v>
      </c>
      <c r="CK8" s="147">
        <v>1.5649999999999999</v>
      </c>
      <c r="CL8" s="147" t="s">
        <v>92</v>
      </c>
      <c r="CM8" s="147" t="s">
        <v>92</v>
      </c>
      <c r="CN8" s="147" t="s">
        <v>7</v>
      </c>
      <c r="CO8" s="147" t="s">
        <v>7</v>
      </c>
      <c r="CP8" s="145" t="s">
        <v>1126</v>
      </c>
      <c r="CQ8" s="145"/>
      <c r="CR8" s="145" t="s">
        <v>92</v>
      </c>
      <c r="CS8" s="145" t="s">
        <v>92</v>
      </c>
      <c r="CT8" s="145" t="s">
        <v>1225</v>
      </c>
      <c r="CU8" s="145" t="s">
        <v>1225</v>
      </c>
      <c r="CV8" s="145" t="s">
        <v>1226</v>
      </c>
      <c r="CW8" s="145" t="s">
        <v>1227</v>
      </c>
      <c r="CX8" t="s">
        <v>1127</v>
      </c>
      <c r="CY8" t="s">
        <v>92</v>
      </c>
      <c r="CZ8" s="147" t="s">
        <v>1163</v>
      </c>
    </row>
    <row r="9" spans="1:104" x14ac:dyDescent="0.25">
      <c r="A9" s="145">
        <v>22</v>
      </c>
      <c r="B9" s="145" t="s">
        <v>771</v>
      </c>
      <c r="C9" s="147" t="s">
        <v>1165</v>
      </c>
      <c r="D9" s="147" t="s">
        <v>1</v>
      </c>
      <c r="E9" s="147" t="s">
        <v>1164</v>
      </c>
      <c r="F9" s="146">
        <v>45219</v>
      </c>
      <c r="G9" s="147" t="s">
        <v>85</v>
      </c>
      <c r="H9" s="147" t="s">
        <v>798</v>
      </c>
      <c r="I9" s="147" t="s">
        <v>92</v>
      </c>
      <c r="J9" s="147" t="s">
        <v>92</v>
      </c>
      <c r="K9" s="147" t="s">
        <v>1193</v>
      </c>
      <c r="L9" s="147" t="s">
        <v>92</v>
      </c>
      <c r="M9" s="147" t="s">
        <v>1188</v>
      </c>
      <c r="N9" s="147" t="s">
        <v>92</v>
      </c>
      <c r="O9" s="147" t="s">
        <v>131</v>
      </c>
      <c r="P9" s="147" t="s">
        <v>92</v>
      </c>
      <c r="Q9" s="147" t="s">
        <v>92</v>
      </c>
      <c r="R9" s="147" t="s">
        <v>529</v>
      </c>
      <c r="S9" s="147" t="s">
        <v>530</v>
      </c>
      <c r="T9" s="147" t="s">
        <v>531</v>
      </c>
      <c r="U9" s="147" t="s">
        <v>532</v>
      </c>
      <c r="V9" s="147" t="s">
        <v>532</v>
      </c>
      <c r="W9" s="147" t="s">
        <v>1193</v>
      </c>
      <c r="X9" s="147" t="s">
        <v>92</v>
      </c>
      <c r="Y9" s="146">
        <v>45226</v>
      </c>
      <c r="Z9" s="147" t="s">
        <v>92</v>
      </c>
      <c r="AA9" s="146">
        <v>45226</v>
      </c>
      <c r="AB9" s="147" t="s">
        <v>92</v>
      </c>
      <c r="AC9" s="147" t="s">
        <v>1165</v>
      </c>
      <c r="AD9" s="146">
        <v>45409</v>
      </c>
      <c r="AE9" s="147" t="s">
        <v>92</v>
      </c>
      <c r="AF9" s="145">
        <v>7.9</v>
      </c>
      <c r="AG9" s="146"/>
      <c r="AH9" s="146">
        <v>45226</v>
      </c>
      <c r="AI9" s="145">
        <v>1.1000000000000001</v>
      </c>
      <c r="AJ9" s="145">
        <v>1000</v>
      </c>
      <c r="AK9" s="147" t="s">
        <v>1194</v>
      </c>
      <c r="AL9" s="147" t="s">
        <v>92</v>
      </c>
      <c r="AM9" s="147" t="s">
        <v>92</v>
      </c>
      <c r="AN9" s="147" t="s">
        <v>92</v>
      </c>
      <c r="AO9" s="145"/>
      <c r="AP9" s="147" t="s">
        <v>546</v>
      </c>
      <c r="AQ9" s="147" t="s">
        <v>534</v>
      </c>
      <c r="AR9" s="145" t="s">
        <v>931</v>
      </c>
      <c r="AS9" s="147" t="s">
        <v>548</v>
      </c>
      <c r="AT9" s="147" t="s">
        <v>535</v>
      </c>
      <c r="AU9" s="147" t="s">
        <v>536</v>
      </c>
      <c r="AV9" s="147" t="s">
        <v>327</v>
      </c>
      <c r="AW9" s="145"/>
      <c r="AX9" s="145"/>
      <c r="AY9" s="145"/>
      <c r="AZ9" s="145"/>
      <c r="BA9" s="147" t="s">
        <v>1192</v>
      </c>
      <c r="BB9" s="147" t="s">
        <v>1191</v>
      </c>
      <c r="BC9" s="147" t="s">
        <v>1190</v>
      </c>
      <c r="BD9" s="145"/>
      <c r="BE9" s="145">
        <v>100</v>
      </c>
      <c r="BF9" s="147" t="s">
        <v>537</v>
      </c>
      <c r="BG9" s="147" t="s">
        <v>92</v>
      </c>
      <c r="BH9" s="147" t="s">
        <v>538</v>
      </c>
      <c r="BI9" s="147" t="s">
        <v>539</v>
      </c>
      <c r="BJ9" s="145"/>
      <c r="BK9" s="147" t="s">
        <v>110</v>
      </c>
      <c r="BL9" s="146">
        <v>46322</v>
      </c>
      <c r="BM9" s="145">
        <v>7.9</v>
      </c>
      <c r="BN9" s="147" t="s">
        <v>541</v>
      </c>
      <c r="BO9" s="147">
        <v>1.1000000000000001</v>
      </c>
      <c r="BP9" s="147" t="s">
        <v>535</v>
      </c>
      <c r="BQ9" s="147" t="s">
        <v>535</v>
      </c>
      <c r="BR9" s="147" t="s">
        <v>535</v>
      </c>
      <c r="BS9" s="147" t="s">
        <v>1189</v>
      </c>
      <c r="BT9" s="147" t="s">
        <v>242</v>
      </c>
      <c r="BU9" s="146"/>
      <c r="BV9" s="145" t="s">
        <v>7</v>
      </c>
      <c r="BW9" s="147" t="s">
        <v>22</v>
      </c>
      <c r="BX9" s="147" t="s">
        <v>7</v>
      </c>
      <c r="BY9" s="147" t="s">
        <v>250</v>
      </c>
      <c r="BZ9" s="147" t="s">
        <v>7</v>
      </c>
      <c r="CA9" s="146"/>
      <c r="CB9" s="145"/>
      <c r="CC9" s="147" t="s">
        <v>83</v>
      </c>
      <c r="CD9" s="147" t="s">
        <v>83</v>
      </c>
      <c r="CE9" s="147" t="s">
        <v>37</v>
      </c>
      <c r="CF9" s="147" t="s">
        <v>92</v>
      </c>
      <c r="CG9" s="147" t="s">
        <v>110</v>
      </c>
      <c r="CH9" s="147" t="s">
        <v>92</v>
      </c>
      <c r="CI9" s="147">
        <v>1.1000000000000001</v>
      </c>
      <c r="CJ9" s="147">
        <v>8.0579999999999998</v>
      </c>
      <c r="CK9" s="147">
        <v>8.6080000000000005</v>
      </c>
      <c r="CL9" s="147" t="s">
        <v>92</v>
      </c>
      <c r="CM9" s="147" t="s">
        <v>92</v>
      </c>
      <c r="CN9" s="147" t="s">
        <v>7</v>
      </c>
      <c r="CO9" s="147" t="s">
        <v>7</v>
      </c>
      <c r="CP9" s="145" t="s">
        <v>115</v>
      </c>
      <c r="CQ9" s="145"/>
      <c r="CR9" s="145" t="s">
        <v>92</v>
      </c>
      <c r="CS9" s="145" t="s">
        <v>92</v>
      </c>
      <c r="CT9" s="145" t="s">
        <v>92</v>
      </c>
      <c r="CU9" s="145" t="s">
        <v>1228</v>
      </c>
      <c r="CV9" s="145" t="s">
        <v>151</v>
      </c>
      <c r="CW9" s="145" t="s">
        <v>92</v>
      </c>
      <c r="CX9" t="s">
        <v>7</v>
      </c>
      <c r="CY9" t="s">
        <v>92</v>
      </c>
      <c r="CZ9" s="147" t="s">
        <v>1168</v>
      </c>
    </row>
    <row r="10" spans="1:104" x14ac:dyDescent="0.25">
      <c r="A10" s="145">
        <v>21</v>
      </c>
      <c r="B10" s="145" t="s">
        <v>750</v>
      </c>
      <c r="C10" s="147" t="s">
        <v>590</v>
      </c>
      <c r="D10" s="147" t="s">
        <v>84</v>
      </c>
      <c r="E10" s="147" t="s">
        <v>1150</v>
      </c>
      <c r="F10" s="146">
        <v>45219</v>
      </c>
      <c r="G10" s="147" t="s">
        <v>85</v>
      </c>
      <c r="H10" s="147" t="s">
        <v>798</v>
      </c>
      <c r="I10" s="147" t="s">
        <v>92</v>
      </c>
      <c r="J10" s="147" t="s">
        <v>92</v>
      </c>
      <c r="K10" s="147" t="s">
        <v>1183</v>
      </c>
      <c r="L10" s="147" t="s">
        <v>92</v>
      </c>
      <c r="M10" s="147" t="s">
        <v>1179</v>
      </c>
      <c r="N10" s="147" t="s">
        <v>92</v>
      </c>
      <c r="O10" s="147" t="s">
        <v>92</v>
      </c>
      <c r="P10" s="147" t="s">
        <v>92</v>
      </c>
      <c r="Q10" s="147" t="s">
        <v>92</v>
      </c>
      <c r="R10" s="147" t="s">
        <v>529</v>
      </c>
      <c r="S10" s="147" t="s">
        <v>530</v>
      </c>
      <c r="T10" s="147" t="s">
        <v>531</v>
      </c>
      <c r="U10" s="147" t="s">
        <v>532</v>
      </c>
      <c r="V10" s="147" t="s">
        <v>532</v>
      </c>
      <c r="W10" s="147" t="s">
        <v>1183</v>
      </c>
      <c r="X10" s="147" t="s">
        <v>92</v>
      </c>
      <c r="Y10" s="146">
        <v>45225</v>
      </c>
      <c r="Z10" s="147" t="s">
        <v>92</v>
      </c>
      <c r="AA10" s="146">
        <v>45225</v>
      </c>
      <c r="AB10" s="147" t="s">
        <v>92</v>
      </c>
      <c r="AC10" s="147" t="s">
        <v>1187</v>
      </c>
      <c r="AD10" s="146">
        <v>45408</v>
      </c>
      <c r="AE10" s="147" t="s">
        <v>92</v>
      </c>
      <c r="AF10" s="145">
        <v>6.1</v>
      </c>
      <c r="AG10" s="146"/>
      <c r="AH10" s="146">
        <v>45225</v>
      </c>
      <c r="AI10" s="145">
        <v>0.25</v>
      </c>
      <c r="AJ10" s="145">
        <v>1000</v>
      </c>
      <c r="AK10" s="147" t="s">
        <v>1186</v>
      </c>
      <c r="AL10" s="147" t="s">
        <v>92</v>
      </c>
      <c r="AM10" s="147" t="s">
        <v>92</v>
      </c>
      <c r="AN10" s="147" t="s">
        <v>92</v>
      </c>
      <c r="AO10" s="145"/>
      <c r="AP10" s="147" t="s">
        <v>543</v>
      </c>
      <c r="AQ10" s="147" t="s">
        <v>991</v>
      </c>
      <c r="AR10" s="145" t="s">
        <v>1185</v>
      </c>
      <c r="AS10" s="147" t="s">
        <v>92</v>
      </c>
      <c r="AT10" s="147" t="s">
        <v>535</v>
      </c>
      <c r="AU10" s="147" t="s">
        <v>1184</v>
      </c>
      <c r="AV10" s="147" t="s">
        <v>327</v>
      </c>
      <c r="AW10" s="145"/>
      <c r="AX10" s="145"/>
      <c r="AY10" s="145"/>
      <c r="AZ10" s="145"/>
      <c r="BA10" s="147" t="s">
        <v>92</v>
      </c>
      <c r="BB10" s="147" t="s">
        <v>988</v>
      </c>
      <c r="BC10" s="147" t="s">
        <v>921</v>
      </c>
      <c r="BD10" s="145"/>
      <c r="BE10" s="145"/>
      <c r="BF10" s="147" t="s">
        <v>537</v>
      </c>
      <c r="BG10" s="147" t="s">
        <v>92</v>
      </c>
      <c r="BH10" s="147" t="s">
        <v>538</v>
      </c>
      <c r="BI10" s="147" t="s">
        <v>92</v>
      </c>
      <c r="BJ10" s="145"/>
      <c r="BK10" s="147" t="s">
        <v>110</v>
      </c>
      <c r="BL10" s="146">
        <v>45408</v>
      </c>
      <c r="BM10" s="145">
        <v>6.1</v>
      </c>
      <c r="BN10" s="147" t="s">
        <v>1182</v>
      </c>
      <c r="BO10" s="147">
        <v>0.25</v>
      </c>
      <c r="BP10" s="147" t="s">
        <v>535</v>
      </c>
      <c r="BQ10" s="147" t="s">
        <v>554</v>
      </c>
      <c r="BR10" s="147" t="s">
        <v>1181</v>
      </c>
      <c r="BS10" s="147" t="s">
        <v>1180</v>
      </c>
      <c r="BT10" s="147" t="s">
        <v>242</v>
      </c>
      <c r="BU10" s="146"/>
      <c r="BV10" s="145" t="s">
        <v>7</v>
      </c>
      <c r="BW10" s="147" t="s">
        <v>144</v>
      </c>
      <c r="BX10" s="147" t="s">
        <v>7</v>
      </c>
      <c r="BY10" s="147" t="s">
        <v>526</v>
      </c>
      <c r="BZ10" s="147" t="s">
        <v>526</v>
      </c>
      <c r="CA10" s="146"/>
      <c r="CB10" s="145"/>
      <c r="CC10" s="147" t="s">
        <v>83</v>
      </c>
      <c r="CD10" s="147" t="s">
        <v>443</v>
      </c>
      <c r="CE10" s="147" t="s">
        <v>37</v>
      </c>
      <c r="CF10" s="147" t="s">
        <v>92</v>
      </c>
      <c r="CG10" s="147" t="s">
        <v>110</v>
      </c>
      <c r="CH10" s="147" t="s">
        <v>92</v>
      </c>
      <c r="CI10" s="147">
        <v>0.25</v>
      </c>
      <c r="CJ10" s="147">
        <v>1.831</v>
      </c>
      <c r="CK10" s="147">
        <v>1.956</v>
      </c>
      <c r="CL10" s="147" t="s">
        <v>92</v>
      </c>
      <c r="CM10" s="147" t="s">
        <v>92</v>
      </c>
      <c r="CN10" s="147" t="s">
        <v>7</v>
      </c>
      <c r="CO10" s="147" t="s">
        <v>7</v>
      </c>
      <c r="CP10" s="145" t="s">
        <v>115</v>
      </c>
      <c r="CQ10" s="145"/>
      <c r="CR10" s="145" t="s">
        <v>92</v>
      </c>
      <c r="CS10" s="145" t="s">
        <v>92</v>
      </c>
      <c r="CT10" s="145" t="s">
        <v>92</v>
      </c>
      <c r="CU10" s="145" t="s">
        <v>1229</v>
      </c>
      <c r="CV10" s="145" t="s">
        <v>1226</v>
      </c>
      <c r="CW10" s="145" t="s">
        <v>1227</v>
      </c>
      <c r="CX10" t="s">
        <v>7</v>
      </c>
      <c r="CY10" t="s">
        <v>92</v>
      </c>
      <c r="CZ10" s="147" t="s">
        <v>1154</v>
      </c>
    </row>
    <row r="11" spans="1:104" x14ac:dyDescent="0.25">
      <c r="A11" s="145">
        <v>20</v>
      </c>
      <c r="B11" s="145" t="s">
        <v>750</v>
      </c>
      <c r="C11" s="147" t="s">
        <v>753</v>
      </c>
      <c r="D11" s="147" t="s">
        <v>84</v>
      </c>
      <c r="E11" s="147" t="s">
        <v>796</v>
      </c>
      <c r="F11" s="146">
        <v>45219</v>
      </c>
      <c r="G11" s="147" t="s">
        <v>106</v>
      </c>
      <c r="H11" s="147" t="s">
        <v>798</v>
      </c>
      <c r="I11" s="147" t="s">
        <v>92</v>
      </c>
      <c r="J11" s="147" t="s">
        <v>92</v>
      </c>
      <c r="K11" s="147" t="s">
        <v>758</v>
      </c>
      <c r="L11" s="147" t="s">
        <v>92</v>
      </c>
      <c r="M11" s="147" t="s">
        <v>914</v>
      </c>
      <c r="N11" s="147" t="s">
        <v>92</v>
      </c>
      <c r="O11" s="147" t="s">
        <v>92</v>
      </c>
      <c r="P11" s="147" t="s">
        <v>92</v>
      </c>
      <c r="Q11" s="147" t="s">
        <v>92</v>
      </c>
      <c r="R11" s="147" t="s">
        <v>529</v>
      </c>
      <c r="S11" s="147" t="s">
        <v>530</v>
      </c>
      <c r="T11" s="147" t="s">
        <v>531</v>
      </c>
      <c r="U11" s="147" t="s">
        <v>532</v>
      </c>
      <c r="V11" s="147" t="s">
        <v>532</v>
      </c>
      <c r="W11" s="147" t="s">
        <v>758</v>
      </c>
      <c r="X11" s="147" t="s">
        <v>92</v>
      </c>
      <c r="Y11" s="146">
        <v>45224</v>
      </c>
      <c r="Z11" s="147" t="s">
        <v>92</v>
      </c>
      <c r="AA11" s="146">
        <v>45224</v>
      </c>
      <c r="AB11" s="147" t="s">
        <v>753</v>
      </c>
      <c r="AC11" s="147" t="s">
        <v>760</v>
      </c>
      <c r="AD11" s="146">
        <v>45316</v>
      </c>
      <c r="AE11" s="147" t="s">
        <v>92</v>
      </c>
      <c r="AF11" s="145">
        <v>2.85</v>
      </c>
      <c r="AG11" s="146"/>
      <c r="AH11" s="146">
        <v>45224</v>
      </c>
      <c r="AI11" s="145">
        <v>0.2</v>
      </c>
      <c r="AJ11" s="145">
        <v>10000</v>
      </c>
      <c r="AK11" s="147" t="s">
        <v>759</v>
      </c>
      <c r="AL11" s="147" t="s">
        <v>92</v>
      </c>
      <c r="AM11" s="147" t="s">
        <v>92</v>
      </c>
      <c r="AN11" s="147" t="s">
        <v>92</v>
      </c>
      <c r="AO11" s="145"/>
      <c r="AP11" s="147" t="s">
        <v>546</v>
      </c>
      <c r="AQ11" s="147" t="s">
        <v>534</v>
      </c>
      <c r="AR11" s="145" t="s">
        <v>1178</v>
      </c>
      <c r="AS11" s="147" t="s">
        <v>92</v>
      </c>
      <c r="AT11" s="147" t="s">
        <v>535</v>
      </c>
      <c r="AU11" s="147" t="s">
        <v>580</v>
      </c>
      <c r="AV11" s="147" t="s">
        <v>327</v>
      </c>
      <c r="AW11" s="145"/>
      <c r="AX11" s="145"/>
      <c r="AY11" s="145"/>
      <c r="AZ11" s="145"/>
      <c r="BA11" s="147" t="s">
        <v>92</v>
      </c>
      <c r="BB11" s="147" t="s">
        <v>92</v>
      </c>
      <c r="BC11" s="147" t="s">
        <v>550</v>
      </c>
      <c r="BD11" s="145"/>
      <c r="BE11" s="145">
        <v>100</v>
      </c>
      <c r="BF11" s="147" t="s">
        <v>537</v>
      </c>
      <c r="BG11" s="147" t="s">
        <v>92</v>
      </c>
      <c r="BH11" s="147" t="s">
        <v>579</v>
      </c>
      <c r="BI11" s="147" t="s">
        <v>539</v>
      </c>
      <c r="BJ11" s="145"/>
      <c r="BK11" s="147" t="s">
        <v>110</v>
      </c>
      <c r="BL11" s="146">
        <v>45316</v>
      </c>
      <c r="BM11" s="145">
        <v>2.85</v>
      </c>
      <c r="BN11" s="147" t="s">
        <v>784</v>
      </c>
      <c r="BO11" s="147">
        <v>0.2</v>
      </c>
      <c r="BP11" s="147" t="s">
        <v>535</v>
      </c>
      <c r="BQ11" s="147" t="s">
        <v>535</v>
      </c>
      <c r="BR11" s="147" t="s">
        <v>535</v>
      </c>
      <c r="BS11" s="147" t="s">
        <v>915</v>
      </c>
      <c r="BT11" s="147" t="s">
        <v>242</v>
      </c>
      <c r="BU11" s="146"/>
      <c r="BV11" s="145" t="s">
        <v>7</v>
      </c>
      <c r="BW11" s="147" t="s">
        <v>12</v>
      </c>
      <c r="BX11" s="147" t="s">
        <v>7</v>
      </c>
      <c r="BY11" s="147" t="s">
        <v>526</v>
      </c>
      <c r="BZ11" s="147" t="s">
        <v>7</v>
      </c>
      <c r="CA11" s="146"/>
      <c r="CB11" s="145"/>
      <c r="CC11" s="147" t="s">
        <v>83</v>
      </c>
      <c r="CD11" s="147" t="s">
        <v>83</v>
      </c>
      <c r="CE11" s="147" t="s">
        <v>39</v>
      </c>
      <c r="CF11" s="147" t="s">
        <v>92</v>
      </c>
      <c r="CG11" s="147" t="s">
        <v>110</v>
      </c>
      <c r="CH11" s="147" t="s">
        <v>92</v>
      </c>
      <c r="CI11" s="147">
        <v>2.7E-2</v>
      </c>
      <c r="CJ11" s="147">
        <v>0.2</v>
      </c>
      <c r="CK11" s="147">
        <v>0.214</v>
      </c>
      <c r="CL11" s="147" t="s">
        <v>92</v>
      </c>
      <c r="CM11" s="147" t="s">
        <v>92</v>
      </c>
      <c r="CN11" s="147" t="s">
        <v>7</v>
      </c>
      <c r="CO11" s="147" t="s">
        <v>7</v>
      </c>
      <c r="CP11" s="145" t="s">
        <v>115</v>
      </c>
      <c r="CQ11" s="145"/>
      <c r="CR11" s="145" t="s">
        <v>92</v>
      </c>
      <c r="CS11" s="145" t="s">
        <v>92</v>
      </c>
      <c r="CT11" s="145" t="s">
        <v>92</v>
      </c>
      <c r="CU11" s="145" t="s">
        <v>1110</v>
      </c>
      <c r="CV11" s="145" t="s">
        <v>786</v>
      </c>
      <c r="CW11" s="145" t="s">
        <v>794</v>
      </c>
      <c r="CX11" t="s">
        <v>7</v>
      </c>
      <c r="CY11" t="s">
        <v>92</v>
      </c>
      <c r="CZ11" s="147" t="s">
        <v>799</v>
      </c>
    </row>
    <row r="12" spans="1:104" x14ac:dyDescent="0.25">
      <c r="A12" s="145">
        <v>19</v>
      </c>
      <c r="B12" s="145" t="s">
        <v>559</v>
      </c>
      <c r="C12" s="147" t="s">
        <v>816</v>
      </c>
      <c r="D12" s="147" t="s">
        <v>1</v>
      </c>
      <c r="E12" s="147" t="s">
        <v>815</v>
      </c>
      <c r="F12" s="146">
        <v>45218</v>
      </c>
      <c r="G12" s="147" t="s">
        <v>262</v>
      </c>
      <c r="H12" s="147" t="s">
        <v>798</v>
      </c>
      <c r="I12" s="147" t="s">
        <v>927</v>
      </c>
      <c r="J12" s="147" t="s">
        <v>928</v>
      </c>
      <c r="K12" s="147" t="s">
        <v>930</v>
      </c>
      <c r="L12" s="147" t="s">
        <v>934</v>
      </c>
      <c r="M12" s="147" t="s">
        <v>925</v>
      </c>
      <c r="N12" s="147" t="s">
        <v>92</v>
      </c>
      <c r="O12" s="147" t="s">
        <v>131</v>
      </c>
      <c r="P12" s="147" t="s">
        <v>92</v>
      </c>
      <c r="Q12" s="147" t="s">
        <v>92</v>
      </c>
      <c r="R12" s="147" t="s">
        <v>529</v>
      </c>
      <c r="S12" s="147" t="s">
        <v>530</v>
      </c>
      <c r="T12" s="147" t="s">
        <v>531</v>
      </c>
      <c r="U12" s="147" t="s">
        <v>532</v>
      </c>
      <c r="V12" s="147" t="s">
        <v>532</v>
      </c>
      <c r="W12" s="147" t="s">
        <v>935</v>
      </c>
      <c r="X12" s="147" t="s">
        <v>542</v>
      </c>
      <c r="Y12" s="146">
        <v>45224</v>
      </c>
      <c r="Z12" s="147" t="s">
        <v>928</v>
      </c>
      <c r="AA12" s="146">
        <v>45224</v>
      </c>
      <c r="AB12" s="147" t="s">
        <v>92</v>
      </c>
      <c r="AC12" s="147" t="s">
        <v>816</v>
      </c>
      <c r="AD12" s="146">
        <v>45407</v>
      </c>
      <c r="AE12" s="147" t="s">
        <v>92</v>
      </c>
      <c r="AF12" s="145">
        <v>1.4</v>
      </c>
      <c r="AG12" s="146"/>
      <c r="AH12" s="146">
        <v>45224</v>
      </c>
      <c r="AI12" s="145">
        <v>106</v>
      </c>
      <c r="AJ12" s="145">
        <v>10000000</v>
      </c>
      <c r="AK12" s="147" t="s">
        <v>933</v>
      </c>
      <c r="AL12" s="147" t="s">
        <v>932</v>
      </c>
      <c r="AM12" s="147" t="s">
        <v>92</v>
      </c>
      <c r="AN12" s="147" t="s">
        <v>92</v>
      </c>
      <c r="AO12" s="145"/>
      <c r="AP12" s="147" t="s">
        <v>546</v>
      </c>
      <c r="AQ12" s="147" t="s">
        <v>534</v>
      </c>
      <c r="AR12" s="145" t="s">
        <v>1085</v>
      </c>
      <c r="AS12" s="147" t="s">
        <v>409</v>
      </c>
      <c r="AT12" s="147" t="s">
        <v>535</v>
      </c>
      <c r="AU12" s="147" t="s">
        <v>536</v>
      </c>
      <c r="AV12" s="147" t="s">
        <v>327</v>
      </c>
      <c r="AW12" s="145"/>
      <c r="AX12" s="145"/>
      <c r="AY12" s="145"/>
      <c r="AZ12" s="145"/>
      <c r="BA12" s="147" t="s">
        <v>1219</v>
      </c>
      <c r="BB12" s="147" t="s">
        <v>775</v>
      </c>
      <c r="BC12" s="147" t="s">
        <v>776</v>
      </c>
      <c r="BD12" s="145"/>
      <c r="BE12" s="145">
        <v>100</v>
      </c>
      <c r="BF12" s="147" t="s">
        <v>537</v>
      </c>
      <c r="BG12" s="147" t="s">
        <v>929</v>
      </c>
      <c r="BH12" s="147" t="s">
        <v>544</v>
      </c>
      <c r="BI12" s="147" t="s">
        <v>539</v>
      </c>
      <c r="BJ12" s="145">
        <v>30</v>
      </c>
      <c r="BK12" s="147" t="s">
        <v>540</v>
      </c>
      <c r="BL12" s="146">
        <v>46320</v>
      </c>
      <c r="BM12" s="145">
        <v>1.4</v>
      </c>
      <c r="BN12" s="147" t="s">
        <v>541</v>
      </c>
      <c r="BO12" s="147">
        <v>106</v>
      </c>
      <c r="BP12" s="147" t="s">
        <v>535</v>
      </c>
      <c r="BQ12" s="147" t="s">
        <v>535</v>
      </c>
      <c r="BR12" s="147" t="s">
        <v>535</v>
      </c>
      <c r="BS12" s="147" t="s">
        <v>926</v>
      </c>
      <c r="BT12" s="147" t="s">
        <v>242</v>
      </c>
      <c r="BU12" s="146"/>
      <c r="BV12" s="145" t="s">
        <v>7</v>
      </c>
      <c r="BW12" s="147" t="s">
        <v>19</v>
      </c>
      <c r="BX12" s="147" t="s">
        <v>7</v>
      </c>
      <c r="BY12" s="147" t="s">
        <v>250</v>
      </c>
      <c r="BZ12" s="147" t="s">
        <v>7</v>
      </c>
      <c r="CA12" s="146"/>
      <c r="CB12" s="145"/>
      <c r="CC12" s="147" t="s">
        <v>83</v>
      </c>
      <c r="CD12" s="147" t="s">
        <v>83</v>
      </c>
      <c r="CE12" s="147" t="s">
        <v>112</v>
      </c>
      <c r="CF12" s="147" t="s">
        <v>344</v>
      </c>
      <c r="CG12" s="147" t="s">
        <v>263</v>
      </c>
      <c r="CH12" s="147" t="s">
        <v>92</v>
      </c>
      <c r="CI12" s="147">
        <v>0.74199999999999999</v>
      </c>
      <c r="CJ12" s="147">
        <v>5.194</v>
      </c>
      <c r="CK12" s="147">
        <v>5.5119999999999996</v>
      </c>
      <c r="CL12" s="147" t="s">
        <v>92</v>
      </c>
      <c r="CM12" s="147" t="s">
        <v>92</v>
      </c>
      <c r="CN12" s="147" t="s">
        <v>7</v>
      </c>
      <c r="CO12" s="147" t="s">
        <v>7</v>
      </c>
      <c r="CP12" s="145" t="s">
        <v>115</v>
      </c>
      <c r="CQ12" s="145">
        <v>30</v>
      </c>
      <c r="CR12" s="145" t="s">
        <v>1111</v>
      </c>
      <c r="CS12" s="145" t="s">
        <v>928</v>
      </c>
      <c r="CT12" s="145" t="s">
        <v>92</v>
      </c>
      <c r="CU12" s="145" t="s">
        <v>928</v>
      </c>
      <c r="CV12" s="145" t="s">
        <v>151</v>
      </c>
      <c r="CW12" s="145" t="s">
        <v>92</v>
      </c>
      <c r="CX12" t="s">
        <v>7</v>
      </c>
      <c r="CY12" t="s">
        <v>92</v>
      </c>
      <c r="CZ12" s="147" t="s">
        <v>820</v>
      </c>
    </row>
    <row r="13" spans="1:104" x14ac:dyDescent="0.25">
      <c r="A13" s="145">
        <v>18</v>
      </c>
      <c r="B13" s="145" t="s">
        <v>750</v>
      </c>
      <c r="C13" s="147" t="s">
        <v>619</v>
      </c>
      <c r="D13" s="147" t="s">
        <v>84</v>
      </c>
      <c r="E13" s="147" t="s">
        <v>809</v>
      </c>
      <c r="F13" s="146">
        <v>45218</v>
      </c>
      <c r="G13" s="147" t="s">
        <v>106</v>
      </c>
      <c r="H13" s="147" t="s">
        <v>798</v>
      </c>
      <c r="I13" s="147" t="s">
        <v>92</v>
      </c>
      <c r="J13" s="147" t="s">
        <v>92</v>
      </c>
      <c r="K13" s="147" t="s">
        <v>922</v>
      </c>
      <c r="L13" s="147" t="s">
        <v>92</v>
      </c>
      <c r="M13" s="147" t="s">
        <v>918</v>
      </c>
      <c r="N13" s="147" t="s">
        <v>92</v>
      </c>
      <c r="O13" s="147" t="s">
        <v>92</v>
      </c>
      <c r="P13" s="147" t="s">
        <v>92</v>
      </c>
      <c r="Q13" s="147" t="s">
        <v>92</v>
      </c>
      <c r="R13" s="147" t="s">
        <v>529</v>
      </c>
      <c r="S13" s="147" t="s">
        <v>530</v>
      </c>
      <c r="T13" s="147" t="s">
        <v>531</v>
      </c>
      <c r="U13" s="147" t="s">
        <v>532</v>
      </c>
      <c r="V13" s="147" t="s">
        <v>532</v>
      </c>
      <c r="W13" s="147" t="s">
        <v>922</v>
      </c>
      <c r="X13" s="147" t="s">
        <v>92</v>
      </c>
      <c r="Y13" s="146">
        <v>45226</v>
      </c>
      <c r="Z13" s="147" t="s">
        <v>92</v>
      </c>
      <c r="AA13" s="146">
        <v>45226</v>
      </c>
      <c r="AB13" s="147" t="s">
        <v>811</v>
      </c>
      <c r="AC13" s="147" t="s">
        <v>810</v>
      </c>
      <c r="AD13" s="146">
        <v>45590</v>
      </c>
      <c r="AE13" s="147" t="s">
        <v>92</v>
      </c>
      <c r="AF13" s="145">
        <v>3.7</v>
      </c>
      <c r="AG13" s="146"/>
      <c r="AH13" s="146">
        <v>45226</v>
      </c>
      <c r="AI13" s="145">
        <v>2</v>
      </c>
      <c r="AJ13" s="145">
        <v>1000000</v>
      </c>
      <c r="AK13" s="147" t="s">
        <v>924</v>
      </c>
      <c r="AL13" s="147" t="s">
        <v>92</v>
      </c>
      <c r="AM13" s="147" t="s">
        <v>92</v>
      </c>
      <c r="AN13" s="147" t="s">
        <v>92</v>
      </c>
      <c r="AO13" s="145"/>
      <c r="AP13" s="147" t="s">
        <v>543</v>
      </c>
      <c r="AQ13" s="147" t="s">
        <v>923</v>
      </c>
      <c r="AR13" s="145" t="s">
        <v>1020</v>
      </c>
      <c r="AS13" s="147" t="s">
        <v>92</v>
      </c>
      <c r="AT13" s="147" t="s">
        <v>535</v>
      </c>
      <c r="AU13" s="147" t="s">
        <v>580</v>
      </c>
      <c r="AV13" s="147" t="s">
        <v>327</v>
      </c>
      <c r="AW13" s="145"/>
      <c r="AX13" s="145"/>
      <c r="AY13" s="145"/>
      <c r="AZ13" s="145"/>
      <c r="BA13" s="147" t="s">
        <v>92</v>
      </c>
      <c r="BB13" s="147" t="s">
        <v>92</v>
      </c>
      <c r="BC13" s="147" t="s">
        <v>921</v>
      </c>
      <c r="BD13" s="145"/>
      <c r="BE13" s="145">
        <v>100</v>
      </c>
      <c r="BF13" s="147" t="s">
        <v>537</v>
      </c>
      <c r="BG13" s="147" t="s">
        <v>92</v>
      </c>
      <c r="BH13" s="147" t="s">
        <v>579</v>
      </c>
      <c r="BI13" s="147" t="s">
        <v>92</v>
      </c>
      <c r="BJ13" s="145"/>
      <c r="BK13" s="147" t="s">
        <v>110</v>
      </c>
      <c r="BL13" s="146">
        <v>45590</v>
      </c>
      <c r="BM13" s="145">
        <v>3.7</v>
      </c>
      <c r="BN13" s="147" t="s">
        <v>549</v>
      </c>
      <c r="BO13" s="147">
        <v>2</v>
      </c>
      <c r="BP13" s="147" t="s">
        <v>535</v>
      </c>
      <c r="BQ13" s="147" t="s">
        <v>554</v>
      </c>
      <c r="BR13" s="147" t="s">
        <v>920</v>
      </c>
      <c r="BS13" s="147" t="s">
        <v>919</v>
      </c>
      <c r="BT13" s="147" t="s">
        <v>242</v>
      </c>
      <c r="BU13" s="146"/>
      <c r="BV13" s="145" t="s">
        <v>7</v>
      </c>
      <c r="BW13" s="147" t="s">
        <v>144</v>
      </c>
      <c r="BX13" s="147" t="s">
        <v>7</v>
      </c>
      <c r="BY13" s="147" t="s">
        <v>573</v>
      </c>
      <c r="BZ13" s="147" t="s">
        <v>7</v>
      </c>
      <c r="CA13" s="146"/>
      <c r="CB13" s="145"/>
      <c r="CC13" s="147" t="s">
        <v>83</v>
      </c>
      <c r="CD13" s="147" t="s">
        <v>1139</v>
      </c>
      <c r="CE13" s="147" t="s">
        <v>39</v>
      </c>
      <c r="CF13" s="147" t="s">
        <v>92</v>
      </c>
      <c r="CG13" s="147" t="s">
        <v>110</v>
      </c>
      <c r="CH13" s="147" t="s">
        <v>92</v>
      </c>
      <c r="CI13" s="147">
        <v>0.27200000000000002</v>
      </c>
      <c r="CJ13" s="147">
        <v>2</v>
      </c>
      <c r="CK13" s="147">
        <v>2.1320000000000001</v>
      </c>
      <c r="CL13" s="147" t="s">
        <v>92</v>
      </c>
      <c r="CM13" s="147" t="s">
        <v>92</v>
      </c>
      <c r="CN13" s="147" t="s">
        <v>7</v>
      </c>
      <c r="CO13" s="147" t="s">
        <v>7</v>
      </c>
      <c r="CP13" s="145" t="s">
        <v>115</v>
      </c>
      <c r="CQ13" s="145"/>
      <c r="CR13" s="145" t="s">
        <v>92</v>
      </c>
      <c r="CS13" s="145" t="s">
        <v>92</v>
      </c>
      <c r="CT13" s="145" t="s">
        <v>92</v>
      </c>
      <c r="CU13" s="145" t="s">
        <v>470</v>
      </c>
      <c r="CV13" s="145" t="s">
        <v>560</v>
      </c>
      <c r="CW13" s="145" t="s">
        <v>561</v>
      </c>
      <c r="CX13" t="s">
        <v>7</v>
      </c>
      <c r="CY13" t="s">
        <v>92</v>
      </c>
      <c r="CZ13" s="147" t="s">
        <v>814</v>
      </c>
    </row>
    <row r="14" spans="1:104" x14ac:dyDescent="0.25">
      <c r="A14" s="145">
        <v>17</v>
      </c>
      <c r="B14" s="145" t="s">
        <v>750</v>
      </c>
      <c r="C14" s="147" t="s">
        <v>753</v>
      </c>
      <c r="D14" s="147" t="s">
        <v>84</v>
      </c>
      <c r="E14" s="147" t="s">
        <v>800</v>
      </c>
      <c r="F14" s="146">
        <v>45218</v>
      </c>
      <c r="G14" s="147" t="s">
        <v>109</v>
      </c>
      <c r="H14" s="147" t="s">
        <v>798</v>
      </c>
      <c r="I14" s="147" t="s">
        <v>92</v>
      </c>
      <c r="J14" s="147" t="s">
        <v>92</v>
      </c>
      <c r="K14" s="147" t="s">
        <v>758</v>
      </c>
      <c r="L14" s="147" t="s">
        <v>92</v>
      </c>
      <c r="M14" s="147" t="s">
        <v>916</v>
      </c>
      <c r="N14" s="147" t="s">
        <v>92</v>
      </c>
      <c r="O14" s="147" t="s">
        <v>92</v>
      </c>
      <c r="P14" s="147" t="s">
        <v>92</v>
      </c>
      <c r="Q14" s="147" t="s">
        <v>92</v>
      </c>
      <c r="R14" s="147" t="s">
        <v>529</v>
      </c>
      <c r="S14" s="147" t="s">
        <v>530</v>
      </c>
      <c r="T14" s="147" t="s">
        <v>531</v>
      </c>
      <c r="U14" s="147" t="s">
        <v>532</v>
      </c>
      <c r="V14" s="147" t="s">
        <v>532</v>
      </c>
      <c r="W14" s="147" t="s">
        <v>758</v>
      </c>
      <c r="X14" s="147" t="s">
        <v>92</v>
      </c>
      <c r="Y14" s="146">
        <v>45224</v>
      </c>
      <c r="Z14" s="147" t="s">
        <v>92</v>
      </c>
      <c r="AA14" s="146">
        <v>45224</v>
      </c>
      <c r="AB14" s="147" t="s">
        <v>753</v>
      </c>
      <c r="AC14" s="147" t="s">
        <v>760</v>
      </c>
      <c r="AD14" s="146">
        <v>45316</v>
      </c>
      <c r="AE14" s="147" t="s">
        <v>92</v>
      </c>
      <c r="AF14" s="145">
        <v>4.6500000000000004</v>
      </c>
      <c r="AG14" s="146"/>
      <c r="AH14" s="146">
        <v>45224</v>
      </c>
      <c r="AI14" s="145">
        <v>0.05</v>
      </c>
      <c r="AJ14" s="145">
        <v>5000000</v>
      </c>
      <c r="AK14" s="147" t="s">
        <v>759</v>
      </c>
      <c r="AL14" s="147" t="s">
        <v>92</v>
      </c>
      <c r="AM14" s="147" t="s">
        <v>92</v>
      </c>
      <c r="AN14" s="147" t="s">
        <v>92</v>
      </c>
      <c r="AO14" s="145"/>
      <c r="AP14" s="147" t="s">
        <v>546</v>
      </c>
      <c r="AQ14" s="147" t="s">
        <v>534</v>
      </c>
      <c r="AR14" s="145" t="s">
        <v>1178</v>
      </c>
      <c r="AS14" s="147" t="s">
        <v>92</v>
      </c>
      <c r="AT14" s="147" t="s">
        <v>535</v>
      </c>
      <c r="AU14" s="147" t="s">
        <v>580</v>
      </c>
      <c r="AV14" s="147" t="s">
        <v>327</v>
      </c>
      <c r="AW14" s="145"/>
      <c r="AX14" s="145"/>
      <c r="AY14" s="145"/>
      <c r="AZ14" s="145"/>
      <c r="BA14" s="147" t="s">
        <v>92</v>
      </c>
      <c r="BB14" s="147" t="s">
        <v>92</v>
      </c>
      <c r="BC14" s="147" t="s">
        <v>550</v>
      </c>
      <c r="BD14" s="145"/>
      <c r="BE14" s="145">
        <v>100</v>
      </c>
      <c r="BF14" s="147" t="s">
        <v>537</v>
      </c>
      <c r="BG14" s="147" t="s">
        <v>92</v>
      </c>
      <c r="BH14" s="147" t="s">
        <v>579</v>
      </c>
      <c r="BI14" s="147" t="s">
        <v>539</v>
      </c>
      <c r="BJ14" s="145"/>
      <c r="BK14" s="147" t="s">
        <v>110</v>
      </c>
      <c r="BL14" s="146">
        <v>45316</v>
      </c>
      <c r="BM14" s="145">
        <v>4.6500000000000004</v>
      </c>
      <c r="BN14" s="147" t="s">
        <v>784</v>
      </c>
      <c r="BO14" s="147">
        <v>0.05</v>
      </c>
      <c r="BP14" s="147" t="s">
        <v>535</v>
      </c>
      <c r="BQ14" s="147" t="s">
        <v>535</v>
      </c>
      <c r="BR14" s="147" t="s">
        <v>535</v>
      </c>
      <c r="BS14" s="147" t="s">
        <v>917</v>
      </c>
      <c r="BT14" s="147" t="s">
        <v>242</v>
      </c>
      <c r="BU14" s="146"/>
      <c r="BV14" s="145" t="s">
        <v>7</v>
      </c>
      <c r="BW14" s="147" t="s">
        <v>12</v>
      </c>
      <c r="BX14" s="147" t="s">
        <v>7</v>
      </c>
      <c r="BY14" s="147" t="s">
        <v>526</v>
      </c>
      <c r="BZ14" s="147" t="s">
        <v>7</v>
      </c>
      <c r="CA14" s="146"/>
      <c r="CB14" s="145"/>
      <c r="CC14" s="147" t="s">
        <v>83</v>
      </c>
      <c r="CD14" s="147" t="s">
        <v>83</v>
      </c>
      <c r="CE14" s="147" t="s">
        <v>39</v>
      </c>
      <c r="CF14" s="147" t="s">
        <v>92</v>
      </c>
      <c r="CG14" s="147" t="s">
        <v>110</v>
      </c>
      <c r="CH14" s="147" t="s">
        <v>92</v>
      </c>
      <c r="CI14" s="147">
        <v>6.0000000000000001E-3</v>
      </c>
      <c r="CJ14" s="147">
        <v>4.7E-2</v>
      </c>
      <c r="CK14" s="147">
        <v>0.05</v>
      </c>
      <c r="CL14" s="147" t="s">
        <v>92</v>
      </c>
      <c r="CM14" s="147" t="s">
        <v>92</v>
      </c>
      <c r="CN14" s="147" t="s">
        <v>7</v>
      </c>
      <c r="CO14" s="147" t="s">
        <v>7</v>
      </c>
      <c r="CP14" s="145" t="s">
        <v>115</v>
      </c>
      <c r="CQ14" s="145"/>
      <c r="CR14" s="145" t="s">
        <v>92</v>
      </c>
      <c r="CS14" s="145" t="s">
        <v>92</v>
      </c>
      <c r="CT14" s="145" t="s">
        <v>92</v>
      </c>
      <c r="CU14" s="145" t="s">
        <v>1112</v>
      </c>
      <c r="CV14" s="145" t="s">
        <v>786</v>
      </c>
      <c r="CW14" s="145" t="s">
        <v>794</v>
      </c>
      <c r="CX14" t="s">
        <v>7</v>
      </c>
      <c r="CY14" t="s">
        <v>92</v>
      </c>
      <c r="CZ14" s="147" t="s">
        <v>802</v>
      </c>
    </row>
    <row r="15" spans="1:104" x14ac:dyDescent="0.25">
      <c r="A15" s="145">
        <v>16</v>
      </c>
      <c r="B15" s="145" t="s">
        <v>388</v>
      </c>
      <c r="C15" s="147" t="s">
        <v>862</v>
      </c>
      <c r="D15" s="147" t="s">
        <v>1</v>
      </c>
      <c r="E15" s="147" t="s">
        <v>861</v>
      </c>
      <c r="F15" s="146">
        <v>45217</v>
      </c>
      <c r="G15" s="147" t="s">
        <v>85</v>
      </c>
      <c r="H15" s="147" t="s">
        <v>1113</v>
      </c>
      <c r="I15" s="147" t="s">
        <v>1031</v>
      </c>
      <c r="J15" s="147" t="s">
        <v>1032</v>
      </c>
      <c r="K15" s="147" t="s">
        <v>1035</v>
      </c>
      <c r="L15" s="147" t="s">
        <v>1039</v>
      </c>
      <c r="M15" s="147" t="s">
        <v>1027</v>
      </c>
      <c r="N15" s="147" t="s">
        <v>92</v>
      </c>
      <c r="O15" s="147" t="s">
        <v>131</v>
      </c>
      <c r="P15" s="147" t="s">
        <v>862</v>
      </c>
      <c r="Q15" s="147" t="s">
        <v>92</v>
      </c>
      <c r="R15" s="147" t="s">
        <v>529</v>
      </c>
      <c r="S15" s="147" t="s">
        <v>530</v>
      </c>
      <c r="T15" s="147" t="s">
        <v>531</v>
      </c>
      <c r="U15" s="147" t="s">
        <v>532</v>
      </c>
      <c r="V15" s="147" t="s">
        <v>532</v>
      </c>
      <c r="W15" s="147" t="s">
        <v>1040</v>
      </c>
      <c r="X15" s="147" t="s">
        <v>533</v>
      </c>
      <c r="Y15" s="146">
        <v>45224</v>
      </c>
      <c r="Z15" s="147" t="s">
        <v>1032</v>
      </c>
      <c r="AA15" s="146">
        <v>45224</v>
      </c>
      <c r="AB15" s="147" t="s">
        <v>92</v>
      </c>
      <c r="AC15" s="147" t="s">
        <v>1038</v>
      </c>
      <c r="AD15" s="146">
        <v>45407</v>
      </c>
      <c r="AE15" s="147" t="s">
        <v>92</v>
      </c>
      <c r="AF15" s="145">
        <v>7</v>
      </c>
      <c r="AG15" s="146"/>
      <c r="AH15" s="146">
        <v>45224</v>
      </c>
      <c r="AI15" s="145">
        <v>2.1</v>
      </c>
      <c r="AJ15" s="145">
        <v>1000</v>
      </c>
      <c r="AK15" s="147" t="s">
        <v>1037</v>
      </c>
      <c r="AL15" s="147" t="s">
        <v>1036</v>
      </c>
      <c r="AM15" s="147" t="s">
        <v>92</v>
      </c>
      <c r="AN15" s="147" t="s">
        <v>92</v>
      </c>
      <c r="AO15" s="145"/>
      <c r="AP15" s="147" t="s">
        <v>543</v>
      </c>
      <c r="AQ15" s="147" t="s">
        <v>534</v>
      </c>
      <c r="AR15" s="145" t="s">
        <v>1085</v>
      </c>
      <c r="AS15" s="147" t="s">
        <v>552</v>
      </c>
      <c r="AT15" s="147" t="s">
        <v>535</v>
      </c>
      <c r="AU15" s="147" t="s">
        <v>772</v>
      </c>
      <c r="AV15" s="147" t="s">
        <v>327</v>
      </c>
      <c r="AW15" s="145"/>
      <c r="AX15" s="145"/>
      <c r="AY15" s="145"/>
      <c r="AZ15" s="145"/>
      <c r="BA15" s="147" t="s">
        <v>92</v>
      </c>
      <c r="BB15" s="147" t="s">
        <v>1034</v>
      </c>
      <c r="BC15" s="147" t="s">
        <v>763</v>
      </c>
      <c r="BD15" s="145"/>
      <c r="BE15" s="145">
        <v>100</v>
      </c>
      <c r="BF15" s="147" t="s">
        <v>537</v>
      </c>
      <c r="BG15" s="147" t="s">
        <v>92</v>
      </c>
      <c r="BH15" s="147" t="s">
        <v>1033</v>
      </c>
      <c r="BI15" s="147" t="s">
        <v>539</v>
      </c>
      <c r="BJ15" s="145">
        <v>60</v>
      </c>
      <c r="BK15" s="147" t="s">
        <v>547</v>
      </c>
      <c r="BL15" s="146">
        <v>46320</v>
      </c>
      <c r="BM15" s="145">
        <v>7</v>
      </c>
      <c r="BN15" s="147" t="s">
        <v>541</v>
      </c>
      <c r="BO15" s="147">
        <v>2.1</v>
      </c>
      <c r="BP15" s="147" t="s">
        <v>535</v>
      </c>
      <c r="BQ15" s="147" t="s">
        <v>1030</v>
      </c>
      <c r="BR15" s="147" t="s">
        <v>1029</v>
      </c>
      <c r="BS15" s="147" t="s">
        <v>1028</v>
      </c>
      <c r="BT15" s="147" t="s">
        <v>242</v>
      </c>
      <c r="BU15" s="146"/>
      <c r="BV15" s="145" t="s">
        <v>7</v>
      </c>
      <c r="BW15" s="147" t="s">
        <v>10</v>
      </c>
      <c r="BX15" s="147" t="s">
        <v>7</v>
      </c>
      <c r="BY15" s="147" t="s">
        <v>573</v>
      </c>
      <c r="BZ15" s="147" t="s">
        <v>7</v>
      </c>
      <c r="CA15" s="146"/>
      <c r="CB15" s="145"/>
      <c r="CC15" s="147" t="s">
        <v>83</v>
      </c>
      <c r="CD15" s="147" t="s">
        <v>863</v>
      </c>
      <c r="CE15" s="147" t="s">
        <v>40</v>
      </c>
      <c r="CF15" s="147" t="s">
        <v>92</v>
      </c>
      <c r="CG15" s="147" t="s">
        <v>251</v>
      </c>
      <c r="CH15" s="147" t="s">
        <v>92</v>
      </c>
      <c r="CI15" s="147">
        <v>2.1</v>
      </c>
      <c r="CJ15" s="147">
        <v>15.391</v>
      </c>
      <c r="CK15" s="147">
        <v>16.440999999999999</v>
      </c>
      <c r="CL15" s="147" t="s">
        <v>92</v>
      </c>
      <c r="CM15" s="147" t="s">
        <v>92</v>
      </c>
      <c r="CN15" s="147" t="s">
        <v>7</v>
      </c>
      <c r="CO15" s="147" t="s">
        <v>7</v>
      </c>
      <c r="CP15" s="145" t="s">
        <v>115</v>
      </c>
      <c r="CQ15" s="145">
        <v>60</v>
      </c>
      <c r="CR15" s="145" t="s">
        <v>1114</v>
      </c>
      <c r="CS15" s="145" t="s">
        <v>1032</v>
      </c>
      <c r="CT15" s="145" t="s">
        <v>92</v>
      </c>
      <c r="CU15" s="145" t="s">
        <v>1032</v>
      </c>
      <c r="CV15" s="145" t="s">
        <v>151</v>
      </c>
      <c r="CW15" s="145" t="s">
        <v>92</v>
      </c>
      <c r="CX15" t="s">
        <v>7</v>
      </c>
      <c r="CY15" t="s">
        <v>787</v>
      </c>
      <c r="CZ15" s="147" t="s">
        <v>868</v>
      </c>
    </row>
    <row r="16" spans="1:104" x14ac:dyDescent="0.25">
      <c r="A16" s="145">
        <v>15</v>
      </c>
      <c r="B16" s="145" t="s">
        <v>771</v>
      </c>
      <c r="C16" s="147" t="s">
        <v>840</v>
      </c>
      <c r="D16" s="147" t="s">
        <v>1</v>
      </c>
      <c r="E16" s="147" t="s">
        <v>839</v>
      </c>
      <c r="F16" s="146">
        <v>45217</v>
      </c>
      <c r="G16" s="147" t="s">
        <v>106</v>
      </c>
      <c r="H16" s="147" t="s">
        <v>798</v>
      </c>
      <c r="I16" s="147" t="s">
        <v>92</v>
      </c>
      <c r="J16" s="147" t="s">
        <v>1016</v>
      </c>
      <c r="K16" s="147" t="s">
        <v>1019</v>
      </c>
      <c r="L16" s="147" t="s">
        <v>1025</v>
      </c>
      <c r="M16" s="147" t="s">
        <v>1014</v>
      </c>
      <c r="N16" s="147" t="s">
        <v>92</v>
      </c>
      <c r="O16" s="147" t="s">
        <v>131</v>
      </c>
      <c r="P16" s="147" t="s">
        <v>92</v>
      </c>
      <c r="Q16" s="147" t="s">
        <v>92</v>
      </c>
      <c r="R16" s="147" t="s">
        <v>529</v>
      </c>
      <c r="S16" s="147" t="s">
        <v>530</v>
      </c>
      <c r="T16" s="147" t="s">
        <v>531</v>
      </c>
      <c r="U16" s="147" t="s">
        <v>532</v>
      </c>
      <c r="V16" s="147" t="s">
        <v>532</v>
      </c>
      <c r="W16" s="147" t="s">
        <v>1026</v>
      </c>
      <c r="X16" s="147" t="s">
        <v>92</v>
      </c>
      <c r="Y16" s="146">
        <v>45223</v>
      </c>
      <c r="Z16" s="147" t="s">
        <v>1024</v>
      </c>
      <c r="AA16" s="146">
        <v>45223</v>
      </c>
      <c r="AB16" s="147" t="s">
        <v>840</v>
      </c>
      <c r="AC16" s="147" t="s">
        <v>1023</v>
      </c>
      <c r="AD16" s="146">
        <v>45406</v>
      </c>
      <c r="AE16" s="147" t="s">
        <v>92</v>
      </c>
      <c r="AF16" s="145">
        <v>7.8</v>
      </c>
      <c r="AG16" s="146"/>
      <c r="AH16" s="146">
        <v>45223</v>
      </c>
      <c r="AI16" s="145">
        <v>0.6</v>
      </c>
      <c r="AJ16" s="145">
        <v>10000</v>
      </c>
      <c r="AK16" s="147" t="s">
        <v>1022</v>
      </c>
      <c r="AL16" s="147" t="s">
        <v>1021</v>
      </c>
      <c r="AM16" s="147" t="s">
        <v>92</v>
      </c>
      <c r="AN16" s="147" t="s">
        <v>92</v>
      </c>
      <c r="AO16" s="145"/>
      <c r="AP16" s="147" t="s">
        <v>546</v>
      </c>
      <c r="AQ16" s="147" t="s">
        <v>534</v>
      </c>
      <c r="AR16" s="145" t="s">
        <v>939</v>
      </c>
      <c r="AS16" s="147" t="s">
        <v>409</v>
      </c>
      <c r="AT16" s="147" t="s">
        <v>535</v>
      </c>
      <c r="AU16" s="147" t="s">
        <v>536</v>
      </c>
      <c r="AV16" s="147" t="s">
        <v>327</v>
      </c>
      <c r="AW16" s="145"/>
      <c r="AX16" s="145"/>
      <c r="AY16" s="145"/>
      <c r="AZ16" s="145"/>
      <c r="BA16" s="147" t="s">
        <v>1018</v>
      </c>
      <c r="BB16" s="147" t="s">
        <v>1017</v>
      </c>
      <c r="BC16" s="147" t="s">
        <v>763</v>
      </c>
      <c r="BD16" s="145"/>
      <c r="BE16" s="145">
        <v>100</v>
      </c>
      <c r="BF16" s="147" t="s">
        <v>537</v>
      </c>
      <c r="BG16" s="147" t="s">
        <v>92</v>
      </c>
      <c r="BH16" s="147" t="s">
        <v>579</v>
      </c>
      <c r="BI16" s="147" t="s">
        <v>539</v>
      </c>
      <c r="BJ16" s="145"/>
      <c r="BK16" s="147" t="s">
        <v>547</v>
      </c>
      <c r="BL16" s="146">
        <v>45587</v>
      </c>
      <c r="BM16" s="145">
        <v>7.8</v>
      </c>
      <c r="BN16" s="147" t="s">
        <v>549</v>
      </c>
      <c r="BO16" s="147">
        <v>0.6</v>
      </c>
      <c r="BP16" s="147" t="s">
        <v>535</v>
      </c>
      <c r="BQ16" s="147" t="s">
        <v>535</v>
      </c>
      <c r="BR16" s="147" t="s">
        <v>535</v>
      </c>
      <c r="BS16" s="147" t="s">
        <v>1015</v>
      </c>
      <c r="BT16" s="147" t="s">
        <v>242</v>
      </c>
      <c r="BU16" s="146"/>
      <c r="BV16" s="145" t="s">
        <v>7</v>
      </c>
      <c r="BW16" s="147" t="s">
        <v>10</v>
      </c>
      <c r="BX16" s="147" t="s">
        <v>7</v>
      </c>
      <c r="BY16" s="147" t="s">
        <v>573</v>
      </c>
      <c r="BZ16" s="147" t="s">
        <v>7</v>
      </c>
      <c r="CA16" s="146"/>
      <c r="CB16" s="145"/>
      <c r="CC16" s="147" t="s">
        <v>83</v>
      </c>
      <c r="CD16" s="147" t="s">
        <v>83</v>
      </c>
      <c r="CE16" s="147" t="s">
        <v>39</v>
      </c>
      <c r="CF16" s="147" t="s">
        <v>92</v>
      </c>
      <c r="CG16" s="147" t="s">
        <v>251</v>
      </c>
      <c r="CH16" s="147" t="s">
        <v>92</v>
      </c>
      <c r="CI16" s="147">
        <v>8.2000000000000003E-2</v>
      </c>
      <c r="CJ16" s="147">
        <v>0.6</v>
      </c>
      <c r="CK16" s="147">
        <v>0.64100000000000001</v>
      </c>
      <c r="CL16" s="147" t="s">
        <v>92</v>
      </c>
      <c r="CM16" s="147" t="s">
        <v>92</v>
      </c>
      <c r="CN16" s="147" t="s">
        <v>7</v>
      </c>
      <c r="CO16" s="147" t="s">
        <v>7</v>
      </c>
      <c r="CP16" s="145" t="s">
        <v>115</v>
      </c>
      <c r="CQ16" s="145"/>
      <c r="CR16" s="145" t="s">
        <v>92</v>
      </c>
      <c r="CS16" s="145" t="s">
        <v>1016</v>
      </c>
      <c r="CT16" s="145" t="s">
        <v>92</v>
      </c>
      <c r="CU16" s="145" t="s">
        <v>1016</v>
      </c>
      <c r="CV16" s="145" t="s">
        <v>560</v>
      </c>
      <c r="CW16" s="145" t="s">
        <v>561</v>
      </c>
      <c r="CX16" t="s">
        <v>7</v>
      </c>
      <c r="CY16" t="s">
        <v>92</v>
      </c>
      <c r="CZ16" s="147" t="s">
        <v>845</v>
      </c>
    </row>
    <row r="17" spans="1:104" x14ac:dyDescent="0.25">
      <c r="A17" s="145">
        <v>14</v>
      </c>
      <c r="B17" s="145" t="s">
        <v>558</v>
      </c>
      <c r="C17" s="147" t="s">
        <v>825</v>
      </c>
      <c r="D17" s="147" t="s">
        <v>2</v>
      </c>
      <c r="E17" s="147" t="s">
        <v>824</v>
      </c>
      <c r="F17" s="146">
        <v>45217</v>
      </c>
      <c r="G17" s="147" t="s">
        <v>85</v>
      </c>
      <c r="H17" s="147" t="s">
        <v>798</v>
      </c>
      <c r="I17" s="147" t="s">
        <v>92</v>
      </c>
      <c r="J17" s="147" t="s">
        <v>92</v>
      </c>
      <c r="K17" s="147" t="s">
        <v>1009</v>
      </c>
      <c r="L17" s="147" t="s">
        <v>1012</v>
      </c>
      <c r="M17" s="147" t="s">
        <v>1007</v>
      </c>
      <c r="N17" s="147" t="s">
        <v>92</v>
      </c>
      <c r="O17" s="147" t="s">
        <v>545</v>
      </c>
      <c r="P17" s="147" t="s">
        <v>92</v>
      </c>
      <c r="Q17" s="147" t="s">
        <v>92</v>
      </c>
      <c r="R17" s="147" t="s">
        <v>529</v>
      </c>
      <c r="S17" s="147" t="s">
        <v>530</v>
      </c>
      <c r="T17" s="147" t="s">
        <v>531</v>
      </c>
      <c r="U17" s="147" t="s">
        <v>532</v>
      </c>
      <c r="V17" s="147" t="s">
        <v>532</v>
      </c>
      <c r="W17" s="147" t="s">
        <v>1013</v>
      </c>
      <c r="X17" s="147" t="s">
        <v>92</v>
      </c>
      <c r="Y17" s="146">
        <v>45225</v>
      </c>
      <c r="Z17" s="147" t="s">
        <v>92</v>
      </c>
      <c r="AA17" s="146">
        <v>45225</v>
      </c>
      <c r="AB17" s="147" t="s">
        <v>825</v>
      </c>
      <c r="AC17" s="147" t="s">
        <v>826</v>
      </c>
      <c r="AD17" s="146">
        <v>45591</v>
      </c>
      <c r="AE17" s="147" t="s">
        <v>92</v>
      </c>
      <c r="AF17" s="145">
        <v>7</v>
      </c>
      <c r="AG17" s="146"/>
      <c r="AH17" s="146">
        <v>45225</v>
      </c>
      <c r="AI17" s="145">
        <v>1.7</v>
      </c>
      <c r="AJ17" s="145">
        <v>1000</v>
      </c>
      <c r="AK17" s="147" t="s">
        <v>1011</v>
      </c>
      <c r="AL17" s="147" t="s">
        <v>92</v>
      </c>
      <c r="AM17" s="147" t="s">
        <v>92</v>
      </c>
      <c r="AN17" s="147" t="s">
        <v>92</v>
      </c>
      <c r="AO17" s="145"/>
      <c r="AP17" s="147" t="s">
        <v>546</v>
      </c>
      <c r="AQ17" s="147" t="s">
        <v>534</v>
      </c>
      <c r="AR17" s="145" t="s">
        <v>1085</v>
      </c>
      <c r="AS17" s="147" t="s">
        <v>92</v>
      </c>
      <c r="AT17" s="147" t="s">
        <v>535</v>
      </c>
      <c r="AU17" s="147" t="s">
        <v>1010</v>
      </c>
      <c r="AV17" s="147" t="s">
        <v>327</v>
      </c>
      <c r="AW17" s="145"/>
      <c r="AX17" s="145"/>
      <c r="AY17" s="145"/>
      <c r="AZ17" s="145"/>
      <c r="BA17" s="147" t="s">
        <v>92</v>
      </c>
      <c r="BB17" s="147" t="s">
        <v>773</v>
      </c>
      <c r="BC17" s="147" t="s">
        <v>774</v>
      </c>
      <c r="BD17" s="145"/>
      <c r="BE17" s="145">
        <v>100</v>
      </c>
      <c r="BF17" s="147" t="s">
        <v>537</v>
      </c>
      <c r="BG17" s="147" t="s">
        <v>92</v>
      </c>
      <c r="BH17" s="147" t="s">
        <v>579</v>
      </c>
      <c r="BI17" s="147" t="s">
        <v>539</v>
      </c>
      <c r="BJ17" s="145"/>
      <c r="BK17" s="147" t="s">
        <v>540</v>
      </c>
      <c r="BL17" s="146">
        <v>46321</v>
      </c>
      <c r="BM17" s="145">
        <v>7</v>
      </c>
      <c r="BN17" s="147" t="s">
        <v>541</v>
      </c>
      <c r="BO17" s="147">
        <v>1.7</v>
      </c>
      <c r="BP17" s="147" t="s">
        <v>535</v>
      </c>
      <c r="BQ17" s="147" t="s">
        <v>535</v>
      </c>
      <c r="BR17" s="147" t="s">
        <v>535</v>
      </c>
      <c r="BS17" s="147" t="s">
        <v>1008</v>
      </c>
      <c r="BT17" s="147" t="s">
        <v>242</v>
      </c>
      <c r="BU17" s="146"/>
      <c r="BV17" s="145" t="s">
        <v>7</v>
      </c>
      <c r="BW17" s="147" t="s">
        <v>15</v>
      </c>
      <c r="BX17" s="147" t="s">
        <v>7</v>
      </c>
      <c r="BY17" s="147" t="s">
        <v>250</v>
      </c>
      <c r="BZ17" s="147" t="s">
        <v>7</v>
      </c>
      <c r="CA17" s="146"/>
      <c r="CB17" s="145"/>
      <c r="CC17" s="147" t="s">
        <v>83</v>
      </c>
      <c r="CD17" s="147" t="s">
        <v>83</v>
      </c>
      <c r="CE17" s="147" t="s">
        <v>39</v>
      </c>
      <c r="CF17" s="147" t="s">
        <v>92</v>
      </c>
      <c r="CG17" s="147" t="s">
        <v>263</v>
      </c>
      <c r="CH17" s="147" t="s">
        <v>92</v>
      </c>
      <c r="CI17" s="147">
        <v>1.7</v>
      </c>
      <c r="CJ17" s="147">
        <v>12.459</v>
      </c>
      <c r="CK17" s="147">
        <v>13.308999999999999</v>
      </c>
      <c r="CL17" s="147" t="s">
        <v>92</v>
      </c>
      <c r="CM17" s="147" t="s">
        <v>92</v>
      </c>
      <c r="CN17" s="147" t="s">
        <v>7</v>
      </c>
      <c r="CO17" s="147" t="s">
        <v>7</v>
      </c>
      <c r="CP17" s="145" t="s">
        <v>115</v>
      </c>
      <c r="CQ17" s="145"/>
      <c r="CR17" s="145" t="s">
        <v>92</v>
      </c>
      <c r="CS17" s="145" t="s">
        <v>92</v>
      </c>
      <c r="CT17" s="145" t="s">
        <v>92</v>
      </c>
      <c r="CU17" s="145" t="s">
        <v>1032</v>
      </c>
      <c r="CV17" s="145" t="s">
        <v>151</v>
      </c>
      <c r="CW17" s="145" t="s">
        <v>92</v>
      </c>
      <c r="CX17" t="s">
        <v>7</v>
      </c>
      <c r="CY17" t="s">
        <v>92</v>
      </c>
      <c r="CZ17" s="147" t="s">
        <v>830</v>
      </c>
    </row>
    <row r="18" spans="1:104" x14ac:dyDescent="0.25">
      <c r="A18" s="145">
        <v>13</v>
      </c>
      <c r="B18" s="145" t="s">
        <v>312</v>
      </c>
      <c r="C18" s="147" t="s">
        <v>870</v>
      </c>
      <c r="D18" s="147" t="s">
        <v>1</v>
      </c>
      <c r="E18" s="147" t="s">
        <v>869</v>
      </c>
      <c r="F18" s="146">
        <v>45217</v>
      </c>
      <c r="G18" s="147" t="s">
        <v>85</v>
      </c>
      <c r="H18" s="147" t="s">
        <v>1115</v>
      </c>
      <c r="I18" s="147" t="s">
        <v>998</v>
      </c>
      <c r="J18" s="147" t="s">
        <v>999</v>
      </c>
      <c r="K18" s="147" t="s">
        <v>1002</v>
      </c>
      <c r="L18" s="147" t="s">
        <v>1005</v>
      </c>
      <c r="M18" s="147" t="s">
        <v>996</v>
      </c>
      <c r="N18" s="147" t="s">
        <v>92</v>
      </c>
      <c r="O18" s="147" t="s">
        <v>131</v>
      </c>
      <c r="P18" s="147" t="s">
        <v>92</v>
      </c>
      <c r="Q18" s="147" t="s">
        <v>92</v>
      </c>
      <c r="R18" s="147" t="s">
        <v>529</v>
      </c>
      <c r="S18" s="147" t="s">
        <v>530</v>
      </c>
      <c r="T18" s="147" t="s">
        <v>531</v>
      </c>
      <c r="U18" s="147" t="s">
        <v>532</v>
      </c>
      <c r="V18" s="147" t="s">
        <v>532</v>
      </c>
      <c r="W18" s="147" t="s">
        <v>1006</v>
      </c>
      <c r="X18" s="147" t="s">
        <v>92</v>
      </c>
      <c r="Y18" s="146">
        <v>45225</v>
      </c>
      <c r="Z18" s="147" t="s">
        <v>999</v>
      </c>
      <c r="AA18" s="146">
        <v>45225</v>
      </c>
      <c r="AB18" s="147" t="s">
        <v>92</v>
      </c>
      <c r="AC18" s="147" t="s">
        <v>870</v>
      </c>
      <c r="AD18" s="146">
        <v>45408</v>
      </c>
      <c r="AE18" s="147" t="s">
        <v>92</v>
      </c>
      <c r="AF18" s="145">
        <v>7.3</v>
      </c>
      <c r="AG18" s="146"/>
      <c r="AH18" s="146">
        <v>45225</v>
      </c>
      <c r="AI18" s="145">
        <v>3</v>
      </c>
      <c r="AJ18" s="145">
        <v>1000</v>
      </c>
      <c r="AK18" s="147" t="s">
        <v>1004</v>
      </c>
      <c r="AL18" s="147" t="s">
        <v>1003</v>
      </c>
      <c r="AM18" s="147" t="s">
        <v>92</v>
      </c>
      <c r="AN18" s="147" t="s">
        <v>92</v>
      </c>
      <c r="AO18" s="145"/>
      <c r="AP18" s="147" t="s">
        <v>546</v>
      </c>
      <c r="AQ18" s="147" t="s">
        <v>534</v>
      </c>
      <c r="AR18" s="145" t="s">
        <v>1085</v>
      </c>
      <c r="AS18" s="147" t="s">
        <v>409</v>
      </c>
      <c r="AT18" s="147" t="s">
        <v>535</v>
      </c>
      <c r="AU18" s="147" t="s">
        <v>772</v>
      </c>
      <c r="AV18" s="147" t="s">
        <v>327</v>
      </c>
      <c r="AW18" s="145"/>
      <c r="AX18" s="145"/>
      <c r="AY18" s="145"/>
      <c r="AZ18" s="145"/>
      <c r="BA18" s="147" t="s">
        <v>1001</v>
      </c>
      <c r="BB18" s="147" t="s">
        <v>1000</v>
      </c>
      <c r="BC18" s="147" t="s">
        <v>763</v>
      </c>
      <c r="BD18" s="145"/>
      <c r="BE18" s="145">
        <v>100</v>
      </c>
      <c r="BF18" s="147" t="s">
        <v>537</v>
      </c>
      <c r="BG18" s="147" t="s">
        <v>92</v>
      </c>
      <c r="BH18" s="147" t="s">
        <v>538</v>
      </c>
      <c r="BI18" s="147" t="s">
        <v>539</v>
      </c>
      <c r="BJ18" s="145">
        <v>40</v>
      </c>
      <c r="BK18" s="147" t="s">
        <v>540</v>
      </c>
      <c r="BL18" s="146">
        <v>46321</v>
      </c>
      <c r="BM18" s="145">
        <v>7.3</v>
      </c>
      <c r="BN18" s="147" t="s">
        <v>541</v>
      </c>
      <c r="BO18" s="147">
        <v>3</v>
      </c>
      <c r="BP18" s="147" t="s">
        <v>535</v>
      </c>
      <c r="BQ18" s="147" t="s">
        <v>535</v>
      </c>
      <c r="BR18" s="147" t="s">
        <v>535</v>
      </c>
      <c r="BS18" s="147" t="s">
        <v>997</v>
      </c>
      <c r="BT18" s="147" t="s">
        <v>242</v>
      </c>
      <c r="BU18" s="146"/>
      <c r="BV18" s="145" t="s">
        <v>7</v>
      </c>
      <c r="BW18" s="147" t="s">
        <v>10</v>
      </c>
      <c r="BX18" s="147" t="s">
        <v>150</v>
      </c>
      <c r="BY18" s="147" t="s">
        <v>250</v>
      </c>
      <c r="BZ18" s="147" t="s">
        <v>7</v>
      </c>
      <c r="CA18" s="146"/>
      <c r="CB18" s="145"/>
      <c r="CC18" s="147" t="s">
        <v>83</v>
      </c>
      <c r="CD18" s="147" t="s">
        <v>83</v>
      </c>
      <c r="CE18" s="147" t="s">
        <v>37</v>
      </c>
      <c r="CF18" s="147" t="s">
        <v>92</v>
      </c>
      <c r="CG18" s="147" t="s">
        <v>263</v>
      </c>
      <c r="CH18" s="147" t="s">
        <v>92</v>
      </c>
      <c r="CI18" s="147">
        <v>3</v>
      </c>
      <c r="CJ18" s="147">
        <v>21.986999999999998</v>
      </c>
      <c r="CK18" s="147">
        <v>23.486999999999998</v>
      </c>
      <c r="CL18" s="147" t="s">
        <v>92</v>
      </c>
      <c r="CM18" s="147" t="s">
        <v>92</v>
      </c>
      <c r="CN18" s="147" t="s">
        <v>7</v>
      </c>
      <c r="CO18" s="147" t="s">
        <v>7</v>
      </c>
      <c r="CP18" s="145" t="s">
        <v>115</v>
      </c>
      <c r="CQ18" s="145">
        <v>40</v>
      </c>
      <c r="CR18" s="145" t="s">
        <v>1116</v>
      </c>
      <c r="CS18" s="145" t="s">
        <v>999</v>
      </c>
      <c r="CT18" s="145" t="s">
        <v>92</v>
      </c>
      <c r="CU18" s="145" t="s">
        <v>999</v>
      </c>
      <c r="CV18" s="145" t="s">
        <v>151</v>
      </c>
      <c r="CW18" s="145" t="s">
        <v>92</v>
      </c>
      <c r="CX18" t="s">
        <v>7</v>
      </c>
      <c r="CY18" t="s">
        <v>752</v>
      </c>
      <c r="CZ18" s="147" t="s">
        <v>873</v>
      </c>
    </row>
    <row r="19" spans="1:104" x14ac:dyDescent="0.25">
      <c r="A19" s="145">
        <v>12</v>
      </c>
      <c r="B19" s="145" t="s">
        <v>558</v>
      </c>
      <c r="C19" s="147" t="s">
        <v>692</v>
      </c>
      <c r="D19" s="147" t="s">
        <v>3</v>
      </c>
      <c r="E19" s="147" t="s">
        <v>831</v>
      </c>
      <c r="F19" s="146">
        <v>45217</v>
      </c>
      <c r="G19" s="147" t="s">
        <v>106</v>
      </c>
      <c r="H19" s="147" t="s">
        <v>798</v>
      </c>
      <c r="I19" s="147" t="s">
        <v>92</v>
      </c>
      <c r="J19" s="147" t="s">
        <v>92</v>
      </c>
      <c r="K19" s="147" t="s">
        <v>989</v>
      </c>
      <c r="L19" s="147" t="s">
        <v>994</v>
      </c>
      <c r="M19" s="147" t="s">
        <v>984</v>
      </c>
      <c r="N19" s="147" t="s">
        <v>92</v>
      </c>
      <c r="O19" s="147" t="s">
        <v>131</v>
      </c>
      <c r="P19" s="147" t="s">
        <v>92</v>
      </c>
      <c r="Q19" s="147" t="s">
        <v>92</v>
      </c>
      <c r="R19" s="147" t="s">
        <v>529</v>
      </c>
      <c r="S19" s="147" t="s">
        <v>530</v>
      </c>
      <c r="T19" s="147" t="s">
        <v>531</v>
      </c>
      <c r="U19" s="147" t="s">
        <v>532</v>
      </c>
      <c r="V19" s="147" t="s">
        <v>532</v>
      </c>
      <c r="W19" s="147" t="s">
        <v>995</v>
      </c>
      <c r="X19" s="147" t="s">
        <v>92</v>
      </c>
      <c r="Y19" s="146">
        <v>45224</v>
      </c>
      <c r="Z19" s="147" t="s">
        <v>92</v>
      </c>
      <c r="AA19" s="146">
        <v>45224</v>
      </c>
      <c r="AB19" s="147" t="s">
        <v>692</v>
      </c>
      <c r="AC19" s="147" t="s">
        <v>993</v>
      </c>
      <c r="AD19" s="146">
        <v>45407</v>
      </c>
      <c r="AE19" s="147" t="s">
        <v>92</v>
      </c>
      <c r="AF19" s="145">
        <v>3.5</v>
      </c>
      <c r="AG19" s="146"/>
      <c r="AH19" s="146">
        <v>45224</v>
      </c>
      <c r="AI19" s="145">
        <v>31.9</v>
      </c>
      <c r="AJ19" s="145">
        <v>10000</v>
      </c>
      <c r="AK19" s="147" t="s">
        <v>992</v>
      </c>
      <c r="AL19" s="147" t="s">
        <v>92</v>
      </c>
      <c r="AM19" s="147" t="s">
        <v>92</v>
      </c>
      <c r="AN19" s="147" t="s">
        <v>92</v>
      </c>
      <c r="AO19" s="145"/>
      <c r="AP19" s="147" t="s">
        <v>543</v>
      </c>
      <c r="AQ19" s="147" t="s">
        <v>991</v>
      </c>
      <c r="AR19" s="145" t="s">
        <v>1085</v>
      </c>
      <c r="AS19" s="147" t="s">
        <v>92</v>
      </c>
      <c r="AT19" s="147" t="s">
        <v>535</v>
      </c>
      <c r="AU19" s="147" t="s">
        <v>990</v>
      </c>
      <c r="AV19" s="147" t="s">
        <v>327</v>
      </c>
      <c r="AW19" s="145"/>
      <c r="AX19" s="145"/>
      <c r="AY19" s="145"/>
      <c r="AZ19" s="145"/>
      <c r="BA19" s="147" t="s">
        <v>92</v>
      </c>
      <c r="BB19" s="147" t="s">
        <v>988</v>
      </c>
      <c r="BC19" s="147" t="s">
        <v>921</v>
      </c>
      <c r="BD19" s="145"/>
      <c r="BE19" s="145">
        <v>100</v>
      </c>
      <c r="BF19" s="147" t="s">
        <v>537</v>
      </c>
      <c r="BG19" s="147" t="s">
        <v>92</v>
      </c>
      <c r="BH19" s="147" t="s">
        <v>579</v>
      </c>
      <c r="BI19" s="147" t="s">
        <v>539</v>
      </c>
      <c r="BJ19" s="145"/>
      <c r="BK19" s="147" t="s">
        <v>110</v>
      </c>
      <c r="BL19" s="146">
        <v>46320</v>
      </c>
      <c r="BM19" s="145">
        <v>3.5</v>
      </c>
      <c r="BN19" s="147" t="s">
        <v>541</v>
      </c>
      <c r="BO19" s="147">
        <v>31.9</v>
      </c>
      <c r="BP19" s="147" t="s">
        <v>535</v>
      </c>
      <c r="BQ19" s="147" t="s">
        <v>987</v>
      </c>
      <c r="BR19" s="147" t="s">
        <v>986</v>
      </c>
      <c r="BS19" s="147" t="s">
        <v>985</v>
      </c>
      <c r="BT19" s="147" t="s">
        <v>242</v>
      </c>
      <c r="BU19" s="146"/>
      <c r="BV19" s="145" t="s">
        <v>7</v>
      </c>
      <c r="BW19" s="147" t="s">
        <v>144</v>
      </c>
      <c r="BX19" s="147" t="s">
        <v>7</v>
      </c>
      <c r="BY19" s="147" t="s">
        <v>832</v>
      </c>
      <c r="BZ19" s="147" t="s">
        <v>7</v>
      </c>
      <c r="CA19" s="146"/>
      <c r="CB19" s="145"/>
      <c r="CC19" s="147" t="s">
        <v>83</v>
      </c>
      <c r="CD19" s="147" t="s">
        <v>837</v>
      </c>
      <c r="CE19" s="147" t="s">
        <v>39</v>
      </c>
      <c r="CF19" s="147" t="s">
        <v>92</v>
      </c>
      <c r="CG19" s="147" t="s">
        <v>110</v>
      </c>
      <c r="CH19" s="147" t="s">
        <v>92</v>
      </c>
      <c r="CI19" s="147">
        <v>4.3380000000000001</v>
      </c>
      <c r="CJ19" s="147">
        <v>31.9</v>
      </c>
      <c r="CK19" s="147">
        <v>34.069000000000003</v>
      </c>
      <c r="CL19" s="147" t="s">
        <v>92</v>
      </c>
      <c r="CM19" s="147" t="s">
        <v>92</v>
      </c>
      <c r="CN19" s="147" t="s">
        <v>7</v>
      </c>
      <c r="CO19" s="147" t="s">
        <v>149</v>
      </c>
      <c r="CP19" s="145" t="s">
        <v>115</v>
      </c>
      <c r="CQ19" s="145"/>
      <c r="CR19" s="145" t="s">
        <v>92</v>
      </c>
      <c r="CS19" s="145" t="s">
        <v>92</v>
      </c>
      <c r="CT19" s="145" t="s">
        <v>92</v>
      </c>
      <c r="CU19" s="145" t="s">
        <v>1117</v>
      </c>
      <c r="CV19" s="145" t="s">
        <v>151</v>
      </c>
      <c r="CW19" s="145" t="s">
        <v>92</v>
      </c>
      <c r="CX19" t="s">
        <v>7</v>
      </c>
      <c r="CY19" t="s">
        <v>92</v>
      </c>
      <c r="CZ19" s="147" t="s">
        <v>838</v>
      </c>
    </row>
    <row r="20" spans="1:104" x14ac:dyDescent="0.25">
      <c r="A20" s="145">
        <v>11</v>
      </c>
      <c r="B20" s="145" t="s">
        <v>312</v>
      </c>
      <c r="C20" s="147" t="s">
        <v>847</v>
      </c>
      <c r="D20" s="147" t="s">
        <v>84</v>
      </c>
      <c r="E20" s="147" t="s">
        <v>851</v>
      </c>
      <c r="F20" s="146">
        <v>45217</v>
      </c>
      <c r="G20" s="147" t="s">
        <v>85</v>
      </c>
      <c r="H20" s="147" t="s">
        <v>1115</v>
      </c>
      <c r="I20" s="147" t="s">
        <v>974</v>
      </c>
      <c r="J20" s="147" t="s">
        <v>975</v>
      </c>
      <c r="K20" s="147" t="s">
        <v>976</v>
      </c>
      <c r="L20" s="147" t="s">
        <v>980</v>
      </c>
      <c r="M20" s="147" t="s">
        <v>972</v>
      </c>
      <c r="N20" s="147" t="s">
        <v>92</v>
      </c>
      <c r="O20" s="147" t="s">
        <v>983</v>
      </c>
      <c r="P20" s="147" t="s">
        <v>92</v>
      </c>
      <c r="Q20" s="147" t="s">
        <v>92</v>
      </c>
      <c r="R20" s="147" t="s">
        <v>529</v>
      </c>
      <c r="S20" s="147" t="s">
        <v>530</v>
      </c>
      <c r="T20" s="147" t="s">
        <v>982</v>
      </c>
      <c r="U20" s="147" t="s">
        <v>532</v>
      </c>
      <c r="V20" s="147" t="s">
        <v>532</v>
      </c>
      <c r="W20" s="147" t="s">
        <v>981</v>
      </c>
      <c r="X20" s="147" t="s">
        <v>92</v>
      </c>
      <c r="Y20" s="146">
        <v>45224</v>
      </c>
      <c r="Z20" s="147" t="s">
        <v>979</v>
      </c>
      <c r="AA20" s="146">
        <v>45224</v>
      </c>
      <c r="AB20" s="147" t="s">
        <v>92</v>
      </c>
      <c r="AC20" s="147" t="s">
        <v>978</v>
      </c>
      <c r="AD20" s="146">
        <v>45316</v>
      </c>
      <c r="AE20" s="147" t="s">
        <v>977</v>
      </c>
      <c r="AF20" s="145">
        <v>5.9454000000000002</v>
      </c>
      <c r="AG20" s="146"/>
      <c r="AH20" s="146">
        <v>45224</v>
      </c>
      <c r="AI20" s="145">
        <v>10</v>
      </c>
      <c r="AJ20" s="145">
        <v>1000</v>
      </c>
      <c r="AK20" s="147" t="s">
        <v>948</v>
      </c>
      <c r="AL20" s="147" t="s">
        <v>947</v>
      </c>
      <c r="AM20" s="147" t="s">
        <v>92</v>
      </c>
      <c r="AN20" s="147" t="s">
        <v>92</v>
      </c>
      <c r="AO20" s="145"/>
      <c r="AP20" s="147" t="s">
        <v>543</v>
      </c>
      <c r="AQ20" s="147" t="s">
        <v>551</v>
      </c>
      <c r="AR20" s="145" t="s">
        <v>1085</v>
      </c>
      <c r="AS20" s="147" t="s">
        <v>552</v>
      </c>
      <c r="AT20" s="147" t="s">
        <v>535</v>
      </c>
      <c r="AU20" s="147" t="s">
        <v>444</v>
      </c>
      <c r="AV20" s="147" t="s">
        <v>327</v>
      </c>
      <c r="AW20" s="145"/>
      <c r="AX20" s="145"/>
      <c r="AY20" s="145"/>
      <c r="AZ20" s="145"/>
      <c r="BA20" s="147" t="s">
        <v>92</v>
      </c>
      <c r="BB20" s="147" t="s">
        <v>553</v>
      </c>
      <c r="BC20" s="147" t="s">
        <v>550</v>
      </c>
      <c r="BD20" s="145"/>
      <c r="BE20" s="145">
        <v>100</v>
      </c>
      <c r="BF20" s="147" t="s">
        <v>537</v>
      </c>
      <c r="BG20" s="147" t="s">
        <v>92</v>
      </c>
      <c r="BH20" s="147" t="s">
        <v>538</v>
      </c>
      <c r="BI20" s="147" t="s">
        <v>539</v>
      </c>
      <c r="BJ20" s="145">
        <v>45</v>
      </c>
      <c r="BK20" s="147" t="s">
        <v>964</v>
      </c>
      <c r="BL20" s="146">
        <v>46320</v>
      </c>
      <c r="BM20" s="145">
        <v>5.9454000000000002</v>
      </c>
      <c r="BN20" s="147" t="s">
        <v>541</v>
      </c>
      <c r="BO20" s="147">
        <v>10</v>
      </c>
      <c r="BP20" s="147" t="s">
        <v>535</v>
      </c>
      <c r="BQ20" s="147" t="s">
        <v>554</v>
      </c>
      <c r="BR20" s="147" t="s">
        <v>555</v>
      </c>
      <c r="BS20" s="147" t="s">
        <v>973</v>
      </c>
      <c r="BT20" s="147" t="s">
        <v>242</v>
      </c>
      <c r="BU20" s="146"/>
      <c r="BV20" s="145" t="s">
        <v>7</v>
      </c>
      <c r="BW20" s="147" t="s">
        <v>12</v>
      </c>
      <c r="BX20" s="147" t="s">
        <v>7</v>
      </c>
      <c r="BY20" s="147" t="s">
        <v>250</v>
      </c>
      <c r="BZ20" s="147" t="s">
        <v>7</v>
      </c>
      <c r="CA20" s="146"/>
      <c r="CB20" s="145">
        <v>60</v>
      </c>
      <c r="CC20" s="147" t="s">
        <v>1176</v>
      </c>
      <c r="CD20" s="147" t="s">
        <v>464</v>
      </c>
      <c r="CE20" s="147" t="s">
        <v>37</v>
      </c>
      <c r="CF20" s="147" t="s">
        <v>92</v>
      </c>
      <c r="CG20" s="147" t="s">
        <v>1120</v>
      </c>
      <c r="CH20" s="147" t="s">
        <v>1125</v>
      </c>
      <c r="CI20" s="147">
        <v>10</v>
      </c>
      <c r="CJ20" s="147">
        <v>73.290000000000006</v>
      </c>
      <c r="CK20" s="147">
        <v>78.290000000000006</v>
      </c>
      <c r="CL20" s="147" t="s">
        <v>92</v>
      </c>
      <c r="CM20" s="147" t="s">
        <v>92</v>
      </c>
      <c r="CN20" s="147" t="s">
        <v>7</v>
      </c>
      <c r="CO20" s="147" t="s">
        <v>7</v>
      </c>
      <c r="CP20" s="145" t="s">
        <v>1126</v>
      </c>
      <c r="CQ20" s="145">
        <v>45</v>
      </c>
      <c r="CR20" s="145" t="s">
        <v>477</v>
      </c>
      <c r="CS20" s="145" t="s">
        <v>476</v>
      </c>
      <c r="CT20" s="145" t="s">
        <v>476</v>
      </c>
      <c r="CU20" s="145" t="s">
        <v>476</v>
      </c>
      <c r="CV20" s="145" t="s">
        <v>151</v>
      </c>
      <c r="CW20" s="145" t="s">
        <v>92</v>
      </c>
      <c r="CX20" t="s">
        <v>1127</v>
      </c>
      <c r="CY20" t="s">
        <v>752</v>
      </c>
      <c r="CZ20" s="147" t="s">
        <v>853</v>
      </c>
    </row>
    <row r="21" spans="1:104" x14ac:dyDescent="0.25">
      <c r="A21" s="145">
        <v>10</v>
      </c>
      <c r="B21" s="145" t="s">
        <v>312</v>
      </c>
      <c r="C21" s="147" t="s">
        <v>847</v>
      </c>
      <c r="D21" s="147" t="s">
        <v>84</v>
      </c>
      <c r="E21" s="147" t="s">
        <v>846</v>
      </c>
      <c r="F21" s="146">
        <v>45217</v>
      </c>
      <c r="G21" s="147" t="s">
        <v>85</v>
      </c>
      <c r="H21" s="147" t="s">
        <v>1115</v>
      </c>
      <c r="I21" s="147" t="s">
        <v>1119</v>
      </c>
      <c r="J21" s="147" t="s">
        <v>966</v>
      </c>
      <c r="K21" s="147" t="s">
        <v>967</v>
      </c>
      <c r="L21" s="147" t="s">
        <v>970</v>
      </c>
      <c r="M21" s="147" t="s">
        <v>962</v>
      </c>
      <c r="N21" s="147" t="s">
        <v>92</v>
      </c>
      <c r="O21" s="147" t="s">
        <v>131</v>
      </c>
      <c r="P21" s="147" t="s">
        <v>92</v>
      </c>
      <c r="Q21" s="147" t="s">
        <v>92</v>
      </c>
      <c r="R21" s="147" t="s">
        <v>529</v>
      </c>
      <c r="S21" s="147" t="s">
        <v>530</v>
      </c>
      <c r="T21" s="147" t="s">
        <v>531</v>
      </c>
      <c r="U21" s="147" t="s">
        <v>532</v>
      </c>
      <c r="V21" s="147" t="s">
        <v>532</v>
      </c>
      <c r="W21" s="147" t="s">
        <v>971</v>
      </c>
      <c r="X21" s="147" t="s">
        <v>92</v>
      </c>
      <c r="Y21" s="146">
        <v>45224</v>
      </c>
      <c r="Z21" s="147" t="s">
        <v>969</v>
      </c>
      <c r="AA21" s="146">
        <v>45224</v>
      </c>
      <c r="AB21" s="147" t="s">
        <v>92</v>
      </c>
      <c r="AC21" s="147" t="s">
        <v>968</v>
      </c>
      <c r="AD21" s="146">
        <v>45407</v>
      </c>
      <c r="AE21" s="147" t="s">
        <v>92</v>
      </c>
      <c r="AF21" s="145">
        <v>5.375</v>
      </c>
      <c r="AG21" s="146"/>
      <c r="AH21" s="146">
        <v>45224</v>
      </c>
      <c r="AI21" s="145">
        <v>5</v>
      </c>
      <c r="AJ21" s="145">
        <v>1000</v>
      </c>
      <c r="AK21" s="147" t="s">
        <v>948</v>
      </c>
      <c r="AL21" s="147" t="s">
        <v>957</v>
      </c>
      <c r="AM21" s="147" t="s">
        <v>92</v>
      </c>
      <c r="AN21" s="147" t="s">
        <v>92</v>
      </c>
      <c r="AO21" s="145"/>
      <c r="AP21" s="147" t="s">
        <v>543</v>
      </c>
      <c r="AQ21" s="147" t="s">
        <v>551</v>
      </c>
      <c r="AR21" s="145" t="s">
        <v>1085</v>
      </c>
      <c r="AS21" s="147" t="s">
        <v>552</v>
      </c>
      <c r="AT21" s="147" t="s">
        <v>535</v>
      </c>
      <c r="AU21" s="147" t="s">
        <v>444</v>
      </c>
      <c r="AV21" s="147" t="s">
        <v>327</v>
      </c>
      <c r="AW21" s="145"/>
      <c r="AX21" s="145"/>
      <c r="AY21" s="145"/>
      <c r="AZ21" s="145"/>
      <c r="BA21" s="147" t="s">
        <v>92</v>
      </c>
      <c r="BB21" s="147" t="s">
        <v>553</v>
      </c>
      <c r="BC21" s="147" t="s">
        <v>550</v>
      </c>
      <c r="BD21" s="145">
        <v>-5.9999999999999995E-4</v>
      </c>
      <c r="BE21" s="145">
        <v>99.816999999999993</v>
      </c>
      <c r="BF21" s="147" t="s">
        <v>537</v>
      </c>
      <c r="BG21" s="147" t="s">
        <v>92</v>
      </c>
      <c r="BH21" s="147" t="s">
        <v>538</v>
      </c>
      <c r="BI21" s="147" t="s">
        <v>539</v>
      </c>
      <c r="BJ21" s="145">
        <v>45</v>
      </c>
      <c r="BK21" s="147" t="s">
        <v>964</v>
      </c>
      <c r="BL21" s="146">
        <v>46320</v>
      </c>
      <c r="BM21" s="145">
        <v>5.375</v>
      </c>
      <c r="BN21" s="147" t="s">
        <v>541</v>
      </c>
      <c r="BO21" s="147">
        <v>5</v>
      </c>
      <c r="BP21" s="147" t="s">
        <v>535</v>
      </c>
      <c r="BQ21" s="147" t="s">
        <v>554</v>
      </c>
      <c r="BR21" s="147" t="s">
        <v>555</v>
      </c>
      <c r="BS21" s="147" t="s">
        <v>963</v>
      </c>
      <c r="BT21" s="147" t="s">
        <v>242</v>
      </c>
      <c r="BU21" s="146"/>
      <c r="BV21" s="145" t="s">
        <v>7</v>
      </c>
      <c r="BW21" s="147" t="s">
        <v>12</v>
      </c>
      <c r="BX21" s="147" t="s">
        <v>7</v>
      </c>
      <c r="BY21" s="147" t="s">
        <v>250</v>
      </c>
      <c r="BZ21" s="147" t="s">
        <v>7</v>
      </c>
      <c r="CA21" s="146"/>
      <c r="CB21" s="145"/>
      <c r="CC21" s="147" t="s">
        <v>1176</v>
      </c>
      <c r="CD21" s="147" t="s">
        <v>464</v>
      </c>
      <c r="CE21" s="147" t="s">
        <v>37</v>
      </c>
      <c r="CF21" s="147" t="s">
        <v>92</v>
      </c>
      <c r="CG21" s="147" t="s">
        <v>1120</v>
      </c>
      <c r="CH21" s="147" t="s">
        <v>1121</v>
      </c>
      <c r="CI21" s="147">
        <v>5</v>
      </c>
      <c r="CJ21" s="147">
        <v>36.645000000000003</v>
      </c>
      <c r="CK21" s="147">
        <v>39.145000000000003</v>
      </c>
      <c r="CL21" s="147" t="s">
        <v>92</v>
      </c>
      <c r="CM21" s="147" t="s">
        <v>92</v>
      </c>
      <c r="CN21" s="147" t="s">
        <v>7</v>
      </c>
      <c r="CO21" s="147" t="s">
        <v>149</v>
      </c>
      <c r="CP21" s="145" t="s">
        <v>1122</v>
      </c>
      <c r="CQ21" s="145"/>
      <c r="CR21" s="145" t="s">
        <v>1123</v>
      </c>
      <c r="CS21" s="145" t="s">
        <v>1124</v>
      </c>
      <c r="CT21" s="145" t="s">
        <v>92</v>
      </c>
      <c r="CU21" s="145" t="s">
        <v>969</v>
      </c>
      <c r="CV21" s="145" t="s">
        <v>151</v>
      </c>
      <c r="CW21" s="145" t="s">
        <v>92</v>
      </c>
      <c r="CX21" t="s">
        <v>7</v>
      </c>
      <c r="CY21" t="s">
        <v>752</v>
      </c>
      <c r="CZ21" s="147" t="s">
        <v>850</v>
      </c>
    </row>
    <row r="22" spans="1:104" x14ac:dyDescent="0.25">
      <c r="A22" s="145">
        <v>9</v>
      </c>
      <c r="B22" s="145" t="s">
        <v>312</v>
      </c>
      <c r="C22" s="147" t="s">
        <v>847</v>
      </c>
      <c r="D22" s="147" t="s">
        <v>84</v>
      </c>
      <c r="E22" s="147" t="s">
        <v>854</v>
      </c>
      <c r="F22" s="146">
        <v>45217</v>
      </c>
      <c r="G22" s="147" t="s">
        <v>111</v>
      </c>
      <c r="H22" s="147" t="s">
        <v>1115</v>
      </c>
      <c r="I22" s="147" t="s">
        <v>955</v>
      </c>
      <c r="J22" s="147" t="s">
        <v>571</v>
      </c>
      <c r="K22" s="147" t="s">
        <v>956</v>
      </c>
      <c r="L22" s="147" t="s">
        <v>960</v>
      </c>
      <c r="M22" s="147" t="s">
        <v>952</v>
      </c>
      <c r="N22" s="147" t="s">
        <v>92</v>
      </c>
      <c r="O22" s="147" t="s">
        <v>545</v>
      </c>
      <c r="P22" s="147" t="s">
        <v>92</v>
      </c>
      <c r="Q22" s="147" t="s">
        <v>92</v>
      </c>
      <c r="R22" s="147" t="s">
        <v>529</v>
      </c>
      <c r="S22" s="147" t="s">
        <v>530</v>
      </c>
      <c r="T22" s="147" t="s">
        <v>531</v>
      </c>
      <c r="U22" s="147" t="s">
        <v>532</v>
      </c>
      <c r="V22" s="147" t="s">
        <v>532</v>
      </c>
      <c r="W22" s="147" t="s">
        <v>961</v>
      </c>
      <c r="X22" s="147" t="s">
        <v>92</v>
      </c>
      <c r="Y22" s="146">
        <v>45224</v>
      </c>
      <c r="Z22" s="147" t="s">
        <v>959</v>
      </c>
      <c r="AA22" s="146">
        <v>45224</v>
      </c>
      <c r="AB22" s="147" t="s">
        <v>92</v>
      </c>
      <c r="AC22" s="147" t="s">
        <v>958</v>
      </c>
      <c r="AD22" s="146">
        <v>45590</v>
      </c>
      <c r="AE22" s="147" t="s">
        <v>92</v>
      </c>
      <c r="AF22" s="145">
        <v>4.125</v>
      </c>
      <c r="AG22" s="146"/>
      <c r="AH22" s="146">
        <v>45224</v>
      </c>
      <c r="AI22" s="145">
        <v>3</v>
      </c>
      <c r="AJ22" s="145">
        <v>1000</v>
      </c>
      <c r="AK22" s="147" t="s">
        <v>948</v>
      </c>
      <c r="AL22" s="147" t="s">
        <v>957</v>
      </c>
      <c r="AM22" s="147" t="s">
        <v>92</v>
      </c>
      <c r="AN22" s="147" t="s">
        <v>92</v>
      </c>
      <c r="AO22" s="145"/>
      <c r="AP22" s="147" t="s">
        <v>543</v>
      </c>
      <c r="AQ22" s="147" t="s">
        <v>551</v>
      </c>
      <c r="AR22" s="145" t="s">
        <v>1085</v>
      </c>
      <c r="AS22" s="147" t="s">
        <v>552</v>
      </c>
      <c r="AT22" s="147" t="s">
        <v>535</v>
      </c>
      <c r="AU22" s="147" t="s">
        <v>444</v>
      </c>
      <c r="AV22" s="147" t="s">
        <v>327</v>
      </c>
      <c r="AW22" s="145"/>
      <c r="AX22" s="145"/>
      <c r="AY22" s="145"/>
      <c r="AZ22" s="145"/>
      <c r="BA22" s="147" t="s">
        <v>92</v>
      </c>
      <c r="BB22" s="147" t="s">
        <v>553</v>
      </c>
      <c r="BC22" s="147" t="s">
        <v>550</v>
      </c>
      <c r="BD22" s="145"/>
      <c r="BE22" s="145">
        <v>99.745999999999995</v>
      </c>
      <c r="BF22" s="147" t="s">
        <v>537</v>
      </c>
      <c r="BG22" s="147" t="s">
        <v>92</v>
      </c>
      <c r="BH22" s="147" t="s">
        <v>538</v>
      </c>
      <c r="BI22" s="147" t="s">
        <v>539</v>
      </c>
      <c r="BJ22" s="145"/>
      <c r="BK22" s="147" t="s">
        <v>954</v>
      </c>
      <c r="BL22" s="146">
        <v>46320</v>
      </c>
      <c r="BM22" s="145">
        <v>4.125</v>
      </c>
      <c r="BN22" s="147" t="s">
        <v>541</v>
      </c>
      <c r="BO22" s="147">
        <v>3</v>
      </c>
      <c r="BP22" s="147" t="s">
        <v>535</v>
      </c>
      <c r="BQ22" s="147" t="s">
        <v>554</v>
      </c>
      <c r="BR22" s="147" t="s">
        <v>555</v>
      </c>
      <c r="BS22" s="147" t="s">
        <v>953</v>
      </c>
      <c r="BT22" s="147" t="s">
        <v>242</v>
      </c>
      <c r="BU22" s="146"/>
      <c r="BV22" s="145" t="s">
        <v>7</v>
      </c>
      <c r="BW22" s="147" t="s">
        <v>12</v>
      </c>
      <c r="BX22" s="147" t="s">
        <v>7</v>
      </c>
      <c r="BY22" s="147" t="s">
        <v>250</v>
      </c>
      <c r="BZ22" s="147" t="s">
        <v>7</v>
      </c>
      <c r="CA22" s="146"/>
      <c r="CB22" s="145"/>
      <c r="CC22" s="147" t="s">
        <v>1176</v>
      </c>
      <c r="CD22" s="147" t="s">
        <v>464</v>
      </c>
      <c r="CE22" s="147" t="s">
        <v>37</v>
      </c>
      <c r="CF22" s="147" t="s">
        <v>92</v>
      </c>
      <c r="CG22" s="147" t="s">
        <v>1120</v>
      </c>
      <c r="CH22" s="147" t="s">
        <v>1128</v>
      </c>
      <c r="CI22" s="147">
        <v>3.1589999999999998</v>
      </c>
      <c r="CJ22" s="147">
        <v>23.154</v>
      </c>
      <c r="CK22" s="147">
        <v>24.734999999999999</v>
      </c>
      <c r="CL22" s="147" t="s">
        <v>92</v>
      </c>
      <c r="CM22" s="147" t="s">
        <v>92</v>
      </c>
      <c r="CN22" s="147" t="s">
        <v>7</v>
      </c>
      <c r="CO22" s="147" t="s">
        <v>149</v>
      </c>
      <c r="CP22" s="145" t="s">
        <v>571</v>
      </c>
      <c r="CQ22" s="145"/>
      <c r="CR22" s="145" t="s">
        <v>1129</v>
      </c>
      <c r="CS22" s="145" t="s">
        <v>571</v>
      </c>
      <c r="CT22" s="145" t="s">
        <v>571</v>
      </c>
      <c r="CU22" s="145" t="s">
        <v>959</v>
      </c>
      <c r="CV22" s="145" t="s">
        <v>151</v>
      </c>
      <c r="CW22" s="145" t="s">
        <v>92</v>
      </c>
      <c r="CX22" t="s">
        <v>7</v>
      </c>
      <c r="CY22" t="s">
        <v>752</v>
      </c>
      <c r="CZ22" s="147" t="s">
        <v>856</v>
      </c>
    </row>
    <row r="23" spans="1:104" x14ac:dyDescent="0.25">
      <c r="A23" s="145">
        <v>8</v>
      </c>
      <c r="B23" s="145" t="s">
        <v>312</v>
      </c>
      <c r="C23" s="147" t="s">
        <v>847</v>
      </c>
      <c r="D23" s="147" t="s">
        <v>84</v>
      </c>
      <c r="E23" s="147" t="s">
        <v>857</v>
      </c>
      <c r="F23" s="146">
        <v>45217</v>
      </c>
      <c r="G23" s="147" t="s">
        <v>106</v>
      </c>
      <c r="H23" s="147" t="s">
        <v>1115</v>
      </c>
      <c r="I23" s="147" t="s">
        <v>944</v>
      </c>
      <c r="J23" s="147" t="s">
        <v>945</v>
      </c>
      <c r="K23" s="147" t="s">
        <v>946</v>
      </c>
      <c r="L23" s="147" t="s">
        <v>950</v>
      </c>
      <c r="M23" s="147" t="s">
        <v>940</v>
      </c>
      <c r="N23" s="147" t="s">
        <v>92</v>
      </c>
      <c r="O23" s="147" t="s">
        <v>131</v>
      </c>
      <c r="P23" s="147" t="s">
        <v>92</v>
      </c>
      <c r="Q23" s="147" t="s">
        <v>92</v>
      </c>
      <c r="R23" s="147" t="s">
        <v>529</v>
      </c>
      <c r="S23" s="147" t="s">
        <v>530</v>
      </c>
      <c r="T23" s="147" t="s">
        <v>531</v>
      </c>
      <c r="U23" s="147" t="s">
        <v>532</v>
      </c>
      <c r="V23" s="147" t="s">
        <v>532</v>
      </c>
      <c r="W23" s="147" t="s">
        <v>951</v>
      </c>
      <c r="X23" s="147" t="s">
        <v>92</v>
      </c>
      <c r="Y23" s="146">
        <v>45224</v>
      </c>
      <c r="Z23" s="147" t="s">
        <v>945</v>
      </c>
      <c r="AA23" s="146">
        <v>45224</v>
      </c>
      <c r="AB23" s="147" t="s">
        <v>92</v>
      </c>
      <c r="AC23" s="147" t="s">
        <v>949</v>
      </c>
      <c r="AD23" s="146">
        <v>45407</v>
      </c>
      <c r="AE23" s="147" t="s">
        <v>92</v>
      </c>
      <c r="AF23" s="145">
        <v>3.2</v>
      </c>
      <c r="AG23" s="146"/>
      <c r="AH23" s="146">
        <v>45224</v>
      </c>
      <c r="AI23" s="145">
        <v>16</v>
      </c>
      <c r="AJ23" s="145">
        <v>10000</v>
      </c>
      <c r="AK23" s="147" t="s">
        <v>948</v>
      </c>
      <c r="AL23" s="147" t="s">
        <v>947</v>
      </c>
      <c r="AM23" s="147" t="s">
        <v>92</v>
      </c>
      <c r="AN23" s="147" t="s">
        <v>92</v>
      </c>
      <c r="AO23" s="145"/>
      <c r="AP23" s="147" t="s">
        <v>543</v>
      </c>
      <c r="AQ23" s="147" t="s">
        <v>551</v>
      </c>
      <c r="AR23" s="145" t="s">
        <v>1221</v>
      </c>
      <c r="AS23" s="147" t="s">
        <v>552</v>
      </c>
      <c r="AT23" s="147" t="s">
        <v>535</v>
      </c>
      <c r="AU23" s="147" t="s">
        <v>444</v>
      </c>
      <c r="AV23" s="147" t="s">
        <v>327</v>
      </c>
      <c r="AW23" s="145"/>
      <c r="AX23" s="145"/>
      <c r="AY23" s="145"/>
      <c r="AZ23" s="145"/>
      <c r="BA23" s="147" t="s">
        <v>92</v>
      </c>
      <c r="BB23" s="147" t="s">
        <v>553</v>
      </c>
      <c r="BC23" s="147" t="s">
        <v>550</v>
      </c>
      <c r="BD23" s="145"/>
      <c r="BE23" s="145">
        <v>100</v>
      </c>
      <c r="BF23" s="147" t="s">
        <v>537</v>
      </c>
      <c r="BG23" s="147" t="s">
        <v>92</v>
      </c>
      <c r="BH23" s="147" t="s">
        <v>538</v>
      </c>
      <c r="BI23" s="147" t="s">
        <v>539</v>
      </c>
      <c r="BJ23" s="145">
        <v>35</v>
      </c>
      <c r="BK23" s="147" t="s">
        <v>943</v>
      </c>
      <c r="BL23" s="146">
        <v>45955</v>
      </c>
      <c r="BM23" s="145">
        <v>3.2</v>
      </c>
      <c r="BN23" s="147" t="s">
        <v>942</v>
      </c>
      <c r="BO23" s="147">
        <v>16</v>
      </c>
      <c r="BP23" s="147" t="s">
        <v>535</v>
      </c>
      <c r="BQ23" s="147" t="s">
        <v>554</v>
      </c>
      <c r="BR23" s="147" t="s">
        <v>555</v>
      </c>
      <c r="BS23" s="147" t="s">
        <v>941</v>
      </c>
      <c r="BT23" s="147" t="s">
        <v>242</v>
      </c>
      <c r="BU23" s="146"/>
      <c r="BV23" s="145" t="s">
        <v>7</v>
      </c>
      <c r="BW23" s="147" t="s">
        <v>12</v>
      </c>
      <c r="BX23" s="147" t="s">
        <v>7</v>
      </c>
      <c r="BY23" s="147" t="s">
        <v>250</v>
      </c>
      <c r="BZ23" s="147" t="s">
        <v>7</v>
      </c>
      <c r="CA23" s="146"/>
      <c r="CB23" s="145"/>
      <c r="CC23" s="147" t="s">
        <v>1176</v>
      </c>
      <c r="CD23" s="147" t="s">
        <v>464</v>
      </c>
      <c r="CE23" s="147" t="s">
        <v>37</v>
      </c>
      <c r="CF23" s="147" t="s">
        <v>92</v>
      </c>
      <c r="CG23" s="147" t="s">
        <v>1120</v>
      </c>
      <c r="CH23" s="147" t="s">
        <v>1130</v>
      </c>
      <c r="CI23" s="147">
        <v>2.1760000000000002</v>
      </c>
      <c r="CJ23" s="147">
        <v>16</v>
      </c>
      <c r="CK23" s="147">
        <v>17.088000000000001</v>
      </c>
      <c r="CL23" s="147" t="s">
        <v>92</v>
      </c>
      <c r="CM23" s="147" t="s">
        <v>92</v>
      </c>
      <c r="CN23" s="147" t="s">
        <v>7</v>
      </c>
      <c r="CO23" s="147" t="s">
        <v>149</v>
      </c>
      <c r="CP23" s="145" t="s">
        <v>115</v>
      </c>
      <c r="CQ23" s="145">
        <v>35</v>
      </c>
      <c r="CR23" s="145" t="s">
        <v>1131</v>
      </c>
      <c r="CS23" s="145" t="s">
        <v>1132</v>
      </c>
      <c r="CT23" s="145" t="s">
        <v>92</v>
      </c>
      <c r="CU23" s="145" t="s">
        <v>1132</v>
      </c>
      <c r="CV23" s="145" t="s">
        <v>576</v>
      </c>
      <c r="CW23" s="145" t="s">
        <v>92</v>
      </c>
      <c r="CX23" t="s">
        <v>7</v>
      </c>
      <c r="CY23" t="s">
        <v>752</v>
      </c>
      <c r="CZ23" s="147" t="s">
        <v>860</v>
      </c>
    </row>
    <row r="24" spans="1:104" x14ac:dyDescent="0.25">
      <c r="A24" s="145">
        <v>7</v>
      </c>
      <c r="B24" s="145" t="s">
        <v>750</v>
      </c>
      <c r="C24" s="147" t="s">
        <v>753</v>
      </c>
      <c r="D24" s="147" t="s">
        <v>84</v>
      </c>
      <c r="E24" s="147" t="s">
        <v>821</v>
      </c>
      <c r="F24" s="146">
        <v>45217</v>
      </c>
      <c r="G24" s="147" t="s">
        <v>106</v>
      </c>
      <c r="H24" s="147" t="s">
        <v>798</v>
      </c>
      <c r="I24" s="147" t="s">
        <v>92</v>
      </c>
      <c r="J24" s="147" t="s">
        <v>92</v>
      </c>
      <c r="K24" s="147" t="s">
        <v>758</v>
      </c>
      <c r="L24" s="147" t="s">
        <v>92</v>
      </c>
      <c r="M24" s="147" t="s">
        <v>936</v>
      </c>
      <c r="N24" s="147" t="s">
        <v>92</v>
      </c>
      <c r="O24" s="147" t="s">
        <v>131</v>
      </c>
      <c r="P24" s="147" t="s">
        <v>92</v>
      </c>
      <c r="Q24" s="147" t="s">
        <v>92</v>
      </c>
      <c r="R24" s="147" t="s">
        <v>761</v>
      </c>
      <c r="S24" s="147" t="s">
        <v>530</v>
      </c>
      <c r="T24" s="147" t="s">
        <v>531</v>
      </c>
      <c r="U24" s="147" t="s">
        <v>532</v>
      </c>
      <c r="V24" s="147" t="s">
        <v>532</v>
      </c>
      <c r="W24" s="147" t="s">
        <v>758</v>
      </c>
      <c r="X24" s="147" t="s">
        <v>92</v>
      </c>
      <c r="Y24" s="146">
        <v>45224</v>
      </c>
      <c r="Z24" s="147" t="s">
        <v>92</v>
      </c>
      <c r="AA24" s="146">
        <v>45224</v>
      </c>
      <c r="AB24" s="147" t="s">
        <v>753</v>
      </c>
      <c r="AC24" s="147" t="s">
        <v>760</v>
      </c>
      <c r="AD24" s="146">
        <v>45405</v>
      </c>
      <c r="AE24" s="147" t="s">
        <v>92</v>
      </c>
      <c r="AF24" s="145">
        <v>6.7</v>
      </c>
      <c r="AG24" s="146"/>
      <c r="AH24" s="146">
        <v>45224</v>
      </c>
      <c r="AI24" s="145">
        <v>0.25700000000000001</v>
      </c>
      <c r="AJ24" s="145">
        <v>1000</v>
      </c>
      <c r="AK24" s="147" t="s">
        <v>759</v>
      </c>
      <c r="AL24" s="147" t="s">
        <v>92</v>
      </c>
      <c r="AM24" s="147" t="s">
        <v>92</v>
      </c>
      <c r="AN24" s="147" t="s">
        <v>92</v>
      </c>
      <c r="AO24" s="145"/>
      <c r="AP24" s="147" t="s">
        <v>546</v>
      </c>
      <c r="AQ24" s="147" t="s">
        <v>534</v>
      </c>
      <c r="AR24" s="145" t="s">
        <v>1220</v>
      </c>
      <c r="AS24" s="147" t="s">
        <v>92</v>
      </c>
      <c r="AT24" s="147" t="s">
        <v>535</v>
      </c>
      <c r="AU24" s="147" t="s">
        <v>580</v>
      </c>
      <c r="AV24" s="147" t="s">
        <v>327</v>
      </c>
      <c r="AW24" s="145"/>
      <c r="AX24" s="145"/>
      <c r="AY24" s="145"/>
      <c r="AZ24" s="145"/>
      <c r="BA24" s="147" t="s">
        <v>92</v>
      </c>
      <c r="BB24" s="147" t="s">
        <v>92</v>
      </c>
      <c r="BC24" s="147" t="s">
        <v>550</v>
      </c>
      <c r="BD24" s="145"/>
      <c r="BE24" s="145">
        <v>100</v>
      </c>
      <c r="BF24" s="147" t="s">
        <v>537</v>
      </c>
      <c r="BG24" s="147" t="s">
        <v>92</v>
      </c>
      <c r="BH24" s="147" t="s">
        <v>579</v>
      </c>
      <c r="BI24" s="147" t="s">
        <v>92</v>
      </c>
      <c r="BJ24" s="145"/>
      <c r="BK24" s="147" t="s">
        <v>110</v>
      </c>
      <c r="BL24" s="146">
        <v>45583</v>
      </c>
      <c r="BM24" s="145">
        <v>6.7</v>
      </c>
      <c r="BN24" s="147" t="s">
        <v>938</v>
      </c>
      <c r="BO24" s="147">
        <v>0.25700000000000001</v>
      </c>
      <c r="BP24" s="147" t="s">
        <v>535</v>
      </c>
      <c r="BQ24" s="147" t="s">
        <v>535</v>
      </c>
      <c r="BR24" s="147" t="s">
        <v>535</v>
      </c>
      <c r="BS24" s="147" t="s">
        <v>937</v>
      </c>
      <c r="BT24" s="147" t="s">
        <v>242</v>
      </c>
      <c r="BU24" s="146"/>
      <c r="BV24" s="145" t="s">
        <v>7</v>
      </c>
      <c r="BW24" s="147" t="s">
        <v>12</v>
      </c>
      <c r="BX24" s="147" t="s">
        <v>7</v>
      </c>
      <c r="BY24" s="147" t="s">
        <v>526</v>
      </c>
      <c r="BZ24" s="147" t="s">
        <v>7</v>
      </c>
      <c r="CA24" s="146"/>
      <c r="CB24" s="145"/>
      <c r="CC24" s="147" t="s">
        <v>83</v>
      </c>
      <c r="CD24" s="147" t="s">
        <v>83</v>
      </c>
      <c r="CE24" s="147" t="s">
        <v>39</v>
      </c>
      <c r="CF24" s="147" t="s">
        <v>92</v>
      </c>
      <c r="CG24" s="147" t="s">
        <v>110</v>
      </c>
      <c r="CH24" s="147" t="s">
        <v>92</v>
      </c>
      <c r="CI24" s="147">
        <v>3.5000000000000003E-2</v>
      </c>
      <c r="CJ24" s="147">
        <v>0.25700000000000001</v>
      </c>
      <c r="CK24" s="147">
        <v>0.27400000000000002</v>
      </c>
      <c r="CL24" s="147" t="s">
        <v>92</v>
      </c>
      <c r="CM24" s="147" t="s">
        <v>92</v>
      </c>
      <c r="CN24" s="147" t="s">
        <v>7</v>
      </c>
      <c r="CO24" s="147" t="s">
        <v>7</v>
      </c>
      <c r="CP24" s="145" t="s">
        <v>115</v>
      </c>
      <c r="CQ24" s="145"/>
      <c r="CR24" s="145" t="s">
        <v>92</v>
      </c>
      <c r="CS24" s="145" t="s">
        <v>92</v>
      </c>
      <c r="CT24" s="145" t="s">
        <v>92</v>
      </c>
      <c r="CU24" s="145" t="s">
        <v>1133</v>
      </c>
      <c r="CV24" s="145" t="s">
        <v>560</v>
      </c>
      <c r="CW24" s="145" t="s">
        <v>1134</v>
      </c>
      <c r="CX24" t="s">
        <v>7</v>
      </c>
      <c r="CY24" t="s">
        <v>92</v>
      </c>
      <c r="CZ24" s="147" t="s">
        <v>823</v>
      </c>
    </row>
    <row r="25" spans="1:104" x14ac:dyDescent="0.25">
      <c r="A25" s="145">
        <v>6</v>
      </c>
      <c r="B25" s="145" t="s">
        <v>558</v>
      </c>
      <c r="C25" s="147" t="s">
        <v>879</v>
      </c>
      <c r="D25" s="147" t="s">
        <v>1</v>
      </c>
      <c r="E25" s="147" t="s">
        <v>878</v>
      </c>
      <c r="F25" s="146">
        <v>45216</v>
      </c>
      <c r="G25" s="147" t="s">
        <v>106</v>
      </c>
      <c r="H25" s="147" t="s">
        <v>798</v>
      </c>
      <c r="I25" s="147" t="s">
        <v>92</v>
      </c>
      <c r="J25" s="147" t="s">
        <v>92</v>
      </c>
      <c r="K25" s="147" t="s">
        <v>1057</v>
      </c>
      <c r="L25" s="147" t="s">
        <v>1061</v>
      </c>
      <c r="M25" s="147" t="s">
        <v>1053</v>
      </c>
      <c r="N25" s="147" t="s">
        <v>92</v>
      </c>
      <c r="O25" s="147" t="s">
        <v>131</v>
      </c>
      <c r="P25" s="147" t="s">
        <v>92</v>
      </c>
      <c r="Q25" s="147" t="s">
        <v>92</v>
      </c>
      <c r="R25" s="147" t="s">
        <v>529</v>
      </c>
      <c r="S25" s="147" t="s">
        <v>530</v>
      </c>
      <c r="T25" s="147" t="s">
        <v>531</v>
      </c>
      <c r="U25" s="147" t="s">
        <v>532</v>
      </c>
      <c r="V25" s="147" t="s">
        <v>532</v>
      </c>
      <c r="W25" s="147" t="s">
        <v>1062</v>
      </c>
      <c r="X25" s="147" t="s">
        <v>533</v>
      </c>
      <c r="Y25" s="146">
        <v>45223</v>
      </c>
      <c r="Z25" s="147" t="s">
        <v>1060</v>
      </c>
      <c r="AA25" s="146">
        <v>45223</v>
      </c>
      <c r="AB25" s="147" t="s">
        <v>92</v>
      </c>
      <c r="AC25" s="147" t="s">
        <v>879</v>
      </c>
      <c r="AD25" s="146">
        <v>45406</v>
      </c>
      <c r="AE25" s="147" t="s">
        <v>92</v>
      </c>
      <c r="AF25" s="145">
        <v>4.5</v>
      </c>
      <c r="AG25" s="146"/>
      <c r="AH25" s="146">
        <v>45223</v>
      </c>
      <c r="AI25" s="145">
        <v>4.5</v>
      </c>
      <c r="AJ25" s="145">
        <v>10000</v>
      </c>
      <c r="AK25" s="147" t="s">
        <v>1059</v>
      </c>
      <c r="AL25" s="147" t="s">
        <v>1058</v>
      </c>
      <c r="AM25" s="147" t="s">
        <v>92</v>
      </c>
      <c r="AN25" s="147" t="s">
        <v>92</v>
      </c>
      <c r="AO25" s="145"/>
      <c r="AP25" s="147" t="s">
        <v>546</v>
      </c>
      <c r="AQ25" s="147" t="s">
        <v>534</v>
      </c>
      <c r="AR25" s="145" t="s">
        <v>1085</v>
      </c>
      <c r="AS25" s="147" t="s">
        <v>409</v>
      </c>
      <c r="AT25" s="147" t="s">
        <v>535</v>
      </c>
      <c r="AU25" s="147" t="s">
        <v>536</v>
      </c>
      <c r="AV25" s="147" t="s">
        <v>327</v>
      </c>
      <c r="AW25" s="145"/>
      <c r="AX25" s="145"/>
      <c r="AY25" s="145"/>
      <c r="AZ25" s="145"/>
      <c r="BA25" s="147" t="s">
        <v>1056</v>
      </c>
      <c r="BB25" s="147" t="s">
        <v>1055</v>
      </c>
      <c r="BC25" s="147" t="s">
        <v>556</v>
      </c>
      <c r="BD25" s="145"/>
      <c r="BE25" s="145">
        <v>100</v>
      </c>
      <c r="BF25" s="147" t="s">
        <v>537</v>
      </c>
      <c r="BG25" s="147" t="s">
        <v>92</v>
      </c>
      <c r="BH25" s="147" t="s">
        <v>538</v>
      </c>
      <c r="BI25" s="147" t="s">
        <v>539</v>
      </c>
      <c r="BJ25" s="145"/>
      <c r="BK25" s="147" t="s">
        <v>547</v>
      </c>
      <c r="BL25" s="146">
        <v>46319</v>
      </c>
      <c r="BM25" s="145">
        <v>4.5</v>
      </c>
      <c r="BN25" s="147" t="s">
        <v>541</v>
      </c>
      <c r="BO25" s="147">
        <v>4.5</v>
      </c>
      <c r="BP25" s="147" t="s">
        <v>535</v>
      </c>
      <c r="BQ25" s="147" t="s">
        <v>535</v>
      </c>
      <c r="BR25" s="147" t="s">
        <v>535</v>
      </c>
      <c r="BS25" s="147" t="s">
        <v>1054</v>
      </c>
      <c r="BT25" s="147" t="s">
        <v>242</v>
      </c>
      <c r="BU25" s="146"/>
      <c r="BV25" s="145" t="s">
        <v>7</v>
      </c>
      <c r="BW25" s="147" t="s">
        <v>17</v>
      </c>
      <c r="BX25" s="147" t="s">
        <v>7</v>
      </c>
      <c r="BY25" s="147" t="s">
        <v>250</v>
      </c>
      <c r="BZ25" s="147" t="s">
        <v>7</v>
      </c>
      <c r="CA25" s="146"/>
      <c r="CB25" s="145"/>
      <c r="CC25" s="147" t="s">
        <v>83</v>
      </c>
      <c r="CD25" s="147" t="s">
        <v>83</v>
      </c>
      <c r="CE25" s="147" t="s">
        <v>37</v>
      </c>
      <c r="CF25" s="147" t="s">
        <v>92</v>
      </c>
      <c r="CG25" s="147" t="s">
        <v>251</v>
      </c>
      <c r="CH25" s="147" t="s">
        <v>92</v>
      </c>
      <c r="CI25" s="147">
        <v>0.61599999999999999</v>
      </c>
      <c r="CJ25" s="147">
        <v>4.5</v>
      </c>
      <c r="CK25" s="147">
        <v>4.8099999999999996</v>
      </c>
      <c r="CL25" s="147" t="s">
        <v>92</v>
      </c>
      <c r="CM25" s="147" t="s">
        <v>92</v>
      </c>
      <c r="CN25" s="147" t="s">
        <v>7</v>
      </c>
      <c r="CO25" s="147" t="s">
        <v>7</v>
      </c>
      <c r="CP25" s="145" t="s">
        <v>115</v>
      </c>
      <c r="CQ25" s="145"/>
      <c r="CR25" s="145" t="s">
        <v>92</v>
      </c>
      <c r="CS25" s="145" t="s">
        <v>92</v>
      </c>
      <c r="CT25" s="145" t="s">
        <v>92</v>
      </c>
      <c r="CU25" s="145" t="s">
        <v>1135</v>
      </c>
      <c r="CV25" s="145" t="s">
        <v>151</v>
      </c>
      <c r="CW25" s="145" t="s">
        <v>92</v>
      </c>
      <c r="CX25" t="s">
        <v>7</v>
      </c>
      <c r="CY25" t="s">
        <v>92</v>
      </c>
      <c r="CZ25" s="147" t="s">
        <v>883</v>
      </c>
    </row>
    <row r="26" spans="1:104" x14ac:dyDescent="0.25">
      <c r="A26" s="145">
        <v>5</v>
      </c>
      <c r="B26" s="145" t="s">
        <v>559</v>
      </c>
      <c r="C26" s="147" t="s">
        <v>885</v>
      </c>
      <c r="D26" s="147" t="s">
        <v>1</v>
      </c>
      <c r="E26" s="147" t="s">
        <v>884</v>
      </c>
      <c r="F26" s="146">
        <v>45216</v>
      </c>
      <c r="G26" s="147" t="s">
        <v>262</v>
      </c>
      <c r="H26" s="147" t="s">
        <v>798</v>
      </c>
      <c r="I26" s="147" t="s">
        <v>1043</v>
      </c>
      <c r="J26" s="147" t="s">
        <v>1044</v>
      </c>
      <c r="K26" s="147" t="s">
        <v>1048</v>
      </c>
      <c r="L26" s="147" t="s">
        <v>1051</v>
      </c>
      <c r="M26" s="147" t="s">
        <v>1041</v>
      </c>
      <c r="N26" s="147" t="s">
        <v>92</v>
      </c>
      <c r="O26" s="147" t="s">
        <v>131</v>
      </c>
      <c r="P26" s="147" t="s">
        <v>92</v>
      </c>
      <c r="Q26" s="147" t="s">
        <v>92</v>
      </c>
      <c r="R26" s="147" t="s">
        <v>529</v>
      </c>
      <c r="S26" s="147" t="s">
        <v>530</v>
      </c>
      <c r="T26" s="147" t="s">
        <v>531</v>
      </c>
      <c r="U26" s="147" t="s">
        <v>532</v>
      </c>
      <c r="V26" s="147" t="s">
        <v>532</v>
      </c>
      <c r="W26" s="147" t="s">
        <v>1052</v>
      </c>
      <c r="X26" s="147" t="s">
        <v>542</v>
      </c>
      <c r="Y26" s="146">
        <v>45224</v>
      </c>
      <c r="Z26" s="147" t="s">
        <v>1044</v>
      </c>
      <c r="AA26" s="146">
        <v>45224</v>
      </c>
      <c r="AB26" s="147" t="s">
        <v>92</v>
      </c>
      <c r="AC26" s="147" t="s">
        <v>885</v>
      </c>
      <c r="AD26" s="146">
        <v>45407</v>
      </c>
      <c r="AE26" s="147" t="s">
        <v>92</v>
      </c>
      <c r="AF26" s="145">
        <v>1.65</v>
      </c>
      <c r="AG26" s="146"/>
      <c r="AH26" s="146">
        <v>45224</v>
      </c>
      <c r="AI26" s="145">
        <v>45</v>
      </c>
      <c r="AJ26" s="145">
        <v>10000000</v>
      </c>
      <c r="AK26" s="147" t="s">
        <v>1050</v>
      </c>
      <c r="AL26" s="147" t="s">
        <v>1049</v>
      </c>
      <c r="AM26" s="147" t="s">
        <v>92</v>
      </c>
      <c r="AN26" s="147" t="s">
        <v>92</v>
      </c>
      <c r="AO26" s="145"/>
      <c r="AP26" s="147" t="s">
        <v>546</v>
      </c>
      <c r="AQ26" s="147" t="s">
        <v>534</v>
      </c>
      <c r="AR26" s="145" t="s">
        <v>1085</v>
      </c>
      <c r="AS26" s="147" t="s">
        <v>548</v>
      </c>
      <c r="AT26" s="147" t="s">
        <v>535</v>
      </c>
      <c r="AU26" s="147" t="s">
        <v>536</v>
      </c>
      <c r="AV26" s="147" t="s">
        <v>327</v>
      </c>
      <c r="AW26" s="145"/>
      <c r="AX26" s="145"/>
      <c r="AY26" s="145"/>
      <c r="AZ26" s="145"/>
      <c r="BA26" s="147" t="s">
        <v>1047</v>
      </c>
      <c r="BB26" s="147" t="s">
        <v>1046</v>
      </c>
      <c r="BC26" s="147" t="s">
        <v>556</v>
      </c>
      <c r="BD26" s="145"/>
      <c r="BE26" s="145">
        <v>100</v>
      </c>
      <c r="BF26" s="147" t="s">
        <v>537</v>
      </c>
      <c r="BG26" s="147" t="s">
        <v>1045</v>
      </c>
      <c r="BH26" s="147" t="s">
        <v>544</v>
      </c>
      <c r="BI26" s="147" t="s">
        <v>539</v>
      </c>
      <c r="BJ26" s="145">
        <v>15</v>
      </c>
      <c r="BK26" s="147" t="s">
        <v>547</v>
      </c>
      <c r="BL26" s="146">
        <v>46320</v>
      </c>
      <c r="BM26" s="145">
        <v>1.65</v>
      </c>
      <c r="BN26" s="147" t="s">
        <v>541</v>
      </c>
      <c r="BO26" s="147">
        <v>45</v>
      </c>
      <c r="BP26" s="147" t="s">
        <v>535</v>
      </c>
      <c r="BQ26" s="147" t="s">
        <v>535</v>
      </c>
      <c r="BR26" s="147" t="s">
        <v>535</v>
      </c>
      <c r="BS26" s="147" t="s">
        <v>1042</v>
      </c>
      <c r="BT26" s="147" t="s">
        <v>242</v>
      </c>
      <c r="BU26" s="146"/>
      <c r="BV26" s="145" t="s">
        <v>7</v>
      </c>
      <c r="BW26" s="147" t="s">
        <v>17</v>
      </c>
      <c r="BX26" s="147" t="s">
        <v>7</v>
      </c>
      <c r="BY26" s="147" t="s">
        <v>250</v>
      </c>
      <c r="BZ26" s="147" t="s">
        <v>7</v>
      </c>
      <c r="CA26" s="146"/>
      <c r="CB26" s="145"/>
      <c r="CC26" s="147" t="s">
        <v>83</v>
      </c>
      <c r="CD26" s="147" t="s">
        <v>83</v>
      </c>
      <c r="CE26" s="147" t="s">
        <v>112</v>
      </c>
      <c r="CF26" s="147" t="s">
        <v>343</v>
      </c>
      <c r="CG26" s="147" t="s">
        <v>251</v>
      </c>
      <c r="CH26" s="147" t="s">
        <v>92</v>
      </c>
      <c r="CI26" s="147">
        <v>0.315</v>
      </c>
      <c r="CJ26" s="147">
        <v>2.2050000000000001</v>
      </c>
      <c r="CK26" s="147">
        <v>2.34</v>
      </c>
      <c r="CL26" s="147" t="s">
        <v>92</v>
      </c>
      <c r="CM26" s="147" t="s">
        <v>92</v>
      </c>
      <c r="CN26" s="147" t="s">
        <v>7</v>
      </c>
      <c r="CO26" s="147" t="s">
        <v>7</v>
      </c>
      <c r="CP26" s="145" t="s">
        <v>115</v>
      </c>
      <c r="CQ26" s="145">
        <v>15</v>
      </c>
      <c r="CR26" s="145" t="s">
        <v>1136</v>
      </c>
      <c r="CS26" s="145" t="s">
        <v>1044</v>
      </c>
      <c r="CT26" s="145" t="s">
        <v>92</v>
      </c>
      <c r="CU26" s="145" t="s">
        <v>1044</v>
      </c>
      <c r="CV26" s="145" t="s">
        <v>151</v>
      </c>
      <c r="CW26" s="145" t="s">
        <v>92</v>
      </c>
      <c r="CX26" t="s">
        <v>7</v>
      </c>
      <c r="CY26" t="s">
        <v>92</v>
      </c>
      <c r="CZ26" s="147" t="s">
        <v>889</v>
      </c>
    </row>
    <row r="27" spans="1:104" x14ac:dyDescent="0.25">
      <c r="A27" s="145">
        <v>4</v>
      </c>
      <c r="B27" s="145" t="s">
        <v>1101</v>
      </c>
      <c r="C27" s="147" t="s">
        <v>900</v>
      </c>
      <c r="D27" s="147" t="s">
        <v>1</v>
      </c>
      <c r="E27" s="147" t="s">
        <v>899</v>
      </c>
      <c r="F27" s="146">
        <v>45215</v>
      </c>
      <c r="G27" s="147" t="s">
        <v>106</v>
      </c>
      <c r="H27" s="147" t="s">
        <v>798</v>
      </c>
      <c r="I27" s="147" t="s">
        <v>92</v>
      </c>
      <c r="J27" s="147" t="s">
        <v>1092</v>
      </c>
      <c r="K27" s="147" t="s">
        <v>1095</v>
      </c>
      <c r="L27" s="147" t="s">
        <v>1099</v>
      </c>
      <c r="M27" s="147" t="s">
        <v>1090</v>
      </c>
      <c r="N27" s="147" t="s">
        <v>92</v>
      </c>
      <c r="O27" s="147" t="s">
        <v>131</v>
      </c>
      <c r="P27" s="147" t="s">
        <v>92</v>
      </c>
      <c r="Q27" s="147" t="s">
        <v>92</v>
      </c>
      <c r="R27" s="147" t="s">
        <v>529</v>
      </c>
      <c r="S27" s="147" t="s">
        <v>530</v>
      </c>
      <c r="T27" s="147" t="s">
        <v>531</v>
      </c>
      <c r="U27" s="147" t="s">
        <v>532</v>
      </c>
      <c r="V27" s="147" t="s">
        <v>532</v>
      </c>
      <c r="W27" s="147" t="s">
        <v>1100</v>
      </c>
      <c r="X27" s="147" t="s">
        <v>533</v>
      </c>
      <c r="Y27" s="146">
        <v>45223</v>
      </c>
      <c r="Z27" s="147" t="s">
        <v>1016</v>
      </c>
      <c r="AA27" s="146">
        <v>45223</v>
      </c>
      <c r="AB27" s="147" t="s">
        <v>900</v>
      </c>
      <c r="AC27" s="147" t="s">
        <v>1098</v>
      </c>
      <c r="AD27" s="146">
        <v>45406</v>
      </c>
      <c r="AE27" s="147" t="s">
        <v>92</v>
      </c>
      <c r="AF27" s="145">
        <v>7.8</v>
      </c>
      <c r="AG27" s="146"/>
      <c r="AH27" s="146">
        <v>45223</v>
      </c>
      <c r="AI27" s="145">
        <v>2.7</v>
      </c>
      <c r="AJ27" s="145">
        <v>10000</v>
      </c>
      <c r="AK27" s="147" t="s">
        <v>1097</v>
      </c>
      <c r="AL27" s="147" t="s">
        <v>1096</v>
      </c>
      <c r="AM27" s="147" t="s">
        <v>92</v>
      </c>
      <c r="AN27" s="147" t="s">
        <v>92</v>
      </c>
      <c r="AO27" s="145"/>
      <c r="AP27" s="147" t="s">
        <v>546</v>
      </c>
      <c r="AQ27" s="147" t="s">
        <v>534</v>
      </c>
      <c r="AR27" s="145" t="s">
        <v>1085</v>
      </c>
      <c r="AS27" s="147" t="s">
        <v>409</v>
      </c>
      <c r="AT27" s="147" t="s">
        <v>535</v>
      </c>
      <c r="AU27" s="147" t="s">
        <v>536</v>
      </c>
      <c r="AV27" s="147" t="s">
        <v>327</v>
      </c>
      <c r="AW27" s="145"/>
      <c r="AX27" s="145"/>
      <c r="AY27" s="145"/>
      <c r="AZ27" s="145"/>
      <c r="BA27" s="147" t="s">
        <v>1094</v>
      </c>
      <c r="BB27" s="147" t="s">
        <v>1093</v>
      </c>
      <c r="BC27" s="147" t="s">
        <v>763</v>
      </c>
      <c r="BD27" s="145"/>
      <c r="BE27" s="145">
        <v>100</v>
      </c>
      <c r="BF27" s="147" t="s">
        <v>537</v>
      </c>
      <c r="BG27" s="147" t="s">
        <v>92</v>
      </c>
      <c r="BH27" s="147" t="s">
        <v>579</v>
      </c>
      <c r="BI27" s="147" t="s">
        <v>539</v>
      </c>
      <c r="BJ27" s="145"/>
      <c r="BK27" s="147" t="s">
        <v>547</v>
      </c>
      <c r="BL27" s="146">
        <v>46319</v>
      </c>
      <c r="BM27" s="145">
        <v>7.8</v>
      </c>
      <c r="BN27" s="147" t="s">
        <v>541</v>
      </c>
      <c r="BO27" s="147">
        <v>2.7</v>
      </c>
      <c r="BP27" s="147" t="s">
        <v>535</v>
      </c>
      <c r="BQ27" s="147" t="s">
        <v>535</v>
      </c>
      <c r="BR27" s="147" t="s">
        <v>535</v>
      </c>
      <c r="BS27" s="147" t="s">
        <v>1091</v>
      </c>
      <c r="BT27" s="147" t="s">
        <v>242</v>
      </c>
      <c r="BU27" s="146"/>
      <c r="BV27" s="145" t="s">
        <v>7</v>
      </c>
      <c r="BW27" s="147" t="s">
        <v>10</v>
      </c>
      <c r="BX27" s="147" t="s">
        <v>7</v>
      </c>
      <c r="BY27" s="147" t="s">
        <v>901</v>
      </c>
      <c r="BZ27" s="147" t="s">
        <v>7</v>
      </c>
      <c r="CA27" s="146"/>
      <c r="CB27" s="145"/>
      <c r="CC27" s="147" t="s">
        <v>83</v>
      </c>
      <c r="CD27" s="147" t="s">
        <v>83</v>
      </c>
      <c r="CE27" s="147" t="s">
        <v>39</v>
      </c>
      <c r="CF27" s="147" t="s">
        <v>92</v>
      </c>
      <c r="CG27" s="147" t="s">
        <v>251</v>
      </c>
      <c r="CH27" s="147" t="s">
        <v>92</v>
      </c>
      <c r="CI27" s="147">
        <v>0.37</v>
      </c>
      <c r="CJ27" s="147">
        <v>2.7</v>
      </c>
      <c r="CK27" s="147">
        <v>2.8860000000000001</v>
      </c>
      <c r="CL27" s="147" t="s">
        <v>92</v>
      </c>
      <c r="CM27" s="147" t="s">
        <v>92</v>
      </c>
      <c r="CN27" s="147" t="s">
        <v>7</v>
      </c>
      <c r="CO27" s="147" t="s">
        <v>7</v>
      </c>
      <c r="CP27" s="145" t="s">
        <v>115</v>
      </c>
      <c r="CQ27" s="145"/>
      <c r="CR27" s="145" t="s">
        <v>92</v>
      </c>
      <c r="CS27" s="145" t="s">
        <v>1016</v>
      </c>
      <c r="CT27" s="145" t="s">
        <v>92</v>
      </c>
      <c r="CU27" s="145" t="s">
        <v>1016</v>
      </c>
      <c r="CV27" s="145" t="s">
        <v>151</v>
      </c>
      <c r="CW27" s="145" t="s">
        <v>92</v>
      </c>
      <c r="CX27" t="s">
        <v>7</v>
      </c>
      <c r="CY27" t="s">
        <v>92</v>
      </c>
      <c r="CZ27" s="147" t="s">
        <v>904</v>
      </c>
    </row>
    <row r="28" spans="1:104" x14ac:dyDescent="0.25">
      <c r="A28" s="145">
        <v>3</v>
      </c>
      <c r="B28" s="145" t="s">
        <v>559</v>
      </c>
      <c r="C28" s="147" t="s">
        <v>909</v>
      </c>
      <c r="D28" s="147" t="s">
        <v>1</v>
      </c>
      <c r="E28" s="147" t="s">
        <v>908</v>
      </c>
      <c r="F28" s="146">
        <v>45215</v>
      </c>
      <c r="G28" s="147" t="s">
        <v>106</v>
      </c>
      <c r="H28" s="147" t="s">
        <v>1137</v>
      </c>
      <c r="I28" s="147" t="s">
        <v>1079</v>
      </c>
      <c r="J28" s="147" t="s">
        <v>1080</v>
      </c>
      <c r="K28" s="147" t="s">
        <v>1083</v>
      </c>
      <c r="L28" s="147" t="s">
        <v>1088</v>
      </c>
      <c r="M28" s="147" t="s">
        <v>1075</v>
      </c>
      <c r="N28" s="147" t="s">
        <v>92</v>
      </c>
      <c r="O28" s="147" t="s">
        <v>131</v>
      </c>
      <c r="P28" s="147" t="s">
        <v>92</v>
      </c>
      <c r="Q28" s="147" t="s">
        <v>92</v>
      </c>
      <c r="R28" s="147" t="s">
        <v>529</v>
      </c>
      <c r="S28" s="147" t="s">
        <v>530</v>
      </c>
      <c r="T28" s="147" t="s">
        <v>531</v>
      </c>
      <c r="U28" s="147" t="s">
        <v>532</v>
      </c>
      <c r="V28" s="147" t="s">
        <v>532</v>
      </c>
      <c r="W28" s="147" t="s">
        <v>1089</v>
      </c>
      <c r="X28" s="147" t="s">
        <v>533</v>
      </c>
      <c r="Y28" s="146">
        <v>45219</v>
      </c>
      <c r="Z28" s="147" t="s">
        <v>565</v>
      </c>
      <c r="AA28" s="146">
        <v>45219</v>
      </c>
      <c r="AB28" s="147" t="s">
        <v>92</v>
      </c>
      <c r="AC28" s="147" t="s">
        <v>909</v>
      </c>
      <c r="AD28" s="146">
        <v>45402</v>
      </c>
      <c r="AE28" s="147" t="s">
        <v>92</v>
      </c>
      <c r="AF28" s="145">
        <v>4</v>
      </c>
      <c r="AG28" s="146"/>
      <c r="AH28" s="146">
        <v>45219</v>
      </c>
      <c r="AI28" s="145">
        <v>17.75</v>
      </c>
      <c r="AJ28" s="145">
        <v>10000</v>
      </c>
      <c r="AK28" s="147" t="s">
        <v>1087</v>
      </c>
      <c r="AL28" s="147" t="s">
        <v>1086</v>
      </c>
      <c r="AM28" s="147" t="s">
        <v>92</v>
      </c>
      <c r="AN28" s="147" t="s">
        <v>92</v>
      </c>
      <c r="AO28" s="145"/>
      <c r="AP28" s="147" t="s">
        <v>543</v>
      </c>
      <c r="AQ28" s="147" t="s">
        <v>534</v>
      </c>
      <c r="AR28" s="145" t="s">
        <v>1068</v>
      </c>
      <c r="AS28" s="147" t="s">
        <v>552</v>
      </c>
      <c r="AT28" s="147" t="s">
        <v>535</v>
      </c>
      <c r="AU28" s="147" t="s">
        <v>1084</v>
      </c>
      <c r="AV28" s="147" t="s">
        <v>327</v>
      </c>
      <c r="AW28" s="145"/>
      <c r="AX28" s="145"/>
      <c r="AY28" s="145"/>
      <c r="AZ28" s="145"/>
      <c r="BA28" s="147" t="s">
        <v>92</v>
      </c>
      <c r="BB28" s="147" t="s">
        <v>1082</v>
      </c>
      <c r="BC28" s="147" t="s">
        <v>1081</v>
      </c>
      <c r="BD28" s="145"/>
      <c r="BE28" s="145">
        <v>100</v>
      </c>
      <c r="BF28" s="147" t="s">
        <v>537</v>
      </c>
      <c r="BG28" s="147" t="s">
        <v>92</v>
      </c>
      <c r="BH28" s="147" t="s">
        <v>538</v>
      </c>
      <c r="BI28" s="147" t="s">
        <v>539</v>
      </c>
      <c r="BJ28" s="145">
        <v>20</v>
      </c>
      <c r="BK28" s="147" t="s">
        <v>540</v>
      </c>
      <c r="BL28" s="146">
        <v>46315</v>
      </c>
      <c r="BM28" s="145">
        <v>4</v>
      </c>
      <c r="BN28" s="147" t="s">
        <v>541</v>
      </c>
      <c r="BO28" s="147">
        <v>17.75</v>
      </c>
      <c r="BP28" s="147" t="s">
        <v>535</v>
      </c>
      <c r="BQ28" s="147" t="s">
        <v>1078</v>
      </c>
      <c r="BR28" s="147" t="s">
        <v>1077</v>
      </c>
      <c r="BS28" s="147" t="s">
        <v>1076</v>
      </c>
      <c r="BT28" s="147" t="s">
        <v>242</v>
      </c>
      <c r="BU28" s="146"/>
      <c r="BV28" s="145" t="s">
        <v>7</v>
      </c>
      <c r="BW28" s="147" t="s">
        <v>8</v>
      </c>
      <c r="BX28" s="147" t="s">
        <v>7</v>
      </c>
      <c r="BY28" s="147" t="s">
        <v>250</v>
      </c>
      <c r="BZ28" s="147" t="s">
        <v>7</v>
      </c>
      <c r="CA28" s="146"/>
      <c r="CB28" s="145"/>
      <c r="CC28" s="147" t="s">
        <v>83</v>
      </c>
      <c r="CD28" s="147" t="s">
        <v>527</v>
      </c>
      <c r="CE28" s="147" t="s">
        <v>37</v>
      </c>
      <c r="CF28" s="147" t="s">
        <v>92</v>
      </c>
      <c r="CG28" s="147" t="s">
        <v>263</v>
      </c>
      <c r="CH28" s="147" t="s">
        <v>92</v>
      </c>
      <c r="CI28" s="147">
        <v>2.4319999999999999</v>
      </c>
      <c r="CJ28" s="147">
        <v>17.75</v>
      </c>
      <c r="CK28" s="147">
        <v>18.975000000000001</v>
      </c>
      <c r="CL28" s="147" t="s">
        <v>92</v>
      </c>
      <c r="CM28" s="147" t="s">
        <v>92</v>
      </c>
      <c r="CN28" s="147" t="s">
        <v>7</v>
      </c>
      <c r="CO28" s="147" t="s">
        <v>7</v>
      </c>
      <c r="CP28" s="145" t="s">
        <v>115</v>
      </c>
      <c r="CQ28" s="145">
        <v>20</v>
      </c>
      <c r="CR28" s="145" t="s">
        <v>795</v>
      </c>
      <c r="CS28" s="145" t="s">
        <v>565</v>
      </c>
      <c r="CT28" s="145" t="s">
        <v>92</v>
      </c>
      <c r="CU28" s="145" t="s">
        <v>565</v>
      </c>
      <c r="CV28" s="145" t="s">
        <v>151</v>
      </c>
      <c r="CW28" s="145" t="s">
        <v>92</v>
      </c>
      <c r="CX28" t="s">
        <v>7</v>
      </c>
      <c r="CY28" t="s">
        <v>92</v>
      </c>
      <c r="CZ28" s="147" t="s">
        <v>913</v>
      </c>
    </row>
    <row r="29" spans="1:104" x14ac:dyDescent="0.25">
      <c r="A29" s="145">
        <v>2</v>
      </c>
      <c r="B29" s="145" t="s">
        <v>750</v>
      </c>
      <c r="C29" s="147" t="s">
        <v>753</v>
      </c>
      <c r="D29" s="147" t="s">
        <v>84</v>
      </c>
      <c r="E29" s="147" t="s">
        <v>897</v>
      </c>
      <c r="F29" s="146">
        <v>45215</v>
      </c>
      <c r="G29" s="147" t="s">
        <v>109</v>
      </c>
      <c r="H29" s="147" t="s">
        <v>798</v>
      </c>
      <c r="I29" s="147" t="s">
        <v>92</v>
      </c>
      <c r="J29" s="147" t="s">
        <v>92</v>
      </c>
      <c r="K29" s="147" t="s">
        <v>758</v>
      </c>
      <c r="L29" s="147" t="s">
        <v>92</v>
      </c>
      <c r="M29" s="147" t="s">
        <v>1072</v>
      </c>
      <c r="N29" s="147" t="s">
        <v>92</v>
      </c>
      <c r="O29" s="147" t="s">
        <v>92</v>
      </c>
      <c r="P29" s="147" t="s">
        <v>92</v>
      </c>
      <c r="Q29" s="147" t="s">
        <v>92</v>
      </c>
      <c r="R29" s="147" t="s">
        <v>529</v>
      </c>
      <c r="S29" s="147" t="s">
        <v>530</v>
      </c>
      <c r="T29" s="147" t="s">
        <v>531</v>
      </c>
      <c r="U29" s="147" t="s">
        <v>532</v>
      </c>
      <c r="V29" s="147" t="s">
        <v>532</v>
      </c>
      <c r="W29" s="147" t="s">
        <v>758</v>
      </c>
      <c r="X29" s="147" t="s">
        <v>92</v>
      </c>
      <c r="Y29" s="146">
        <v>45219</v>
      </c>
      <c r="Z29" s="147" t="s">
        <v>92</v>
      </c>
      <c r="AA29" s="146">
        <v>45219</v>
      </c>
      <c r="AB29" s="147" t="s">
        <v>753</v>
      </c>
      <c r="AC29" s="147" t="s">
        <v>760</v>
      </c>
      <c r="AD29" s="146">
        <v>45310</v>
      </c>
      <c r="AE29" s="147" t="s">
        <v>92</v>
      </c>
      <c r="AF29" s="145">
        <v>4.8</v>
      </c>
      <c r="AG29" s="146"/>
      <c r="AH29" s="146">
        <v>45219</v>
      </c>
      <c r="AI29" s="145">
        <v>7.0000000000000007E-2</v>
      </c>
      <c r="AJ29" s="145">
        <v>7000000</v>
      </c>
      <c r="AK29" s="147" t="s">
        <v>759</v>
      </c>
      <c r="AL29" s="147" t="s">
        <v>92</v>
      </c>
      <c r="AM29" s="147" t="s">
        <v>92</v>
      </c>
      <c r="AN29" s="147" t="s">
        <v>92</v>
      </c>
      <c r="AO29" s="145"/>
      <c r="AP29" s="147" t="s">
        <v>546</v>
      </c>
      <c r="AQ29" s="147" t="s">
        <v>534</v>
      </c>
      <c r="AR29" s="145" t="s">
        <v>1223</v>
      </c>
      <c r="AS29" s="147" t="s">
        <v>92</v>
      </c>
      <c r="AT29" s="147" t="s">
        <v>535</v>
      </c>
      <c r="AU29" s="147" t="s">
        <v>580</v>
      </c>
      <c r="AV29" s="147" t="s">
        <v>327</v>
      </c>
      <c r="AW29" s="145"/>
      <c r="AX29" s="145"/>
      <c r="AY29" s="145"/>
      <c r="AZ29" s="145"/>
      <c r="BA29" s="147" t="s">
        <v>92</v>
      </c>
      <c r="BB29" s="147" t="s">
        <v>92</v>
      </c>
      <c r="BC29" s="147" t="s">
        <v>550</v>
      </c>
      <c r="BD29" s="145"/>
      <c r="BE29" s="145">
        <v>100</v>
      </c>
      <c r="BF29" s="147" t="s">
        <v>537</v>
      </c>
      <c r="BG29" s="147" t="s">
        <v>92</v>
      </c>
      <c r="BH29" s="147" t="s">
        <v>579</v>
      </c>
      <c r="BI29" s="147" t="s">
        <v>539</v>
      </c>
      <c r="BJ29" s="145"/>
      <c r="BK29" s="147" t="s">
        <v>110</v>
      </c>
      <c r="BL29" s="146">
        <v>45310</v>
      </c>
      <c r="BM29" s="145">
        <v>4.8</v>
      </c>
      <c r="BN29" s="147" t="s">
        <v>1074</v>
      </c>
      <c r="BO29" s="147">
        <v>7.0000000000000007E-2</v>
      </c>
      <c r="BP29" s="147" t="s">
        <v>535</v>
      </c>
      <c r="BQ29" s="147" t="s">
        <v>535</v>
      </c>
      <c r="BR29" s="147" t="s">
        <v>535</v>
      </c>
      <c r="BS29" s="147" t="s">
        <v>1073</v>
      </c>
      <c r="BT29" s="147" t="s">
        <v>242</v>
      </c>
      <c r="BU29" s="146"/>
      <c r="BV29" s="145" t="s">
        <v>7</v>
      </c>
      <c r="BW29" s="147" t="s">
        <v>12</v>
      </c>
      <c r="BX29" s="147" t="s">
        <v>7</v>
      </c>
      <c r="BY29" s="147" t="s">
        <v>526</v>
      </c>
      <c r="BZ29" s="147" t="s">
        <v>7</v>
      </c>
      <c r="CA29" s="146"/>
      <c r="CB29" s="145"/>
      <c r="CC29" s="147" t="s">
        <v>83</v>
      </c>
      <c r="CD29" s="147" t="s">
        <v>83</v>
      </c>
      <c r="CE29" s="147" t="s">
        <v>39</v>
      </c>
      <c r="CF29" s="147" t="s">
        <v>92</v>
      </c>
      <c r="CG29" s="147" t="s">
        <v>110</v>
      </c>
      <c r="CH29" s="147" t="s">
        <v>92</v>
      </c>
      <c r="CI29" s="147">
        <v>8.9999999999999993E-3</v>
      </c>
      <c r="CJ29" s="147">
        <v>6.5000000000000002E-2</v>
      </c>
      <c r="CK29" s="147">
        <v>7.0000000000000007E-2</v>
      </c>
      <c r="CL29" s="147" t="s">
        <v>92</v>
      </c>
      <c r="CM29" s="147" t="s">
        <v>92</v>
      </c>
      <c r="CN29" s="147" t="s">
        <v>7</v>
      </c>
      <c r="CO29" s="147" t="s">
        <v>7</v>
      </c>
      <c r="CP29" s="145" t="s">
        <v>115</v>
      </c>
      <c r="CQ29" s="145"/>
      <c r="CR29" s="145" t="s">
        <v>92</v>
      </c>
      <c r="CS29" s="145" t="s">
        <v>92</v>
      </c>
      <c r="CT29" s="145" t="s">
        <v>92</v>
      </c>
      <c r="CU29" s="145" t="s">
        <v>442</v>
      </c>
      <c r="CV29" s="145" t="s">
        <v>1138</v>
      </c>
      <c r="CW29" s="145" t="s">
        <v>794</v>
      </c>
      <c r="CX29" t="s">
        <v>7</v>
      </c>
      <c r="CY29" t="s">
        <v>92</v>
      </c>
      <c r="CZ29" s="147" t="s">
        <v>898</v>
      </c>
    </row>
    <row r="30" spans="1:104" x14ac:dyDescent="0.25">
      <c r="A30" s="145">
        <v>1</v>
      </c>
      <c r="B30" s="145" t="s">
        <v>1101</v>
      </c>
      <c r="C30" s="147" t="s">
        <v>777</v>
      </c>
      <c r="D30" s="147" t="s">
        <v>1</v>
      </c>
      <c r="E30" s="147" t="s">
        <v>905</v>
      </c>
      <c r="F30" s="146">
        <v>45215</v>
      </c>
      <c r="G30" s="147" t="s">
        <v>85</v>
      </c>
      <c r="H30" s="147" t="s">
        <v>798</v>
      </c>
      <c r="I30" s="147" t="s">
        <v>92</v>
      </c>
      <c r="J30" s="147" t="s">
        <v>1065</v>
      </c>
      <c r="K30" s="147" t="s">
        <v>1067</v>
      </c>
      <c r="L30" s="147" t="s">
        <v>1070</v>
      </c>
      <c r="M30" s="147" t="s">
        <v>1063</v>
      </c>
      <c r="N30" s="147" t="s">
        <v>92</v>
      </c>
      <c r="O30" s="147" t="s">
        <v>131</v>
      </c>
      <c r="P30" s="147" t="s">
        <v>92</v>
      </c>
      <c r="Q30" s="147" t="s">
        <v>92</v>
      </c>
      <c r="R30" s="147" t="s">
        <v>529</v>
      </c>
      <c r="S30" s="147" t="s">
        <v>530</v>
      </c>
      <c r="T30" s="147" t="s">
        <v>531</v>
      </c>
      <c r="U30" s="147" t="s">
        <v>532</v>
      </c>
      <c r="V30" s="147" t="s">
        <v>532</v>
      </c>
      <c r="W30" s="147" t="s">
        <v>1071</v>
      </c>
      <c r="X30" s="147" t="s">
        <v>542</v>
      </c>
      <c r="Y30" s="146">
        <v>45217</v>
      </c>
      <c r="Z30" s="147" t="s">
        <v>1069</v>
      </c>
      <c r="AA30" s="146">
        <v>45217</v>
      </c>
      <c r="AB30" s="147" t="s">
        <v>92</v>
      </c>
      <c r="AC30" s="147" t="s">
        <v>777</v>
      </c>
      <c r="AD30" s="146">
        <v>45400</v>
      </c>
      <c r="AE30" s="147" t="s">
        <v>92</v>
      </c>
      <c r="AF30" s="145">
        <v>6.5</v>
      </c>
      <c r="AG30" s="146"/>
      <c r="AH30" s="146">
        <v>45217</v>
      </c>
      <c r="AI30" s="145">
        <v>0.3</v>
      </c>
      <c r="AJ30" s="145">
        <v>1000</v>
      </c>
      <c r="AK30" s="147" t="s">
        <v>778</v>
      </c>
      <c r="AL30" s="147" t="s">
        <v>779</v>
      </c>
      <c r="AM30" s="147" t="s">
        <v>92</v>
      </c>
      <c r="AN30" s="147" t="s">
        <v>92</v>
      </c>
      <c r="AO30" s="145"/>
      <c r="AP30" s="147" t="s">
        <v>780</v>
      </c>
      <c r="AQ30" s="147" t="s">
        <v>534</v>
      </c>
      <c r="AR30" s="145" t="s">
        <v>1222</v>
      </c>
      <c r="AS30" s="147" t="s">
        <v>409</v>
      </c>
      <c r="AT30" s="147" t="s">
        <v>535</v>
      </c>
      <c r="AU30" s="147" t="s">
        <v>536</v>
      </c>
      <c r="AV30" s="147" t="s">
        <v>327</v>
      </c>
      <c r="AW30" s="145"/>
      <c r="AX30" s="145"/>
      <c r="AY30" s="145"/>
      <c r="AZ30" s="145"/>
      <c r="BA30" s="147" t="s">
        <v>92</v>
      </c>
      <c r="BB30" s="147" t="s">
        <v>781</v>
      </c>
      <c r="BC30" s="147" t="s">
        <v>782</v>
      </c>
      <c r="BD30" s="145"/>
      <c r="BE30" s="145">
        <v>100</v>
      </c>
      <c r="BF30" s="147" t="s">
        <v>537</v>
      </c>
      <c r="BG30" s="147" t="s">
        <v>1066</v>
      </c>
      <c r="BH30" s="147" t="s">
        <v>544</v>
      </c>
      <c r="BI30" s="147" t="s">
        <v>539</v>
      </c>
      <c r="BJ30" s="145"/>
      <c r="BK30" s="147" t="s">
        <v>540</v>
      </c>
      <c r="BL30" s="146">
        <v>46313</v>
      </c>
      <c r="BM30" s="145">
        <v>6.5</v>
      </c>
      <c r="BN30" s="147" t="s">
        <v>541</v>
      </c>
      <c r="BO30" s="147">
        <v>0.3</v>
      </c>
      <c r="BP30" s="147" t="s">
        <v>535</v>
      </c>
      <c r="BQ30" s="147" t="s">
        <v>535</v>
      </c>
      <c r="BR30" s="147" t="s">
        <v>535</v>
      </c>
      <c r="BS30" s="147" t="s">
        <v>1064</v>
      </c>
      <c r="BT30" s="147" t="s">
        <v>242</v>
      </c>
      <c r="BU30" s="146"/>
      <c r="BV30" s="145" t="s">
        <v>7</v>
      </c>
      <c r="BW30" s="147" t="s">
        <v>20</v>
      </c>
      <c r="BX30" s="147" t="s">
        <v>7</v>
      </c>
      <c r="BY30" s="147" t="s">
        <v>250</v>
      </c>
      <c r="BZ30" s="147" t="s">
        <v>7</v>
      </c>
      <c r="CA30" s="146"/>
      <c r="CB30" s="145"/>
      <c r="CC30" s="147" t="s">
        <v>83</v>
      </c>
      <c r="CD30" s="147" t="s">
        <v>783</v>
      </c>
      <c r="CE30" s="147" t="s">
        <v>112</v>
      </c>
      <c r="CF30" s="147" t="s">
        <v>342</v>
      </c>
      <c r="CG30" s="147" t="s">
        <v>263</v>
      </c>
      <c r="CH30" s="147" t="s">
        <v>92</v>
      </c>
      <c r="CI30" s="147">
        <v>0.3</v>
      </c>
      <c r="CJ30" s="147">
        <v>2.194</v>
      </c>
      <c r="CK30" s="147">
        <v>2.3460000000000001</v>
      </c>
      <c r="CL30" s="147" t="s">
        <v>92</v>
      </c>
      <c r="CM30" s="147" t="s">
        <v>92</v>
      </c>
      <c r="CN30" s="147" t="s">
        <v>7</v>
      </c>
      <c r="CO30" s="147" t="s">
        <v>7</v>
      </c>
      <c r="CP30" s="145" t="s">
        <v>115</v>
      </c>
      <c r="CQ30" s="145"/>
      <c r="CR30" s="145" t="s">
        <v>92</v>
      </c>
      <c r="CS30" s="145" t="s">
        <v>788</v>
      </c>
      <c r="CT30" s="145" t="s">
        <v>92</v>
      </c>
      <c r="CU30" s="145" t="s">
        <v>788</v>
      </c>
      <c r="CV30" s="145" t="s">
        <v>151</v>
      </c>
      <c r="CW30" s="145" t="s">
        <v>92</v>
      </c>
      <c r="CX30" t="s">
        <v>7</v>
      </c>
      <c r="CY30" t="s">
        <v>92</v>
      </c>
      <c r="CZ30" s="147" t="s">
        <v>907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topLeftCell="BE1" zoomScale="85" zoomScaleNormal="85" workbookViewId="0">
      <selection activeCell="BL15" sqref="BL15"/>
    </sheetView>
  </sheetViews>
  <sheetFormatPr defaultColWidth="8.88671875" defaultRowHeight="20.100000000000001" customHeight="1" x14ac:dyDescent="0.25"/>
  <cols>
    <col min="1" max="1" width="12.44140625" style="25" bestFit="1" customWidth="1"/>
    <col min="2" max="2" width="13.33203125" style="25" bestFit="1" customWidth="1"/>
    <col min="3" max="3" width="15.44140625" style="25" bestFit="1" customWidth="1"/>
    <col min="4" max="4" width="35.88671875" style="25" customWidth="1"/>
    <col min="5" max="5" width="9.6640625" style="25" bestFit="1" customWidth="1"/>
    <col min="6" max="6" width="18.109375" style="25" bestFit="1" customWidth="1"/>
    <col min="7" max="7" width="8.88671875" style="25" bestFit="1" customWidth="1"/>
    <col min="8" max="8" width="9" style="25" bestFit="1" customWidth="1"/>
    <col min="9" max="10" width="9.33203125" style="25" bestFit="1" customWidth="1"/>
    <col min="11" max="11" width="19.44140625" style="25" bestFit="1" customWidth="1"/>
    <col min="12" max="15" width="2.21875" style="25" customWidth="1"/>
    <col min="16" max="16" width="17.88671875" style="25" customWidth="1"/>
    <col min="17" max="17" width="36.6640625" style="25" bestFit="1" customWidth="1"/>
    <col min="18" max="18" width="9" style="25" bestFit="1" customWidth="1"/>
    <col min="19" max="19" width="10.44140625" style="25" bestFit="1" customWidth="1"/>
    <col min="20" max="20" width="13.33203125" style="25" bestFit="1" customWidth="1"/>
    <col min="21" max="21" width="11.77734375" style="1" customWidth="1"/>
    <col min="22" max="22" width="9" style="25" bestFit="1" customWidth="1"/>
    <col min="23" max="24" width="9" style="1" bestFit="1" customWidth="1"/>
    <col min="25" max="25" width="10.44140625" style="1" bestFit="1" customWidth="1"/>
    <col min="26" max="26" width="4.33203125" style="25" bestFit="1" customWidth="1"/>
    <col min="27" max="27" width="8.5546875" style="25" bestFit="1" customWidth="1"/>
    <col min="28" max="28" width="9.5546875" style="1" bestFit="1" customWidth="1"/>
    <col min="29" max="29" width="20.5546875" style="1" bestFit="1" customWidth="1"/>
    <col min="30" max="30" width="7.6640625" style="25" bestFit="1" customWidth="1"/>
    <col min="31" max="31" width="8.33203125" style="25" bestFit="1" customWidth="1"/>
    <col min="32" max="32" width="9.33203125" style="25" bestFit="1" customWidth="1"/>
    <col min="33" max="33" width="7" style="25" bestFit="1" customWidth="1"/>
    <col min="34" max="34" width="13.33203125" style="1" bestFit="1" customWidth="1"/>
    <col min="35" max="35" width="19.44140625" style="1" bestFit="1" customWidth="1"/>
    <col min="36" max="38" width="7.88671875" style="48" customWidth="1"/>
    <col min="39" max="39" width="7.88671875" style="25" customWidth="1"/>
    <col min="40" max="40" width="33.109375" style="25" customWidth="1"/>
    <col min="41" max="41" width="19.33203125" style="25" bestFit="1" customWidth="1"/>
    <col min="42" max="42" width="13.21875" style="25" bestFit="1" customWidth="1"/>
    <col min="43" max="43" width="9.33203125" style="25" bestFit="1" customWidth="1"/>
    <col min="44" max="44" width="7.6640625" style="25" bestFit="1" customWidth="1"/>
    <col min="45" max="46" width="12" style="25" bestFit="1" customWidth="1"/>
    <col min="47" max="47" width="11.5546875" style="25" bestFit="1" customWidth="1"/>
    <col min="48" max="48" width="14.44140625" style="25" customWidth="1"/>
    <col min="49" max="49" width="11.5546875" style="25" bestFit="1" customWidth="1"/>
    <col min="50" max="50" width="10.77734375" style="25" bestFit="1" customWidth="1"/>
    <col min="51" max="52" width="9.33203125" style="25" bestFit="1" customWidth="1"/>
    <col min="53" max="53" width="9.88671875" style="25" customWidth="1"/>
    <col min="54" max="56" width="4.109375" style="48" customWidth="1"/>
    <col min="57" max="57" width="4.109375" style="25" customWidth="1"/>
    <col min="58" max="58" width="36.6640625" style="25" bestFit="1" customWidth="1"/>
    <col min="59" max="59" width="15.6640625" style="25" bestFit="1" customWidth="1"/>
    <col min="60" max="60" width="10.44140625" style="25" customWidth="1"/>
    <col min="61" max="61" width="11.5546875" style="25" customWidth="1"/>
    <col min="62" max="62" width="12.44140625" style="25" bestFit="1" customWidth="1"/>
    <col min="63" max="63" width="10.77734375" style="25" bestFit="1" customWidth="1"/>
    <col min="64" max="64" width="10.33203125" style="25" bestFit="1" customWidth="1"/>
    <col min="65" max="65" width="10.77734375" style="25" bestFit="1" customWidth="1"/>
    <col min="66" max="66" width="13.109375" style="25" bestFit="1" customWidth="1"/>
    <col min="67" max="67" width="12.6640625" style="25" bestFit="1" customWidth="1"/>
    <col min="68" max="68" width="35.77734375" style="25" customWidth="1"/>
    <col min="69" max="69" width="15.6640625" style="25" customWidth="1"/>
    <col min="70" max="70" width="15.21875" style="25" customWidth="1"/>
    <col min="71" max="71" width="15.6640625" style="25" customWidth="1"/>
    <col min="72" max="73" width="15.5546875" style="25" customWidth="1"/>
    <col min="74" max="16384" width="8.88671875" style="25"/>
  </cols>
  <sheetData>
    <row r="1" spans="1:61" s="48" customFormat="1" ht="49.5" x14ac:dyDescent="0.55000000000000004">
      <c r="A1" s="47" t="s">
        <v>428</v>
      </c>
      <c r="C1" s="57" t="s">
        <v>433</v>
      </c>
      <c r="F1" s="56" t="s">
        <v>427</v>
      </c>
      <c r="G1" s="56" t="s">
        <v>90</v>
      </c>
      <c r="H1" s="56" t="s">
        <v>41</v>
      </c>
      <c r="I1" s="115" t="s">
        <v>434</v>
      </c>
      <c r="P1" s="47" t="s">
        <v>404</v>
      </c>
      <c r="Q1" s="57" t="s">
        <v>432</v>
      </c>
      <c r="R1" s="57"/>
      <c r="U1" s="56" t="s">
        <v>139</v>
      </c>
      <c r="V1" s="56" t="s">
        <v>88</v>
      </c>
      <c r="W1" s="56" t="s">
        <v>53</v>
      </c>
      <c r="Z1" s="56" t="s">
        <v>252</v>
      </c>
      <c r="AA1" s="56" t="s">
        <v>90</v>
      </c>
      <c r="AB1" s="56" t="s">
        <v>64</v>
      </c>
      <c r="AN1" s="47" t="s">
        <v>437</v>
      </c>
      <c r="AO1" s="57" t="s">
        <v>430</v>
      </c>
      <c r="AT1" s="56" t="s">
        <v>172</v>
      </c>
      <c r="AU1" s="56" t="s">
        <v>171</v>
      </c>
      <c r="AX1" s="56" t="s">
        <v>147</v>
      </c>
      <c r="AY1" s="56" t="s">
        <v>200</v>
      </c>
      <c r="AZ1" s="56" t="s">
        <v>201</v>
      </c>
      <c r="BA1" s="56" t="s">
        <v>202</v>
      </c>
      <c r="BF1" s="47" t="s">
        <v>429</v>
      </c>
      <c r="BG1" s="58" t="s">
        <v>431</v>
      </c>
      <c r="BH1" s="56" t="s">
        <v>205</v>
      </c>
      <c r="BI1" s="56" t="s">
        <v>228</v>
      </c>
    </row>
    <row r="2" spans="1:61" s="49" customFormat="1" ht="75" customHeight="1" x14ac:dyDescent="0.35">
      <c r="A2" s="116" t="s">
        <v>435</v>
      </c>
      <c r="D2" s="62"/>
      <c r="I2" s="62"/>
      <c r="J2" s="62"/>
      <c r="Q2" s="50"/>
      <c r="R2" s="62" t="s">
        <v>268</v>
      </c>
      <c r="S2" s="62" t="s">
        <v>268</v>
      </c>
      <c r="T2" s="62" t="s">
        <v>268</v>
      </c>
      <c r="U2" s="62" t="s">
        <v>268</v>
      </c>
      <c r="V2" s="62" t="s">
        <v>268</v>
      </c>
      <c r="W2" s="62" t="s">
        <v>268</v>
      </c>
      <c r="X2" s="62"/>
      <c r="Y2" s="63"/>
      <c r="Z2" s="62"/>
      <c r="AJ2" s="48"/>
      <c r="AK2" s="48"/>
      <c r="AL2" s="48"/>
      <c r="AU2" s="62"/>
      <c r="AV2" s="62"/>
      <c r="AW2" s="62"/>
      <c r="AX2" s="62"/>
      <c r="AY2" s="62"/>
      <c r="AZ2" s="62"/>
      <c r="BA2" s="62"/>
      <c r="BB2" s="48"/>
      <c r="BC2" s="48"/>
      <c r="BD2" s="48"/>
      <c r="BG2" s="62" t="s">
        <v>268</v>
      </c>
      <c r="BH2" s="62" t="s">
        <v>268</v>
      </c>
      <c r="BI2" s="62" t="s">
        <v>268</v>
      </c>
    </row>
    <row r="3" spans="1:61" s="52" customFormat="1" ht="33" customHeight="1" x14ac:dyDescent="0.25">
      <c r="A3" s="107" t="s">
        <v>427</v>
      </c>
      <c r="B3" s="51" t="s">
        <v>48</v>
      </c>
      <c r="C3" s="51" t="s">
        <v>49</v>
      </c>
      <c r="D3" s="51" t="s">
        <v>94</v>
      </c>
      <c r="E3" s="51" t="s">
        <v>135</v>
      </c>
      <c r="F3" s="51" t="s">
        <v>177</v>
      </c>
      <c r="G3" s="51" t="s">
        <v>90</v>
      </c>
      <c r="H3" s="51" t="s">
        <v>41</v>
      </c>
      <c r="I3" s="51" t="s">
        <v>186</v>
      </c>
      <c r="J3" s="51" t="s">
        <v>187</v>
      </c>
      <c r="K3" s="51" t="s">
        <v>140</v>
      </c>
      <c r="P3" s="51" t="s">
        <v>49</v>
      </c>
      <c r="Q3" s="51" t="s">
        <v>94</v>
      </c>
      <c r="R3" s="51" t="s">
        <v>139</v>
      </c>
      <c r="S3" s="51" t="s">
        <v>88</v>
      </c>
      <c r="T3" s="51" t="s">
        <v>53</v>
      </c>
      <c r="U3" s="51" t="s">
        <v>166</v>
      </c>
      <c r="V3" s="51" t="s">
        <v>152</v>
      </c>
      <c r="W3" s="51" t="s">
        <v>141</v>
      </c>
      <c r="X3" s="51" t="s">
        <v>64</v>
      </c>
      <c r="Y3" s="51" t="s">
        <v>57</v>
      </c>
      <c r="Z3" s="51" t="s">
        <v>87</v>
      </c>
      <c r="AA3" s="51" t="s">
        <v>120</v>
      </c>
      <c r="AB3" s="51" t="s">
        <v>577</v>
      </c>
      <c r="AC3" s="51" t="s">
        <v>91</v>
      </c>
      <c r="AD3" s="51" t="s">
        <v>210</v>
      </c>
      <c r="AE3" s="51" t="s">
        <v>173</v>
      </c>
      <c r="AF3" s="51" t="s">
        <v>174</v>
      </c>
      <c r="AG3" s="51" t="s">
        <v>211</v>
      </c>
      <c r="AH3" s="51" t="s">
        <v>48</v>
      </c>
      <c r="AI3" s="51" t="s">
        <v>140</v>
      </c>
      <c r="AJ3" s="48"/>
      <c r="AK3" s="48"/>
      <c r="AL3" s="48"/>
      <c r="AN3" s="51" t="s">
        <v>94</v>
      </c>
      <c r="AO3" s="51" t="s">
        <v>140</v>
      </c>
      <c r="AP3" s="51" t="s">
        <v>48</v>
      </c>
      <c r="AQ3" s="51" t="s">
        <v>49</v>
      </c>
      <c r="AR3" s="51" t="s">
        <v>204</v>
      </c>
      <c r="AS3" s="51" t="s">
        <v>188</v>
      </c>
      <c r="AT3" s="51" t="s">
        <v>172</v>
      </c>
      <c r="AU3" s="51" t="s">
        <v>171</v>
      </c>
      <c r="AV3" s="51" t="s">
        <v>182</v>
      </c>
      <c r="AW3" s="51" t="s">
        <v>170</v>
      </c>
      <c r="AX3" s="51" t="s">
        <v>147</v>
      </c>
      <c r="AY3" s="51" t="s">
        <v>200</v>
      </c>
      <c r="AZ3" s="51" t="s">
        <v>201</v>
      </c>
      <c r="BA3" s="51" t="s">
        <v>202</v>
      </c>
      <c r="BB3" s="48"/>
      <c r="BC3" s="48"/>
      <c r="BD3" s="48"/>
      <c r="BF3" s="51" t="s">
        <v>94</v>
      </c>
      <c r="BG3" s="51" t="s">
        <v>178</v>
      </c>
      <c r="BH3" s="51" t="s">
        <v>205</v>
      </c>
      <c r="BI3" s="51" t="s">
        <v>228</v>
      </c>
    </row>
    <row r="4" spans="1:61" ht="21" customHeight="1" x14ac:dyDescent="0.3">
      <c r="A4" s="44"/>
      <c r="B4" s="27" t="s">
        <v>1169</v>
      </c>
      <c r="C4" s="106">
        <v>45219</v>
      </c>
      <c r="D4" s="105" t="s">
        <v>1170</v>
      </c>
      <c r="E4" s="27" t="s">
        <v>527</v>
      </c>
      <c r="F4" s="121" t="s">
        <v>527</v>
      </c>
      <c r="G4" s="27" t="s">
        <v>39</v>
      </c>
      <c r="H4" s="27" t="s">
        <v>92</v>
      </c>
      <c r="I4" s="27" t="s">
        <v>7</v>
      </c>
      <c r="J4" s="27" t="s">
        <v>7</v>
      </c>
      <c r="K4" s="27" t="s">
        <v>1175</v>
      </c>
      <c r="P4" s="112">
        <v>45219</v>
      </c>
      <c r="Q4" s="112" t="s">
        <v>1170</v>
      </c>
      <c r="R4" s="53" t="s">
        <v>752</v>
      </c>
      <c r="S4" s="53" t="s">
        <v>1116</v>
      </c>
      <c r="T4" s="53" t="s">
        <v>1216</v>
      </c>
      <c r="U4" s="53">
        <v>30</v>
      </c>
      <c r="V4" s="53" t="s">
        <v>92</v>
      </c>
      <c r="W4" s="113" t="s">
        <v>92</v>
      </c>
      <c r="X4" s="53" t="s">
        <v>85</v>
      </c>
      <c r="Y4" s="54">
        <v>2.8</v>
      </c>
      <c r="Z4" s="53" t="s">
        <v>151</v>
      </c>
      <c r="AA4" s="53" t="s">
        <v>1216</v>
      </c>
      <c r="AB4" s="53" t="s">
        <v>7</v>
      </c>
      <c r="AC4" s="53" t="s">
        <v>263</v>
      </c>
      <c r="AD4" s="53" t="s">
        <v>92</v>
      </c>
      <c r="AE4" s="53">
        <v>2.8</v>
      </c>
      <c r="AF4" s="53">
        <v>20.51</v>
      </c>
      <c r="AG4" s="53">
        <v>21.91</v>
      </c>
      <c r="AH4" s="53" t="s">
        <v>1169</v>
      </c>
      <c r="AI4" s="53" t="s">
        <v>1175</v>
      </c>
      <c r="AN4" s="52" t="s">
        <v>1170</v>
      </c>
      <c r="AO4" s="52" t="s">
        <v>1175</v>
      </c>
      <c r="AP4" s="108" t="s">
        <v>1169</v>
      </c>
      <c r="AQ4" s="108">
        <v>45219</v>
      </c>
      <c r="AR4" s="52" t="s">
        <v>762</v>
      </c>
      <c r="AS4" s="52" t="s">
        <v>762</v>
      </c>
      <c r="AT4" s="52" t="s">
        <v>184</v>
      </c>
      <c r="AU4" s="109" t="s">
        <v>180</v>
      </c>
      <c r="AV4" s="110" t="s">
        <v>1231</v>
      </c>
      <c r="AW4" s="110" t="s">
        <v>1232</v>
      </c>
      <c r="AX4" s="52" t="s">
        <v>149</v>
      </c>
      <c r="AY4" s="111" t="s">
        <v>92</v>
      </c>
      <c r="AZ4" s="109" t="s">
        <v>92</v>
      </c>
      <c r="BA4" s="109" t="s">
        <v>7</v>
      </c>
      <c r="BF4" s="52" t="s">
        <v>1165</v>
      </c>
      <c r="BG4" s="52" t="s">
        <v>1230</v>
      </c>
      <c r="BH4" s="52" t="s">
        <v>196</v>
      </c>
      <c r="BI4" s="52" t="s">
        <v>258</v>
      </c>
    </row>
    <row r="5" spans="1:61" ht="21" customHeight="1" x14ac:dyDescent="0.3">
      <c r="A5" s="44"/>
      <c r="B5" s="27" t="s">
        <v>1164</v>
      </c>
      <c r="C5" s="106">
        <v>45219</v>
      </c>
      <c r="D5" s="105" t="s">
        <v>1165</v>
      </c>
      <c r="E5" s="27" t="s">
        <v>83</v>
      </c>
      <c r="F5" s="121" t="s">
        <v>83</v>
      </c>
      <c r="G5" s="27" t="s">
        <v>37</v>
      </c>
      <c r="H5" s="27" t="s">
        <v>92</v>
      </c>
      <c r="I5" s="27" t="s">
        <v>7</v>
      </c>
      <c r="J5" s="27" t="s">
        <v>7</v>
      </c>
      <c r="K5" s="27" t="s">
        <v>1168</v>
      </c>
      <c r="P5" s="112">
        <v>45219</v>
      </c>
      <c r="Q5" s="112" t="s">
        <v>1165</v>
      </c>
      <c r="R5" s="53" t="s">
        <v>92</v>
      </c>
      <c r="S5" s="53" t="s">
        <v>92</v>
      </c>
      <c r="T5" s="53" t="s">
        <v>92</v>
      </c>
      <c r="U5" s="53"/>
      <c r="V5" s="53" t="s">
        <v>92</v>
      </c>
      <c r="W5" s="113" t="s">
        <v>92</v>
      </c>
      <c r="X5" s="53" t="s">
        <v>85</v>
      </c>
      <c r="Y5" s="54">
        <v>1.1000000000000001</v>
      </c>
      <c r="Z5" s="53" t="s">
        <v>151</v>
      </c>
      <c r="AA5" s="53" t="s">
        <v>1228</v>
      </c>
      <c r="AB5" s="53" t="s">
        <v>7</v>
      </c>
      <c r="AC5" s="53" t="s">
        <v>110</v>
      </c>
      <c r="AD5" s="53" t="s">
        <v>92</v>
      </c>
      <c r="AE5" s="53">
        <v>1.1000000000000001</v>
      </c>
      <c r="AF5" s="53">
        <v>8.0579999999999998</v>
      </c>
      <c r="AG5" s="53">
        <v>8.6080000000000005</v>
      </c>
      <c r="AH5" s="53" t="s">
        <v>1164</v>
      </c>
      <c r="AI5" s="53" t="s">
        <v>1168</v>
      </c>
      <c r="AN5" s="52" t="s">
        <v>870</v>
      </c>
      <c r="AO5" s="52" t="s">
        <v>873</v>
      </c>
      <c r="AP5" s="108" t="s">
        <v>869</v>
      </c>
      <c r="AQ5" s="108">
        <v>45217</v>
      </c>
      <c r="AR5" s="52" t="s">
        <v>1224</v>
      </c>
      <c r="AS5" s="52" t="s">
        <v>1148</v>
      </c>
      <c r="AT5" s="52" t="s">
        <v>184</v>
      </c>
      <c r="AU5" s="109" t="s">
        <v>183</v>
      </c>
      <c r="AV5" s="110" t="s">
        <v>1140</v>
      </c>
      <c r="AW5" s="110" t="s">
        <v>1141</v>
      </c>
      <c r="AX5" s="52" t="s">
        <v>150</v>
      </c>
      <c r="AY5" s="111" t="s">
        <v>1142</v>
      </c>
      <c r="AZ5" s="109"/>
      <c r="BA5" s="109" t="s">
        <v>7</v>
      </c>
      <c r="BF5" s="52" t="s">
        <v>816</v>
      </c>
      <c r="BG5" s="52" t="s">
        <v>1147</v>
      </c>
      <c r="BH5" s="52" t="s">
        <v>196</v>
      </c>
      <c r="BI5" s="52" t="s">
        <v>258</v>
      </c>
    </row>
    <row r="6" spans="1:61" ht="21" customHeight="1" x14ac:dyDescent="0.3">
      <c r="A6" s="27"/>
      <c r="B6" s="27" t="s">
        <v>815</v>
      </c>
      <c r="C6" s="106">
        <v>45218</v>
      </c>
      <c r="D6" s="105" t="s">
        <v>816</v>
      </c>
      <c r="E6" s="27" t="s">
        <v>83</v>
      </c>
      <c r="F6" s="27" t="s">
        <v>83</v>
      </c>
      <c r="G6" s="27" t="s">
        <v>112</v>
      </c>
      <c r="H6" s="27" t="s">
        <v>344</v>
      </c>
      <c r="I6" s="27" t="s">
        <v>7</v>
      </c>
      <c r="J6" s="27" t="s">
        <v>7</v>
      </c>
      <c r="K6" s="27" t="s">
        <v>820</v>
      </c>
      <c r="P6" s="112">
        <v>45218</v>
      </c>
      <c r="Q6" s="112" t="s">
        <v>816</v>
      </c>
      <c r="R6" s="54" t="s">
        <v>92</v>
      </c>
      <c r="S6" s="54" t="s">
        <v>1111</v>
      </c>
      <c r="T6" s="53" t="s">
        <v>928</v>
      </c>
      <c r="U6" s="53">
        <v>30</v>
      </c>
      <c r="V6" s="53" t="s">
        <v>92</v>
      </c>
      <c r="W6" s="114" t="s">
        <v>92</v>
      </c>
      <c r="X6" s="53" t="s">
        <v>262</v>
      </c>
      <c r="Y6" s="54">
        <v>106</v>
      </c>
      <c r="Z6" s="53" t="s">
        <v>151</v>
      </c>
      <c r="AA6" s="53" t="s">
        <v>928</v>
      </c>
      <c r="AB6" s="53" t="s">
        <v>7</v>
      </c>
      <c r="AC6" s="53" t="s">
        <v>263</v>
      </c>
      <c r="AD6" s="53" t="s">
        <v>92</v>
      </c>
      <c r="AE6" s="53">
        <v>0.74199999999999999</v>
      </c>
      <c r="AF6" s="53">
        <v>5.194</v>
      </c>
      <c r="AG6" s="53">
        <v>5.5119999999999996</v>
      </c>
      <c r="AH6" s="53" t="s">
        <v>815</v>
      </c>
      <c r="AI6" s="53" t="s">
        <v>820</v>
      </c>
      <c r="AN6" s="52"/>
      <c r="AO6" s="52"/>
      <c r="AP6" s="108"/>
      <c r="AQ6" s="108"/>
      <c r="AR6" s="52"/>
      <c r="AS6" s="52"/>
      <c r="AT6" s="52"/>
      <c r="AU6" s="109"/>
      <c r="AV6" s="110"/>
      <c r="AW6" s="110"/>
      <c r="AX6" s="52"/>
      <c r="AY6" s="108"/>
      <c r="AZ6" s="109"/>
      <c r="BA6" s="52"/>
      <c r="BF6" s="52" t="s">
        <v>862</v>
      </c>
      <c r="BG6" s="52" t="s">
        <v>1103</v>
      </c>
      <c r="BH6" s="52" t="s">
        <v>196</v>
      </c>
      <c r="BI6" s="52" t="s">
        <v>258</v>
      </c>
    </row>
    <row r="7" spans="1:61" ht="21" customHeight="1" x14ac:dyDescent="0.3">
      <c r="A7" s="27"/>
      <c r="B7" s="27" t="s">
        <v>861</v>
      </c>
      <c r="C7" s="106">
        <v>45217</v>
      </c>
      <c r="D7" s="105" t="s">
        <v>862</v>
      </c>
      <c r="E7" s="121" t="s">
        <v>83</v>
      </c>
      <c r="F7" s="27" t="s">
        <v>863</v>
      </c>
      <c r="G7" s="27" t="s">
        <v>40</v>
      </c>
      <c r="H7" s="27" t="s">
        <v>92</v>
      </c>
      <c r="I7" s="27" t="s">
        <v>7</v>
      </c>
      <c r="J7" s="27" t="s">
        <v>7</v>
      </c>
      <c r="K7" s="27" t="s">
        <v>868</v>
      </c>
      <c r="P7" s="112">
        <v>45217</v>
      </c>
      <c r="Q7" s="112" t="s">
        <v>862</v>
      </c>
      <c r="R7" s="53" t="s">
        <v>787</v>
      </c>
      <c r="S7" s="54" t="s">
        <v>1114</v>
      </c>
      <c r="T7" s="154" t="s">
        <v>1032</v>
      </c>
      <c r="U7" s="53">
        <v>60</v>
      </c>
      <c r="V7" s="53" t="s">
        <v>92</v>
      </c>
      <c r="W7" s="114" t="s">
        <v>92</v>
      </c>
      <c r="X7" s="53" t="s">
        <v>85</v>
      </c>
      <c r="Y7" s="54">
        <v>2.1</v>
      </c>
      <c r="Z7" s="53" t="s">
        <v>151</v>
      </c>
      <c r="AA7" s="53" t="s">
        <v>1032</v>
      </c>
      <c r="AB7" s="53" t="s">
        <v>7</v>
      </c>
      <c r="AC7" s="53" t="s">
        <v>251</v>
      </c>
      <c r="AD7" s="53" t="s">
        <v>92</v>
      </c>
      <c r="AE7" s="53">
        <v>2.1</v>
      </c>
      <c r="AF7" s="53">
        <v>15.391</v>
      </c>
      <c r="AG7" s="53">
        <v>16.440999999999999</v>
      </c>
      <c r="AH7" s="53" t="s">
        <v>861</v>
      </c>
      <c r="AI7" s="53" t="s">
        <v>868</v>
      </c>
      <c r="AN7" s="52"/>
      <c r="AO7" s="52"/>
      <c r="AP7" s="108"/>
      <c r="AQ7" s="108"/>
      <c r="AR7" s="52"/>
      <c r="AS7" s="52"/>
      <c r="AT7" s="52"/>
      <c r="AU7" s="109"/>
      <c r="AV7" s="110"/>
      <c r="AW7" s="109"/>
      <c r="AX7" s="52"/>
      <c r="AY7" s="108"/>
      <c r="AZ7" s="109"/>
      <c r="BA7" s="109"/>
      <c r="BF7" s="52" t="s">
        <v>840</v>
      </c>
      <c r="BG7" s="52" t="s">
        <v>1104</v>
      </c>
      <c r="BH7" s="52" t="s">
        <v>196</v>
      </c>
      <c r="BI7" s="52" t="s">
        <v>258</v>
      </c>
    </row>
    <row r="8" spans="1:61" ht="21" customHeight="1" x14ac:dyDescent="0.25">
      <c r="A8" s="27"/>
      <c r="B8" s="27" t="s">
        <v>839</v>
      </c>
      <c r="C8" s="106">
        <v>45217</v>
      </c>
      <c r="D8" s="105" t="s">
        <v>840</v>
      </c>
      <c r="E8" s="27" t="s">
        <v>83</v>
      </c>
      <c r="F8" s="121" t="s">
        <v>83</v>
      </c>
      <c r="G8" s="27" t="s">
        <v>39</v>
      </c>
      <c r="H8" s="27" t="s">
        <v>92</v>
      </c>
      <c r="I8" s="27" t="s">
        <v>7</v>
      </c>
      <c r="J8" s="27" t="s">
        <v>7</v>
      </c>
      <c r="K8" s="27" t="s">
        <v>845</v>
      </c>
      <c r="P8" s="112">
        <v>45217</v>
      </c>
      <c r="Q8" s="112" t="s">
        <v>840</v>
      </c>
      <c r="R8" s="54" t="s">
        <v>92</v>
      </c>
      <c r="S8" s="54" t="s">
        <v>92</v>
      </c>
      <c r="T8" s="53" t="s">
        <v>1016</v>
      </c>
      <c r="U8" s="53"/>
      <c r="V8" s="53" t="s">
        <v>92</v>
      </c>
      <c r="W8" s="114" t="s">
        <v>92</v>
      </c>
      <c r="X8" s="53" t="s">
        <v>106</v>
      </c>
      <c r="Y8" s="54">
        <v>0.6</v>
      </c>
      <c r="Z8" s="53" t="s">
        <v>560</v>
      </c>
      <c r="AA8" s="53" t="s">
        <v>1016</v>
      </c>
      <c r="AB8" s="53" t="s">
        <v>7</v>
      </c>
      <c r="AC8" s="53" t="s">
        <v>251</v>
      </c>
      <c r="AD8" s="53" t="s">
        <v>561</v>
      </c>
      <c r="AE8" s="53">
        <v>8.2000000000000003E-2</v>
      </c>
      <c r="AF8" s="53">
        <v>0.6</v>
      </c>
      <c r="AG8" s="53">
        <v>0.64100000000000001</v>
      </c>
      <c r="AH8" s="53" t="s">
        <v>839</v>
      </c>
      <c r="AI8" s="53" t="s">
        <v>845</v>
      </c>
      <c r="AN8" s="52"/>
      <c r="AO8" s="52"/>
      <c r="AP8" s="108"/>
      <c r="AQ8" s="108"/>
      <c r="AR8" s="52"/>
      <c r="AS8" s="52"/>
      <c r="AT8" s="52"/>
      <c r="AU8" s="109"/>
      <c r="AV8" s="109"/>
      <c r="AW8" s="109"/>
      <c r="AX8" s="52"/>
      <c r="AY8" s="111"/>
      <c r="AZ8" s="109"/>
      <c r="BA8" s="52"/>
      <c r="BF8" s="52" t="s">
        <v>825</v>
      </c>
      <c r="BG8" s="52" t="s">
        <v>1105</v>
      </c>
      <c r="BH8" s="52" t="s">
        <v>196</v>
      </c>
      <c r="BI8" s="52" t="s">
        <v>258</v>
      </c>
    </row>
    <row r="9" spans="1:61" ht="21" customHeight="1" x14ac:dyDescent="0.25">
      <c r="A9" s="27"/>
      <c r="B9" s="27" t="s">
        <v>824</v>
      </c>
      <c r="C9" s="106">
        <v>45217</v>
      </c>
      <c r="D9" s="105" t="s">
        <v>825</v>
      </c>
      <c r="E9" s="27" t="s">
        <v>83</v>
      </c>
      <c r="F9" s="27" t="s">
        <v>83</v>
      </c>
      <c r="G9" s="27" t="s">
        <v>39</v>
      </c>
      <c r="H9" s="27" t="s">
        <v>92</v>
      </c>
      <c r="I9" s="27" t="s">
        <v>7</v>
      </c>
      <c r="J9" s="27" t="s">
        <v>7</v>
      </c>
      <c r="K9" s="27" t="s">
        <v>830</v>
      </c>
      <c r="P9" s="112">
        <v>45217</v>
      </c>
      <c r="Q9" s="112" t="s">
        <v>825</v>
      </c>
      <c r="R9" s="54" t="s">
        <v>92</v>
      </c>
      <c r="S9" s="54" t="s">
        <v>92</v>
      </c>
      <c r="T9" s="53" t="s">
        <v>92</v>
      </c>
      <c r="U9" s="53"/>
      <c r="V9" s="53" t="s">
        <v>92</v>
      </c>
      <c r="W9" s="53" t="s">
        <v>92</v>
      </c>
      <c r="X9" s="54" t="s">
        <v>85</v>
      </c>
      <c r="Y9" s="54">
        <v>1.7</v>
      </c>
      <c r="Z9" s="53" t="s">
        <v>151</v>
      </c>
      <c r="AA9" s="53" t="s">
        <v>1032</v>
      </c>
      <c r="AB9" s="53" t="s">
        <v>7</v>
      </c>
      <c r="AC9" s="53" t="s">
        <v>263</v>
      </c>
      <c r="AD9" s="53" t="s">
        <v>92</v>
      </c>
      <c r="AE9" s="53">
        <v>1.7</v>
      </c>
      <c r="AF9" s="53">
        <v>12.459</v>
      </c>
      <c r="AG9" s="53">
        <v>13.308999999999999</v>
      </c>
      <c r="AH9" s="53" t="s">
        <v>824</v>
      </c>
      <c r="AI9" s="53" t="s">
        <v>830</v>
      </c>
      <c r="AN9" s="52"/>
      <c r="AO9" s="52"/>
      <c r="AP9" s="108"/>
      <c r="AQ9" s="108"/>
      <c r="AR9" s="52"/>
      <c r="AS9" s="52"/>
      <c r="AT9" s="52"/>
      <c r="AU9" s="109"/>
      <c r="AV9" s="109"/>
      <c r="AW9" s="109"/>
      <c r="AX9" s="52"/>
      <c r="AY9" s="111"/>
      <c r="AZ9" s="109"/>
      <c r="BA9" s="52"/>
      <c r="BF9" s="52" t="s">
        <v>870</v>
      </c>
      <c r="BG9" s="52" t="s">
        <v>1146</v>
      </c>
      <c r="BH9" s="52" t="s">
        <v>196</v>
      </c>
      <c r="BI9" s="52" t="s">
        <v>258</v>
      </c>
    </row>
    <row r="10" spans="1:61" ht="21" customHeight="1" x14ac:dyDescent="0.25">
      <c r="A10" s="27"/>
      <c r="B10" s="27" t="s">
        <v>869</v>
      </c>
      <c r="C10" s="106">
        <v>45217</v>
      </c>
      <c r="D10" s="105" t="s">
        <v>870</v>
      </c>
      <c r="E10" s="27" t="s">
        <v>83</v>
      </c>
      <c r="F10" s="121" t="s">
        <v>83</v>
      </c>
      <c r="G10" s="27" t="s">
        <v>37</v>
      </c>
      <c r="H10" s="27" t="s">
        <v>92</v>
      </c>
      <c r="I10" s="27" t="s">
        <v>7</v>
      </c>
      <c r="J10" s="27" t="s">
        <v>7</v>
      </c>
      <c r="K10" s="27" t="s">
        <v>873</v>
      </c>
      <c r="P10" s="112">
        <v>45217</v>
      </c>
      <c r="Q10" s="112" t="s">
        <v>870</v>
      </c>
      <c r="R10" s="54" t="s">
        <v>752</v>
      </c>
      <c r="S10" s="54" t="s">
        <v>1116</v>
      </c>
      <c r="T10" s="53" t="s">
        <v>999</v>
      </c>
      <c r="U10" s="53">
        <v>40</v>
      </c>
      <c r="V10" s="53" t="s">
        <v>92</v>
      </c>
      <c r="W10" s="55" t="s">
        <v>92</v>
      </c>
      <c r="X10" s="53" t="s">
        <v>85</v>
      </c>
      <c r="Y10" s="54">
        <v>3</v>
      </c>
      <c r="Z10" s="53" t="s">
        <v>151</v>
      </c>
      <c r="AA10" s="53" t="s">
        <v>999</v>
      </c>
      <c r="AB10" s="53" t="s">
        <v>7</v>
      </c>
      <c r="AC10" s="53" t="s">
        <v>263</v>
      </c>
      <c r="AD10" s="53" t="s">
        <v>92</v>
      </c>
      <c r="AE10" s="53">
        <v>3</v>
      </c>
      <c r="AF10" s="53">
        <v>21.986999999999998</v>
      </c>
      <c r="AG10" s="53">
        <v>23.486999999999998</v>
      </c>
      <c r="AH10" s="53" t="s">
        <v>869</v>
      </c>
      <c r="AI10" s="53" t="s">
        <v>873</v>
      </c>
      <c r="AN10" s="52"/>
      <c r="AO10" s="52"/>
      <c r="AP10" s="108"/>
      <c r="AQ10" s="108"/>
      <c r="AR10" s="52"/>
      <c r="AS10" s="52"/>
      <c r="AT10" s="52"/>
      <c r="AU10" s="109"/>
      <c r="AV10" s="52"/>
      <c r="AW10" s="52"/>
      <c r="AX10" s="52"/>
      <c r="AY10" s="111"/>
      <c r="AZ10" s="52"/>
      <c r="BA10" s="52"/>
      <c r="BF10" s="52" t="s">
        <v>692</v>
      </c>
      <c r="BG10" s="52" t="s">
        <v>1107</v>
      </c>
      <c r="BH10" s="52" t="s">
        <v>194</v>
      </c>
      <c r="BI10" s="52" t="s">
        <v>260</v>
      </c>
    </row>
    <row r="11" spans="1:61" ht="21" customHeight="1" x14ac:dyDescent="0.25">
      <c r="A11" s="27"/>
      <c r="B11" s="27" t="s">
        <v>831</v>
      </c>
      <c r="C11" s="106">
        <v>45217</v>
      </c>
      <c r="D11" s="105" t="s">
        <v>692</v>
      </c>
      <c r="E11" s="27" t="s">
        <v>83</v>
      </c>
      <c r="F11" s="121" t="s">
        <v>837</v>
      </c>
      <c r="G11" s="27" t="s">
        <v>39</v>
      </c>
      <c r="H11" s="27" t="s">
        <v>92</v>
      </c>
      <c r="I11" s="27" t="s">
        <v>149</v>
      </c>
      <c r="J11" s="27" t="s">
        <v>7</v>
      </c>
      <c r="K11" s="27" t="s">
        <v>838</v>
      </c>
      <c r="P11" s="112">
        <v>45217</v>
      </c>
      <c r="Q11" s="112" t="s">
        <v>692</v>
      </c>
      <c r="R11" s="54" t="s">
        <v>92</v>
      </c>
      <c r="S11" s="54" t="s">
        <v>92</v>
      </c>
      <c r="T11" s="53" t="s">
        <v>92</v>
      </c>
      <c r="U11" s="53"/>
      <c r="V11" s="114" t="s">
        <v>92</v>
      </c>
      <c r="W11" s="114" t="s">
        <v>92</v>
      </c>
      <c r="X11" s="53" t="s">
        <v>106</v>
      </c>
      <c r="Y11" s="54">
        <v>31.9</v>
      </c>
      <c r="Z11" s="53" t="s">
        <v>151</v>
      </c>
      <c r="AA11" s="53" t="s">
        <v>1117</v>
      </c>
      <c r="AB11" s="53" t="s">
        <v>7</v>
      </c>
      <c r="AC11" s="53" t="s">
        <v>110</v>
      </c>
      <c r="AD11" s="53" t="s">
        <v>92</v>
      </c>
      <c r="AE11" s="53">
        <v>4.3380000000000001</v>
      </c>
      <c r="AF11" s="53">
        <v>31.9</v>
      </c>
      <c r="AG11" s="53">
        <v>34.069000000000003</v>
      </c>
      <c r="AH11" s="53" t="s">
        <v>831</v>
      </c>
      <c r="AI11" s="53" t="s">
        <v>838</v>
      </c>
      <c r="AN11" s="52"/>
      <c r="AO11" s="52"/>
      <c r="AP11" s="108"/>
      <c r="AQ11" s="108"/>
      <c r="AR11" s="52"/>
      <c r="AS11" s="52"/>
      <c r="AT11" s="52"/>
      <c r="AU11" s="109"/>
      <c r="AV11" s="52"/>
      <c r="AW11" s="52"/>
      <c r="AX11" s="52"/>
      <c r="AY11" s="108"/>
      <c r="AZ11" s="52"/>
      <c r="BA11" s="52"/>
      <c r="BF11" s="52" t="s">
        <v>879</v>
      </c>
      <c r="BG11" s="52" t="s">
        <v>1108</v>
      </c>
      <c r="BH11" s="52" t="s">
        <v>196</v>
      </c>
      <c r="BI11" s="52" t="s">
        <v>258</v>
      </c>
    </row>
    <row r="12" spans="1:61" ht="21" customHeight="1" x14ac:dyDescent="0.25">
      <c r="A12" s="27"/>
      <c r="B12" s="27" t="s">
        <v>851</v>
      </c>
      <c r="C12" s="106">
        <v>45217</v>
      </c>
      <c r="D12" s="105" t="s">
        <v>847</v>
      </c>
      <c r="E12" s="27" t="s">
        <v>1176</v>
      </c>
      <c r="F12" s="27" t="s">
        <v>464</v>
      </c>
      <c r="G12" s="27" t="s">
        <v>37</v>
      </c>
      <c r="H12" s="27" t="s">
        <v>92</v>
      </c>
      <c r="I12" s="27" t="s">
        <v>7</v>
      </c>
      <c r="J12" s="27" t="s">
        <v>7</v>
      </c>
      <c r="K12" s="27" t="s">
        <v>853</v>
      </c>
      <c r="P12" s="112">
        <v>45217</v>
      </c>
      <c r="Q12" s="112" t="s">
        <v>847</v>
      </c>
      <c r="R12" s="53" t="s">
        <v>752</v>
      </c>
      <c r="S12" s="54" t="s">
        <v>477</v>
      </c>
      <c r="T12" s="114" t="s">
        <v>476</v>
      </c>
      <c r="U12" s="53">
        <v>45</v>
      </c>
      <c r="V12" s="53" t="s">
        <v>476</v>
      </c>
      <c r="W12" s="114" t="s">
        <v>92</v>
      </c>
      <c r="X12" s="53" t="s">
        <v>85</v>
      </c>
      <c r="Y12" s="54">
        <v>10</v>
      </c>
      <c r="Z12" s="53" t="s">
        <v>151</v>
      </c>
      <c r="AA12" s="53" t="s">
        <v>476</v>
      </c>
      <c r="AB12" s="53" t="s">
        <v>1127</v>
      </c>
      <c r="AC12" s="53" t="s">
        <v>1120</v>
      </c>
      <c r="AD12" s="53" t="s">
        <v>92</v>
      </c>
      <c r="AE12" s="53">
        <v>10</v>
      </c>
      <c r="AF12" s="53">
        <v>73.290000000000006</v>
      </c>
      <c r="AG12" s="53">
        <v>78.290000000000006</v>
      </c>
      <c r="AH12" s="53" t="s">
        <v>851</v>
      </c>
      <c r="AI12" s="53" t="s">
        <v>853</v>
      </c>
      <c r="AN12" s="52"/>
      <c r="AO12" s="52"/>
      <c r="AP12" s="108"/>
      <c r="AQ12" s="108"/>
      <c r="AR12" s="52"/>
      <c r="AS12" s="52"/>
      <c r="AT12" s="52"/>
      <c r="AU12" s="109"/>
      <c r="AV12" s="52"/>
      <c r="AW12" s="52"/>
      <c r="AX12" s="52"/>
      <c r="AY12" s="108"/>
      <c r="AZ12" s="52"/>
      <c r="BA12" s="52"/>
      <c r="BF12" s="52" t="s">
        <v>909</v>
      </c>
      <c r="BG12" s="52" t="s">
        <v>1143</v>
      </c>
      <c r="BH12" s="52" t="s">
        <v>196</v>
      </c>
      <c r="BI12" s="52" t="s">
        <v>258</v>
      </c>
    </row>
    <row r="13" spans="1:61" ht="21" customHeight="1" x14ac:dyDescent="0.25">
      <c r="A13" s="27"/>
      <c r="B13" s="27" t="s">
        <v>846</v>
      </c>
      <c r="C13" s="106">
        <v>45217</v>
      </c>
      <c r="D13" s="105" t="s">
        <v>847</v>
      </c>
      <c r="E13" s="27" t="s">
        <v>1176</v>
      </c>
      <c r="F13" s="27" t="s">
        <v>464</v>
      </c>
      <c r="G13" s="27" t="s">
        <v>37</v>
      </c>
      <c r="H13" s="27" t="s">
        <v>92</v>
      </c>
      <c r="I13" s="27" t="s">
        <v>149</v>
      </c>
      <c r="J13" s="27" t="s">
        <v>7</v>
      </c>
      <c r="K13" s="27" t="s">
        <v>850</v>
      </c>
      <c r="P13" s="112">
        <v>45217</v>
      </c>
      <c r="Q13" s="112" t="s">
        <v>847</v>
      </c>
      <c r="R13" s="53" t="s">
        <v>752</v>
      </c>
      <c r="S13" s="53" t="s">
        <v>1123</v>
      </c>
      <c r="T13" s="53" t="s">
        <v>1124</v>
      </c>
      <c r="U13" s="53"/>
      <c r="V13" s="53" t="s">
        <v>92</v>
      </c>
      <c r="W13" s="113" t="s">
        <v>92</v>
      </c>
      <c r="X13" s="53" t="s">
        <v>85</v>
      </c>
      <c r="Y13" s="54">
        <v>5</v>
      </c>
      <c r="Z13" s="53" t="s">
        <v>151</v>
      </c>
      <c r="AA13" s="53" t="s">
        <v>969</v>
      </c>
      <c r="AB13" s="53" t="s">
        <v>7</v>
      </c>
      <c r="AC13" s="53" t="s">
        <v>1120</v>
      </c>
      <c r="AD13" s="53" t="s">
        <v>92</v>
      </c>
      <c r="AE13" s="53">
        <v>5</v>
      </c>
      <c r="AF13" s="53">
        <v>36.645000000000003</v>
      </c>
      <c r="AG13" s="53">
        <v>39.145000000000003</v>
      </c>
      <c r="AH13" s="53" t="s">
        <v>846</v>
      </c>
      <c r="AI13" s="53" t="s">
        <v>850</v>
      </c>
      <c r="AZ13" s="52"/>
      <c r="BA13" s="52"/>
    </row>
    <row r="14" spans="1:61" ht="21" customHeight="1" x14ac:dyDescent="0.25">
      <c r="A14" s="27"/>
      <c r="B14" s="27" t="s">
        <v>854</v>
      </c>
      <c r="C14" s="106">
        <v>45217</v>
      </c>
      <c r="D14" s="105" t="s">
        <v>847</v>
      </c>
      <c r="E14" s="27" t="s">
        <v>1176</v>
      </c>
      <c r="F14" s="27" t="s">
        <v>464</v>
      </c>
      <c r="G14" s="27" t="s">
        <v>37</v>
      </c>
      <c r="H14" s="27" t="s">
        <v>92</v>
      </c>
      <c r="I14" s="27" t="s">
        <v>149</v>
      </c>
      <c r="J14" s="27" t="s">
        <v>7</v>
      </c>
      <c r="K14" s="27" t="s">
        <v>856</v>
      </c>
      <c r="P14" s="112">
        <v>45217</v>
      </c>
      <c r="Q14" s="112" t="s">
        <v>847</v>
      </c>
      <c r="R14" s="53" t="s">
        <v>752</v>
      </c>
      <c r="S14" s="53" t="s">
        <v>1129</v>
      </c>
      <c r="T14" s="114" t="s">
        <v>1144</v>
      </c>
      <c r="U14" s="53">
        <v>20</v>
      </c>
      <c r="V14" s="53" t="s">
        <v>1144</v>
      </c>
      <c r="W14" s="53" t="s">
        <v>92</v>
      </c>
      <c r="X14" s="53" t="s">
        <v>111</v>
      </c>
      <c r="Y14" s="54">
        <v>3</v>
      </c>
      <c r="Z14" s="53" t="s">
        <v>151</v>
      </c>
      <c r="AA14" s="53" t="s">
        <v>959</v>
      </c>
      <c r="AB14" s="53" t="s">
        <v>7</v>
      </c>
      <c r="AC14" s="53" t="s">
        <v>1120</v>
      </c>
      <c r="AD14" s="53" t="s">
        <v>92</v>
      </c>
      <c r="AE14" s="53">
        <v>3.1589999999999998</v>
      </c>
      <c r="AF14" s="53">
        <v>23.154</v>
      </c>
      <c r="AG14" s="53">
        <v>24.734999999999999</v>
      </c>
      <c r="AH14" s="53" t="s">
        <v>854</v>
      </c>
      <c r="AI14" s="53" t="s">
        <v>856</v>
      </c>
      <c r="BA14" s="52"/>
    </row>
    <row r="15" spans="1:61" ht="21" customHeight="1" x14ac:dyDescent="0.25">
      <c r="A15" s="27"/>
      <c r="B15" s="27" t="s">
        <v>857</v>
      </c>
      <c r="C15" s="106">
        <v>45217</v>
      </c>
      <c r="D15" s="105" t="s">
        <v>847</v>
      </c>
      <c r="E15" s="27" t="s">
        <v>1176</v>
      </c>
      <c r="F15" s="27" t="s">
        <v>464</v>
      </c>
      <c r="G15" s="27" t="s">
        <v>37</v>
      </c>
      <c r="H15" s="27" t="s">
        <v>92</v>
      </c>
      <c r="I15" s="27" t="s">
        <v>149</v>
      </c>
      <c r="J15" s="27" t="s">
        <v>7</v>
      </c>
      <c r="K15" s="27" t="s">
        <v>860</v>
      </c>
      <c r="P15" s="112">
        <v>45217</v>
      </c>
      <c r="Q15" s="112" t="s">
        <v>847</v>
      </c>
      <c r="R15" s="53" t="s">
        <v>752</v>
      </c>
      <c r="S15" s="53" t="s">
        <v>1131</v>
      </c>
      <c r="T15" s="53" t="s">
        <v>1132</v>
      </c>
      <c r="U15" s="53">
        <v>35</v>
      </c>
      <c r="V15" s="53" t="s">
        <v>92</v>
      </c>
      <c r="W15" s="114" t="s">
        <v>92</v>
      </c>
      <c r="X15" s="53" t="s">
        <v>106</v>
      </c>
      <c r="Y15" s="54">
        <v>16</v>
      </c>
      <c r="Z15" s="53" t="s">
        <v>576</v>
      </c>
      <c r="AA15" s="53" t="s">
        <v>1132</v>
      </c>
      <c r="AB15" s="53" t="s">
        <v>7</v>
      </c>
      <c r="AC15" s="53" t="s">
        <v>1120</v>
      </c>
      <c r="AD15" s="53" t="s">
        <v>92</v>
      </c>
      <c r="AE15" s="53">
        <v>2.1760000000000002</v>
      </c>
      <c r="AF15" s="53">
        <v>16</v>
      </c>
      <c r="AG15" s="53">
        <v>17.088000000000001</v>
      </c>
      <c r="AH15" s="53" t="s">
        <v>857</v>
      </c>
      <c r="AI15" s="53" t="s">
        <v>860</v>
      </c>
      <c r="BA15" s="52"/>
    </row>
    <row r="16" spans="1:61" ht="21" customHeight="1" x14ac:dyDescent="0.25">
      <c r="A16" s="27"/>
      <c r="B16" s="27" t="s">
        <v>878</v>
      </c>
      <c r="C16" s="106">
        <v>45216</v>
      </c>
      <c r="D16" s="105" t="s">
        <v>879</v>
      </c>
      <c r="E16" s="27" t="s">
        <v>83</v>
      </c>
      <c r="F16" s="27" t="s">
        <v>83</v>
      </c>
      <c r="G16" s="27" t="s">
        <v>37</v>
      </c>
      <c r="H16" s="27" t="s">
        <v>92</v>
      </c>
      <c r="I16" s="27" t="s">
        <v>7</v>
      </c>
      <c r="J16" s="27" t="s">
        <v>7</v>
      </c>
      <c r="K16" s="27" t="s">
        <v>883</v>
      </c>
      <c r="P16" s="112">
        <v>45216</v>
      </c>
      <c r="Q16" s="112" t="s">
        <v>879</v>
      </c>
      <c r="R16" s="53" t="s">
        <v>92</v>
      </c>
      <c r="S16" s="53" t="s">
        <v>92</v>
      </c>
      <c r="T16" s="114" t="s">
        <v>92</v>
      </c>
      <c r="U16" s="53"/>
      <c r="V16" s="53" t="s">
        <v>92</v>
      </c>
      <c r="W16" s="53" t="s">
        <v>92</v>
      </c>
      <c r="X16" s="53" t="s">
        <v>106</v>
      </c>
      <c r="Y16" s="54">
        <v>4.5</v>
      </c>
      <c r="Z16" s="53" t="s">
        <v>151</v>
      </c>
      <c r="AA16" s="53" t="s">
        <v>1135</v>
      </c>
      <c r="AB16" s="53" t="s">
        <v>7</v>
      </c>
      <c r="AC16" s="53" t="s">
        <v>251</v>
      </c>
      <c r="AD16" s="53" t="s">
        <v>92</v>
      </c>
      <c r="AE16" s="53">
        <v>0.61599999999999999</v>
      </c>
      <c r="AF16" s="53">
        <v>4.5</v>
      </c>
      <c r="AG16" s="53">
        <v>4.8099999999999996</v>
      </c>
      <c r="AH16" s="53" t="s">
        <v>878</v>
      </c>
      <c r="AI16" s="53" t="s">
        <v>883</v>
      </c>
    </row>
    <row r="17" spans="1:51" ht="21" customHeight="1" x14ac:dyDescent="0.25">
      <c r="A17" s="27"/>
      <c r="B17" s="27" t="s">
        <v>884</v>
      </c>
      <c r="C17" s="106">
        <v>45216</v>
      </c>
      <c r="D17" s="105" t="s">
        <v>885</v>
      </c>
      <c r="E17" s="27" t="s">
        <v>83</v>
      </c>
      <c r="F17" s="27" t="s">
        <v>83</v>
      </c>
      <c r="G17" s="27" t="s">
        <v>112</v>
      </c>
      <c r="H17" s="27" t="s">
        <v>343</v>
      </c>
      <c r="I17" s="27" t="s">
        <v>7</v>
      </c>
      <c r="J17" s="27" t="s">
        <v>7</v>
      </c>
      <c r="K17" s="27" t="s">
        <v>889</v>
      </c>
      <c r="P17" s="112">
        <v>45216</v>
      </c>
      <c r="Q17" s="112" t="s">
        <v>885</v>
      </c>
      <c r="R17" s="53" t="s">
        <v>92</v>
      </c>
      <c r="S17" s="53" t="s">
        <v>1136</v>
      </c>
      <c r="T17" s="53" t="s">
        <v>1044</v>
      </c>
      <c r="U17" s="53">
        <v>15</v>
      </c>
      <c r="V17" s="53" t="s">
        <v>92</v>
      </c>
      <c r="W17" s="53" t="s">
        <v>92</v>
      </c>
      <c r="X17" s="53" t="s">
        <v>262</v>
      </c>
      <c r="Y17" s="54">
        <v>45</v>
      </c>
      <c r="Z17" s="53" t="s">
        <v>151</v>
      </c>
      <c r="AA17" s="53" t="s">
        <v>1044</v>
      </c>
      <c r="AB17" s="53" t="s">
        <v>7</v>
      </c>
      <c r="AC17" s="53" t="s">
        <v>251</v>
      </c>
      <c r="AD17" s="53" t="s">
        <v>92</v>
      </c>
      <c r="AE17" s="53">
        <v>0.315</v>
      </c>
      <c r="AF17" s="53">
        <v>2.2050000000000001</v>
      </c>
      <c r="AG17" s="53">
        <v>2.34</v>
      </c>
      <c r="AH17" s="53" t="s">
        <v>884</v>
      </c>
      <c r="AI17" s="53" t="s">
        <v>889</v>
      </c>
    </row>
    <row r="18" spans="1:51" ht="21" customHeight="1" x14ac:dyDescent="0.25">
      <c r="A18" s="27"/>
      <c r="B18" s="27" t="s">
        <v>899</v>
      </c>
      <c r="C18" s="106">
        <v>45215</v>
      </c>
      <c r="D18" s="105" t="s">
        <v>900</v>
      </c>
      <c r="E18" s="27" t="s">
        <v>83</v>
      </c>
      <c r="F18" s="27" t="s">
        <v>83</v>
      </c>
      <c r="G18" s="27" t="s">
        <v>113</v>
      </c>
      <c r="H18" s="27" t="s">
        <v>264</v>
      </c>
      <c r="I18" s="27" t="s">
        <v>7</v>
      </c>
      <c r="J18" s="27" t="s">
        <v>7</v>
      </c>
      <c r="K18" s="27" t="s">
        <v>904</v>
      </c>
      <c r="P18" s="112">
        <v>45215</v>
      </c>
      <c r="Q18" s="112" t="s">
        <v>900</v>
      </c>
      <c r="R18" s="53" t="s">
        <v>92</v>
      </c>
      <c r="S18" s="53" t="s">
        <v>92</v>
      </c>
      <c r="T18" s="53" t="s">
        <v>1016</v>
      </c>
      <c r="U18" s="53"/>
      <c r="V18" s="53" t="s">
        <v>92</v>
      </c>
      <c r="W18" s="53" t="s">
        <v>92</v>
      </c>
      <c r="X18" s="53" t="s">
        <v>106</v>
      </c>
      <c r="Y18" s="54">
        <v>2.7</v>
      </c>
      <c r="Z18" s="53" t="s">
        <v>151</v>
      </c>
      <c r="AA18" s="53" t="s">
        <v>1016</v>
      </c>
      <c r="AB18" s="53" t="s">
        <v>7</v>
      </c>
      <c r="AC18" s="53" t="s">
        <v>251</v>
      </c>
      <c r="AD18" s="53" t="s">
        <v>92</v>
      </c>
      <c r="AE18" s="53">
        <v>0.37</v>
      </c>
      <c r="AF18" s="53">
        <v>2.7</v>
      </c>
      <c r="AG18" s="53">
        <v>2.8860000000000001</v>
      </c>
      <c r="AH18" s="53" t="s">
        <v>899</v>
      </c>
      <c r="AI18" s="53" t="s">
        <v>904</v>
      </c>
    </row>
    <row r="19" spans="1:51" ht="21" customHeight="1" x14ac:dyDescent="0.25">
      <c r="A19" s="27"/>
      <c r="B19" s="27" t="s">
        <v>908</v>
      </c>
      <c r="C19" s="106">
        <v>45215</v>
      </c>
      <c r="D19" s="105" t="s">
        <v>909</v>
      </c>
      <c r="E19" s="27" t="s">
        <v>83</v>
      </c>
      <c r="F19" s="27" t="s">
        <v>1233</v>
      </c>
      <c r="G19" s="27" t="s">
        <v>37</v>
      </c>
      <c r="H19" s="27" t="s">
        <v>92</v>
      </c>
      <c r="I19" s="27" t="s">
        <v>7</v>
      </c>
      <c r="J19" s="27" t="s">
        <v>7</v>
      </c>
      <c r="K19" s="27" t="s">
        <v>913</v>
      </c>
      <c r="P19" s="112">
        <v>45215</v>
      </c>
      <c r="Q19" s="112" t="s">
        <v>909</v>
      </c>
      <c r="R19" s="53" t="s">
        <v>92</v>
      </c>
      <c r="S19" s="53" t="s">
        <v>795</v>
      </c>
      <c r="T19" s="53" t="s">
        <v>565</v>
      </c>
      <c r="U19" s="53">
        <v>20</v>
      </c>
      <c r="V19" s="53" t="s">
        <v>92</v>
      </c>
      <c r="W19" s="53" t="s">
        <v>92</v>
      </c>
      <c r="X19" s="53" t="s">
        <v>106</v>
      </c>
      <c r="Y19" s="54">
        <v>17.75</v>
      </c>
      <c r="Z19" s="53" t="s">
        <v>151</v>
      </c>
      <c r="AA19" s="53" t="s">
        <v>565</v>
      </c>
      <c r="AB19" s="53" t="s">
        <v>7</v>
      </c>
      <c r="AC19" s="53" t="s">
        <v>263</v>
      </c>
      <c r="AD19" s="53" t="s">
        <v>92</v>
      </c>
      <c r="AE19" s="53">
        <v>2.4319999999999999</v>
      </c>
      <c r="AF19" s="53">
        <v>17.75</v>
      </c>
      <c r="AG19" s="53">
        <v>18.975000000000001</v>
      </c>
      <c r="AH19" s="53" t="s">
        <v>908</v>
      </c>
      <c r="AI19" s="53" t="s">
        <v>913</v>
      </c>
    </row>
    <row r="20" spans="1:51" ht="21" customHeight="1" x14ac:dyDescent="0.25">
      <c r="A20" s="27"/>
      <c r="B20" s="27" t="s">
        <v>905</v>
      </c>
      <c r="C20" s="106">
        <v>45215</v>
      </c>
      <c r="D20" s="105" t="s">
        <v>777</v>
      </c>
      <c r="E20" s="27" t="s">
        <v>83</v>
      </c>
      <c r="F20" s="27" t="s">
        <v>783</v>
      </c>
      <c r="G20" s="27" t="s">
        <v>112</v>
      </c>
      <c r="H20" s="27" t="s">
        <v>342</v>
      </c>
      <c r="I20" s="27" t="s">
        <v>7</v>
      </c>
      <c r="J20" s="27" t="s">
        <v>7</v>
      </c>
      <c r="K20" s="27" t="s">
        <v>907</v>
      </c>
      <c r="P20" s="112">
        <v>45215</v>
      </c>
      <c r="Q20" s="112" t="s">
        <v>777</v>
      </c>
      <c r="R20" s="53" t="s">
        <v>92</v>
      </c>
      <c r="S20" s="53" t="s">
        <v>92</v>
      </c>
      <c r="T20" s="53" t="s">
        <v>788</v>
      </c>
      <c r="U20" s="53"/>
      <c r="V20" s="53" t="s">
        <v>92</v>
      </c>
      <c r="W20" s="53" t="s">
        <v>92</v>
      </c>
      <c r="X20" s="53" t="s">
        <v>85</v>
      </c>
      <c r="Y20" s="54">
        <v>0.3</v>
      </c>
      <c r="Z20" s="53" t="s">
        <v>151</v>
      </c>
      <c r="AA20" s="53" t="s">
        <v>788</v>
      </c>
      <c r="AB20" s="53" t="s">
        <v>7</v>
      </c>
      <c r="AC20" s="53" t="s">
        <v>263</v>
      </c>
      <c r="AD20" s="53" t="s">
        <v>92</v>
      </c>
      <c r="AE20" s="53">
        <v>0.3</v>
      </c>
      <c r="AF20" s="53">
        <v>2.194</v>
      </c>
      <c r="AG20" s="53">
        <v>2.3460000000000001</v>
      </c>
      <c r="AH20" s="53" t="s">
        <v>905</v>
      </c>
      <c r="AI20" s="53" t="s">
        <v>907</v>
      </c>
    </row>
    <row r="21" spans="1:51" ht="21" customHeight="1" x14ac:dyDescent="0.25">
      <c r="A21" s="27"/>
      <c r="B21" s="27"/>
      <c r="C21" s="106"/>
      <c r="D21" s="105"/>
      <c r="E21" s="27"/>
      <c r="F21" s="27"/>
      <c r="G21" s="27"/>
      <c r="H21" s="27"/>
      <c r="I21" s="27"/>
      <c r="J21" s="27"/>
      <c r="K21" s="27"/>
      <c r="P21" s="112"/>
      <c r="Q21" s="112"/>
      <c r="R21" s="53"/>
      <c r="S21" s="53"/>
      <c r="T21" s="53"/>
      <c r="U21" s="53"/>
      <c r="V21" s="53"/>
      <c r="W21" s="53"/>
      <c r="X21" s="53"/>
      <c r="Y21" s="54"/>
      <c r="Z21" s="53"/>
      <c r="AA21" s="53"/>
      <c r="AB21" s="53"/>
      <c r="AC21" s="53"/>
      <c r="AD21" s="53"/>
      <c r="AE21" s="53"/>
      <c r="AF21" s="53"/>
      <c r="AG21" s="53"/>
      <c r="AH21" s="53"/>
      <c r="AI21" s="53"/>
    </row>
    <row r="22" spans="1:51" ht="21" customHeight="1" x14ac:dyDescent="0.25">
      <c r="A22" s="27"/>
      <c r="B22" s="27"/>
      <c r="C22" s="106"/>
      <c r="D22" s="105"/>
      <c r="E22" s="27"/>
      <c r="F22" s="27"/>
      <c r="G22" s="27"/>
      <c r="H22" s="27"/>
      <c r="I22" s="27"/>
      <c r="J22" s="27"/>
      <c r="K22" s="27"/>
      <c r="P22" s="112"/>
      <c r="Q22" s="112"/>
      <c r="R22" s="53"/>
      <c r="S22" s="53"/>
      <c r="T22" s="53"/>
      <c r="U22" s="53"/>
      <c r="V22" s="53"/>
      <c r="W22" s="53"/>
      <c r="X22" s="53"/>
      <c r="Y22" s="54"/>
      <c r="Z22" s="53"/>
      <c r="AA22" s="53"/>
      <c r="AB22" s="53"/>
      <c r="AC22" s="53"/>
      <c r="AD22" s="53"/>
      <c r="AE22" s="53"/>
      <c r="AF22" s="53"/>
      <c r="AG22" s="53"/>
      <c r="AH22" s="53"/>
      <c r="AI22" s="53"/>
    </row>
    <row r="23" spans="1:51" ht="21" customHeight="1" x14ac:dyDescent="0.25">
      <c r="A23" s="27"/>
      <c r="B23" s="27"/>
      <c r="C23" s="106"/>
      <c r="D23" s="105"/>
      <c r="E23" s="27"/>
      <c r="F23" s="27"/>
      <c r="G23" s="27"/>
      <c r="H23" s="27"/>
      <c r="I23" s="27"/>
      <c r="J23" s="27"/>
      <c r="K23" s="27"/>
      <c r="P23" s="112"/>
      <c r="Q23" s="112"/>
      <c r="R23" s="53"/>
      <c r="S23" s="53"/>
      <c r="T23" s="53"/>
      <c r="U23" s="53"/>
      <c r="V23" s="53"/>
      <c r="W23" s="53"/>
      <c r="X23" s="53"/>
      <c r="Y23" s="54"/>
      <c r="Z23" s="53"/>
      <c r="AA23" s="53"/>
      <c r="AB23" s="53"/>
      <c r="AC23" s="53"/>
      <c r="AD23" s="53"/>
      <c r="AE23" s="53"/>
      <c r="AF23" s="53"/>
      <c r="AG23" s="53"/>
      <c r="AH23" s="53"/>
      <c r="AI23" s="53"/>
    </row>
    <row r="24" spans="1:51" ht="21" customHeight="1" x14ac:dyDescent="0.25">
      <c r="A24" s="27"/>
      <c r="B24" s="27"/>
      <c r="C24" s="106"/>
      <c r="D24" s="105"/>
      <c r="E24" s="27"/>
      <c r="F24" s="27"/>
      <c r="G24" s="27"/>
      <c r="H24" s="27"/>
      <c r="I24" s="27"/>
      <c r="J24" s="27"/>
      <c r="K24" s="27"/>
      <c r="P24" s="112"/>
      <c r="Q24" s="112"/>
      <c r="R24" s="53"/>
      <c r="S24" s="53"/>
      <c r="T24" s="53"/>
      <c r="U24" s="53"/>
      <c r="V24" s="53"/>
      <c r="W24" s="53"/>
      <c r="X24" s="53"/>
      <c r="Y24" s="54"/>
      <c r="Z24" s="53"/>
      <c r="AA24" s="53"/>
      <c r="AB24" s="53"/>
      <c r="AC24" s="53"/>
      <c r="AD24" s="53"/>
      <c r="AE24" s="53"/>
      <c r="AF24" s="53"/>
      <c r="AG24" s="53"/>
      <c r="AH24" s="53"/>
      <c r="AI24" s="53"/>
    </row>
    <row r="25" spans="1:51" ht="21" customHeight="1" x14ac:dyDescent="0.25">
      <c r="A25" s="27"/>
      <c r="B25" s="27"/>
      <c r="C25" s="106"/>
      <c r="D25" s="105"/>
      <c r="E25" s="27"/>
      <c r="F25" s="27"/>
      <c r="G25" s="27"/>
      <c r="H25" s="27"/>
      <c r="I25" s="27"/>
      <c r="J25" s="27"/>
      <c r="K25" s="27"/>
      <c r="P25" s="112"/>
      <c r="Q25" s="112"/>
      <c r="R25" s="53"/>
      <c r="S25" s="53"/>
      <c r="T25" s="53"/>
      <c r="U25" s="53"/>
      <c r="V25" s="53"/>
      <c r="W25" s="53"/>
      <c r="X25" s="53"/>
      <c r="Y25" s="54"/>
      <c r="Z25" s="53"/>
      <c r="AA25" s="53"/>
      <c r="AB25" s="53"/>
      <c r="AC25" s="53"/>
      <c r="AD25" s="53"/>
      <c r="AE25" s="53"/>
      <c r="AF25" s="53"/>
      <c r="AG25" s="53"/>
      <c r="AH25" s="53"/>
      <c r="AI25" s="53"/>
    </row>
    <row r="26" spans="1:51" ht="21" customHeight="1" x14ac:dyDescent="0.25">
      <c r="A26" s="27"/>
      <c r="B26" s="27"/>
      <c r="C26" s="106"/>
      <c r="D26" s="105"/>
      <c r="E26" s="27"/>
      <c r="F26" s="27"/>
      <c r="G26" s="27"/>
      <c r="H26" s="27"/>
      <c r="I26" s="27"/>
      <c r="J26" s="27"/>
      <c r="K26" s="27"/>
      <c r="P26" s="112"/>
      <c r="Q26" s="112"/>
      <c r="R26" s="53"/>
      <c r="S26" s="53"/>
      <c r="T26" s="53"/>
      <c r="U26" s="53"/>
      <c r="V26" s="53"/>
      <c r="W26" s="53"/>
      <c r="X26" s="53"/>
      <c r="Y26" s="54"/>
      <c r="Z26" s="53"/>
      <c r="AA26" s="53"/>
      <c r="AB26" s="53"/>
      <c r="AC26" s="53"/>
      <c r="AD26" s="53"/>
      <c r="AE26" s="53"/>
      <c r="AF26" s="53"/>
      <c r="AG26" s="53"/>
      <c r="AH26" s="53"/>
      <c r="AI26" s="53"/>
    </row>
    <row r="27" spans="1:51" ht="20.100000000000001" customHeight="1" x14ac:dyDescent="0.25">
      <c r="P27" s="52"/>
      <c r="Q27" s="52"/>
      <c r="R27" s="52"/>
      <c r="S27" s="52"/>
      <c r="T27" s="52"/>
      <c r="V27" s="52"/>
      <c r="Z27" s="52"/>
      <c r="AA27" s="52"/>
      <c r="AD27" s="52"/>
      <c r="AE27" s="52"/>
      <c r="AF27" s="52"/>
      <c r="AG27" s="52"/>
    </row>
    <row r="28" spans="1:51" ht="20.100000000000001" customHeight="1" x14ac:dyDescent="0.25">
      <c r="P28" s="52"/>
      <c r="Q28" s="52"/>
      <c r="R28" s="52"/>
      <c r="S28" s="52"/>
      <c r="T28" s="52"/>
      <c r="V28" s="52"/>
      <c r="Z28" s="52"/>
      <c r="AA28" s="52"/>
      <c r="AD28" s="52"/>
      <c r="AE28" s="52"/>
      <c r="AF28" s="52"/>
      <c r="AG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</row>
    <row r="29" spans="1:51" ht="20.100000000000001" customHeight="1" x14ac:dyDescent="0.25">
      <c r="P29" s="52"/>
      <c r="Q29" s="52"/>
      <c r="R29" s="52"/>
      <c r="S29" s="52"/>
      <c r="T29" s="52"/>
      <c r="V29" s="52"/>
      <c r="Z29" s="52"/>
      <c r="AA29" s="52"/>
      <c r="AD29" s="52"/>
      <c r="AE29" s="52"/>
      <c r="AF29" s="52"/>
      <c r="AG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</row>
    <row r="30" spans="1:51" ht="20.100000000000001" customHeight="1" x14ac:dyDescent="0.25">
      <c r="P30" s="52"/>
      <c r="Q30" s="52"/>
      <c r="R30" s="52"/>
      <c r="S30" s="52"/>
      <c r="T30" s="52"/>
      <c r="V30" s="52"/>
      <c r="Z30" s="52"/>
      <c r="AA30" s="52"/>
      <c r="AD30" s="52"/>
      <c r="AE30" s="52"/>
      <c r="AF30" s="52"/>
      <c r="AG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</row>
    <row r="31" spans="1:51" ht="20.100000000000001" customHeight="1" x14ac:dyDescent="0.25">
      <c r="P31" s="52"/>
      <c r="Q31" s="52"/>
      <c r="R31" s="52"/>
      <c r="S31" s="52"/>
      <c r="T31" s="52"/>
      <c r="V31" s="52"/>
      <c r="Z31" s="52"/>
      <c r="AA31" s="52"/>
      <c r="AD31" s="52"/>
      <c r="AE31" s="52"/>
      <c r="AF31" s="52"/>
      <c r="AG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</row>
    <row r="32" spans="1:51" ht="20.100000000000001" customHeight="1" x14ac:dyDescent="0.25">
      <c r="P32" s="52"/>
      <c r="Q32" s="52"/>
      <c r="R32" s="52"/>
      <c r="S32" s="52"/>
      <c r="T32" s="52"/>
      <c r="V32" s="52"/>
      <c r="Z32" s="52"/>
      <c r="AA32" s="52"/>
      <c r="AD32" s="52"/>
      <c r="AE32" s="52"/>
      <c r="AF32" s="52"/>
      <c r="AG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</row>
    <row r="33" spans="16:51" ht="20.100000000000001" customHeight="1" x14ac:dyDescent="0.25">
      <c r="P33" s="52"/>
      <c r="Q33" s="52"/>
      <c r="R33" s="52"/>
      <c r="S33" s="52"/>
      <c r="T33" s="52"/>
      <c r="V33" s="52"/>
      <c r="Z33" s="52"/>
      <c r="AA33" s="52"/>
      <c r="AD33" s="52"/>
      <c r="AE33" s="52"/>
      <c r="AF33" s="52"/>
      <c r="AG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</row>
    <row r="34" spans="16:51" ht="20.100000000000001" customHeight="1" x14ac:dyDescent="0.25">
      <c r="P34" s="52"/>
      <c r="Q34" s="52"/>
      <c r="R34" s="52"/>
      <c r="S34" s="52"/>
      <c r="T34" s="52"/>
      <c r="V34" s="52"/>
      <c r="Z34" s="52"/>
      <c r="AA34" s="52"/>
      <c r="AD34" s="52"/>
      <c r="AE34" s="52"/>
      <c r="AF34" s="52"/>
      <c r="AG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</row>
    <row r="35" spans="16:51" ht="20.100000000000001" customHeight="1" x14ac:dyDescent="0.25">
      <c r="P35" s="53"/>
      <c r="R35" s="37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</row>
    <row r="36" spans="16:51" ht="20.100000000000001" customHeight="1" x14ac:dyDescent="0.25">
      <c r="P36" s="53"/>
      <c r="R36" s="37"/>
    </row>
    <row r="37" spans="16:51" ht="20.100000000000001" customHeight="1" x14ac:dyDescent="0.25">
      <c r="R37" s="37"/>
    </row>
    <row r="38" spans="16:51" ht="20.100000000000001" customHeight="1" x14ac:dyDescent="0.25">
      <c r="R38" s="37"/>
    </row>
    <row r="39" spans="16:51" ht="20.100000000000001" customHeight="1" x14ac:dyDescent="0.25">
      <c r="R39" s="37"/>
    </row>
    <row r="40" spans="16:51" ht="20.100000000000001" customHeight="1" x14ac:dyDescent="0.25">
      <c r="R40" s="37"/>
    </row>
    <row r="41" spans="16:51" ht="20.100000000000001" customHeight="1" x14ac:dyDescent="0.25">
      <c r="R41" s="37"/>
    </row>
    <row r="42" spans="16:51" ht="20.100000000000001" customHeight="1" x14ac:dyDescent="0.25">
      <c r="R42" s="37"/>
    </row>
    <row r="43" spans="16:51" ht="20.100000000000001" customHeight="1" x14ac:dyDescent="0.25">
      <c r="R43" s="37"/>
    </row>
    <row r="44" spans="16:51" ht="20.100000000000001" customHeight="1" x14ac:dyDescent="0.25">
      <c r="R44" s="37"/>
    </row>
    <row r="45" spans="16:51" ht="20.100000000000001" customHeight="1" x14ac:dyDescent="0.25">
      <c r="R45" s="37"/>
    </row>
    <row r="46" spans="16:51" ht="20.100000000000001" customHeight="1" x14ac:dyDescent="0.25">
      <c r="R46" s="37"/>
    </row>
    <row r="47" spans="16:51" ht="20.100000000000001" customHeight="1" x14ac:dyDescent="0.25">
      <c r="R47" s="37"/>
    </row>
    <row r="48" spans="16:51" ht="20.100000000000001" customHeight="1" x14ac:dyDescent="0.25">
      <c r="R48" s="37"/>
    </row>
    <row r="49" spans="18:18" ht="20.100000000000001" customHeight="1" x14ac:dyDescent="0.25">
      <c r="R49" s="37"/>
    </row>
    <row r="50" spans="18:18" ht="20.100000000000001" customHeight="1" x14ac:dyDescent="0.25">
      <c r="R50" s="37"/>
    </row>
    <row r="51" spans="18:18" ht="20.100000000000001" customHeight="1" x14ac:dyDescent="0.25">
      <c r="R51" s="37"/>
    </row>
    <row r="52" spans="18:18" ht="20.100000000000001" customHeight="1" x14ac:dyDescent="0.25">
      <c r="R52" s="37"/>
    </row>
  </sheetData>
  <phoneticPr fontId="14" type="noConversion"/>
  <conditionalFormatting sqref="A4:K26 AN4:AR12 AT4:BA12 P4:AI26 BF4:BI12">
    <cfRule type="containsText" dxfId="90" priority="6" operator="containsText" text="【">
      <formula>NOT(ISERROR(SEARCH("【",A4)))</formula>
    </cfRule>
  </conditionalFormatting>
  <conditionalFormatting sqref="A4:A26">
    <cfRule type="containsText" dxfId="89" priority="5" operator="containsText" text="【">
      <formula>NOT(ISERROR(SEARCH("【",A4)))</formula>
    </cfRule>
  </conditionalFormatting>
  <conditionalFormatting sqref="D4:J26 AT4:BA12 R4:W26 BG4:BI12">
    <cfRule type="notContainsBlanks" dxfId="88" priority="8">
      <formula>LEN(TRIM(D4))&gt;0</formula>
    </cfRule>
  </conditionalFormatting>
  <conditionalFormatting sqref="AS4:AS12">
    <cfRule type="containsText" dxfId="87" priority="3" operator="containsText" text="【">
      <formula>NOT(ISERROR(SEARCH("【",AS4)))</formula>
    </cfRule>
  </conditionalFormatting>
  <conditionalFormatting sqref="I1">
    <cfRule type="containsText" dxfId="86" priority="1" operator="containsText" text="【">
      <formula>NOT(ISERROR(SEARCH("【",I1)))</formula>
    </cfRule>
  </conditionalFormatting>
  <conditionalFormatting sqref="I1">
    <cfRule type="notContainsBlanks" dxfId="85" priority="2">
      <formula>LEN(TRIM(I1))&gt;0</formula>
    </cfRule>
  </conditionalFormatting>
  <dataValidations count="18">
    <dataValidation type="list" allowBlank="1" showInputMessage="1" showErrorMessage="1" sqref="BH1 BH4:BH12" xr:uid="{00000000-0002-0000-0300-000002000000}">
      <formula1>dd_中资属性</formula1>
    </dataValidation>
    <dataValidation type="list" allowBlank="1" showInputMessage="1" showErrorMessage="1" sqref="BI1 BI5:BI12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5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W4:W26 Z1" xr:uid="{9603EDB2-06F0-4BAF-8AE1-2933FEC0AE55}">
      <formula1>$Z$1</formula1>
    </dataValidation>
    <dataValidation type="list" allowBlank="1" showInputMessage="1" showErrorMessage="1" sqref="AT1 AT4:AT12" xr:uid="{9AD15052-9D16-43CA-833E-3464C184A18B}">
      <formula1>dd_coverage</formula1>
    </dataValidation>
    <dataValidation type="list" allowBlank="1" showInputMessage="1" showErrorMessage="1" sqref="AU1 AU4:AU12" xr:uid="{4C13DF36-2ABE-480F-A19C-E364241326EC}">
      <formula1>dd_sfcrole</formula1>
    </dataValidation>
    <dataValidation type="list" allowBlank="1" showInputMessage="1" sqref="AB1 X4:X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howErrorMessage="1" errorTitle="Clear Cell Value" error="If there is no need to hide or delete anymore" sqref="F1" xr:uid="{00E399D1-FBBE-4EBF-898B-16755D1B6777}">
      <formula1>"【删除】,【隐藏】"</formula1>
    </dataValidation>
    <dataValidation type="list" allowBlank="1" showInputMessage="1" showErrorMessage="1" errorTitle="Clear Cell Value" error="If there is no need to hide or delete anymore" sqref="A4:A26" xr:uid="{FE0E1AAA-A865-4409-B61F-A1E3FDFD5B3F}">
      <formula1>"【FIMTN],【删除】,【隐藏】"</formula1>
    </dataValidation>
    <dataValidation type="list" allowBlank="1" showInputMessage="1" sqref="U1 R4:R26" xr:uid="{21EC5F12-FDC6-43B2-8083-54B38EEC18AF}">
      <formula1>INDIRECT($R$3)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theme="5" tint="-0.249977111117893"/>
  </sheetPr>
  <dimension ref="A1:I13"/>
  <sheetViews>
    <sheetView zoomScaleNormal="100" workbookViewId="0">
      <selection activeCell="A7" sqref="A7:E10"/>
    </sheetView>
  </sheetViews>
  <sheetFormatPr defaultRowHeight="15" x14ac:dyDescent="0.25"/>
  <cols>
    <col min="1" max="1" width="25.21875" style="1" customWidth="1"/>
    <col min="2" max="2" width="10.88671875" style="1" customWidth="1"/>
    <col min="3" max="4" width="14.33203125" style="1" customWidth="1"/>
    <col min="5" max="5" width="80.33203125" style="1" bestFit="1" customWidth="1"/>
    <col min="6" max="6" width="113.44140625" style="1" customWidth="1"/>
    <col min="7" max="16384" width="8.88671875" style="1"/>
  </cols>
  <sheetData>
    <row r="1" spans="1:9" ht="46.5" x14ac:dyDescent="0.25">
      <c r="A1" s="21" t="s">
        <v>302</v>
      </c>
      <c r="B1" s="7"/>
      <c r="C1" s="7"/>
      <c r="D1" s="7"/>
      <c r="E1" s="7"/>
      <c r="F1" s="7"/>
      <c r="G1" s="6"/>
      <c r="H1" s="6"/>
      <c r="I1" s="6"/>
    </row>
    <row r="6" spans="1:9" x14ac:dyDescent="0.25">
      <c r="A6" t="s">
        <v>86</v>
      </c>
      <c r="B6" t="s">
        <v>751</v>
      </c>
      <c r="C6" t="s">
        <v>228</v>
      </c>
      <c r="D6" t="s">
        <v>64</v>
      </c>
      <c r="E6" t="s">
        <v>301</v>
      </c>
    </row>
    <row r="7" spans="1:9" x14ac:dyDescent="0.25">
      <c r="A7"/>
      <c r="B7"/>
      <c r="C7"/>
      <c r="D7"/>
      <c r="E7" s="44"/>
    </row>
    <row r="8" spans="1:9" ht="57" customHeight="1" x14ac:dyDescent="0.25">
      <c r="A8"/>
      <c r="B8"/>
      <c r="C8"/>
      <c r="D8"/>
      <c r="E8" s="44"/>
    </row>
    <row r="9" spans="1:9" ht="57" customHeight="1" x14ac:dyDescent="0.25">
      <c r="A9"/>
      <c r="B9"/>
      <c r="C9"/>
      <c r="D9"/>
      <c r="E9" s="44"/>
    </row>
    <row r="10" spans="1:9" ht="57" customHeight="1" x14ac:dyDescent="0.25">
      <c r="A10"/>
      <c r="B10"/>
      <c r="C10"/>
      <c r="D10"/>
      <c r="E10" s="44"/>
    </row>
    <row r="11" spans="1:9" ht="57" customHeight="1" x14ac:dyDescent="0.25"/>
    <row r="12" spans="1:9" ht="57" customHeight="1" x14ac:dyDescent="0.25"/>
    <row r="13" spans="1:9" ht="57" customHeight="1" x14ac:dyDescent="0.25"/>
  </sheetData>
  <phoneticPr fontId="14" type="noConversion"/>
  <conditionalFormatting sqref="E7:E10">
    <cfRule type="containsText" dxfId="84" priority="1" operator="containsText" text="担任">
      <formula>NOT(ISERROR(SEARCH("担任",E7)))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/>
  <dimension ref="B6:DL30"/>
  <sheetViews>
    <sheetView zoomScale="85" zoomScaleNormal="85" workbookViewId="0">
      <selection activeCell="N44" sqref="N44"/>
    </sheetView>
  </sheetViews>
  <sheetFormatPr defaultRowHeight="15" x14ac:dyDescent="0.25"/>
  <cols>
    <col min="1" max="1" width="11.109375" style="1" bestFit="1" customWidth="1"/>
    <col min="2" max="2" width="7.33203125" style="1" bestFit="1" customWidth="1"/>
    <col min="3" max="3" width="11.109375" style="1" bestFit="1" customWidth="1"/>
    <col min="4" max="4" width="29.88671875" style="1" bestFit="1" customWidth="1"/>
    <col min="5" max="5" width="13.33203125" style="1" bestFit="1" customWidth="1"/>
    <col min="6" max="6" width="10.33203125" style="1" bestFit="1" customWidth="1"/>
    <col min="7" max="7" width="9.44140625" style="1" bestFit="1" customWidth="1"/>
    <col min="8" max="8" width="12.109375" style="1" bestFit="1" customWidth="1"/>
    <col min="9" max="9" width="12.77734375" style="1" bestFit="1" customWidth="1"/>
    <col min="10" max="10" width="6.109375" style="1" bestFit="1" customWidth="1"/>
    <col min="11" max="11" width="12.21875" style="1" bestFit="1" customWidth="1"/>
    <col min="12" max="12" width="6.109375" style="1" bestFit="1" customWidth="1"/>
    <col min="13" max="13" width="8.5546875" style="1" bestFit="1" customWidth="1"/>
    <col min="14" max="14" width="10.44140625" style="1" bestFit="1" customWidth="1"/>
    <col min="15" max="16" width="8.5546875" style="1" bestFit="1" customWidth="1"/>
    <col min="17" max="18" width="9.44140625" style="1" bestFit="1" customWidth="1"/>
    <col min="19" max="19" width="7.77734375" style="1" bestFit="1" customWidth="1"/>
    <col min="20" max="20" width="8.88671875" style="1" bestFit="1" customWidth="1"/>
    <col min="21" max="21" width="20.5546875" style="1" bestFit="1" customWidth="1"/>
    <col min="22" max="23" width="11.109375" style="1" bestFit="1" customWidth="1"/>
    <col min="24" max="25" width="9.44140625" style="1" bestFit="1" customWidth="1"/>
    <col min="26" max="26" width="10.33203125" style="1" bestFit="1" customWidth="1"/>
    <col min="27" max="27" width="11.109375" style="1" bestFit="1" customWidth="1"/>
    <col min="28" max="28" width="10.33203125" style="1" bestFit="1" customWidth="1"/>
    <col min="29" max="29" width="7.77734375" style="1" bestFit="1" customWidth="1"/>
    <col min="30" max="30" width="7" style="1" bestFit="1" customWidth="1"/>
    <col min="31" max="31" width="7.77734375" style="1" bestFit="1" customWidth="1"/>
    <col min="32" max="32" width="8.5546875" style="1" bestFit="1" customWidth="1"/>
    <col min="33" max="33" width="11.109375" style="1" bestFit="1" customWidth="1"/>
    <col min="34" max="34" width="14.44140625" style="1" bestFit="1" customWidth="1"/>
    <col min="35" max="35" width="9.44140625" style="1" bestFit="1" customWidth="1"/>
    <col min="36" max="36" width="56.44140625" style="1" bestFit="1" customWidth="1"/>
    <col min="37" max="37" width="23" style="1" bestFit="1" customWidth="1"/>
    <col min="38" max="38" width="25.88671875" style="1" bestFit="1" customWidth="1"/>
    <col min="39" max="39" width="7.77734375" style="1" bestFit="1" customWidth="1"/>
    <col min="40" max="40" width="6" style="1" bestFit="1" customWidth="1"/>
    <col min="41" max="41" width="9.44140625" style="1" bestFit="1" customWidth="1"/>
    <col min="42" max="42" width="6.109375" style="1" bestFit="1" customWidth="1"/>
    <col min="43" max="43" width="9.44140625" style="1" bestFit="1" customWidth="1"/>
    <col min="44" max="44" width="10.21875" style="1" bestFit="1" customWidth="1"/>
    <col min="45" max="45" width="12.6640625" style="1" bestFit="1" customWidth="1"/>
    <col min="46" max="46" width="6.88671875" style="1" bestFit="1" customWidth="1"/>
    <col min="47" max="47" width="80.88671875" style="1" bestFit="1" customWidth="1"/>
    <col min="48" max="48" width="9.44140625" style="1" bestFit="1" customWidth="1"/>
    <col min="49" max="49" width="12.21875" style="1" bestFit="1" customWidth="1"/>
    <col min="50" max="50" width="9.5546875" style="1" bestFit="1" customWidth="1"/>
    <col min="51" max="51" width="11.77734375" style="1" bestFit="1" customWidth="1"/>
    <col min="52" max="52" width="19.44140625" style="1" bestFit="1" customWidth="1"/>
    <col min="53" max="53" width="10.77734375" style="1" bestFit="1" customWidth="1"/>
    <col min="54" max="54" width="11.33203125" style="1" bestFit="1" customWidth="1"/>
    <col min="55" max="55" width="9.44140625" style="1" bestFit="1" customWidth="1"/>
    <col min="56" max="56" width="9" style="1" bestFit="1" customWidth="1"/>
    <col min="57" max="58" width="9.44140625" style="1" bestFit="1" customWidth="1"/>
    <col min="59" max="59" width="11.6640625" style="1" bestFit="1" customWidth="1"/>
    <col min="60" max="60" width="15.44140625" style="1" bestFit="1" customWidth="1"/>
    <col min="61" max="61" width="6.109375" style="1" bestFit="1" customWidth="1"/>
    <col min="62" max="62" width="9.44140625" style="1" bestFit="1" customWidth="1"/>
    <col min="63" max="63" width="6.109375" style="1" bestFit="1" customWidth="1"/>
    <col min="64" max="65" width="7.77734375" style="1" bestFit="1" customWidth="1"/>
    <col min="66" max="66" width="11.5546875" style="1" bestFit="1" customWidth="1"/>
    <col min="67" max="67" width="14" style="1" bestFit="1" customWidth="1"/>
    <col min="68" max="68" width="10.5546875" style="1" bestFit="1" customWidth="1"/>
    <col min="69" max="69" width="7.88671875" style="1" bestFit="1" customWidth="1"/>
    <col min="70" max="70" width="8.77734375" style="1" bestFit="1" customWidth="1"/>
    <col min="71" max="71" width="12.77734375" style="1" bestFit="1" customWidth="1"/>
    <col min="72" max="72" width="7.6640625" style="1" bestFit="1" customWidth="1"/>
    <col min="73" max="73" width="9.44140625" style="1" bestFit="1" customWidth="1"/>
    <col min="74" max="76" width="6.109375" style="1" bestFit="1" customWidth="1"/>
    <col min="77" max="77" width="11.109375" style="1" bestFit="1" customWidth="1"/>
    <col min="78" max="78" width="13.5546875" style="1" bestFit="1" customWidth="1"/>
    <col min="79" max="79" width="6.109375" style="1" bestFit="1" customWidth="1"/>
    <col min="80" max="80" width="9.33203125" style="1" bestFit="1" customWidth="1"/>
    <col min="81" max="81" width="9.21875" style="1" bestFit="1" customWidth="1"/>
    <col min="82" max="82" width="10.33203125" style="1" bestFit="1" customWidth="1"/>
    <col min="83" max="83" width="9.33203125" style="1" bestFit="1" customWidth="1"/>
    <col min="84" max="85" width="6" style="1" bestFit="1" customWidth="1"/>
    <col min="86" max="86" width="9.21875" style="1" bestFit="1" customWidth="1"/>
    <col min="87" max="87" width="7.5546875" style="1" bestFit="1" customWidth="1"/>
    <col min="88" max="88" width="14.88671875" style="1" bestFit="1" customWidth="1"/>
    <col min="89" max="89" width="31.5546875" style="1" bestFit="1" customWidth="1"/>
    <col min="90" max="91" width="9.21875" style="1" bestFit="1" customWidth="1"/>
    <col min="92" max="92" width="12.5546875" style="1" bestFit="1" customWidth="1"/>
    <col min="93" max="93" width="37.33203125" style="1" bestFit="1" customWidth="1"/>
    <col min="94" max="94" width="10.33203125" style="1" bestFit="1" customWidth="1"/>
    <col min="95" max="95" width="10.21875" style="1" bestFit="1" customWidth="1"/>
    <col min="96" max="96" width="12" style="1" bestFit="1" customWidth="1"/>
    <col min="97" max="97" width="9.21875" style="1" bestFit="1" customWidth="1"/>
    <col min="98" max="98" width="12.5546875" style="1" bestFit="1" customWidth="1"/>
    <col min="99" max="99" width="10" style="1" bestFit="1" customWidth="1"/>
    <col min="100" max="100" width="21.5546875" style="1" bestFit="1" customWidth="1"/>
    <col min="101" max="101" width="12" style="1" bestFit="1" customWidth="1"/>
    <col min="102" max="102" width="10.88671875" style="1" bestFit="1" customWidth="1"/>
    <col min="103" max="103" width="9.33203125" style="1" bestFit="1" customWidth="1"/>
    <col min="104" max="104" width="5.88671875" style="1" bestFit="1" customWidth="1"/>
    <col min="105" max="105" width="10.88671875" style="1" bestFit="1" customWidth="1"/>
    <col min="106" max="106" width="14.21875" style="1" bestFit="1" customWidth="1"/>
    <col min="107" max="107" width="80.88671875" style="1" bestFit="1" customWidth="1"/>
    <col min="108" max="108" width="9.21875" style="1" bestFit="1" customWidth="1"/>
    <col min="109" max="109" width="11" style="1" bestFit="1" customWidth="1"/>
    <col min="110" max="110" width="80.88671875" style="1" bestFit="1" customWidth="1"/>
    <col min="111" max="112" width="9.21875" style="1" bestFit="1" customWidth="1"/>
    <col min="113" max="113" width="7.6640625" style="1" bestFit="1" customWidth="1"/>
    <col min="114" max="115" width="6.77734375" style="1" bestFit="1" customWidth="1"/>
    <col min="116" max="116" width="5.88671875" style="1" bestFit="1" customWidth="1"/>
    <col min="117" max="117" width="7.6640625" style="1" bestFit="1" customWidth="1"/>
    <col min="118" max="119" width="6.77734375" style="1" bestFit="1" customWidth="1"/>
    <col min="120" max="120" width="6.109375" style="1" bestFit="1" customWidth="1"/>
    <col min="121" max="121" width="14.88671875" style="1" bestFit="1" customWidth="1"/>
    <col min="122" max="122" width="9.44140625" style="1" bestFit="1" customWidth="1"/>
    <col min="123" max="123" width="8.109375" style="1" bestFit="1" customWidth="1"/>
    <col min="124" max="124" width="7.33203125" style="1" bestFit="1" customWidth="1"/>
    <col min="125" max="125" width="9.44140625" style="1" bestFit="1" customWidth="1"/>
    <col min="126" max="126" width="14" style="1" bestFit="1" customWidth="1"/>
    <col min="127" max="127" width="13.109375" style="1" bestFit="1" customWidth="1"/>
    <col min="128" max="128" width="16.5546875" style="1" bestFit="1" customWidth="1"/>
    <col min="129" max="129" width="11.109375" style="1" bestFit="1" customWidth="1"/>
    <col min="130" max="130" width="14.44140625" style="1" bestFit="1" customWidth="1"/>
    <col min="131" max="131" width="10" style="1" bestFit="1" customWidth="1"/>
    <col min="132" max="132" width="10.33203125" style="1" bestFit="1" customWidth="1"/>
    <col min="133" max="133" width="9.44140625" style="1" bestFit="1" customWidth="1"/>
    <col min="134" max="134" width="12.6640625" style="1" bestFit="1" customWidth="1"/>
    <col min="135" max="135" width="15.5546875" style="1" bestFit="1" customWidth="1"/>
    <col min="136" max="136" width="9.44140625" style="1" bestFit="1" customWidth="1"/>
    <col min="137" max="137" width="7.6640625" style="1" bestFit="1" customWidth="1"/>
    <col min="138" max="138" width="8.109375" style="1" bestFit="1" customWidth="1"/>
    <col min="139" max="140" width="6.77734375" style="1" bestFit="1" customWidth="1"/>
    <col min="141" max="141" width="6.109375" style="1" bestFit="1" customWidth="1"/>
    <col min="142" max="142" width="14.88671875" style="1" bestFit="1" customWidth="1"/>
    <col min="143" max="143" width="9.44140625" style="1" bestFit="1" customWidth="1"/>
    <col min="144" max="144" width="8.109375" style="1" customWidth="1"/>
    <col min="145" max="145" width="9.44140625" style="1" bestFit="1" customWidth="1"/>
    <col min="146" max="146" width="12.77734375" style="1" bestFit="1" customWidth="1"/>
    <col min="147" max="149" width="9.44140625" style="1" bestFit="1" customWidth="1"/>
    <col min="150" max="150" width="8.33203125" style="1" bestFit="1" customWidth="1"/>
    <col min="151" max="151" width="12.77734375" style="1" bestFit="1" customWidth="1"/>
    <col min="152" max="152" width="9.33203125" style="1" bestFit="1" customWidth="1"/>
    <col min="153" max="154" width="9.44140625" style="1" bestFit="1" customWidth="1"/>
    <col min="155" max="155" width="15.33203125" style="1" bestFit="1" customWidth="1"/>
    <col min="156" max="156" width="6.109375" style="1" bestFit="1" customWidth="1"/>
    <col min="157" max="157" width="9.44140625" style="1" bestFit="1" customWidth="1"/>
    <col min="158" max="158" width="12.6640625" style="1" bestFit="1" customWidth="1"/>
    <col min="159" max="159" width="9.21875" style="1" bestFit="1" customWidth="1"/>
    <col min="160" max="161" width="10.6640625" style="1" bestFit="1" customWidth="1"/>
    <col min="162" max="162" width="6.109375" style="1" bestFit="1" customWidth="1"/>
    <col min="163" max="163" width="15.88671875" style="1" bestFit="1" customWidth="1"/>
    <col min="164" max="164" width="15.6640625" style="1" bestFit="1" customWidth="1"/>
    <col min="165" max="165" width="26.6640625" style="1" bestFit="1" customWidth="1"/>
    <col min="166" max="166" width="12.21875" style="1" bestFit="1" customWidth="1"/>
    <col min="167" max="167" width="17.44140625" style="1" bestFit="1" customWidth="1"/>
    <col min="168" max="168" width="12.21875" style="1" bestFit="1" customWidth="1"/>
    <col min="169" max="169" width="17.44140625" style="1" bestFit="1" customWidth="1"/>
    <col min="170" max="170" width="6.109375" style="1" bestFit="1" customWidth="1"/>
    <col min="171" max="171" width="9.44140625" style="1" bestFit="1" customWidth="1"/>
    <col min="172" max="172" width="12.6640625" style="1" bestFit="1" customWidth="1"/>
    <col min="173" max="173" width="9.21875" style="1" bestFit="1" customWidth="1"/>
    <col min="174" max="174" width="9.33203125" style="1" bestFit="1" customWidth="1"/>
    <col min="175" max="175" width="9.44140625" style="1" bestFit="1" customWidth="1"/>
    <col min="176" max="176" width="6.109375" style="1" bestFit="1" customWidth="1"/>
    <col min="177" max="177" width="15.88671875" style="1" bestFit="1" customWidth="1"/>
    <col min="178" max="178" width="15.6640625" style="1" bestFit="1" customWidth="1"/>
    <col min="179" max="179" width="26" style="1" bestFit="1" customWidth="1"/>
    <col min="180" max="180" width="13.77734375" style="1" bestFit="1" customWidth="1"/>
    <col min="181" max="181" width="10.77734375" style="1" bestFit="1" customWidth="1"/>
    <col min="182" max="182" width="17.44140625" style="1" bestFit="1" customWidth="1"/>
    <col min="183" max="16384" width="8.88671875" style="1"/>
  </cols>
  <sheetData>
    <row r="6" spans="2:116" x14ac:dyDescent="0.25">
      <c r="B6" t="s">
        <v>86</v>
      </c>
      <c r="C6" t="s">
        <v>427</v>
      </c>
      <c r="D6" t="s">
        <v>94</v>
      </c>
      <c r="E6" t="s">
        <v>48</v>
      </c>
      <c r="F6" t="s">
        <v>49</v>
      </c>
      <c r="G6" t="s">
        <v>135</v>
      </c>
      <c r="H6" t="s">
        <v>177</v>
      </c>
      <c r="I6" t="s">
        <v>51</v>
      </c>
      <c r="J6" t="s">
        <v>64</v>
      </c>
      <c r="K6" t="s">
        <v>57</v>
      </c>
      <c r="L6" t="s">
        <v>87</v>
      </c>
      <c r="M6" t="s">
        <v>120</v>
      </c>
      <c r="N6" t="s">
        <v>88</v>
      </c>
      <c r="O6" t="s">
        <v>53</v>
      </c>
      <c r="P6" t="s">
        <v>152</v>
      </c>
      <c r="Q6" t="s">
        <v>166</v>
      </c>
      <c r="R6" t="s">
        <v>168</v>
      </c>
      <c r="S6" t="s">
        <v>59</v>
      </c>
      <c r="T6" t="s">
        <v>90</v>
      </c>
      <c r="U6" t="s">
        <v>91</v>
      </c>
      <c r="V6" t="s">
        <v>186</v>
      </c>
      <c r="W6" t="s">
        <v>187</v>
      </c>
      <c r="X6" t="s">
        <v>141</v>
      </c>
      <c r="Y6" t="s">
        <v>81</v>
      </c>
      <c r="Z6" t="s">
        <v>67</v>
      </c>
      <c r="AA6" t="s">
        <v>70</v>
      </c>
      <c r="AB6" t="s">
        <v>52</v>
      </c>
      <c r="AC6" t="s">
        <v>173</v>
      </c>
      <c r="AD6" t="s">
        <v>174</v>
      </c>
      <c r="AE6" t="s">
        <v>211</v>
      </c>
      <c r="AF6" t="s">
        <v>770</v>
      </c>
      <c r="AG6" t="s">
        <v>232</v>
      </c>
      <c r="AH6" t="s">
        <v>261</v>
      </c>
      <c r="AI6" t="s">
        <v>208</v>
      </c>
      <c r="AJ6" t="s">
        <v>71</v>
      </c>
      <c r="AK6" t="s">
        <v>72</v>
      </c>
      <c r="AL6" t="s">
        <v>82</v>
      </c>
      <c r="AM6" t="s">
        <v>41</v>
      </c>
      <c r="AN6" t="s">
        <v>139</v>
      </c>
      <c r="AO6" t="s">
        <v>577</v>
      </c>
      <c r="AP6" t="s">
        <v>217</v>
      </c>
      <c r="AQ6" t="s">
        <v>210</v>
      </c>
      <c r="AR6" t="s">
        <v>218</v>
      </c>
      <c r="AS6" t="s">
        <v>219</v>
      </c>
      <c r="AT6" t="s">
        <v>303</v>
      </c>
      <c r="AU6" t="s">
        <v>225</v>
      </c>
      <c r="AV6" t="s">
        <v>199</v>
      </c>
      <c r="AW6" t="s">
        <v>414</v>
      </c>
      <c r="AX6" t="s">
        <v>169</v>
      </c>
      <c r="AY6" t="s">
        <v>220</v>
      </c>
      <c r="AZ6" t="s">
        <v>140</v>
      </c>
      <c r="BA6" t="s">
        <v>768</v>
      </c>
      <c r="BB6" t="s">
        <v>147</v>
      </c>
      <c r="BC6" t="s">
        <v>200</v>
      </c>
      <c r="BD6" t="s">
        <v>201</v>
      </c>
      <c r="BE6" t="s">
        <v>202</v>
      </c>
      <c r="BF6" t="s">
        <v>171</v>
      </c>
      <c r="BG6" t="s">
        <v>172</v>
      </c>
      <c r="BH6" t="s">
        <v>182</v>
      </c>
      <c r="BI6" t="s">
        <v>170</v>
      </c>
      <c r="BJ6" t="s">
        <v>204</v>
      </c>
      <c r="BK6" t="s">
        <v>214</v>
      </c>
      <c r="BL6" t="s">
        <v>215</v>
      </c>
      <c r="BM6" t="s">
        <v>216</v>
      </c>
      <c r="BN6" t="s">
        <v>439</v>
      </c>
      <c r="BO6" t="s">
        <v>1235</v>
      </c>
      <c r="BP6" t="s">
        <v>275</v>
      </c>
      <c r="BQ6" t="s">
        <v>766</v>
      </c>
      <c r="BR6" t="s">
        <v>769</v>
      </c>
      <c r="BS6" t="s">
        <v>117</v>
      </c>
      <c r="BT6" t="s">
        <v>228</v>
      </c>
      <c r="BU6" t="s">
        <v>205</v>
      </c>
      <c r="BV6" t="s">
        <v>89</v>
      </c>
      <c r="BW6" t="s">
        <v>45</v>
      </c>
      <c r="BX6" t="s">
        <v>46</v>
      </c>
      <c r="BY6" t="s">
        <v>230</v>
      </c>
      <c r="BZ6" t="s">
        <v>193</v>
      </c>
      <c r="CA6" t="s">
        <v>43</v>
      </c>
      <c r="CB6" t="s">
        <v>767</v>
      </c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</row>
    <row r="7" spans="2:116" x14ac:dyDescent="0.25">
      <c r="B7" s="145">
        <v>24</v>
      </c>
      <c r="C7" s="147" t="s">
        <v>92</v>
      </c>
      <c r="D7" s="147" t="s">
        <v>1170</v>
      </c>
      <c r="E7" s="147" t="s">
        <v>1169</v>
      </c>
      <c r="F7" s="146">
        <v>45219</v>
      </c>
      <c r="G7" s="147" t="s">
        <v>527</v>
      </c>
      <c r="H7" s="147" t="s">
        <v>527</v>
      </c>
      <c r="I7" s="147" t="s">
        <v>552</v>
      </c>
      <c r="J7" s="147" t="s">
        <v>85</v>
      </c>
      <c r="K7" s="145">
        <v>2.8</v>
      </c>
      <c r="L7" s="147" t="s">
        <v>151</v>
      </c>
      <c r="M7" s="147" t="s">
        <v>1216</v>
      </c>
      <c r="N7" s="147" t="s">
        <v>1116</v>
      </c>
      <c r="O7" s="147" t="s">
        <v>1216</v>
      </c>
      <c r="P7" s="147" t="s">
        <v>7</v>
      </c>
      <c r="Q7" s="145">
        <v>30</v>
      </c>
      <c r="R7" s="147" t="s">
        <v>115</v>
      </c>
      <c r="S7" s="145">
        <v>100</v>
      </c>
      <c r="T7" s="147" t="s">
        <v>39</v>
      </c>
      <c r="U7" s="147" t="s">
        <v>263</v>
      </c>
      <c r="V7" s="147" t="s">
        <v>7</v>
      </c>
      <c r="W7" s="147" t="s">
        <v>7</v>
      </c>
      <c r="X7" s="147" t="s">
        <v>92</v>
      </c>
      <c r="Y7" s="147" t="s">
        <v>131</v>
      </c>
      <c r="Z7" s="146">
        <v>45226</v>
      </c>
      <c r="AA7" s="146"/>
      <c r="AB7" s="146">
        <v>46322</v>
      </c>
      <c r="AC7" s="145">
        <v>2.8</v>
      </c>
      <c r="AD7" s="145">
        <v>20.51</v>
      </c>
      <c r="AE7" s="145">
        <v>21.91</v>
      </c>
      <c r="AF7" s="147" t="s">
        <v>92</v>
      </c>
      <c r="AG7" s="147" t="s">
        <v>832</v>
      </c>
      <c r="AH7" s="147" t="s">
        <v>7</v>
      </c>
      <c r="AI7" s="147" t="s">
        <v>92</v>
      </c>
      <c r="AJ7" s="147" t="s">
        <v>1215</v>
      </c>
      <c r="AK7" s="147" t="s">
        <v>1170</v>
      </c>
      <c r="AL7" s="147" t="s">
        <v>92</v>
      </c>
      <c r="AM7" s="147" t="s">
        <v>7</v>
      </c>
      <c r="AN7" s="147" t="s">
        <v>752</v>
      </c>
      <c r="AO7" s="147" t="s">
        <v>7</v>
      </c>
      <c r="AP7" s="147" t="s">
        <v>92</v>
      </c>
      <c r="AQ7" s="147" t="s">
        <v>92</v>
      </c>
      <c r="AR7" s="147" t="s">
        <v>7</v>
      </c>
      <c r="AS7" s="147" t="s">
        <v>92</v>
      </c>
      <c r="AT7" s="147" t="s">
        <v>92</v>
      </c>
      <c r="AU7" s="147" t="s">
        <v>1213</v>
      </c>
      <c r="AV7" s="147" t="s">
        <v>327</v>
      </c>
      <c r="AW7" s="147" t="s">
        <v>242</v>
      </c>
      <c r="AX7" s="147" t="s">
        <v>92</v>
      </c>
      <c r="AY7" s="153"/>
      <c r="AZ7" s="147" t="s">
        <v>1175</v>
      </c>
      <c r="BA7" s="145" t="s">
        <v>750</v>
      </c>
      <c r="BB7" s="147" t="s">
        <v>149</v>
      </c>
      <c r="BC7" s="147" t="s">
        <v>7</v>
      </c>
      <c r="BD7" s="147" t="s">
        <v>7</v>
      </c>
      <c r="BE7" s="147" t="s">
        <v>7</v>
      </c>
      <c r="BF7" s="147" t="s">
        <v>180</v>
      </c>
      <c r="BG7" s="147" t="s">
        <v>184</v>
      </c>
      <c r="BH7" s="147" t="s">
        <v>1236</v>
      </c>
      <c r="BI7" s="147" t="s">
        <v>1232</v>
      </c>
      <c r="BJ7" s="147" t="s">
        <v>762</v>
      </c>
      <c r="BK7" s="145">
        <v>1</v>
      </c>
      <c r="BL7" s="145">
        <v>1</v>
      </c>
      <c r="BM7" s="145">
        <v>1</v>
      </c>
      <c r="BN7" s="147" t="s">
        <v>92</v>
      </c>
      <c r="BO7" t="s">
        <v>92</v>
      </c>
      <c r="BP7" s="145"/>
      <c r="BQ7" s="145" t="s">
        <v>750</v>
      </c>
      <c r="BR7" s="145"/>
      <c r="BS7" s="147" t="s">
        <v>92</v>
      </c>
      <c r="BT7" s="147" t="s">
        <v>92</v>
      </c>
      <c r="BU7" s="147" t="s">
        <v>92</v>
      </c>
      <c r="BV7" s="147" t="s">
        <v>92</v>
      </c>
      <c r="BW7" s="147" t="s">
        <v>7</v>
      </c>
      <c r="BX7" s="147" t="s">
        <v>7</v>
      </c>
      <c r="BY7" s="146"/>
      <c r="BZ7" s="146"/>
      <c r="CA7" s="147" t="s">
        <v>92</v>
      </c>
      <c r="CB7" s="145"/>
      <c r="CC7"/>
      <c r="CD7"/>
      <c r="CE7"/>
      <c r="CF7"/>
      <c r="CG7"/>
      <c r="CH7"/>
      <c r="CI7"/>
      <c r="CJ7"/>
      <c r="CK7"/>
      <c r="CL7"/>
      <c r="CM7"/>
      <c r="CN7"/>
      <c r="CO7"/>
      <c r="CP7" s="45"/>
      <c r="CQ7"/>
      <c r="CR7"/>
      <c r="CS7"/>
      <c r="CT7"/>
      <c r="CU7"/>
      <c r="CV7"/>
      <c r="CW7"/>
      <c r="CX7" s="45"/>
      <c r="CY7"/>
      <c r="CZ7"/>
      <c r="DA7"/>
      <c r="DB7"/>
      <c r="DC7"/>
      <c r="DD7"/>
      <c r="DE7"/>
      <c r="DF7"/>
      <c r="DG7"/>
      <c r="DH7"/>
      <c r="DI7"/>
      <c r="DJ7"/>
      <c r="DK7"/>
      <c r="DL7"/>
    </row>
    <row r="8" spans="2:116" x14ac:dyDescent="0.25">
      <c r="B8" s="145">
        <v>23</v>
      </c>
      <c r="C8" s="147" t="s">
        <v>765</v>
      </c>
      <c r="D8" s="147" t="s">
        <v>1156</v>
      </c>
      <c r="E8" s="147" t="s">
        <v>1155</v>
      </c>
      <c r="F8" s="146">
        <v>45219</v>
      </c>
      <c r="G8" s="147" t="s">
        <v>83</v>
      </c>
      <c r="H8" s="147" t="s">
        <v>92</v>
      </c>
      <c r="I8" s="147" t="s">
        <v>7</v>
      </c>
      <c r="J8" s="147" t="s">
        <v>85</v>
      </c>
      <c r="K8" s="145">
        <v>0.2</v>
      </c>
      <c r="L8" s="147" t="s">
        <v>1226</v>
      </c>
      <c r="M8" s="147" t="s">
        <v>92</v>
      </c>
      <c r="N8" s="147" t="s">
        <v>7</v>
      </c>
      <c r="O8" s="147" t="s">
        <v>7</v>
      </c>
      <c r="P8" s="147" t="s">
        <v>7</v>
      </c>
      <c r="Q8" s="145" t="s">
        <v>7</v>
      </c>
      <c r="R8" s="147" t="s">
        <v>92</v>
      </c>
      <c r="S8" s="145"/>
      <c r="T8" s="147" t="s">
        <v>92</v>
      </c>
      <c r="U8" s="147" t="s">
        <v>7</v>
      </c>
      <c r="V8" s="147" t="s">
        <v>7</v>
      </c>
      <c r="W8" s="147" t="s">
        <v>7</v>
      </c>
      <c r="X8" s="147" t="s">
        <v>92</v>
      </c>
      <c r="Y8" s="147" t="s">
        <v>92</v>
      </c>
      <c r="Z8" s="146"/>
      <c r="AA8" s="146"/>
      <c r="AB8" s="146"/>
      <c r="AC8" s="145">
        <v>0.2</v>
      </c>
      <c r="AD8" s="145"/>
      <c r="AE8" s="145"/>
      <c r="AF8" s="147" t="s">
        <v>92</v>
      </c>
      <c r="AG8" s="147" t="s">
        <v>92</v>
      </c>
      <c r="AH8" s="147" t="s">
        <v>7</v>
      </c>
      <c r="AI8" s="147" t="s">
        <v>92</v>
      </c>
      <c r="AJ8" s="147" t="s">
        <v>92</v>
      </c>
      <c r="AK8" s="147" t="s">
        <v>7</v>
      </c>
      <c r="AL8" s="147" t="s">
        <v>92</v>
      </c>
      <c r="AM8" s="147" t="s">
        <v>7</v>
      </c>
      <c r="AN8" s="147" t="s">
        <v>92</v>
      </c>
      <c r="AO8" s="147" t="s">
        <v>92</v>
      </c>
      <c r="AP8" s="147" t="s">
        <v>92</v>
      </c>
      <c r="AQ8" s="147" t="s">
        <v>92</v>
      </c>
      <c r="AR8" s="147" t="s">
        <v>7</v>
      </c>
      <c r="AS8" s="147" t="s">
        <v>92</v>
      </c>
      <c r="AT8" s="147" t="s">
        <v>92</v>
      </c>
      <c r="AU8" s="147" t="s">
        <v>92</v>
      </c>
      <c r="AV8" s="147" t="s">
        <v>92</v>
      </c>
      <c r="AW8" s="147" t="s">
        <v>92</v>
      </c>
      <c r="AX8" s="147" t="s">
        <v>92</v>
      </c>
      <c r="AY8" s="153"/>
      <c r="AZ8" s="147" t="s">
        <v>1163</v>
      </c>
      <c r="BA8" s="145"/>
      <c r="BB8" s="147" t="s">
        <v>7</v>
      </c>
      <c r="BC8" s="147" t="s">
        <v>7</v>
      </c>
      <c r="BD8" s="147" t="s">
        <v>7</v>
      </c>
      <c r="BE8" s="147" t="s">
        <v>7</v>
      </c>
      <c r="BF8" s="147" t="s">
        <v>92</v>
      </c>
      <c r="BG8" s="147" t="s">
        <v>92</v>
      </c>
      <c r="BH8" s="147" t="s">
        <v>92</v>
      </c>
      <c r="BI8" s="147" t="s">
        <v>92</v>
      </c>
      <c r="BJ8" s="147" t="s">
        <v>92</v>
      </c>
      <c r="BK8" s="145">
        <v>0</v>
      </c>
      <c r="BL8" s="145">
        <v>0</v>
      </c>
      <c r="BM8" s="145">
        <v>0</v>
      </c>
      <c r="BN8" s="147" t="s">
        <v>92</v>
      </c>
      <c r="BO8" t="s">
        <v>92</v>
      </c>
      <c r="BP8" s="145">
        <v>0</v>
      </c>
      <c r="BQ8" s="145"/>
      <c r="BR8" s="145" t="s">
        <v>750</v>
      </c>
      <c r="BS8" s="147" t="s">
        <v>92</v>
      </c>
      <c r="BT8" s="147" t="s">
        <v>92</v>
      </c>
      <c r="BU8" s="147" t="s">
        <v>92</v>
      </c>
      <c r="BV8" s="147" t="s">
        <v>92</v>
      </c>
      <c r="BW8" s="147" t="s">
        <v>7</v>
      </c>
      <c r="BX8" s="147" t="s">
        <v>7</v>
      </c>
      <c r="BY8" s="146"/>
      <c r="BZ8" s="146"/>
      <c r="CA8" s="147" t="s">
        <v>92</v>
      </c>
      <c r="CB8" s="145"/>
      <c r="CC8"/>
      <c r="CD8"/>
      <c r="CE8"/>
      <c r="CF8"/>
      <c r="CG8"/>
      <c r="CH8"/>
      <c r="CI8"/>
      <c r="CJ8"/>
      <c r="CK8"/>
      <c r="CL8"/>
      <c r="CM8"/>
      <c r="CN8"/>
      <c r="CO8"/>
      <c r="CP8" s="45"/>
      <c r="CQ8"/>
      <c r="CR8"/>
      <c r="CS8"/>
      <c r="CT8"/>
      <c r="CU8"/>
      <c r="CV8"/>
      <c r="CW8"/>
      <c r="CX8" s="45"/>
      <c r="CY8"/>
      <c r="CZ8"/>
      <c r="DA8"/>
      <c r="DB8"/>
      <c r="DC8"/>
      <c r="DD8"/>
      <c r="DE8"/>
      <c r="DF8"/>
      <c r="DG8"/>
      <c r="DH8"/>
      <c r="DI8"/>
      <c r="DJ8"/>
      <c r="DK8"/>
      <c r="DL8"/>
    </row>
    <row r="9" spans="2:116" x14ac:dyDescent="0.25">
      <c r="B9" s="145">
        <v>22</v>
      </c>
      <c r="C9" s="147" t="s">
        <v>92</v>
      </c>
      <c r="D9" s="147" t="s">
        <v>1165</v>
      </c>
      <c r="E9" s="147" t="s">
        <v>1164</v>
      </c>
      <c r="F9" s="146">
        <v>45219</v>
      </c>
      <c r="G9" s="147" t="s">
        <v>83</v>
      </c>
      <c r="H9" s="147" t="s">
        <v>83</v>
      </c>
      <c r="I9" s="147" t="s">
        <v>548</v>
      </c>
      <c r="J9" s="147" t="s">
        <v>85</v>
      </c>
      <c r="K9" s="145">
        <v>1.1000000000000001</v>
      </c>
      <c r="L9" s="147" t="s">
        <v>151</v>
      </c>
      <c r="M9" s="147" t="s">
        <v>1228</v>
      </c>
      <c r="N9" s="147" t="s">
        <v>7</v>
      </c>
      <c r="O9" s="147" t="s">
        <v>7</v>
      </c>
      <c r="P9" s="147" t="s">
        <v>7</v>
      </c>
      <c r="Q9" s="145" t="s">
        <v>7</v>
      </c>
      <c r="R9" s="147" t="s">
        <v>115</v>
      </c>
      <c r="S9" s="145">
        <v>100</v>
      </c>
      <c r="T9" s="147" t="s">
        <v>37</v>
      </c>
      <c r="U9" s="147" t="s">
        <v>110</v>
      </c>
      <c r="V9" s="147" t="s">
        <v>7</v>
      </c>
      <c r="W9" s="147" t="s">
        <v>7</v>
      </c>
      <c r="X9" s="147" t="s">
        <v>92</v>
      </c>
      <c r="Y9" s="147" t="s">
        <v>131</v>
      </c>
      <c r="Z9" s="146">
        <v>45226</v>
      </c>
      <c r="AA9" s="146">
        <v>45409</v>
      </c>
      <c r="AB9" s="146">
        <v>46322</v>
      </c>
      <c r="AC9" s="145">
        <v>1.1000000000000001</v>
      </c>
      <c r="AD9" s="145">
        <v>8.0579999999999998</v>
      </c>
      <c r="AE9" s="145">
        <v>8.6080000000000005</v>
      </c>
      <c r="AF9" s="147" t="s">
        <v>92</v>
      </c>
      <c r="AG9" s="147" t="s">
        <v>250</v>
      </c>
      <c r="AH9" s="147" t="s">
        <v>7</v>
      </c>
      <c r="AI9" s="147" t="s">
        <v>92</v>
      </c>
      <c r="AJ9" s="147" t="s">
        <v>1165</v>
      </c>
      <c r="AK9" s="147" t="s">
        <v>7</v>
      </c>
      <c r="AL9" s="147" t="s">
        <v>92</v>
      </c>
      <c r="AM9" s="147" t="s">
        <v>7</v>
      </c>
      <c r="AN9" s="147" t="s">
        <v>92</v>
      </c>
      <c r="AO9" s="147" t="s">
        <v>7</v>
      </c>
      <c r="AP9" s="147" t="s">
        <v>92</v>
      </c>
      <c r="AQ9" s="147" t="s">
        <v>92</v>
      </c>
      <c r="AR9" s="147" t="s">
        <v>7</v>
      </c>
      <c r="AS9" s="147" t="s">
        <v>92</v>
      </c>
      <c r="AT9" s="147" t="s">
        <v>92</v>
      </c>
      <c r="AU9" s="147" t="s">
        <v>92</v>
      </c>
      <c r="AV9" s="147" t="s">
        <v>327</v>
      </c>
      <c r="AW9" s="147" t="s">
        <v>242</v>
      </c>
      <c r="AX9" s="147" t="s">
        <v>92</v>
      </c>
      <c r="AY9" s="153"/>
      <c r="AZ9" s="147" t="s">
        <v>1168</v>
      </c>
      <c r="BA9" s="145" t="s">
        <v>750</v>
      </c>
      <c r="BB9" s="147" t="s">
        <v>7</v>
      </c>
      <c r="BC9" s="147" t="s">
        <v>7</v>
      </c>
      <c r="BD9" s="147" t="s">
        <v>7</v>
      </c>
      <c r="BE9" s="147" t="s">
        <v>7</v>
      </c>
      <c r="BF9" s="147" t="s">
        <v>92</v>
      </c>
      <c r="BG9" s="147" t="s">
        <v>92</v>
      </c>
      <c r="BH9" s="147" t="s">
        <v>92</v>
      </c>
      <c r="BI9" s="147" t="s">
        <v>92</v>
      </c>
      <c r="BJ9" s="147" t="s">
        <v>92</v>
      </c>
      <c r="BK9" s="145">
        <v>0</v>
      </c>
      <c r="BL9" s="145">
        <v>0</v>
      </c>
      <c r="BM9" s="145">
        <v>0</v>
      </c>
      <c r="BN9" s="147" t="s">
        <v>92</v>
      </c>
      <c r="BO9" t="s">
        <v>92</v>
      </c>
      <c r="BP9" s="145">
        <v>0</v>
      </c>
      <c r="BQ9" s="145"/>
      <c r="BR9" s="145"/>
      <c r="BS9" s="147" t="s">
        <v>1230</v>
      </c>
      <c r="BT9" s="147" t="s">
        <v>258</v>
      </c>
      <c r="BU9" s="147" t="s">
        <v>196</v>
      </c>
      <c r="BV9" s="147" t="s">
        <v>22</v>
      </c>
      <c r="BW9" s="147" t="s">
        <v>1191</v>
      </c>
      <c r="BX9" s="147" t="s">
        <v>1192</v>
      </c>
      <c r="BY9" s="146"/>
      <c r="BZ9" s="146">
        <v>45219</v>
      </c>
      <c r="CA9" s="147" t="s">
        <v>1</v>
      </c>
      <c r="CB9" s="145" t="s">
        <v>750</v>
      </c>
      <c r="CC9"/>
      <c r="CD9"/>
      <c r="CE9"/>
      <c r="CF9"/>
      <c r="CG9"/>
      <c r="CH9"/>
      <c r="CI9"/>
      <c r="CJ9"/>
      <c r="CK9"/>
      <c r="CL9"/>
      <c r="CM9"/>
      <c r="CN9"/>
      <c r="CO9"/>
      <c r="CP9" s="45"/>
      <c r="CQ9"/>
      <c r="CR9"/>
      <c r="CS9"/>
      <c r="CT9"/>
      <c r="CU9"/>
      <c r="CV9"/>
      <c r="CW9"/>
      <c r="CX9" s="45"/>
      <c r="CY9"/>
      <c r="CZ9"/>
      <c r="DA9"/>
      <c r="DB9"/>
      <c r="DC9"/>
      <c r="DD9"/>
      <c r="DE9"/>
      <c r="DF9"/>
      <c r="DG9"/>
      <c r="DH9"/>
      <c r="DI9"/>
      <c r="DJ9"/>
      <c r="DK9"/>
      <c r="DL9"/>
    </row>
    <row r="10" spans="2:116" x14ac:dyDescent="0.25">
      <c r="B10" s="145">
        <v>21</v>
      </c>
      <c r="C10" s="147" t="s">
        <v>765</v>
      </c>
      <c r="D10" s="147" t="s">
        <v>590</v>
      </c>
      <c r="E10" s="147" t="s">
        <v>1150</v>
      </c>
      <c r="F10" s="146">
        <v>45219</v>
      </c>
      <c r="G10" s="147" t="s">
        <v>83</v>
      </c>
      <c r="H10" s="147" t="s">
        <v>92</v>
      </c>
      <c r="I10" s="147" t="s">
        <v>7</v>
      </c>
      <c r="J10" s="147" t="s">
        <v>85</v>
      </c>
      <c r="K10" s="145">
        <v>0.25</v>
      </c>
      <c r="L10" s="147" t="s">
        <v>1226</v>
      </c>
      <c r="M10" s="147" t="s">
        <v>92</v>
      </c>
      <c r="N10" s="147" t="s">
        <v>7</v>
      </c>
      <c r="O10" s="147" t="s">
        <v>7</v>
      </c>
      <c r="P10" s="147" t="s">
        <v>7</v>
      </c>
      <c r="Q10" s="145" t="s">
        <v>7</v>
      </c>
      <c r="R10" s="147" t="s">
        <v>92</v>
      </c>
      <c r="S10" s="145"/>
      <c r="T10" s="147" t="s">
        <v>92</v>
      </c>
      <c r="U10" s="147" t="s">
        <v>7</v>
      </c>
      <c r="V10" s="147" t="s">
        <v>7</v>
      </c>
      <c r="W10" s="147" t="s">
        <v>7</v>
      </c>
      <c r="X10" s="147" t="s">
        <v>92</v>
      </c>
      <c r="Y10" s="147" t="s">
        <v>92</v>
      </c>
      <c r="Z10" s="146"/>
      <c r="AA10" s="146"/>
      <c r="AB10" s="146"/>
      <c r="AC10" s="145">
        <v>0.25</v>
      </c>
      <c r="AD10" s="145"/>
      <c r="AE10" s="145"/>
      <c r="AF10" s="147" t="s">
        <v>92</v>
      </c>
      <c r="AG10" s="147" t="s">
        <v>92</v>
      </c>
      <c r="AH10" s="147" t="s">
        <v>7</v>
      </c>
      <c r="AI10" s="147" t="s">
        <v>92</v>
      </c>
      <c r="AJ10" s="147" t="s">
        <v>92</v>
      </c>
      <c r="AK10" s="147" t="s">
        <v>7</v>
      </c>
      <c r="AL10" s="147" t="s">
        <v>92</v>
      </c>
      <c r="AM10" s="147" t="s">
        <v>7</v>
      </c>
      <c r="AN10" s="147" t="s">
        <v>92</v>
      </c>
      <c r="AO10" s="147" t="s">
        <v>92</v>
      </c>
      <c r="AP10" s="147" t="s">
        <v>92</v>
      </c>
      <c r="AQ10" s="147" t="s">
        <v>92</v>
      </c>
      <c r="AR10" s="147" t="s">
        <v>7</v>
      </c>
      <c r="AS10" s="147" t="s">
        <v>92</v>
      </c>
      <c r="AT10" s="147" t="s">
        <v>92</v>
      </c>
      <c r="AU10" s="147" t="s">
        <v>92</v>
      </c>
      <c r="AV10" s="147" t="s">
        <v>92</v>
      </c>
      <c r="AW10" s="147" t="s">
        <v>92</v>
      </c>
      <c r="AX10" s="147" t="s">
        <v>92</v>
      </c>
      <c r="AY10" s="153"/>
      <c r="AZ10" s="147" t="s">
        <v>1154</v>
      </c>
      <c r="BA10" s="145"/>
      <c r="BB10" s="147" t="s">
        <v>7</v>
      </c>
      <c r="BC10" s="147" t="s">
        <v>7</v>
      </c>
      <c r="BD10" s="147" t="s">
        <v>7</v>
      </c>
      <c r="BE10" s="147" t="s">
        <v>7</v>
      </c>
      <c r="BF10" s="147" t="s">
        <v>92</v>
      </c>
      <c r="BG10" s="147" t="s">
        <v>92</v>
      </c>
      <c r="BH10" s="147" t="s">
        <v>92</v>
      </c>
      <c r="BI10" s="147" t="s">
        <v>92</v>
      </c>
      <c r="BJ10" s="147" t="s">
        <v>92</v>
      </c>
      <c r="BK10" s="145">
        <v>0</v>
      </c>
      <c r="BL10" s="145">
        <v>0</v>
      </c>
      <c r="BM10" s="145">
        <v>0</v>
      </c>
      <c r="BN10" s="147" t="s">
        <v>92</v>
      </c>
      <c r="BO10" t="s">
        <v>92</v>
      </c>
      <c r="BP10" s="145">
        <v>0</v>
      </c>
      <c r="BQ10" s="145"/>
      <c r="BR10" s="145" t="s">
        <v>750</v>
      </c>
      <c r="BS10" s="147" t="s">
        <v>92</v>
      </c>
      <c r="BT10" s="147" t="s">
        <v>92</v>
      </c>
      <c r="BU10" s="147" t="s">
        <v>92</v>
      </c>
      <c r="BV10" s="147" t="s">
        <v>92</v>
      </c>
      <c r="BW10" s="147" t="s">
        <v>7</v>
      </c>
      <c r="BX10" s="147" t="s">
        <v>7</v>
      </c>
      <c r="BY10" s="146"/>
      <c r="BZ10" s="146"/>
      <c r="CA10" s="147" t="s">
        <v>92</v>
      </c>
      <c r="CB10" s="145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 s="45"/>
      <c r="CQ10"/>
      <c r="CR10"/>
      <c r="CS10"/>
      <c r="CT10"/>
      <c r="CU10"/>
      <c r="CV10"/>
      <c r="CW10"/>
      <c r="CX10" s="45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</row>
    <row r="11" spans="2:116" x14ac:dyDescent="0.25">
      <c r="B11" s="145">
        <v>20</v>
      </c>
      <c r="C11" s="147" t="s">
        <v>765</v>
      </c>
      <c r="D11" s="147" t="s">
        <v>753</v>
      </c>
      <c r="E11" s="147" t="s">
        <v>796</v>
      </c>
      <c r="F11" s="146">
        <v>45219</v>
      </c>
      <c r="G11" s="147" t="s">
        <v>83</v>
      </c>
      <c r="H11" s="147" t="s">
        <v>92</v>
      </c>
      <c r="I11" s="147" t="s">
        <v>7</v>
      </c>
      <c r="J11" s="147" t="s">
        <v>106</v>
      </c>
      <c r="K11" s="145">
        <v>0.2</v>
      </c>
      <c r="L11" s="147" t="s">
        <v>786</v>
      </c>
      <c r="M11" s="147" t="s">
        <v>92</v>
      </c>
      <c r="N11" s="147" t="s">
        <v>7</v>
      </c>
      <c r="O11" s="147" t="s">
        <v>7</v>
      </c>
      <c r="P11" s="147" t="s">
        <v>7</v>
      </c>
      <c r="Q11" s="145" t="s">
        <v>7</v>
      </c>
      <c r="R11" s="147" t="s">
        <v>92</v>
      </c>
      <c r="S11" s="145"/>
      <c r="T11" s="147" t="s">
        <v>92</v>
      </c>
      <c r="U11" s="147" t="s">
        <v>7</v>
      </c>
      <c r="V11" s="147" t="s">
        <v>7</v>
      </c>
      <c r="W11" s="147" t="s">
        <v>7</v>
      </c>
      <c r="X11" s="147" t="s">
        <v>92</v>
      </c>
      <c r="Y11" s="147" t="s">
        <v>92</v>
      </c>
      <c r="Z11" s="146"/>
      <c r="AA11" s="146"/>
      <c r="AB11" s="146"/>
      <c r="AC11" s="145">
        <v>2.7E-2</v>
      </c>
      <c r="AD11" s="145"/>
      <c r="AE11" s="145"/>
      <c r="AF11" s="147" t="s">
        <v>92</v>
      </c>
      <c r="AG11" s="147" t="s">
        <v>92</v>
      </c>
      <c r="AH11" s="147" t="s">
        <v>7</v>
      </c>
      <c r="AI11" s="147" t="s">
        <v>92</v>
      </c>
      <c r="AJ11" s="147" t="s">
        <v>92</v>
      </c>
      <c r="AK11" s="147" t="s">
        <v>7</v>
      </c>
      <c r="AL11" s="147" t="s">
        <v>92</v>
      </c>
      <c r="AM11" s="147" t="s">
        <v>7</v>
      </c>
      <c r="AN11" s="147" t="s">
        <v>92</v>
      </c>
      <c r="AO11" s="147" t="s">
        <v>92</v>
      </c>
      <c r="AP11" s="147" t="s">
        <v>92</v>
      </c>
      <c r="AQ11" s="147" t="s">
        <v>92</v>
      </c>
      <c r="AR11" s="147" t="s">
        <v>7</v>
      </c>
      <c r="AS11" s="147" t="s">
        <v>92</v>
      </c>
      <c r="AT11" s="147" t="s">
        <v>92</v>
      </c>
      <c r="AU11" s="147" t="s">
        <v>92</v>
      </c>
      <c r="AV11" s="147" t="s">
        <v>92</v>
      </c>
      <c r="AW11" s="147" t="s">
        <v>92</v>
      </c>
      <c r="AX11" s="147" t="s">
        <v>92</v>
      </c>
      <c r="AY11" s="153"/>
      <c r="AZ11" s="147" t="s">
        <v>799</v>
      </c>
      <c r="BA11" s="145"/>
      <c r="BB11" s="147" t="s">
        <v>7</v>
      </c>
      <c r="BC11" s="147" t="s">
        <v>7</v>
      </c>
      <c r="BD11" s="147" t="s">
        <v>7</v>
      </c>
      <c r="BE11" s="147" t="s">
        <v>7</v>
      </c>
      <c r="BF11" s="147" t="s">
        <v>92</v>
      </c>
      <c r="BG11" s="147" t="s">
        <v>92</v>
      </c>
      <c r="BH11" s="147" t="s">
        <v>92</v>
      </c>
      <c r="BI11" s="147" t="s">
        <v>92</v>
      </c>
      <c r="BJ11" s="147" t="s">
        <v>92</v>
      </c>
      <c r="BK11" s="145">
        <v>0</v>
      </c>
      <c r="BL11" s="145">
        <v>0</v>
      </c>
      <c r="BM11" s="145">
        <v>0</v>
      </c>
      <c r="BN11" s="147" t="s">
        <v>92</v>
      </c>
      <c r="BO11" t="s">
        <v>92</v>
      </c>
      <c r="BP11" s="145">
        <v>0</v>
      </c>
      <c r="BQ11" s="145"/>
      <c r="BR11" s="145" t="s">
        <v>750</v>
      </c>
      <c r="BS11" s="147" t="s">
        <v>92</v>
      </c>
      <c r="BT11" s="147" t="s">
        <v>92</v>
      </c>
      <c r="BU11" s="147" t="s">
        <v>92</v>
      </c>
      <c r="BV11" s="147" t="s">
        <v>92</v>
      </c>
      <c r="BW11" s="147" t="s">
        <v>7</v>
      </c>
      <c r="BX11" s="147" t="s">
        <v>7</v>
      </c>
      <c r="BY11" s="146"/>
      <c r="BZ11" s="146"/>
      <c r="CA11" s="147" t="s">
        <v>92</v>
      </c>
      <c r="CB11" s="145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 s="45"/>
      <c r="CQ11"/>
      <c r="CR11"/>
      <c r="CS11"/>
      <c r="CT11"/>
      <c r="CU11"/>
      <c r="CV11"/>
      <c r="CW11"/>
      <c r="CX11" s="45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</row>
    <row r="12" spans="2:116" x14ac:dyDescent="0.25">
      <c r="B12" s="145">
        <v>19</v>
      </c>
      <c r="C12" s="147" t="s">
        <v>92</v>
      </c>
      <c r="D12" s="147" t="s">
        <v>816</v>
      </c>
      <c r="E12" s="147" t="s">
        <v>815</v>
      </c>
      <c r="F12" s="146">
        <v>45218</v>
      </c>
      <c r="G12" s="147" t="s">
        <v>83</v>
      </c>
      <c r="H12" s="147" t="s">
        <v>83</v>
      </c>
      <c r="I12" s="147" t="s">
        <v>409</v>
      </c>
      <c r="J12" s="147" t="s">
        <v>262</v>
      </c>
      <c r="K12" s="145">
        <v>106</v>
      </c>
      <c r="L12" s="147" t="s">
        <v>151</v>
      </c>
      <c r="M12" s="147" t="s">
        <v>928</v>
      </c>
      <c r="N12" s="147" t="s">
        <v>1111</v>
      </c>
      <c r="O12" s="147" t="s">
        <v>928</v>
      </c>
      <c r="P12" s="147" t="s">
        <v>7</v>
      </c>
      <c r="Q12" s="145">
        <v>30</v>
      </c>
      <c r="R12" s="147" t="s">
        <v>115</v>
      </c>
      <c r="S12" s="145">
        <v>100</v>
      </c>
      <c r="T12" s="147" t="s">
        <v>112</v>
      </c>
      <c r="U12" s="147" t="s">
        <v>263</v>
      </c>
      <c r="V12" s="147" t="s">
        <v>7</v>
      </c>
      <c r="W12" s="147" t="s">
        <v>7</v>
      </c>
      <c r="X12" s="147" t="s">
        <v>92</v>
      </c>
      <c r="Y12" s="147" t="s">
        <v>131</v>
      </c>
      <c r="Z12" s="146">
        <v>45224</v>
      </c>
      <c r="AA12" s="146">
        <v>45407</v>
      </c>
      <c r="AB12" s="146">
        <v>46320</v>
      </c>
      <c r="AC12" s="145">
        <v>0.74199999999999999</v>
      </c>
      <c r="AD12" s="145">
        <v>5.194</v>
      </c>
      <c r="AE12" s="145">
        <v>5.5119999999999996</v>
      </c>
      <c r="AF12" s="147" t="s">
        <v>92</v>
      </c>
      <c r="AG12" s="147" t="s">
        <v>250</v>
      </c>
      <c r="AH12" s="147" t="s">
        <v>7</v>
      </c>
      <c r="AI12" s="147" t="s">
        <v>92</v>
      </c>
      <c r="AJ12" s="147" t="s">
        <v>816</v>
      </c>
      <c r="AK12" s="147" t="s">
        <v>7</v>
      </c>
      <c r="AL12" s="147" t="s">
        <v>92</v>
      </c>
      <c r="AM12" s="147" t="s">
        <v>344</v>
      </c>
      <c r="AN12" s="147" t="s">
        <v>92</v>
      </c>
      <c r="AO12" s="147" t="s">
        <v>7</v>
      </c>
      <c r="AP12" s="147" t="s">
        <v>92</v>
      </c>
      <c r="AQ12" s="147" t="s">
        <v>92</v>
      </c>
      <c r="AR12" s="147" t="s">
        <v>7</v>
      </c>
      <c r="AS12" s="147" t="s">
        <v>92</v>
      </c>
      <c r="AT12" s="147" t="s">
        <v>92</v>
      </c>
      <c r="AU12" s="147" t="s">
        <v>932</v>
      </c>
      <c r="AV12" s="147" t="s">
        <v>327</v>
      </c>
      <c r="AW12" s="147" t="s">
        <v>242</v>
      </c>
      <c r="AX12" s="147" t="s">
        <v>92</v>
      </c>
      <c r="AY12" s="153"/>
      <c r="AZ12" s="147" t="s">
        <v>820</v>
      </c>
      <c r="BA12" s="145" t="s">
        <v>750</v>
      </c>
      <c r="BB12" s="147" t="s">
        <v>7</v>
      </c>
      <c r="BC12" s="147" t="s">
        <v>7</v>
      </c>
      <c r="BD12" s="147" t="s">
        <v>7</v>
      </c>
      <c r="BE12" s="147" t="s">
        <v>7</v>
      </c>
      <c r="BF12" s="147" t="s">
        <v>92</v>
      </c>
      <c r="BG12" s="147" t="s">
        <v>92</v>
      </c>
      <c r="BH12" s="147" t="s">
        <v>92</v>
      </c>
      <c r="BI12" s="147" t="s">
        <v>92</v>
      </c>
      <c r="BJ12" s="147" t="s">
        <v>92</v>
      </c>
      <c r="BK12" s="145">
        <v>0</v>
      </c>
      <c r="BL12" s="145">
        <v>0</v>
      </c>
      <c r="BM12" s="145">
        <v>0</v>
      </c>
      <c r="BN12" s="147" t="s">
        <v>92</v>
      </c>
      <c r="BO12" t="s">
        <v>92</v>
      </c>
      <c r="BP12" s="145">
        <v>0</v>
      </c>
      <c r="BQ12" s="145"/>
      <c r="BR12" s="145"/>
      <c r="BS12" s="147" t="s">
        <v>1147</v>
      </c>
      <c r="BT12" s="147" t="s">
        <v>258</v>
      </c>
      <c r="BU12" s="147" t="s">
        <v>196</v>
      </c>
      <c r="BV12" s="147" t="s">
        <v>19</v>
      </c>
      <c r="BW12" s="147" t="s">
        <v>775</v>
      </c>
      <c r="BX12" s="147" t="s">
        <v>1219</v>
      </c>
      <c r="BY12" s="146"/>
      <c r="BZ12" s="146">
        <v>45218</v>
      </c>
      <c r="CA12" s="147" t="s">
        <v>1</v>
      </c>
      <c r="CB12" s="145" t="s">
        <v>750</v>
      </c>
      <c r="CC12"/>
      <c r="CD12"/>
      <c r="CE12"/>
      <c r="CF12"/>
      <c r="CG12"/>
      <c r="CH12"/>
      <c r="CI12"/>
      <c r="CJ12"/>
      <c r="CK12"/>
      <c r="CL12"/>
      <c r="CM12"/>
      <c r="CN12"/>
      <c r="CO12"/>
      <c r="CP12" s="45"/>
      <c r="CQ12"/>
      <c r="CR12"/>
      <c r="CS12"/>
      <c r="CT12"/>
      <c r="CU12"/>
      <c r="CV12"/>
      <c r="CW12"/>
      <c r="CX12" s="45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</row>
    <row r="13" spans="2:116" x14ac:dyDescent="0.25">
      <c r="B13" s="145">
        <v>18</v>
      </c>
      <c r="C13" s="147" t="s">
        <v>765</v>
      </c>
      <c r="D13" s="147" t="s">
        <v>619</v>
      </c>
      <c r="E13" s="147" t="s">
        <v>809</v>
      </c>
      <c r="F13" s="146">
        <v>45218</v>
      </c>
      <c r="G13" s="147" t="s">
        <v>83</v>
      </c>
      <c r="H13" s="147" t="s">
        <v>92</v>
      </c>
      <c r="I13" s="147" t="s">
        <v>7</v>
      </c>
      <c r="J13" s="147" t="s">
        <v>106</v>
      </c>
      <c r="K13" s="145">
        <v>2</v>
      </c>
      <c r="L13" s="147" t="s">
        <v>560</v>
      </c>
      <c r="M13" s="147" t="s">
        <v>92</v>
      </c>
      <c r="N13" s="147" t="s">
        <v>7</v>
      </c>
      <c r="O13" s="147" t="s">
        <v>7</v>
      </c>
      <c r="P13" s="147" t="s">
        <v>7</v>
      </c>
      <c r="Q13" s="145" t="s">
        <v>7</v>
      </c>
      <c r="R13" s="147" t="s">
        <v>92</v>
      </c>
      <c r="S13" s="145"/>
      <c r="T13" s="147" t="s">
        <v>92</v>
      </c>
      <c r="U13" s="147" t="s">
        <v>7</v>
      </c>
      <c r="V13" s="147" t="s">
        <v>7</v>
      </c>
      <c r="W13" s="147" t="s">
        <v>7</v>
      </c>
      <c r="X13" s="147" t="s">
        <v>92</v>
      </c>
      <c r="Y13" s="147" t="s">
        <v>92</v>
      </c>
      <c r="Z13" s="146"/>
      <c r="AA13" s="146"/>
      <c r="AB13" s="146"/>
      <c r="AC13" s="145">
        <v>0.27200000000000002</v>
      </c>
      <c r="AD13" s="145"/>
      <c r="AE13" s="145"/>
      <c r="AF13" s="147" t="s">
        <v>92</v>
      </c>
      <c r="AG13" s="147" t="s">
        <v>92</v>
      </c>
      <c r="AH13" s="147" t="s">
        <v>7</v>
      </c>
      <c r="AI13" s="147" t="s">
        <v>92</v>
      </c>
      <c r="AJ13" s="147" t="s">
        <v>92</v>
      </c>
      <c r="AK13" s="147" t="s">
        <v>7</v>
      </c>
      <c r="AL13" s="147" t="s">
        <v>92</v>
      </c>
      <c r="AM13" s="147" t="s">
        <v>7</v>
      </c>
      <c r="AN13" s="147" t="s">
        <v>92</v>
      </c>
      <c r="AO13" s="147" t="s">
        <v>92</v>
      </c>
      <c r="AP13" s="147" t="s">
        <v>92</v>
      </c>
      <c r="AQ13" s="147" t="s">
        <v>92</v>
      </c>
      <c r="AR13" s="147" t="s">
        <v>7</v>
      </c>
      <c r="AS13" s="147" t="s">
        <v>92</v>
      </c>
      <c r="AT13" s="147" t="s">
        <v>92</v>
      </c>
      <c r="AU13" s="147" t="s">
        <v>92</v>
      </c>
      <c r="AV13" s="147" t="s">
        <v>92</v>
      </c>
      <c r="AW13" s="147" t="s">
        <v>92</v>
      </c>
      <c r="AX13" s="147" t="s">
        <v>92</v>
      </c>
      <c r="AY13" s="153"/>
      <c r="AZ13" s="147" t="s">
        <v>814</v>
      </c>
      <c r="BA13" s="145"/>
      <c r="BB13" s="147" t="s">
        <v>7</v>
      </c>
      <c r="BC13" s="147" t="s">
        <v>7</v>
      </c>
      <c r="BD13" s="147" t="s">
        <v>7</v>
      </c>
      <c r="BE13" s="147" t="s">
        <v>7</v>
      </c>
      <c r="BF13" s="147" t="s">
        <v>92</v>
      </c>
      <c r="BG13" s="147" t="s">
        <v>92</v>
      </c>
      <c r="BH13" s="147" t="s">
        <v>92</v>
      </c>
      <c r="BI13" s="147" t="s">
        <v>92</v>
      </c>
      <c r="BJ13" s="147" t="s">
        <v>92</v>
      </c>
      <c r="BK13" s="145">
        <v>0</v>
      </c>
      <c r="BL13" s="145">
        <v>0</v>
      </c>
      <c r="BM13" s="145">
        <v>0</v>
      </c>
      <c r="BN13" s="147" t="s">
        <v>92</v>
      </c>
      <c r="BO13" t="s">
        <v>92</v>
      </c>
      <c r="BP13" s="145">
        <v>0</v>
      </c>
      <c r="BQ13" s="145"/>
      <c r="BR13" s="145" t="s">
        <v>750</v>
      </c>
      <c r="BS13" s="147" t="s">
        <v>92</v>
      </c>
      <c r="BT13" s="147" t="s">
        <v>92</v>
      </c>
      <c r="BU13" s="147" t="s">
        <v>92</v>
      </c>
      <c r="BV13" s="147" t="s">
        <v>92</v>
      </c>
      <c r="BW13" s="147" t="s">
        <v>7</v>
      </c>
      <c r="BX13" s="147" t="s">
        <v>7</v>
      </c>
      <c r="BY13" s="146"/>
      <c r="BZ13" s="146"/>
      <c r="CA13" s="147" t="s">
        <v>92</v>
      </c>
      <c r="CB13" s="145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 s="45"/>
      <c r="CQ13"/>
      <c r="CR13"/>
      <c r="CS13"/>
      <c r="CT13"/>
      <c r="CU13"/>
      <c r="CV13"/>
      <c r="CW13"/>
      <c r="CX13" s="45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</row>
    <row r="14" spans="2:116" x14ac:dyDescent="0.25">
      <c r="B14" s="145">
        <v>17</v>
      </c>
      <c r="C14" s="147" t="s">
        <v>765</v>
      </c>
      <c r="D14" s="147" t="s">
        <v>753</v>
      </c>
      <c r="E14" s="147" t="s">
        <v>800</v>
      </c>
      <c r="F14" s="146">
        <v>45218</v>
      </c>
      <c r="G14" s="147" t="s">
        <v>83</v>
      </c>
      <c r="H14" s="147" t="s">
        <v>92</v>
      </c>
      <c r="I14" s="147" t="s">
        <v>7</v>
      </c>
      <c r="J14" s="147" t="s">
        <v>109</v>
      </c>
      <c r="K14" s="145">
        <v>0.05</v>
      </c>
      <c r="L14" s="147" t="s">
        <v>786</v>
      </c>
      <c r="M14" s="147" t="s">
        <v>92</v>
      </c>
      <c r="N14" s="147" t="s">
        <v>7</v>
      </c>
      <c r="O14" s="147" t="s">
        <v>7</v>
      </c>
      <c r="P14" s="147" t="s">
        <v>7</v>
      </c>
      <c r="Q14" s="145" t="s">
        <v>7</v>
      </c>
      <c r="R14" s="147" t="s">
        <v>92</v>
      </c>
      <c r="S14" s="145"/>
      <c r="T14" s="147" t="s">
        <v>92</v>
      </c>
      <c r="U14" s="147" t="s">
        <v>7</v>
      </c>
      <c r="V14" s="147" t="s">
        <v>7</v>
      </c>
      <c r="W14" s="147" t="s">
        <v>7</v>
      </c>
      <c r="X14" s="147" t="s">
        <v>92</v>
      </c>
      <c r="Y14" s="147" t="s">
        <v>92</v>
      </c>
      <c r="Z14" s="146"/>
      <c r="AA14" s="146"/>
      <c r="AB14" s="146"/>
      <c r="AC14" s="145">
        <v>6.0000000000000001E-3</v>
      </c>
      <c r="AD14" s="145"/>
      <c r="AE14" s="145"/>
      <c r="AF14" s="147" t="s">
        <v>92</v>
      </c>
      <c r="AG14" s="147" t="s">
        <v>92</v>
      </c>
      <c r="AH14" s="147" t="s">
        <v>7</v>
      </c>
      <c r="AI14" s="147" t="s">
        <v>92</v>
      </c>
      <c r="AJ14" s="147" t="s">
        <v>92</v>
      </c>
      <c r="AK14" s="147" t="s">
        <v>7</v>
      </c>
      <c r="AL14" s="147" t="s">
        <v>92</v>
      </c>
      <c r="AM14" s="147" t="s">
        <v>7</v>
      </c>
      <c r="AN14" s="147" t="s">
        <v>92</v>
      </c>
      <c r="AO14" s="147" t="s">
        <v>92</v>
      </c>
      <c r="AP14" s="147" t="s">
        <v>92</v>
      </c>
      <c r="AQ14" s="147" t="s">
        <v>92</v>
      </c>
      <c r="AR14" s="147" t="s">
        <v>7</v>
      </c>
      <c r="AS14" s="147" t="s">
        <v>92</v>
      </c>
      <c r="AT14" s="147" t="s">
        <v>92</v>
      </c>
      <c r="AU14" s="147" t="s">
        <v>92</v>
      </c>
      <c r="AV14" s="147" t="s">
        <v>92</v>
      </c>
      <c r="AW14" s="147" t="s">
        <v>92</v>
      </c>
      <c r="AX14" s="147" t="s">
        <v>92</v>
      </c>
      <c r="AY14" s="153"/>
      <c r="AZ14" s="147" t="s">
        <v>802</v>
      </c>
      <c r="BA14" s="145"/>
      <c r="BB14" s="147" t="s">
        <v>7</v>
      </c>
      <c r="BC14" s="147" t="s">
        <v>7</v>
      </c>
      <c r="BD14" s="147" t="s">
        <v>7</v>
      </c>
      <c r="BE14" s="147" t="s">
        <v>7</v>
      </c>
      <c r="BF14" s="147" t="s">
        <v>92</v>
      </c>
      <c r="BG14" s="147" t="s">
        <v>92</v>
      </c>
      <c r="BH14" s="147" t="s">
        <v>92</v>
      </c>
      <c r="BI14" s="147" t="s">
        <v>92</v>
      </c>
      <c r="BJ14" s="147" t="s">
        <v>92</v>
      </c>
      <c r="BK14" s="145">
        <v>0</v>
      </c>
      <c r="BL14" s="145">
        <v>0</v>
      </c>
      <c r="BM14" s="145">
        <v>0</v>
      </c>
      <c r="BN14" s="147" t="s">
        <v>92</v>
      </c>
      <c r="BO14" t="s">
        <v>92</v>
      </c>
      <c r="BP14" s="145">
        <v>0</v>
      </c>
      <c r="BQ14" s="145"/>
      <c r="BR14" s="145" t="s">
        <v>750</v>
      </c>
      <c r="BS14" s="147" t="s">
        <v>92</v>
      </c>
      <c r="BT14" s="147" t="s">
        <v>92</v>
      </c>
      <c r="BU14" s="147" t="s">
        <v>92</v>
      </c>
      <c r="BV14" s="147" t="s">
        <v>92</v>
      </c>
      <c r="BW14" s="147" t="s">
        <v>7</v>
      </c>
      <c r="BX14" s="147" t="s">
        <v>7</v>
      </c>
      <c r="BY14" s="146"/>
      <c r="BZ14" s="146"/>
      <c r="CA14" s="147" t="s">
        <v>92</v>
      </c>
      <c r="CB14" s="145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 s="45"/>
      <c r="CQ14"/>
      <c r="CR14"/>
      <c r="CS14"/>
      <c r="CT14"/>
      <c r="CU14"/>
      <c r="CV14"/>
      <c r="CW14"/>
      <c r="CX14" s="45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</row>
    <row r="15" spans="2:116" x14ac:dyDescent="0.25">
      <c r="B15" s="145">
        <v>16</v>
      </c>
      <c r="C15" s="147" t="s">
        <v>92</v>
      </c>
      <c r="D15" s="147" t="s">
        <v>862</v>
      </c>
      <c r="E15" s="147" t="s">
        <v>861</v>
      </c>
      <c r="F15" s="146">
        <v>45217</v>
      </c>
      <c r="G15" s="147" t="s">
        <v>83</v>
      </c>
      <c r="H15" s="147" t="s">
        <v>863</v>
      </c>
      <c r="I15" s="147" t="s">
        <v>552</v>
      </c>
      <c r="J15" s="147" t="s">
        <v>85</v>
      </c>
      <c r="K15" s="145">
        <v>2.1</v>
      </c>
      <c r="L15" s="147" t="s">
        <v>151</v>
      </c>
      <c r="M15" s="147" t="s">
        <v>1032</v>
      </c>
      <c r="N15" s="147" t="s">
        <v>1114</v>
      </c>
      <c r="O15" s="147" t="s">
        <v>1032</v>
      </c>
      <c r="P15" s="147" t="s">
        <v>7</v>
      </c>
      <c r="Q15" s="145">
        <v>60</v>
      </c>
      <c r="R15" s="147" t="s">
        <v>115</v>
      </c>
      <c r="S15" s="145">
        <v>100</v>
      </c>
      <c r="T15" s="147" t="s">
        <v>40</v>
      </c>
      <c r="U15" s="147" t="s">
        <v>251</v>
      </c>
      <c r="V15" s="147" t="s">
        <v>7</v>
      </c>
      <c r="W15" s="147" t="s">
        <v>7</v>
      </c>
      <c r="X15" s="147" t="s">
        <v>92</v>
      </c>
      <c r="Y15" s="147" t="s">
        <v>131</v>
      </c>
      <c r="Z15" s="146">
        <v>45224</v>
      </c>
      <c r="AA15" s="146">
        <v>45407</v>
      </c>
      <c r="AB15" s="146">
        <v>46320</v>
      </c>
      <c r="AC15" s="145">
        <v>2.1</v>
      </c>
      <c r="AD15" s="145">
        <v>15.391</v>
      </c>
      <c r="AE15" s="145">
        <v>16.440999999999999</v>
      </c>
      <c r="AF15" s="147" t="s">
        <v>92</v>
      </c>
      <c r="AG15" s="147" t="s">
        <v>573</v>
      </c>
      <c r="AH15" s="147" t="s">
        <v>7</v>
      </c>
      <c r="AI15" s="147" t="s">
        <v>92</v>
      </c>
      <c r="AJ15" s="147" t="s">
        <v>1038</v>
      </c>
      <c r="AK15" s="147" t="s">
        <v>7</v>
      </c>
      <c r="AL15" s="147" t="s">
        <v>862</v>
      </c>
      <c r="AM15" s="147" t="s">
        <v>7</v>
      </c>
      <c r="AN15" s="147" t="s">
        <v>787</v>
      </c>
      <c r="AO15" s="147" t="s">
        <v>7</v>
      </c>
      <c r="AP15" s="147" t="s">
        <v>92</v>
      </c>
      <c r="AQ15" s="147" t="s">
        <v>92</v>
      </c>
      <c r="AR15" s="147" t="s">
        <v>7</v>
      </c>
      <c r="AS15" s="147" t="s">
        <v>92</v>
      </c>
      <c r="AT15" s="147" t="s">
        <v>92</v>
      </c>
      <c r="AU15" s="147" t="s">
        <v>1036</v>
      </c>
      <c r="AV15" s="147" t="s">
        <v>327</v>
      </c>
      <c r="AW15" s="147" t="s">
        <v>242</v>
      </c>
      <c r="AX15" s="147" t="s">
        <v>92</v>
      </c>
      <c r="AY15" s="153"/>
      <c r="AZ15" s="147" t="s">
        <v>868</v>
      </c>
      <c r="BA15" s="145" t="s">
        <v>750</v>
      </c>
      <c r="BB15" s="147" t="s">
        <v>7</v>
      </c>
      <c r="BC15" s="147" t="s">
        <v>7</v>
      </c>
      <c r="BD15" s="147" t="s">
        <v>7</v>
      </c>
      <c r="BE15" s="147" t="s">
        <v>7</v>
      </c>
      <c r="BF15" s="147" t="s">
        <v>92</v>
      </c>
      <c r="BG15" s="147" t="s">
        <v>92</v>
      </c>
      <c r="BH15" s="147" t="s">
        <v>92</v>
      </c>
      <c r="BI15" s="147" t="s">
        <v>92</v>
      </c>
      <c r="BJ15" s="147" t="s">
        <v>92</v>
      </c>
      <c r="BK15" s="145">
        <v>0</v>
      </c>
      <c r="BL15" s="145">
        <v>0</v>
      </c>
      <c r="BM15" s="145">
        <v>0</v>
      </c>
      <c r="BN15" s="147" t="s">
        <v>92</v>
      </c>
      <c r="BO15" t="s">
        <v>92</v>
      </c>
      <c r="BP15" s="145">
        <v>0</v>
      </c>
      <c r="BQ15" s="145"/>
      <c r="BR15" s="145"/>
      <c r="BS15" s="147" t="s">
        <v>1103</v>
      </c>
      <c r="BT15" s="147" t="s">
        <v>258</v>
      </c>
      <c r="BU15" s="147" t="s">
        <v>196</v>
      </c>
      <c r="BV15" s="147" t="s">
        <v>10</v>
      </c>
      <c r="BW15" s="147" t="s">
        <v>1034</v>
      </c>
      <c r="BX15" s="147" t="s">
        <v>7</v>
      </c>
      <c r="BY15" s="146"/>
      <c r="BZ15" s="146">
        <v>43074</v>
      </c>
      <c r="CA15" s="147" t="s">
        <v>1</v>
      </c>
      <c r="CB15" s="145" t="s">
        <v>750</v>
      </c>
    </row>
    <row r="16" spans="2:116" x14ac:dyDescent="0.25">
      <c r="B16" s="145">
        <v>15</v>
      </c>
      <c r="C16" s="147" t="s">
        <v>92</v>
      </c>
      <c r="D16" s="147" t="s">
        <v>840</v>
      </c>
      <c r="E16" s="147" t="s">
        <v>839</v>
      </c>
      <c r="F16" s="146">
        <v>45217</v>
      </c>
      <c r="G16" s="147" t="s">
        <v>83</v>
      </c>
      <c r="H16" s="147" t="s">
        <v>83</v>
      </c>
      <c r="I16" s="147" t="s">
        <v>409</v>
      </c>
      <c r="J16" s="147" t="s">
        <v>106</v>
      </c>
      <c r="K16" s="145">
        <v>0.6</v>
      </c>
      <c r="L16" s="147" t="s">
        <v>560</v>
      </c>
      <c r="M16" s="147" t="s">
        <v>1016</v>
      </c>
      <c r="N16" s="147" t="s">
        <v>7</v>
      </c>
      <c r="O16" s="147" t="s">
        <v>1016</v>
      </c>
      <c r="P16" s="147" t="s">
        <v>7</v>
      </c>
      <c r="Q16" s="145" t="s">
        <v>7</v>
      </c>
      <c r="R16" s="147" t="s">
        <v>115</v>
      </c>
      <c r="S16" s="145">
        <v>100</v>
      </c>
      <c r="T16" s="147" t="s">
        <v>39</v>
      </c>
      <c r="U16" s="147" t="s">
        <v>251</v>
      </c>
      <c r="V16" s="147" t="s">
        <v>7</v>
      </c>
      <c r="W16" s="147" t="s">
        <v>7</v>
      </c>
      <c r="X16" s="147" t="s">
        <v>92</v>
      </c>
      <c r="Y16" s="147" t="s">
        <v>131</v>
      </c>
      <c r="Z16" s="146">
        <v>45223</v>
      </c>
      <c r="AA16" s="146">
        <v>45406</v>
      </c>
      <c r="AB16" s="146">
        <v>45587</v>
      </c>
      <c r="AC16" s="145">
        <v>8.2000000000000003E-2</v>
      </c>
      <c r="AD16" s="145">
        <v>0.6</v>
      </c>
      <c r="AE16" s="145">
        <v>0.64100000000000001</v>
      </c>
      <c r="AF16" s="147" t="s">
        <v>92</v>
      </c>
      <c r="AG16" s="147" t="s">
        <v>573</v>
      </c>
      <c r="AH16" s="147" t="s">
        <v>7</v>
      </c>
      <c r="AI16" s="147" t="s">
        <v>92</v>
      </c>
      <c r="AJ16" s="147" t="s">
        <v>1023</v>
      </c>
      <c r="AK16" s="147" t="s">
        <v>840</v>
      </c>
      <c r="AL16" s="147" t="s">
        <v>92</v>
      </c>
      <c r="AM16" s="147" t="s">
        <v>7</v>
      </c>
      <c r="AN16" s="147" t="s">
        <v>92</v>
      </c>
      <c r="AO16" s="147" t="s">
        <v>7</v>
      </c>
      <c r="AP16" s="147" t="s">
        <v>92</v>
      </c>
      <c r="AQ16" s="147" t="s">
        <v>561</v>
      </c>
      <c r="AR16" s="147" t="s">
        <v>7</v>
      </c>
      <c r="AS16" s="147" t="s">
        <v>92</v>
      </c>
      <c r="AT16" s="147" t="s">
        <v>92</v>
      </c>
      <c r="AU16" s="147" t="s">
        <v>1021</v>
      </c>
      <c r="AV16" s="147" t="s">
        <v>327</v>
      </c>
      <c r="AW16" s="147" t="s">
        <v>242</v>
      </c>
      <c r="AX16" s="147" t="s">
        <v>92</v>
      </c>
      <c r="AY16" s="153"/>
      <c r="AZ16" s="147" t="s">
        <v>845</v>
      </c>
      <c r="BA16" s="145" t="s">
        <v>750</v>
      </c>
      <c r="BB16" s="147" t="s">
        <v>7</v>
      </c>
      <c r="BC16" s="147" t="s">
        <v>7</v>
      </c>
      <c r="BD16" s="147" t="s">
        <v>7</v>
      </c>
      <c r="BE16" s="147" t="s">
        <v>7</v>
      </c>
      <c r="BF16" s="147" t="s">
        <v>92</v>
      </c>
      <c r="BG16" s="147" t="s">
        <v>92</v>
      </c>
      <c r="BH16" s="147" t="s">
        <v>92</v>
      </c>
      <c r="BI16" s="147" t="s">
        <v>92</v>
      </c>
      <c r="BJ16" s="147" t="s">
        <v>92</v>
      </c>
      <c r="BK16" s="145">
        <v>0</v>
      </c>
      <c r="BL16" s="145">
        <v>0</v>
      </c>
      <c r="BM16" s="145">
        <v>0</v>
      </c>
      <c r="BN16" s="147" t="s">
        <v>92</v>
      </c>
      <c r="BO16" t="s">
        <v>92</v>
      </c>
      <c r="BP16" s="145">
        <v>0</v>
      </c>
      <c r="BQ16" s="145"/>
      <c r="BR16" s="145"/>
      <c r="BS16" s="147" t="s">
        <v>1104</v>
      </c>
      <c r="BT16" s="147" t="s">
        <v>258</v>
      </c>
      <c r="BU16" s="147" t="s">
        <v>196</v>
      </c>
      <c r="BV16" s="147" t="s">
        <v>10</v>
      </c>
      <c r="BW16" s="147" t="s">
        <v>1017</v>
      </c>
      <c r="BX16" s="147" t="s">
        <v>1018</v>
      </c>
      <c r="BY16" s="146"/>
      <c r="BZ16" s="146">
        <v>45217</v>
      </c>
      <c r="CA16" s="147" t="s">
        <v>1</v>
      </c>
      <c r="CB16" s="145" t="s">
        <v>750</v>
      </c>
    </row>
    <row r="17" spans="2:80" x14ac:dyDescent="0.25">
      <c r="B17" s="145">
        <v>14</v>
      </c>
      <c r="C17" s="147" t="s">
        <v>92</v>
      </c>
      <c r="D17" s="147" t="s">
        <v>825</v>
      </c>
      <c r="E17" s="147" t="s">
        <v>824</v>
      </c>
      <c r="F17" s="146">
        <v>45217</v>
      </c>
      <c r="G17" s="147" t="s">
        <v>83</v>
      </c>
      <c r="H17" s="147" t="s">
        <v>83</v>
      </c>
      <c r="I17" s="147" t="s">
        <v>7</v>
      </c>
      <c r="J17" s="147" t="s">
        <v>85</v>
      </c>
      <c r="K17" s="145">
        <v>1.7</v>
      </c>
      <c r="L17" s="147" t="s">
        <v>151</v>
      </c>
      <c r="M17" s="147" t="s">
        <v>1032</v>
      </c>
      <c r="N17" s="147" t="s">
        <v>7</v>
      </c>
      <c r="O17" s="147" t="s">
        <v>7</v>
      </c>
      <c r="P17" s="147" t="s">
        <v>7</v>
      </c>
      <c r="Q17" s="145" t="s">
        <v>7</v>
      </c>
      <c r="R17" s="147" t="s">
        <v>115</v>
      </c>
      <c r="S17" s="145">
        <v>100</v>
      </c>
      <c r="T17" s="147" t="s">
        <v>39</v>
      </c>
      <c r="U17" s="147" t="s">
        <v>263</v>
      </c>
      <c r="V17" s="147" t="s">
        <v>7</v>
      </c>
      <c r="W17" s="147" t="s">
        <v>7</v>
      </c>
      <c r="X17" s="147" t="s">
        <v>92</v>
      </c>
      <c r="Y17" s="147" t="s">
        <v>545</v>
      </c>
      <c r="Z17" s="146">
        <v>45225</v>
      </c>
      <c r="AA17" s="146">
        <v>45591</v>
      </c>
      <c r="AB17" s="146">
        <v>46321</v>
      </c>
      <c r="AC17" s="145">
        <v>1.7</v>
      </c>
      <c r="AD17" s="145">
        <v>12.459</v>
      </c>
      <c r="AE17" s="145">
        <v>13.308999999999999</v>
      </c>
      <c r="AF17" s="147" t="s">
        <v>92</v>
      </c>
      <c r="AG17" s="147" t="s">
        <v>250</v>
      </c>
      <c r="AH17" s="147" t="s">
        <v>7</v>
      </c>
      <c r="AI17" s="147" t="s">
        <v>92</v>
      </c>
      <c r="AJ17" s="147" t="s">
        <v>826</v>
      </c>
      <c r="AK17" s="147" t="s">
        <v>825</v>
      </c>
      <c r="AL17" s="147" t="s">
        <v>92</v>
      </c>
      <c r="AM17" s="147" t="s">
        <v>7</v>
      </c>
      <c r="AN17" s="147" t="s">
        <v>92</v>
      </c>
      <c r="AO17" s="147" t="s">
        <v>7</v>
      </c>
      <c r="AP17" s="147" t="s">
        <v>92</v>
      </c>
      <c r="AQ17" s="147" t="s">
        <v>92</v>
      </c>
      <c r="AR17" s="147" t="s">
        <v>7</v>
      </c>
      <c r="AS17" s="147" t="s">
        <v>92</v>
      </c>
      <c r="AT17" s="147" t="s">
        <v>92</v>
      </c>
      <c r="AU17" s="147" t="s">
        <v>92</v>
      </c>
      <c r="AV17" s="147" t="s">
        <v>327</v>
      </c>
      <c r="AW17" s="147" t="s">
        <v>242</v>
      </c>
      <c r="AX17" s="147" t="s">
        <v>92</v>
      </c>
      <c r="AY17" s="153"/>
      <c r="AZ17" s="147" t="s">
        <v>830</v>
      </c>
      <c r="BA17" s="145" t="s">
        <v>750</v>
      </c>
      <c r="BB17" s="147" t="s">
        <v>7</v>
      </c>
      <c r="BC17" s="147" t="s">
        <v>7</v>
      </c>
      <c r="BD17" s="147" t="s">
        <v>7</v>
      </c>
      <c r="BE17" s="147" t="s">
        <v>7</v>
      </c>
      <c r="BF17" s="147" t="s">
        <v>92</v>
      </c>
      <c r="BG17" s="147" t="s">
        <v>92</v>
      </c>
      <c r="BH17" s="147" t="s">
        <v>92</v>
      </c>
      <c r="BI17" s="147" t="s">
        <v>92</v>
      </c>
      <c r="BJ17" s="147" t="s">
        <v>92</v>
      </c>
      <c r="BK17" s="145">
        <v>0</v>
      </c>
      <c r="BL17" s="145">
        <v>0</v>
      </c>
      <c r="BM17" s="145">
        <v>0</v>
      </c>
      <c r="BN17" s="147" t="s">
        <v>92</v>
      </c>
      <c r="BO17" t="s">
        <v>92</v>
      </c>
      <c r="BP17" s="145">
        <v>0</v>
      </c>
      <c r="BQ17" s="145"/>
      <c r="BR17" s="145"/>
      <c r="BS17" s="147" t="s">
        <v>1105</v>
      </c>
      <c r="BT17" s="147" t="s">
        <v>258</v>
      </c>
      <c r="BU17" s="147" t="s">
        <v>196</v>
      </c>
      <c r="BV17" s="147" t="s">
        <v>15</v>
      </c>
      <c r="BW17" s="147" t="s">
        <v>773</v>
      </c>
      <c r="BX17" s="147" t="s">
        <v>7</v>
      </c>
      <c r="BY17" s="146"/>
      <c r="BZ17" s="146">
        <v>45217</v>
      </c>
      <c r="CA17" s="147" t="s">
        <v>2</v>
      </c>
      <c r="CB17" s="145" t="s">
        <v>750</v>
      </c>
    </row>
    <row r="18" spans="2:80" x14ac:dyDescent="0.25">
      <c r="B18" s="145">
        <v>13</v>
      </c>
      <c r="C18" s="147" t="s">
        <v>92</v>
      </c>
      <c r="D18" s="147" t="s">
        <v>870</v>
      </c>
      <c r="E18" s="147" t="s">
        <v>869</v>
      </c>
      <c r="F18" s="146">
        <v>45217</v>
      </c>
      <c r="G18" s="147" t="s">
        <v>83</v>
      </c>
      <c r="H18" s="147" t="s">
        <v>83</v>
      </c>
      <c r="I18" s="147" t="s">
        <v>409</v>
      </c>
      <c r="J18" s="147" t="s">
        <v>85</v>
      </c>
      <c r="K18" s="145">
        <v>3</v>
      </c>
      <c r="L18" s="147" t="s">
        <v>151</v>
      </c>
      <c r="M18" s="147" t="s">
        <v>999</v>
      </c>
      <c r="N18" s="147" t="s">
        <v>1116</v>
      </c>
      <c r="O18" s="147" t="s">
        <v>999</v>
      </c>
      <c r="P18" s="147" t="s">
        <v>7</v>
      </c>
      <c r="Q18" s="145">
        <v>40</v>
      </c>
      <c r="R18" s="147" t="s">
        <v>115</v>
      </c>
      <c r="S18" s="145">
        <v>100</v>
      </c>
      <c r="T18" s="147" t="s">
        <v>37</v>
      </c>
      <c r="U18" s="147" t="s">
        <v>263</v>
      </c>
      <c r="V18" s="147" t="s">
        <v>7</v>
      </c>
      <c r="W18" s="147" t="s">
        <v>7</v>
      </c>
      <c r="X18" s="147" t="s">
        <v>92</v>
      </c>
      <c r="Y18" s="147" t="s">
        <v>131</v>
      </c>
      <c r="Z18" s="146">
        <v>45225</v>
      </c>
      <c r="AA18" s="146">
        <v>45408</v>
      </c>
      <c r="AB18" s="146">
        <v>46321</v>
      </c>
      <c r="AC18" s="145">
        <v>3</v>
      </c>
      <c r="AD18" s="145">
        <v>21.986999999999998</v>
      </c>
      <c r="AE18" s="145">
        <v>23.486999999999998</v>
      </c>
      <c r="AF18" s="147" t="s">
        <v>92</v>
      </c>
      <c r="AG18" s="147" t="s">
        <v>250</v>
      </c>
      <c r="AH18" s="147" t="s">
        <v>7</v>
      </c>
      <c r="AI18" s="147" t="s">
        <v>92</v>
      </c>
      <c r="AJ18" s="147" t="s">
        <v>870</v>
      </c>
      <c r="AK18" s="147" t="s">
        <v>7</v>
      </c>
      <c r="AL18" s="147" t="s">
        <v>92</v>
      </c>
      <c r="AM18" s="147" t="s">
        <v>7</v>
      </c>
      <c r="AN18" s="147" t="s">
        <v>752</v>
      </c>
      <c r="AO18" s="147" t="s">
        <v>7</v>
      </c>
      <c r="AP18" s="147" t="s">
        <v>92</v>
      </c>
      <c r="AQ18" s="147" t="s">
        <v>92</v>
      </c>
      <c r="AR18" s="147" t="s">
        <v>7</v>
      </c>
      <c r="AS18" s="147" t="s">
        <v>92</v>
      </c>
      <c r="AT18" s="147" t="s">
        <v>92</v>
      </c>
      <c r="AU18" s="147" t="s">
        <v>1003</v>
      </c>
      <c r="AV18" s="147" t="s">
        <v>327</v>
      </c>
      <c r="AW18" s="147" t="s">
        <v>242</v>
      </c>
      <c r="AX18" s="147" t="s">
        <v>92</v>
      </c>
      <c r="AY18" s="153"/>
      <c r="AZ18" s="147" t="s">
        <v>873</v>
      </c>
      <c r="BA18" s="145" t="s">
        <v>750</v>
      </c>
      <c r="BB18" s="147" t="s">
        <v>150</v>
      </c>
      <c r="BC18" s="147" t="s">
        <v>1142</v>
      </c>
      <c r="BD18" s="147" t="s">
        <v>7</v>
      </c>
      <c r="BE18" s="147" t="s">
        <v>7</v>
      </c>
      <c r="BF18" s="147" t="s">
        <v>183</v>
      </c>
      <c r="BG18" s="147" t="s">
        <v>184</v>
      </c>
      <c r="BH18" s="147" t="s">
        <v>1140</v>
      </c>
      <c r="BI18" s="147" t="s">
        <v>1141</v>
      </c>
      <c r="BJ18" s="147" t="s">
        <v>1224</v>
      </c>
      <c r="BK18" s="145">
        <v>1</v>
      </c>
      <c r="BL18" s="145">
        <v>1</v>
      </c>
      <c r="BM18" s="145">
        <v>1</v>
      </c>
      <c r="BN18" s="147" t="s">
        <v>92</v>
      </c>
      <c r="BO18" t="s">
        <v>92</v>
      </c>
      <c r="BP18" s="145">
        <v>23070</v>
      </c>
      <c r="BQ18" s="145" t="s">
        <v>750</v>
      </c>
      <c r="BR18" s="145"/>
      <c r="BS18" s="147" t="s">
        <v>1146</v>
      </c>
      <c r="BT18" s="147" t="s">
        <v>258</v>
      </c>
      <c r="BU18" s="147" t="s">
        <v>196</v>
      </c>
      <c r="BV18" s="147" t="s">
        <v>10</v>
      </c>
      <c r="BW18" s="147" t="s">
        <v>1000</v>
      </c>
      <c r="BX18" s="147" t="s">
        <v>1001</v>
      </c>
      <c r="BY18" s="146"/>
      <c r="BZ18" s="146">
        <v>44169</v>
      </c>
      <c r="CA18" s="147" t="s">
        <v>1</v>
      </c>
      <c r="CB18" s="145" t="s">
        <v>750</v>
      </c>
    </row>
    <row r="19" spans="2:80" x14ac:dyDescent="0.25">
      <c r="B19" s="145">
        <v>12</v>
      </c>
      <c r="C19" s="147" t="s">
        <v>92</v>
      </c>
      <c r="D19" s="147" t="s">
        <v>692</v>
      </c>
      <c r="E19" s="147" t="s">
        <v>831</v>
      </c>
      <c r="F19" s="146">
        <v>45217</v>
      </c>
      <c r="G19" s="147" t="s">
        <v>83</v>
      </c>
      <c r="H19" s="147" t="s">
        <v>837</v>
      </c>
      <c r="I19" s="147" t="s">
        <v>7</v>
      </c>
      <c r="J19" s="147" t="s">
        <v>106</v>
      </c>
      <c r="K19" s="145">
        <v>31.9</v>
      </c>
      <c r="L19" s="147" t="s">
        <v>151</v>
      </c>
      <c r="M19" s="147" t="s">
        <v>1117</v>
      </c>
      <c r="N19" s="147" t="s">
        <v>7</v>
      </c>
      <c r="O19" s="147" t="s">
        <v>7</v>
      </c>
      <c r="P19" s="147" t="s">
        <v>7</v>
      </c>
      <c r="Q19" s="145" t="s">
        <v>7</v>
      </c>
      <c r="R19" s="147" t="s">
        <v>115</v>
      </c>
      <c r="S19" s="145">
        <v>100</v>
      </c>
      <c r="T19" s="147" t="s">
        <v>39</v>
      </c>
      <c r="U19" s="147" t="s">
        <v>110</v>
      </c>
      <c r="V19" s="147" t="s">
        <v>149</v>
      </c>
      <c r="W19" s="147" t="s">
        <v>7</v>
      </c>
      <c r="X19" s="147" t="s">
        <v>92</v>
      </c>
      <c r="Y19" s="147" t="s">
        <v>131</v>
      </c>
      <c r="Z19" s="146">
        <v>45224</v>
      </c>
      <c r="AA19" s="146">
        <v>45407</v>
      </c>
      <c r="AB19" s="146">
        <v>46320</v>
      </c>
      <c r="AC19" s="145">
        <v>4.3380000000000001</v>
      </c>
      <c r="AD19" s="145">
        <v>31.9</v>
      </c>
      <c r="AE19" s="145">
        <v>34.069000000000003</v>
      </c>
      <c r="AF19" s="147" t="s">
        <v>92</v>
      </c>
      <c r="AG19" s="147" t="s">
        <v>832</v>
      </c>
      <c r="AH19" s="147" t="s">
        <v>7</v>
      </c>
      <c r="AI19" s="147" t="s">
        <v>92</v>
      </c>
      <c r="AJ19" s="147" t="s">
        <v>993</v>
      </c>
      <c r="AK19" s="147" t="s">
        <v>692</v>
      </c>
      <c r="AL19" s="147" t="s">
        <v>92</v>
      </c>
      <c r="AM19" s="147" t="s">
        <v>7</v>
      </c>
      <c r="AN19" s="147" t="s">
        <v>92</v>
      </c>
      <c r="AO19" s="147" t="s">
        <v>7</v>
      </c>
      <c r="AP19" s="147" t="s">
        <v>92</v>
      </c>
      <c r="AQ19" s="147" t="s">
        <v>92</v>
      </c>
      <c r="AR19" s="147" t="s">
        <v>7</v>
      </c>
      <c r="AS19" s="147" t="s">
        <v>92</v>
      </c>
      <c r="AT19" s="147" t="s">
        <v>92</v>
      </c>
      <c r="AU19" s="147" t="s">
        <v>92</v>
      </c>
      <c r="AV19" s="147" t="s">
        <v>327</v>
      </c>
      <c r="AW19" s="147" t="s">
        <v>242</v>
      </c>
      <c r="AX19" s="147" t="s">
        <v>92</v>
      </c>
      <c r="AY19" s="153"/>
      <c r="AZ19" s="147" t="s">
        <v>838</v>
      </c>
      <c r="BA19" s="145" t="s">
        <v>750</v>
      </c>
      <c r="BB19" s="147" t="s">
        <v>7</v>
      </c>
      <c r="BC19" s="147" t="s">
        <v>7</v>
      </c>
      <c r="BD19" s="147" t="s">
        <v>7</v>
      </c>
      <c r="BE19" s="147" t="s">
        <v>7</v>
      </c>
      <c r="BF19" s="147" t="s">
        <v>92</v>
      </c>
      <c r="BG19" s="147" t="s">
        <v>92</v>
      </c>
      <c r="BH19" s="147" t="s">
        <v>92</v>
      </c>
      <c r="BI19" s="147" t="s">
        <v>92</v>
      </c>
      <c r="BJ19" s="147" t="s">
        <v>92</v>
      </c>
      <c r="BK19" s="145">
        <v>0</v>
      </c>
      <c r="BL19" s="145">
        <v>0</v>
      </c>
      <c r="BM19" s="145">
        <v>0</v>
      </c>
      <c r="BN19" s="147" t="s">
        <v>92</v>
      </c>
      <c r="BO19" t="s">
        <v>92</v>
      </c>
      <c r="BP19" s="145">
        <v>0</v>
      </c>
      <c r="BQ19" s="145"/>
      <c r="BR19" s="145"/>
      <c r="BS19" s="147" t="s">
        <v>1107</v>
      </c>
      <c r="BT19" s="147" t="s">
        <v>260</v>
      </c>
      <c r="BU19" s="147" t="s">
        <v>194</v>
      </c>
      <c r="BV19" s="147" t="s">
        <v>144</v>
      </c>
      <c r="BW19" s="147" t="s">
        <v>988</v>
      </c>
      <c r="BX19" s="147" t="s">
        <v>7</v>
      </c>
      <c r="BY19" s="146"/>
      <c r="BZ19" s="146">
        <v>34298</v>
      </c>
      <c r="CA19" s="147" t="s">
        <v>3</v>
      </c>
      <c r="CB19" s="145" t="s">
        <v>750</v>
      </c>
    </row>
    <row r="20" spans="2:80" x14ac:dyDescent="0.25">
      <c r="B20" s="145">
        <v>11</v>
      </c>
      <c r="C20" s="147" t="s">
        <v>92</v>
      </c>
      <c r="D20" s="147" t="s">
        <v>847</v>
      </c>
      <c r="E20" s="147" t="s">
        <v>846</v>
      </c>
      <c r="F20" s="146">
        <v>45217</v>
      </c>
      <c r="G20" s="147" t="s">
        <v>1176</v>
      </c>
      <c r="H20" s="147" t="s">
        <v>464</v>
      </c>
      <c r="I20" s="147" t="s">
        <v>552</v>
      </c>
      <c r="J20" s="147" t="s">
        <v>85</v>
      </c>
      <c r="K20" s="145">
        <v>5</v>
      </c>
      <c r="L20" s="147" t="s">
        <v>151</v>
      </c>
      <c r="M20" s="147" t="s">
        <v>969</v>
      </c>
      <c r="N20" s="147" t="s">
        <v>1123</v>
      </c>
      <c r="O20" s="147" t="s">
        <v>1124</v>
      </c>
      <c r="P20" s="147" t="s">
        <v>7</v>
      </c>
      <c r="Q20" s="145" t="s">
        <v>7</v>
      </c>
      <c r="R20" s="147" t="s">
        <v>1122</v>
      </c>
      <c r="S20" s="145">
        <v>99.816999999999993</v>
      </c>
      <c r="T20" s="147" t="s">
        <v>37</v>
      </c>
      <c r="U20" s="147" t="s">
        <v>1120</v>
      </c>
      <c r="V20" s="147" t="s">
        <v>149</v>
      </c>
      <c r="W20" s="147" t="s">
        <v>7</v>
      </c>
      <c r="X20" s="147" t="s">
        <v>92</v>
      </c>
      <c r="Y20" s="147" t="s">
        <v>131</v>
      </c>
      <c r="Z20" s="146">
        <v>45224</v>
      </c>
      <c r="AA20" s="146">
        <v>45407</v>
      </c>
      <c r="AB20" s="146">
        <v>46320</v>
      </c>
      <c r="AC20" s="145">
        <v>5</v>
      </c>
      <c r="AD20" s="145">
        <v>36.645000000000003</v>
      </c>
      <c r="AE20" s="145">
        <v>39.145000000000003</v>
      </c>
      <c r="AF20" s="147" t="s">
        <v>92</v>
      </c>
      <c r="AG20" s="147" t="s">
        <v>250</v>
      </c>
      <c r="AH20" s="147" t="s">
        <v>7</v>
      </c>
      <c r="AI20" s="147" t="s">
        <v>1121</v>
      </c>
      <c r="AJ20" s="147" t="s">
        <v>968</v>
      </c>
      <c r="AK20" s="147" t="s">
        <v>7</v>
      </c>
      <c r="AL20" s="147" t="s">
        <v>92</v>
      </c>
      <c r="AM20" s="147" t="s">
        <v>7</v>
      </c>
      <c r="AN20" s="147" t="s">
        <v>752</v>
      </c>
      <c r="AO20" s="147" t="s">
        <v>7</v>
      </c>
      <c r="AP20" s="147" t="s">
        <v>92</v>
      </c>
      <c r="AQ20" s="147" t="s">
        <v>92</v>
      </c>
      <c r="AR20" s="147" t="s">
        <v>7</v>
      </c>
      <c r="AS20" s="147" t="s">
        <v>92</v>
      </c>
      <c r="AT20" s="147" t="s">
        <v>92</v>
      </c>
      <c r="AU20" s="147" t="s">
        <v>957</v>
      </c>
      <c r="AV20" s="147" t="s">
        <v>327</v>
      </c>
      <c r="AW20" s="147" t="s">
        <v>242</v>
      </c>
      <c r="AX20" s="147" t="s">
        <v>92</v>
      </c>
      <c r="AY20" s="153"/>
      <c r="AZ20" s="147" t="s">
        <v>850</v>
      </c>
      <c r="BA20" s="145" t="s">
        <v>750</v>
      </c>
      <c r="BB20" s="147" t="s">
        <v>7</v>
      </c>
      <c r="BC20" s="147" t="s">
        <v>7</v>
      </c>
      <c r="BD20" s="147" t="s">
        <v>7</v>
      </c>
      <c r="BE20" s="147" t="s">
        <v>7</v>
      </c>
      <c r="BF20" s="147" t="s">
        <v>92</v>
      </c>
      <c r="BG20" s="147" t="s">
        <v>92</v>
      </c>
      <c r="BH20" s="147" t="s">
        <v>92</v>
      </c>
      <c r="BI20" s="147" t="s">
        <v>92</v>
      </c>
      <c r="BJ20" s="147" t="s">
        <v>92</v>
      </c>
      <c r="BK20" s="145">
        <v>0</v>
      </c>
      <c r="BL20" s="145">
        <v>0</v>
      </c>
      <c r="BM20" s="145">
        <v>0</v>
      </c>
      <c r="BN20" s="147" t="s">
        <v>92</v>
      </c>
      <c r="BO20" t="s">
        <v>92</v>
      </c>
      <c r="BP20" s="145">
        <v>0</v>
      </c>
      <c r="BQ20" s="145"/>
      <c r="BR20" s="145"/>
      <c r="BS20" s="147" t="s">
        <v>92</v>
      </c>
      <c r="BT20" s="147" t="s">
        <v>92</v>
      </c>
      <c r="BU20" s="147" t="s">
        <v>92</v>
      </c>
      <c r="BV20" s="147" t="s">
        <v>92</v>
      </c>
      <c r="BW20" s="147" t="s">
        <v>7</v>
      </c>
      <c r="BX20" s="147" t="s">
        <v>7</v>
      </c>
      <c r="BY20" s="146"/>
      <c r="BZ20" s="146"/>
      <c r="CA20" s="147" t="s">
        <v>92</v>
      </c>
      <c r="CB20" s="145"/>
    </row>
    <row r="21" spans="2:80" x14ac:dyDescent="0.25">
      <c r="B21" s="145">
        <v>10</v>
      </c>
      <c r="C21" s="147" t="s">
        <v>92</v>
      </c>
      <c r="D21" s="147" t="s">
        <v>847</v>
      </c>
      <c r="E21" s="147" t="s">
        <v>851</v>
      </c>
      <c r="F21" s="146">
        <v>45217</v>
      </c>
      <c r="G21" s="147" t="s">
        <v>1176</v>
      </c>
      <c r="H21" s="147" t="s">
        <v>464</v>
      </c>
      <c r="I21" s="147" t="s">
        <v>552</v>
      </c>
      <c r="J21" s="147" t="s">
        <v>85</v>
      </c>
      <c r="K21" s="145">
        <v>10</v>
      </c>
      <c r="L21" s="147" t="s">
        <v>151</v>
      </c>
      <c r="M21" s="147" t="s">
        <v>476</v>
      </c>
      <c r="N21" s="147" t="s">
        <v>477</v>
      </c>
      <c r="O21" s="147" t="s">
        <v>476</v>
      </c>
      <c r="P21" s="147" t="s">
        <v>476</v>
      </c>
      <c r="Q21" s="145">
        <v>45</v>
      </c>
      <c r="R21" s="147" t="s">
        <v>1126</v>
      </c>
      <c r="S21" s="145">
        <v>100</v>
      </c>
      <c r="T21" s="147" t="s">
        <v>37</v>
      </c>
      <c r="U21" s="147" t="s">
        <v>1120</v>
      </c>
      <c r="V21" s="147" t="s">
        <v>7</v>
      </c>
      <c r="W21" s="147" t="s">
        <v>7</v>
      </c>
      <c r="X21" s="147" t="s">
        <v>92</v>
      </c>
      <c r="Y21" s="147" t="s">
        <v>983</v>
      </c>
      <c r="Z21" s="146">
        <v>45224</v>
      </c>
      <c r="AA21" s="146">
        <v>45316</v>
      </c>
      <c r="AB21" s="146">
        <v>46320</v>
      </c>
      <c r="AC21" s="145">
        <v>10</v>
      </c>
      <c r="AD21" s="145">
        <v>73.290000000000006</v>
      </c>
      <c r="AE21" s="145">
        <v>78.290000000000006</v>
      </c>
      <c r="AF21" s="147" t="s">
        <v>92</v>
      </c>
      <c r="AG21" s="147" t="s">
        <v>250</v>
      </c>
      <c r="AH21" s="147" t="s">
        <v>7</v>
      </c>
      <c r="AI21" s="147" t="s">
        <v>1125</v>
      </c>
      <c r="AJ21" s="147" t="s">
        <v>978</v>
      </c>
      <c r="AK21" s="147" t="s">
        <v>7</v>
      </c>
      <c r="AL21" s="147" t="s">
        <v>92</v>
      </c>
      <c r="AM21" s="147" t="s">
        <v>7</v>
      </c>
      <c r="AN21" s="147" t="s">
        <v>752</v>
      </c>
      <c r="AO21" s="147" t="s">
        <v>1127</v>
      </c>
      <c r="AP21" s="147" t="s">
        <v>92</v>
      </c>
      <c r="AQ21" s="147" t="s">
        <v>92</v>
      </c>
      <c r="AR21" s="147" t="s">
        <v>7</v>
      </c>
      <c r="AS21" s="147" t="s">
        <v>92</v>
      </c>
      <c r="AT21" s="147" t="s">
        <v>92</v>
      </c>
      <c r="AU21" s="147" t="s">
        <v>947</v>
      </c>
      <c r="AV21" s="147" t="s">
        <v>327</v>
      </c>
      <c r="AW21" s="147" t="s">
        <v>242</v>
      </c>
      <c r="AX21" s="147" t="s">
        <v>92</v>
      </c>
      <c r="AY21" s="153"/>
      <c r="AZ21" s="147" t="s">
        <v>853</v>
      </c>
      <c r="BA21" s="145" t="s">
        <v>750</v>
      </c>
      <c r="BB21" s="147" t="s">
        <v>7</v>
      </c>
      <c r="BC21" s="147" t="s">
        <v>7</v>
      </c>
      <c r="BD21" s="147" t="s">
        <v>7</v>
      </c>
      <c r="BE21" s="147" t="s">
        <v>7</v>
      </c>
      <c r="BF21" s="147" t="s">
        <v>92</v>
      </c>
      <c r="BG21" s="147" t="s">
        <v>92</v>
      </c>
      <c r="BH21" s="147" t="s">
        <v>92</v>
      </c>
      <c r="BI21" s="147" t="s">
        <v>92</v>
      </c>
      <c r="BJ21" s="147" t="s">
        <v>92</v>
      </c>
      <c r="BK21" s="145">
        <v>0</v>
      </c>
      <c r="BL21" s="145">
        <v>0</v>
      </c>
      <c r="BM21" s="145">
        <v>0</v>
      </c>
      <c r="BN21" s="147" t="s">
        <v>92</v>
      </c>
      <c r="BO21" t="s">
        <v>92</v>
      </c>
      <c r="BP21" s="145">
        <v>0</v>
      </c>
      <c r="BQ21" s="145"/>
      <c r="BR21" s="145"/>
      <c r="BS21" s="147" t="s">
        <v>92</v>
      </c>
      <c r="BT21" s="147" t="s">
        <v>92</v>
      </c>
      <c r="BU21" s="147" t="s">
        <v>92</v>
      </c>
      <c r="BV21" s="147" t="s">
        <v>92</v>
      </c>
      <c r="BW21" s="147" t="s">
        <v>7</v>
      </c>
      <c r="BX21" s="147" t="s">
        <v>7</v>
      </c>
      <c r="BY21" s="146"/>
      <c r="BZ21" s="146"/>
      <c r="CA21" s="147" t="s">
        <v>92</v>
      </c>
      <c r="CB21" s="145"/>
    </row>
    <row r="22" spans="2:80" x14ac:dyDescent="0.25">
      <c r="B22" s="145">
        <v>9</v>
      </c>
      <c r="C22" s="147" t="s">
        <v>92</v>
      </c>
      <c r="D22" s="147" t="s">
        <v>847</v>
      </c>
      <c r="E22" s="147" t="s">
        <v>854</v>
      </c>
      <c r="F22" s="146">
        <v>45217</v>
      </c>
      <c r="G22" s="147" t="s">
        <v>1176</v>
      </c>
      <c r="H22" s="147" t="s">
        <v>464</v>
      </c>
      <c r="I22" s="147" t="s">
        <v>552</v>
      </c>
      <c r="J22" s="147" t="s">
        <v>111</v>
      </c>
      <c r="K22" s="145">
        <v>3</v>
      </c>
      <c r="L22" s="147" t="s">
        <v>151</v>
      </c>
      <c r="M22" s="147" t="s">
        <v>959</v>
      </c>
      <c r="N22" s="147" t="s">
        <v>1129</v>
      </c>
      <c r="O22" s="147" t="s">
        <v>1144</v>
      </c>
      <c r="P22" s="147" t="s">
        <v>1144</v>
      </c>
      <c r="Q22" s="145">
        <v>20</v>
      </c>
      <c r="R22" s="147" t="s">
        <v>1145</v>
      </c>
      <c r="S22" s="145">
        <v>99.745999999999995</v>
      </c>
      <c r="T22" s="147" t="s">
        <v>37</v>
      </c>
      <c r="U22" s="147" t="s">
        <v>1120</v>
      </c>
      <c r="V22" s="147" t="s">
        <v>149</v>
      </c>
      <c r="W22" s="147" t="s">
        <v>7</v>
      </c>
      <c r="X22" s="147" t="s">
        <v>92</v>
      </c>
      <c r="Y22" s="147" t="s">
        <v>545</v>
      </c>
      <c r="Z22" s="146">
        <v>45224</v>
      </c>
      <c r="AA22" s="146">
        <v>45590</v>
      </c>
      <c r="AB22" s="146">
        <v>46320</v>
      </c>
      <c r="AC22" s="145">
        <v>3.1589999999999998</v>
      </c>
      <c r="AD22" s="145">
        <v>23.154</v>
      </c>
      <c r="AE22" s="145">
        <v>24.734999999999999</v>
      </c>
      <c r="AF22" s="147" t="s">
        <v>92</v>
      </c>
      <c r="AG22" s="147" t="s">
        <v>250</v>
      </c>
      <c r="AH22" s="147" t="s">
        <v>7</v>
      </c>
      <c r="AI22" s="147" t="s">
        <v>1128</v>
      </c>
      <c r="AJ22" s="147" t="s">
        <v>958</v>
      </c>
      <c r="AK22" s="147" t="s">
        <v>7</v>
      </c>
      <c r="AL22" s="147" t="s">
        <v>92</v>
      </c>
      <c r="AM22" s="147" t="s">
        <v>7</v>
      </c>
      <c r="AN22" s="147" t="s">
        <v>752</v>
      </c>
      <c r="AO22" s="147" t="s">
        <v>7</v>
      </c>
      <c r="AP22" s="147" t="s">
        <v>92</v>
      </c>
      <c r="AQ22" s="147" t="s">
        <v>92</v>
      </c>
      <c r="AR22" s="147" t="s">
        <v>7</v>
      </c>
      <c r="AS22" s="147" t="s">
        <v>92</v>
      </c>
      <c r="AT22" s="147" t="s">
        <v>92</v>
      </c>
      <c r="AU22" s="147" t="s">
        <v>957</v>
      </c>
      <c r="AV22" s="147" t="s">
        <v>327</v>
      </c>
      <c r="AW22" s="147" t="s">
        <v>242</v>
      </c>
      <c r="AX22" s="147" t="s">
        <v>92</v>
      </c>
      <c r="AY22" s="153"/>
      <c r="AZ22" s="147" t="s">
        <v>856</v>
      </c>
      <c r="BA22" s="145" t="s">
        <v>750</v>
      </c>
      <c r="BB22" s="147" t="s">
        <v>7</v>
      </c>
      <c r="BC22" s="147" t="s">
        <v>7</v>
      </c>
      <c r="BD22" s="147" t="s">
        <v>7</v>
      </c>
      <c r="BE22" s="147" t="s">
        <v>7</v>
      </c>
      <c r="BF22" s="147" t="s">
        <v>92</v>
      </c>
      <c r="BG22" s="147" t="s">
        <v>92</v>
      </c>
      <c r="BH22" s="147" t="s">
        <v>92</v>
      </c>
      <c r="BI22" s="147" t="s">
        <v>92</v>
      </c>
      <c r="BJ22" s="147" t="s">
        <v>92</v>
      </c>
      <c r="BK22" s="145">
        <v>0</v>
      </c>
      <c r="BL22" s="145">
        <v>0</v>
      </c>
      <c r="BM22" s="145">
        <v>0</v>
      </c>
      <c r="BN22" s="147" t="s">
        <v>92</v>
      </c>
      <c r="BO22" t="s">
        <v>92</v>
      </c>
      <c r="BP22" s="145">
        <v>0</v>
      </c>
      <c r="BQ22" s="145"/>
      <c r="BR22" s="145"/>
      <c r="BS22" s="147" t="s">
        <v>92</v>
      </c>
      <c r="BT22" s="147" t="s">
        <v>92</v>
      </c>
      <c r="BU22" s="147" t="s">
        <v>92</v>
      </c>
      <c r="BV22" s="147" t="s">
        <v>92</v>
      </c>
      <c r="BW22" s="147" t="s">
        <v>7</v>
      </c>
      <c r="BX22" s="147" t="s">
        <v>7</v>
      </c>
      <c r="BY22" s="146"/>
      <c r="BZ22" s="146"/>
      <c r="CA22" s="147" t="s">
        <v>92</v>
      </c>
      <c r="CB22" s="145"/>
    </row>
    <row r="23" spans="2:80" x14ac:dyDescent="0.25">
      <c r="B23" s="145">
        <v>8</v>
      </c>
      <c r="C23" s="147" t="s">
        <v>92</v>
      </c>
      <c r="D23" s="147" t="s">
        <v>847</v>
      </c>
      <c r="E23" s="147" t="s">
        <v>857</v>
      </c>
      <c r="F23" s="146">
        <v>45217</v>
      </c>
      <c r="G23" s="147" t="s">
        <v>1176</v>
      </c>
      <c r="H23" s="147" t="s">
        <v>464</v>
      </c>
      <c r="I23" s="147" t="s">
        <v>552</v>
      </c>
      <c r="J23" s="147" t="s">
        <v>106</v>
      </c>
      <c r="K23" s="145">
        <v>16</v>
      </c>
      <c r="L23" s="147" t="s">
        <v>576</v>
      </c>
      <c r="M23" s="147" t="s">
        <v>1132</v>
      </c>
      <c r="N23" s="147" t="s">
        <v>1131</v>
      </c>
      <c r="O23" s="147" t="s">
        <v>1132</v>
      </c>
      <c r="P23" s="147" t="s">
        <v>7</v>
      </c>
      <c r="Q23" s="145">
        <v>35</v>
      </c>
      <c r="R23" s="147" t="s">
        <v>115</v>
      </c>
      <c r="S23" s="145">
        <v>100</v>
      </c>
      <c r="T23" s="147" t="s">
        <v>37</v>
      </c>
      <c r="U23" s="147" t="s">
        <v>1120</v>
      </c>
      <c r="V23" s="147" t="s">
        <v>149</v>
      </c>
      <c r="W23" s="147" t="s">
        <v>7</v>
      </c>
      <c r="X23" s="147" t="s">
        <v>92</v>
      </c>
      <c r="Y23" s="147" t="s">
        <v>131</v>
      </c>
      <c r="Z23" s="146">
        <v>45224</v>
      </c>
      <c r="AA23" s="146">
        <v>45407</v>
      </c>
      <c r="AB23" s="146">
        <v>45955</v>
      </c>
      <c r="AC23" s="145">
        <v>2.1760000000000002</v>
      </c>
      <c r="AD23" s="145">
        <v>16</v>
      </c>
      <c r="AE23" s="145">
        <v>17.088000000000001</v>
      </c>
      <c r="AF23" s="147" t="s">
        <v>92</v>
      </c>
      <c r="AG23" s="147" t="s">
        <v>250</v>
      </c>
      <c r="AH23" s="147" t="s">
        <v>7</v>
      </c>
      <c r="AI23" s="147" t="s">
        <v>1130</v>
      </c>
      <c r="AJ23" s="147" t="s">
        <v>949</v>
      </c>
      <c r="AK23" s="147" t="s">
        <v>7</v>
      </c>
      <c r="AL23" s="147" t="s">
        <v>92</v>
      </c>
      <c r="AM23" s="147" t="s">
        <v>7</v>
      </c>
      <c r="AN23" s="147" t="s">
        <v>752</v>
      </c>
      <c r="AO23" s="147" t="s">
        <v>7</v>
      </c>
      <c r="AP23" s="147" t="s">
        <v>92</v>
      </c>
      <c r="AQ23" s="147" t="s">
        <v>92</v>
      </c>
      <c r="AR23" s="147" t="s">
        <v>7</v>
      </c>
      <c r="AS23" s="147" t="s">
        <v>92</v>
      </c>
      <c r="AT23" s="147" t="s">
        <v>92</v>
      </c>
      <c r="AU23" s="147" t="s">
        <v>947</v>
      </c>
      <c r="AV23" s="147" t="s">
        <v>327</v>
      </c>
      <c r="AW23" s="147" t="s">
        <v>242</v>
      </c>
      <c r="AX23" s="147" t="s">
        <v>92</v>
      </c>
      <c r="AY23" s="153"/>
      <c r="AZ23" s="147" t="s">
        <v>860</v>
      </c>
      <c r="BA23" s="145" t="s">
        <v>750</v>
      </c>
      <c r="BB23" s="147" t="s">
        <v>7</v>
      </c>
      <c r="BC23" s="147" t="s">
        <v>7</v>
      </c>
      <c r="BD23" s="147" t="s">
        <v>7</v>
      </c>
      <c r="BE23" s="147" t="s">
        <v>7</v>
      </c>
      <c r="BF23" s="147" t="s">
        <v>92</v>
      </c>
      <c r="BG23" s="147" t="s">
        <v>92</v>
      </c>
      <c r="BH23" s="147" t="s">
        <v>92</v>
      </c>
      <c r="BI23" s="147" t="s">
        <v>92</v>
      </c>
      <c r="BJ23" s="147" t="s">
        <v>92</v>
      </c>
      <c r="BK23" s="145">
        <v>0</v>
      </c>
      <c r="BL23" s="145">
        <v>0</v>
      </c>
      <c r="BM23" s="145">
        <v>0</v>
      </c>
      <c r="BN23" s="147" t="s">
        <v>92</v>
      </c>
      <c r="BO23" t="s">
        <v>92</v>
      </c>
      <c r="BP23" s="145">
        <v>0</v>
      </c>
      <c r="BQ23" s="145"/>
      <c r="BR23" s="145"/>
      <c r="BS23" s="147" t="s">
        <v>92</v>
      </c>
      <c r="BT23" s="147" t="s">
        <v>92</v>
      </c>
      <c r="BU23" s="147" t="s">
        <v>92</v>
      </c>
      <c r="BV23" s="147" t="s">
        <v>92</v>
      </c>
      <c r="BW23" s="147" t="s">
        <v>7</v>
      </c>
      <c r="BX23" s="147" t="s">
        <v>7</v>
      </c>
      <c r="BY23" s="146"/>
      <c r="BZ23" s="146"/>
      <c r="CA23" s="147" t="s">
        <v>92</v>
      </c>
      <c r="CB23" s="145"/>
    </row>
    <row r="24" spans="2:80" x14ac:dyDescent="0.25">
      <c r="B24" s="145">
        <v>7</v>
      </c>
      <c r="C24" s="147" t="s">
        <v>765</v>
      </c>
      <c r="D24" s="147" t="s">
        <v>753</v>
      </c>
      <c r="E24" s="147" t="s">
        <v>821</v>
      </c>
      <c r="F24" s="146">
        <v>45217</v>
      </c>
      <c r="G24" s="147" t="s">
        <v>83</v>
      </c>
      <c r="H24" s="147" t="s">
        <v>92</v>
      </c>
      <c r="I24" s="147" t="s">
        <v>7</v>
      </c>
      <c r="J24" s="147" t="s">
        <v>106</v>
      </c>
      <c r="K24" s="145">
        <v>0.25700000000000001</v>
      </c>
      <c r="L24" s="147" t="s">
        <v>560</v>
      </c>
      <c r="M24" s="147" t="s">
        <v>92</v>
      </c>
      <c r="N24" s="147" t="s">
        <v>7</v>
      </c>
      <c r="O24" s="147" t="s">
        <v>7</v>
      </c>
      <c r="P24" s="147" t="s">
        <v>7</v>
      </c>
      <c r="Q24" s="145" t="s">
        <v>7</v>
      </c>
      <c r="R24" s="147" t="s">
        <v>92</v>
      </c>
      <c r="S24" s="145"/>
      <c r="T24" s="147" t="s">
        <v>92</v>
      </c>
      <c r="U24" s="147" t="s">
        <v>7</v>
      </c>
      <c r="V24" s="147" t="s">
        <v>7</v>
      </c>
      <c r="W24" s="147" t="s">
        <v>7</v>
      </c>
      <c r="X24" s="147" t="s">
        <v>92</v>
      </c>
      <c r="Y24" s="147" t="s">
        <v>92</v>
      </c>
      <c r="Z24" s="146"/>
      <c r="AA24" s="146"/>
      <c r="AB24" s="146"/>
      <c r="AC24" s="145">
        <v>3.5000000000000003E-2</v>
      </c>
      <c r="AD24" s="145"/>
      <c r="AE24" s="145"/>
      <c r="AF24" s="147" t="s">
        <v>92</v>
      </c>
      <c r="AG24" s="147" t="s">
        <v>92</v>
      </c>
      <c r="AH24" s="147" t="s">
        <v>7</v>
      </c>
      <c r="AI24" s="147" t="s">
        <v>92</v>
      </c>
      <c r="AJ24" s="147" t="s">
        <v>92</v>
      </c>
      <c r="AK24" s="147" t="s">
        <v>7</v>
      </c>
      <c r="AL24" s="147" t="s">
        <v>92</v>
      </c>
      <c r="AM24" s="147" t="s">
        <v>7</v>
      </c>
      <c r="AN24" s="147" t="s">
        <v>92</v>
      </c>
      <c r="AO24" s="147" t="s">
        <v>92</v>
      </c>
      <c r="AP24" s="147" t="s">
        <v>92</v>
      </c>
      <c r="AQ24" s="147" t="s">
        <v>92</v>
      </c>
      <c r="AR24" s="147" t="s">
        <v>7</v>
      </c>
      <c r="AS24" s="147" t="s">
        <v>92</v>
      </c>
      <c r="AT24" s="147" t="s">
        <v>92</v>
      </c>
      <c r="AU24" s="147" t="s">
        <v>92</v>
      </c>
      <c r="AV24" s="147" t="s">
        <v>92</v>
      </c>
      <c r="AW24" s="147" t="s">
        <v>92</v>
      </c>
      <c r="AX24" s="147" t="s">
        <v>92</v>
      </c>
      <c r="AY24" s="153"/>
      <c r="AZ24" s="147" t="s">
        <v>823</v>
      </c>
      <c r="BA24" s="145"/>
      <c r="BB24" s="147" t="s">
        <v>7</v>
      </c>
      <c r="BC24" s="147" t="s">
        <v>7</v>
      </c>
      <c r="BD24" s="147" t="s">
        <v>7</v>
      </c>
      <c r="BE24" s="147" t="s">
        <v>7</v>
      </c>
      <c r="BF24" s="147" t="s">
        <v>92</v>
      </c>
      <c r="BG24" s="147" t="s">
        <v>92</v>
      </c>
      <c r="BH24" s="147" t="s">
        <v>92</v>
      </c>
      <c r="BI24" s="147" t="s">
        <v>92</v>
      </c>
      <c r="BJ24" s="147" t="s">
        <v>92</v>
      </c>
      <c r="BK24" s="145">
        <v>0</v>
      </c>
      <c r="BL24" s="145">
        <v>0</v>
      </c>
      <c r="BM24" s="145">
        <v>0</v>
      </c>
      <c r="BN24" s="147" t="s">
        <v>92</v>
      </c>
      <c r="BO24" t="s">
        <v>92</v>
      </c>
      <c r="BP24" s="145">
        <v>0</v>
      </c>
      <c r="BQ24" s="145"/>
      <c r="BR24" s="145" t="s">
        <v>750</v>
      </c>
      <c r="BS24" s="147" t="s">
        <v>92</v>
      </c>
      <c r="BT24" s="147" t="s">
        <v>92</v>
      </c>
      <c r="BU24" s="147" t="s">
        <v>92</v>
      </c>
      <c r="BV24" s="147" t="s">
        <v>92</v>
      </c>
      <c r="BW24" s="147" t="s">
        <v>7</v>
      </c>
      <c r="BX24" s="147" t="s">
        <v>7</v>
      </c>
      <c r="BY24" s="146"/>
      <c r="BZ24" s="146"/>
      <c r="CA24" s="147" t="s">
        <v>92</v>
      </c>
      <c r="CB24" s="145"/>
    </row>
    <row r="25" spans="2:80" x14ac:dyDescent="0.25">
      <c r="B25" s="145">
        <v>6</v>
      </c>
      <c r="C25" s="147" t="s">
        <v>92</v>
      </c>
      <c r="D25" s="147" t="s">
        <v>879</v>
      </c>
      <c r="E25" s="147" t="s">
        <v>878</v>
      </c>
      <c r="F25" s="146">
        <v>45216</v>
      </c>
      <c r="G25" s="147" t="s">
        <v>83</v>
      </c>
      <c r="H25" s="147" t="s">
        <v>83</v>
      </c>
      <c r="I25" s="147" t="s">
        <v>409</v>
      </c>
      <c r="J25" s="147" t="s">
        <v>106</v>
      </c>
      <c r="K25" s="145">
        <v>4.5</v>
      </c>
      <c r="L25" s="147" t="s">
        <v>151</v>
      </c>
      <c r="M25" s="147" t="s">
        <v>1135</v>
      </c>
      <c r="N25" s="147" t="s">
        <v>7</v>
      </c>
      <c r="O25" s="147" t="s">
        <v>7</v>
      </c>
      <c r="P25" s="147" t="s">
        <v>7</v>
      </c>
      <c r="Q25" s="145" t="s">
        <v>7</v>
      </c>
      <c r="R25" s="147" t="s">
        <v>115</v>
      </c>
      <c r="S25" s="145">
        <v>100</v>
      </c>
      <c r="T25" s="147" t="s">
        <v>37</v>
      </c>
      <c r="U25" s="147" t="s">
        <v>251</v>
      </c>
      <c r="V25" s="147" t="s">
        <v>7</v>
      </c>
      <c r="W25" s="147" t="s">
        <v>7</v>
      </c>
      <c r="X25" s="147" t="s">
        <v>92</v>
      </c>
      <c r="Y25" s="147" t="s">
        <v>131</v>
      </c>
      <c r="Z25" s="146">
        <v>45223</v>
      </c>
      <c r="AA25" s="146">
        <v>45406</v>
      </c>
      <c r="AB25" s="146">
        <v>46319</v>
      </c>
      <c r="AC25" s="145">
        <v>0.61599999999999999</v>
      </c>
      <c r="AD25" s="145">
        <v>4.5</v>
      </c>
      <c r="AE25" s="145">
        <v>4.8099999999999996</v>
      </c>
      <c r="AF25" s="147" t="s">
        <v>92</v>
      </c>
      <c r="AG25" s="147" t="s">
        <v>250</v>
      </c>
      <c r="AH25" s="147" t="s">
        <v>7</v>
      </c>
      <c r="AI25" s="147" t="s">
        <v>92</v>
      </c>
      <c r="AJ25" s="147" t="s">
        <v>879</v>
      </c>
      <c r="AK25" s="147" t="s">
        <v>7</v>
      </c>
      <c r="AL25" s="147" t="s">
        <v>92</v>
      </c>
      <c r="AM25" s="147" t="s">
        <v>7</v>
      </c>
      <c r="AN25" s="147" t="s">
        <v>92</v>
      </c>
      <c r="AO25" s="147" t="s">
        <v>7</v>
      </c>
      <c r="AP25" s="147" t="s">
        <v>92</v>
      </c>
      <c r="AQ25" s="147" t="s">
        <v>92</v>
      </c>
      <c r="AR25" s="147" t="s">
        <v>7</v>
      </c>
      <c r="AS25" s="147" t="s">
        <v>92</v>
      </c>
      <c r="AT25" s="147" t="s">
        <v>92</v>
      </c>
      <c r="AU25" s="147" t="s">
        <v>1058</v>
      </c>
      <c r="AV25" s="147" t="s">
        <v>327</v>
      </c>
      <c r="AW25" s="147" t="s">
        <v>242</v>
      </c>
      <c r="AX25" s="147" t="s">
        <v>92</v>
      </c>
      <c r="AY25" s="153"/>
      <c r="AZ25" s="147" t="s">
        <v>883</v>
      </c>
      <c r="BA25" s="145" t="s">
        <v>750</v>
      </c>
      <c r="BB25" s="147" t="s">
        <v>7</v>
      </c>
      <c r="BC25" s="147" t="s">
        <v>7</v>
      </c>
      <c r="BD25" s="147" t="s">
        <v>7</v>
      </c>
      <c r="BE25" s="147" t="s">
        <v>7</v>
      </c>
      <c r="BF25" s="147" t="s">
        <v>92</v>
      </c>
      <c r="BG25" s="147" t="s">
        <v>92</v>
      </c>
      <c r="BH25" s="147" t="s">
        <v>92</v>
      </c>
      <c r="BI25" s="147" t="s">
        <v>92</v>
      </c>
      <c r="BJ25" s="147" t="s">
        <v>92</v>
      </c>
      <c r="BK25" s="145">
        <v>0</v>
      </c>
      <c r="BL25" s="145">
        <v>0</v>
      </c>
      <c r="BM25" s="145">
        <v>0</v>
      </c>
      <c r="BN25" s="147" t="s">
        <v>92</v>
      </c>
      <c r="BO25" t="s">
        <v>92</v>
      </c>
      <c r="BP25" s="145">
        <v>0</v>
      </c>
      <c r="BQ25" s="145"/>
      <c r="BR25" s="145"/>
      <c r="BS25" s="147" t="s">
        <v>1108</v>
      </c>
      <c r="BT25" s="147" t="s">
        <v>258</v>
      </c>
      <c r="BU25" s="147" t="s">
        <v>196</v>
      </c>
      <c r="BV25" s="147" t="s">
        <v>17</v>
      </c>
      <c r="BW25" s="147" t="s">
        <v>1055</v>
      </c>
      <c r="BX25" s="147" t="s">
        <v>1056</v>
      </c>
      <c r="BY25" s="146"/>
      <c r="BZ25" s="146">
        <v>45216</v>
      </c>
      <c r="CA25" s="147" t="s">
        <v>1</v>
      </c>
      <c r="CB25" s="145" t="s">
        <v>750</v>
      </c>
    </row>
    <row r="26" spans="2:80" x14ac:dyDescent="0.25">
      <c r="B26" s="145">
        <v>5</v>
      </c>
      <c r="C26" s="147" t="s">
        <v>92</v>
      </c>
      <c r="D26" s="147" t="s">
        <v>885</v>
      </c>
      <c r="E26" s="147" t="s">
        <v>884</v>
      </c>
      <c r="F26" s="146">
        <v>45216</v>
      </c>
      <c r="G26" s="147" t="s">
        <v>83</v>
      </c>
      <c r="H26" s="147" t="s">
        <v>83</v>
      </c>
      <c r="I26" s="147" t="s">
        <v>548</v>
      </c>
      <c r="J26" s="147" t="s">
        <v>262</v>
      </c>
      <c r="K26" s="145">
        <v>45</v>
      </c>
      <c r="L26" s="147" t="s">
        <v>151</v>
      </c>
      <c r="M26" s="147" t="s">
        <v>1044</v>
      </c>
      <c r="N26" s="147" t="s">
        <v>1136</v>
      </c>
      <c r="O26" s="147" t="s">
        <v>1044</v>
      </c>
      <c r="P26" s="147" t="s">
        <v>7</v>
      </c>
      <c r="Q26" s="145">
        <v>15</v>
      </c>
      <c r="R26" s="147" t="s">
        <v>115</v>
      </c>
      <c r="S26" s="145">
        <v>100</v>
      </c>
      <c r="T26" s="147" t="s">
        <v>112</v>
      </c>
      <c r="U26" s="147" t="s">
        <v>251</v>
      </c>
      <c r="V26" s="147" t="s">
        <v>7</v>
      </c>
      <c r="W26" s="147" t="s">
        <v>7</v>
      </c>
      <c r="X26" s="147" t="s">
        <v>92</v>
      </c>
      <c r="Y26" s="147" t="s">
        <v>131</v>
      </c>
      <c r="Z26" s="146">
        <v>45224</v>
      </c>
      <c r="AA26" s="146">
        <v>45407</v>
      </c>
      <c r="AB26" s="146">
        <v>46320</v>
      </c>
      <c r="AC26" s="145">
        <v>0.315</v>
      </c>
      <c r="AD26" s="145">
        <v>2.2050000000000001</v>
      </c>
      <c r="AE26" s="145">
        <v>2.34</v>
      </c>
      <c r="AF26" s="147" t="s">
        <v>92</v>
      </c>
      <c r="AG26" s="147" t="s">
        <v>250</v>
      </c>
      <c r="AH26" s="147" t="s">
        <v>7</v>
      </c>
      <c r="AI26" s="147" t="s">
        <v>92</v>
      </c>
      <c r="AJ26" s="147" t="s">
        <v>885</v>
      </c>
      <c r="AK26" s="147" t="s">
        <v>7</v>
      </c>
      <c r="AL26" s="147" t="s">
        <v>92</v>
      </c>
      <c r="AM26" s="147" t="s">
        <v>343</v>
      </c>
      <c r="AN26" s="147" t="s">
        <v>92</v>
      </c>
      <c r="AO26" s="147" t="s">
        <v>7</v>
      </c>
      <c r="AP26" s="147" t="s">
        <v>92</v>
      </c>
      <c r="AQ26" s="147" t="s">
        <v>92</v>
      </c>
      <c r="AR26" s="147" t="s">
        <v>7</v>
      </c>
      <c r="AS26" s="147" t="s">
        <v>92</v>
      </c>
      <c r="AT26" s="147" t="s">
        <v>92</v>
      </c>
      <c r="AU26" s="147" t="s">
        <v>1049</v>
      </c>
      <c r="AV26" s="147" t="s">
        <v>327</v>
      </c>
      <c r="AW26" s="147" t="s">
        <v>242</v>
      </c>
      <c r="AX26" s="147" t="s">
        <v>92</v>
      </c>
      <c r="AY26" s="153"/>
      <c r="AZ26" s="147" t="s">
        <v>889</v>
      </c>
      <c r="BA26" s="145" t="s">
        <v>750</v>
      </c>
      <c r="BB26" s="147" t="s">
        <v>7</v>
      </c>
      <c r="BC26" s="147" t="s">
        <v>7</v>
      </c>
      <c r="BD26" s="147" t="s">
        <v>7</v>
      </c>
      <c r="BE26" s="147" t="s">
        <v>7</v>
      </c>
      <c r="BF26" s="147" t="s">
        <v>92</v>
      </c>
      <c r="BG26" s="147" t="s">
        <v>92</v>
      </c>
      <c r="BH26" s="147" t="s">
        <v>92</v>
      </c>
      <c r="BI26" s="147" t="s">
        <v>92</v>
      </c>
      <c r="BJ26" s="147" t="s">
        <v>92</v>
      </c>
      <c r="BK26" s="145">
        <v>0</v>
      </c>
      <c r="BL26" s="145">
        <v>0</v>
      </c>
      <c r="BM26" s="145">
        <v>0</v>
      </c>
      <c r="BN26" s="147" t="s">
        <v>92</v>
      </c>
      <c r="BO26" t="s">
        <v>92</v>
      </c>
      <c r="BP26" s="145">
        <v>0</v>
      </c>
      <c r="BQ26" s="145"/>
      <c r="BR26" s="145"/>
      <c r="BS26" s="147" t="s">
        <v>92</v>
      </c>
      <c r="BT26" s="147" t="s">
        <v>92</v>
      </c>
      <c r="BU26" s="147" t="s">
        <v>92</v>
      </c>
      <c r="BV26" s="147" t="s">
        <v>92</v>
      </c>
      <c r="BW26" s="147" t="s">
        <v>7</v>
      </c>
      <c r="BX26" s="147" t="s">
        <v>7</v>
      </c>
      <c r="BY26" s="146"/>
      <c r="BZ26" s="146"/>
      <c r="CA26" s="147" t="s">
        <v>92</v>
      </c>
      <c r="CB26" s="145"/>
    </row>
    <row r="27" spans="2:80" x14ac:dyDescent="0.25">
      <c r="B27" s="145">
        <v>4</v>
      </c>
      <c r="C27" s="147" t="s">
        <v>92</v>
      </c>
      <c r="D27" s="147" t="s">
        <v>900</v>
      </c>
      <c r="E27" s="147" t="s">
        <v>899</v>
      </c>
      <c r="F27" s="146">
        <v>45215</v>
      </c>
      <c r="G27" s="147" t="s">
        <v>83</v>
      </c>
      <c r="H27" s="147" t="s">
        <v>83</v>
      </c>
      <c r="I27" s="147" t="s">
        <v>409</v>
      </c>
      <c r="J27" s="147" t="s">
        <v>106</v>
      </c>
      <c r="K27" s="145">
        <v>2.7</v>
      </c>
      <c r="L27" s="147" t="s">
        <v>151</v>
      </c>
      <c r="M27" s="147" t="s">
        <v>1016</v>
      </c>
      <c r="N27" s="147" t="s">
        <v>7</v>
      </c>
      <c r="O27" s="147" t="s">
        <v>1016</v>
      </c>
      <c r="P27" s="147" t="s">
        <v>7</v>
      </c>
      <c r="Q27" s="145" t="s">
        <v>7</v>
      </c>
      <c r="R27" s="147" t="s">
        <v>115</v>
      </c>
      <c r="S27" s="145">
        <v>100</v>
      </c>
      <c r="T27" s="147" t="s">
        <v>113</v>
      </c>
      <c r="U27" s="147" t="s">
        <v>251</v>
      </c>
      <c r="V27" s="147" t="s">
        <v>7</v>
      </c>
      <c r="W27" s="147" t="s">
        <v>7</v>
      </c>
      <c r="X27" s="147" t="s">
        <v>92</v>
      </c>
      <c r="Y27" s="147" t="s">
        <v>131</v>
      </c>
      <c r="Z27" s="146">
        <v>45223</v>
      </c>
      <c r="AA27" s="146">
        <v>45406</v>
      </c>
      <c r="AB27" s="146">
        <v>46319</v>
      </c>
      <c r="AC27" s="145">
        <v>0.37</v>
      </c>
      <c r="AD27" s="145">
        <v>2.7</v>
      </c>
      <c r="AE27" s="145">
        <v>2.8860000000000001</v>
      </c>
      <c r="AF27" s="147" t="s">
        <v>92</v>
      </c>
      <c r="AG27" s="147" t="s">
        <v>901</v>
      </c>
      <c r="AH27" s="147" t="s">
        <v>7</v>
      </c>
      <c r="AI27" s="147" t="s">
        <v>92</v>
      </c>
      <c r="AJ27" s="147" t="s">
        <v>1098</v>
      </c>
      <c r="AK27" s="147" t="s">
        <v>900</v>
      </c>
      <c r="AL27" s="147" t="s">
        <v>92</v>
      </c>
      <c r="AM27" s="147" t="s">
        <v>264</v>
      </c>
      <c r="AN27" s="147" t="s">
        <v>92</v>
      </c>
      <c r="AO27" s="147" t="s">
        <v>7</v>
      </c>
      <c r="AP27" s="147" t="s">
        <v>92</v>
      </c>
      <c r="AQ27" s="147" t="s">
        <v>92</v>
      </c>
      <c r="AR27" s="147" t="s">
        <v>7</v>
      </c>
      <c r="AS27" s="147" t="s">
        <v>92</v>
      </c>
      <c r="AT27" s="147" t="s">
        <v>92</v>
      </c>
      <c r="AU27" s="147" t="s">
        <v>1096</v>
      </c>
      <c r="AV27" s="147" t="s">
        <v>327</v>
      </c>
      <c r="AW27" s="147" t="s">
        <v>242</v>
      </c>
      <c r="AX27" s="147" t="s">
        <v>92</v>
      </c>
      <c r="AY27" s="153"/>
      <c r="AZ27" s="147" t="s">
        <v>904</v>
      </c>
      <c r="BA27" s="145" t="s">
        <v>750</v>
      </c>
      <c r="BB27" s="147" t="s">
        <v>7</v>
      </c>
      <c r="BC27" s="147" t="s">
        <v>7</v>
      </c>
      <c r="BD27" s="147" t="s">
        <v>7</v>
      </c>
      <c r="BE27" s="147" t="s">
        <v>7</v>
      </c>
      <c r="BF27" s="147" t="s">
        <v>92</v>
      </c>
      <c r="BG27" s="147" t="s">
        <v>92</v>
      </c>
      <c r="BH27" s="147" t="s">
        <v>92</v>
      </c>
      <c r="BI27" s="147" t="s">
        <v>92</v>
      </c>
      <c r="BJ27" s="147" t="s">
        <v>92</v>
      </c>
      <c r="BK27" s="145">
        <v>0</v>
      </c>
      <c r="BL27" s="145">
        <v>0</v>
      </c>
      <c r="BM27" s="145">
        <v>0</v>
      </c>
      <c r="BN27" s="147" t="s">
        <v>92</v>
      </c>
      <c r="BO27" t="s">
        <v>92</v>
      </c>
      <c r="BP27" s="145">
        <v>0</v>
      </c>
      <c r="BQ27" s="145"/>
      <c r="BR27" s="145"/>
      <c r="BS27" s="147" t="s">
        <v>92</v>
      </c>
      <c r="BT27" s="147" t="s">
        <v>92</v>
      </c>
      <c r="BU27" s="147" t="s">
        <v>92</v>
      </c>
      <c r="BV27" s="147" t="s">
        <v>92</v>
      </c>
      <c r="BW27" s="147" t="s">
        <v>7</v>
      </c>
      <c r="BX27" s="147" t="s">
        <v>7</v>
      </c>
      <c r="BY27" s="146"/>
      <c r="BZ27" s="146"/>
      <c r="CA27" s="147" t="s">
        <v>92</v>
      </c>
      <c r="CB27" s="145"/>
    </row>
    <row r="28" spans="2:80" x14ac:dyDescent="0.25">
      <c r="B28" s="145">
        <v>3</v>
      </c>
      <c r="C28" s="147" t="s">
        <v>92</v>
      </c>
      <c r="D28" s="147" t="s">
        <v>909</v>
      </c>
      <c r="E28" s="147" t="s">
        <v>908</v>
      </c>
      <c r="F28" s="146">
        <v>45215</v>
      </c>
      <c r="G28" s="147" t="s">
        <v>83</v>
      </c>
      <c r="H28" s="147" t="s">
        <v>1233</v>
      </c>
      <c r="I28" s="147" t="s">
        <v>552</v>
      </c>
      <c r="J28" s="147" t="s">
        <v>106</v>
      </c>
      <c r="K28" s="145">
        <v>17.75</v>
      </c>
      <c r="L28" s="147" t="s">
        <v>151</v>
      </c>
      <c r="M28" s="147" t="s">
        <v>565</v>
      </c>
      <c r="N28" s="147" t="s">
        <v>795</v>
      </c>
      <c r="O28" s="147" t="s">
        <v>565</v>
      </c>
      <c r="P28" s="147" t="s">
        <v>7</v>
      </c>
      <c r="Q28" s="145">
        <v>20</v>
      </c>
      <c r="R28" s="147" t="s">
        <v>115</v>
      </c>
      <c r="S28" s="145">
        <v>100</v>
      </c>
      <c r="T28" s="147" t="s">
        <v>37</v>
      </c>
      <c r="U28" s="147" t="s">
        <v>263</v>
      </c>
      <c r="V28" s="147" t="s">
        <v>7</v>
      </c>
      <c r="W28" s="147" t="s">
        <v>7</v>
      </c>
      <c r="X28" s="147" t="s">
        <v>92</v>
      </c>
      <c r="Y28" s="147" t="s">
        <v>131</v>
      </c>
      <c r="Z28" s="146">
        <v>45219</v>
      </c>
      <c r="AA28" s="146">
        <v>45402</v>
      </c>
      <c r="AB28" s="146">
        <v>46315</v>
      </c>
      <c r="AC28" s="145">
        <v>2.4319999999999999</v>
      </c>
      <c r="AD28" s="145">
        <v>17.75</v>
      </c>
      <c r="AE28" s="145">
        <v>18.975000000000001</v>
      </c>
      <c r="AF28" s="147" t="s">
        <v>92</v>
      </c>
      <c r="AG28" s="147" t="s">
        <v>250</v>
      </c>
      <c r="AH28" s="147" t="s">
        <v>7</v>
      </c>
      <c r="AI28" s="147" t="s">
        <v>92</v>
      </c>
      <c r="AJ28" s="147" t="s">
        <v>909</v>
      </c>
      <c r="AK28" s="147" t="s">
        <v>7</v>
      </c>
      <c r="AL28" s="147" t="s">
        <v>92</v>
      </c>
      <c r="AM28" s="147" t="s">
        <v>7</v>
      </c>
      <c r="AN28" s="147" t="s">
        <v>92</v>
      </c>
      <c r="AO28" s="147" t="s">
        <v>7</v>
      </c>
      <c r="AP28" s="147" t="s">
        <v>92</v>
      </c>
      <c r="AQ28" s="147" t="s">
        <v>92</v>
      </c>
      <c r="AR28" s="147" t="s">
        <v>7</v>
      </c>
      <c r="AS28" s="147" t="s">
        <v>92</v>
      </c>
      <c r="AT28" s="147" t="s">
        <v>92</v>
      </c>
      <c r="AU28" s="147" t="s">
        <v>1086</v>
      </c>
      <c r="AV28" s="147" t="s">
        <v>327</v>
      </c>
      <c r="AW28" s="147" t="s">
        <v>242</v>
      </c>
      <c r="AX28" s="147" t="s">
        <v>92</v>
      </c>
      <c r="AY28" s="153"/>
      <c r="AZ28" s="147" t="s">
        <v>913</v>
      </c>
      <c r="BA28" s="145" t="s">
        <v>750</v>
      </c>
      <c r="BB28" s="147" t="s">
        <v>7</v>
      </c>
      <c r="BC28" s="147" t="s">
        <v>7</v>
      </c>
      <c r="BD28" s="147" t="s">
        <v>7</v>
      </c>
      <c r="BE28" s="147" t="s">
        <v>7</v>
      </c>
      <c r="BF28" s="147" t="s">
        <v>92</v>
      </c>
      <c r="BG28" s="147" t="s">
        <v>92</v>
      </c>
      <c r="BH28" s="147" t="s">
        <v>92</v>
      </c>
      <c r="BI28" s="147" t="s">
        <v>92</v>
      </c>
      <c r="BJ28" s="147" t="s">
        <v>92</v>
      </c>
      <c r="BK28" s="145">
        <v>0</v>
      </c>
      <c r="BL28" s="145">
        <v>0</v>
      </c>
      <c r="BM28" s="145">
        <v>0</v>
      </c>
      <c r="BN28" s="147" t="s">
        <v>92</v>
      </c>
      <c r="BO28" t="s">
        <v>92</v>
      </c>
      <c r="BP28" s="145">
        <v>0</v>
      </c>
      <c r="BQ28" s="145"/>
      <c r="BR28" s="145"/>
      <c r="BS28" s="147" t="s">
        <v>1143</v>
      </c>
      <c r="BT28" s="147" t="s">
        <v>258</v>
      </c>
      <c r="BU28" s="147" t="s">
        <v>196</v>
      </c>
      <c r="BV28" s="147" t="s">
        <v>8</v>
      </c>
      <c r="BW28" s="147" t="s">
        <v>1082</v>
      </c>
      <c r="BX28" s="147" t="s">
        <v>7</v>
      </c>
      <c r="BY28" s="146"/>
      <c r="BZ28" s="146">
        <v>43090</v>
      </c>
      <c r="CA28" s="147" t="s">
        <v>1</v>
      </c>
      <c r="CB28" s="145" t="s">
        <v>750</v>
      </c>
    </row>
    <row r="29" spans="2:80" x14ac:dyDescent="0.25">
      <c r="B29" s="145">
        <v>2</v>
      </c>
      <c r="C29" s="147" t="s">
        <v>765</v>
      </c>
      <c r="D29" s="147" t="s">
        <v>753</v>
      </c>
      <c r="E29" s="147" t="s">
        <v>897</v>
      </c>
      <c r="F29" s="146">
        <v>45215</v>
      </c>
      <c r="G29" s="147" t="s">
        <v>83</v>
      </c>
      <c r="H29" s="147" t="s">
        <v>92</v>
      </c>
      <c r="I29" s="147" t="s">
        <v>7</v>
      </c>
      <c r="J29" s="147" t="s">
        <v>109</v>
      </c>
      <c r="K29" s="145">
        <v>7.0000000000000007E-2</v>
      </c>
      <c r="L29" s="147" t="s">
        <v>1138</v>
      </c>
      <c r="M29" s="147" t="s">
        <v>92</v>
      </c>
      <c r="N29" s="147" t="s">
        <v>7</v>
      </c>
      <c r="O29" s="147" t="s">
        <v>7</v>
      </c>
      <c r="P29" s="147" t="s">
        <v>7</v>
      </c>
      <c r="Q29" s="145" t="s">
        <v>7</v>
      </c>
      <c r="R29" s="147" t="s">
        <v>92</v>
      </c>
      <c r="S29" s="145"/>
      <c r="T29" s="147" t="s">
        <v>92</v>
      </c>
      <c r="U29" s="147" t="s">
        <v>7</v>
      </c>
      <c r="V29" s="147" t="s">
        <v>7</v>
      </c>
      <c r="W29" s="147" t="s">
        <v>7</v>
      </c>
      <c r="X29" s="147" t="s">
        <v>92</v>
      </c>
      <c r="Y29" s="147" t="s">
        <v>92</v>
      </c>
      <c r="Z29" s="146"/>
      <c r="AA29" s="146"/>
      <c r="AB29" s="146"/>
      <c r="AC29" s="145">
        <v>8.9999999999999993E-3</v>
      </c>
      <c r="AD29" s="145"/>
      <c r="AE29" s="145"/>
      <c r="AF29" s="147" t="s">
        <v>92</v>
      </c>
      <c r="AG29" s="147" t="s">
        <v>92</v>
      </c>
      <c r="AH29" s="147" t="s">
        <v>7</v>
      </c>
      <c r="AI29" s="147" t="s">
        <v>92</v>
      </c>
      <c r="AJ29" s="147" t="s">
        <v>92</v>
      </c>
      <c r="AK29" s="147" t="s">
        <v>7</v>
      </c>
      <c r="AL29" s="147" t="s">
        <v>92</v>
      </c>
      <c r="AM29" s="147" t="s">
        <v>7</v>
      </c>
      <c r="AN29" s="147" t="s">
        <v>92</v>
      </c>
      <c r="AO29" s="147" t="s">
        <v>92</v>
      </c>
      <c r="AP29" s="147" t="s">
        <v>92</v>
      </c>
      <c r="AQ29" s="147" t="s">
        <v>92</v>
      </c>
      <c r="AR29" s="147" t="s">
        <v>7</v>
      </c>
      <c r="AS29" s="147" t="s">
        <v>92</v>
      </c>
      <c r="AT29" s="147" t="s">
        <v>92</v>
      </c>
      <c r="AU29" s="147" t="s">
        <v>92</v>
      </c>
      <c r="AV29" s="147" t="s">
        <v>92</v>
      </c>
      <c r="AW29" s="147" t="s">
        <v>92</v>
      </c>
      <c r="AX29" s="147" t="s">
        <v>92</v>
      </c>
      <c r="AY29" s="153"/>
      <c r="AZ29" s="147" t="s">
        <v>898</v>
      </c>
      <c r="BA29" s="145"/>
      <c r="BB29" s="147" t="s">
        <v>7</v>
      </c>
      <c r="BC29" s="147" t="s">
        <v>7</v>
      </c>
      <c r="BD29" s="147" t="s">
        <v>7</v>
      </c>
      <c r="BE29" s="147" t="s">
        <v>7</v>
      </c>
      <c r="BF29" s="147" t="s">
        <v>92</v>
      </c>
      <c r="BG29" s="147" t="s">
        <v>92</v>
      </c>
      <c r="BH29" s="147" t="s">
        <v>92</v>
      </c>
      <c r="BI29" s="147" t="s">
        <v>92</v>
      </c>
      <c r="BJ29" s="147" t="s">
        <v>92</v>
      </c>
      <c r="BK29" s="145">
        <v>0</v>
      </c>
      <c r="BL29" s="145">
        <v>0</v>
      </c>
      <c r="BM29" s="145">
        <v>0</v>
      </c>
      <c r="BN29" s="147" t="s">
        <v>92</v>
      </c>
      <c r="BO29" t="s">
        <v>92</v>
      </c>
      <c r="BP29" s="145">
        <v>0</v>
      </c>
      <c r="BQ29" s="145"/>
      <c r="BR29" s="145" t="s">
        <v>750</v>
      </c>
      <c r="BS29" s="147" t="s">
        <v>92</v>
      </c>
      <c r="BT29" s="147" t="s">
        <v>92</v>
      </c>
      <c r="BU29" s="147" t="s">
        <v>92</v>
      </c>
      <c r="BV29" s="147" t="s">
        <v>92</v>
      </c>
      <c r="BW29" s="147" t="s">
        <v>7</v>
      </c>
      <c r="BX29" s="147" t="s">
        <v>7</v>
      </c>
      <c r="BY29" s="146"/>
      <c r="BZ29" s="146"/>
      <c r="CA29" s="147" t="s">
        <v>92</v>
      </c>
      <c r="CB29" s="145"/>
    </row>
    <row r="30" spans="2:80" x14ac:dyDescent="0.25">
      <c r="B30" s="145">
        <v>1</v>
      </c>
      <c r="C30" s="147" t="s">
        <v>92</v>
      </c>
      <c r="D30" s="147" t="s">
        <v>777</v>
      </c>
      <c r="E30" s="147" t="s">
        <v>905</v>
      </c>
      <c r="F30" s="146">
        <v>45215</v>
      </c>
      <c r="G30" s="147" t="s">
        <v>83</v>
      </c>
      <c r="H30" s="147" t="s">
        <v>783</v>
      </c>
      <c r="I30" s="147" t="s">
        <v>409</v>
      </c>
      <c r="J30" s="147" t="s">
        <v>85</v>
      </c>
      <c r="K30" s="145">
        <v>0.3</v>
      </c>
      <c r="L30" s="147" t="s">
        <v>151</v>
      </c>
      <c r="M30" s="147" t="s">
        <v>788</v>
      </c>
      <c r="N30" s="147" t="s">
        <v>7</v>
      </c>
      <c r="O30" s="147" t="s">
        <v>788</v>
      </c>
      <c r="P30" s="147" t="s">
        <v>7</v>
      </c>
      <c r="Q30" s="145" t="s">
        <v>7</v>
      </c>
      <c r="R30" s="147" t="s">
        <v>115</v>
      </c>
      <c r="S30" s="145">
        <v>100</v>
      </c>
      <c r="T30" s="147" t="s">
        <v>112</v>
      </c>
      <c r="U30" s="147" t="s">
        <v>263</v>
      </c>
      <c r="V30" s="147" t="s">
        <v>7</v>
      </c>
      <c r="W30" s="147" t="s">
        <v>7</v>
      </c>
      <c r="X30" s="147" t="s">
        <v>92</v>
      </c>
      <c r="Y30" s="147" t="s">
        <v>131</v>
      </c>
      <c r="Z30" s="146">
        <v>45217</v>
      </c>
      <c r="AA30" s="146">
        <v>45400</v>
      </c>
      <c r="AB30" s="146">
        <v>46313</v>
      </c>
      <c r="AC30" s="145">
        <v>0.3</v>
      </c>
      <c r="AD30" s="145">
        <v>2.194</v>
      </c>
      <c r="AE30" s="145">
        <v>2.3460000000000001</v>
      </c>
      <c r="AF30" s="147" t="s">
        <v>92</v>
      </c>
      <c r="AG30" s="147" t="s">
        <v>250</v>
      </c>
      <c r="AH30" s="147" t="s">
        <v>7</v>
      </c>
      <c r="AI30" s="147" t="s">
        <v>92</v>
      </c>
      <c r="AJ30" s="147" t="s">
        <v>777</v>
      </c>
      <c r="AK30" s="147" t="s">
        <v>7</v>
      </c>
      <c r="AL30" s="147" t="s">
        <v>92</v>
      </c>
      <c r="AM30" s="147" t="s">
        <v>342</v>
      </c>
      <c r="AN30" s="147" t="s">
        <v>92</v>
      </c>
      <c r="AO30" s="147" t="s">
        <v>7</v>
      </c>
      <c r="AP30" s="147" t="s">
        <v>92</v>
      </c>
      <c r="AQ30" s="147" t="s">
        <v>92</v>
      </c>
      <c r="AR30" s="147" t="s">
        <v>7</v>
      </c>
      <c r="AS30" s="147" t="s">
        <v>92</v>
      </c>
      <c r="AT30" s="147" t="s">
        <v>92</v>
      </c>
      <c r="AU30" s="147" t="s">
        <v>779</v>
      </c>
      <c r="AV30" s="147" t="s">
        <v>327</v>
      </c>
      <c r="AW30" s="147" t="s">
        <v>242</v>
      </c>
      <c r="AX30" s="147" t="s">
        <v>92</v>
      </c>
      <c r="AY30" s="153"/>
      <c r="AZ30" s="147" t="s">
        <v>907</v>
      </c>
      <c r="BA30" s="145" t="s">
        <v>750</v>
      </c>
      <c r="BB30" s="147" t="s">
        <v>7</v>
      </c>
      <c r="BC30" s="147" t="s">
        <v>7</v>
      </c>
      <c r="BD30" s="147" t="s">
        <v>7</v>
      </c>
      <c r="BE30" s="147" t="s">
        <v>7</v>
      </c>
      <c r="BF30" s="147" t="s">
        <v>92</v>
      </c>
      <c r="BG30" s="147" t="s">
        <v>92</v>
      </c>
      <c r="BH30" s="147" t="s">
        <v>92</v>
      </c>
      <c r="BI30" s="147" t="s">
        <v>92</v>
      </c>
      <c r="BJ30" s="147" t="s">
        <v>92</v>
      </c>
      <c r="BK30" s="145">
        <v>0</v>
      </c>
      <c r="BL30" s="145">
        <v>0</v>
      </c>
      <c r="BM30" s="145">
        <v>0</v>
      </c>
      <c r="BN30" s="147" t="s">
        <v>92</v>
      </c>
      <c r="BO30" t="s">
        <v>92</v>
      </c>
      <c r="BP30" s="145">
        <v>0</v>
      </c>
      <c r="BQ30" s="145"/>
      <c r="BR30" s="145"/>
      <c r="BS30" s="147" t="s">
        <v>92</v>
      </c>
      <c r="BT30" s="147" t="s">
        <v>92</v>
      </c>
      <c r="BU30" s="147" t="s">
        <v>92</v>
      </c>
      <c r="BV30" s="147" t="s">
        <v>92</v>
      </c>
      <c r="BW30" s="147" t="s">
        <v>7</v>
      </c>
      <c r="BX30" s="147" t="s">
        <v>7</v>
      </c>
      <c r="BY30" s="146"/>
      <c r="BZ30" s="146"/>
      <c r="CA30" s="147" t="s">
        <v>92</v>
      </c>
      <c r="CB30" s="145"/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opLeftCell="L1" zoomScale="85" zoomScaleNormal="85" workbookViewId="0">
      <selection activeCell="P9" sqref="P9:AF15"/>
    </sheetView>
  </sheetViews>
  <sheetFormatPr defaultColWidth="8.88671875" defaultRowHeight="15" x14ac:dyDescent="0.25"/>
  <cols>
    <col min="1" max="1" width="6" style="1" hidden="1" customWidth="1"/>
    <col min="2" max="2" width="4.44140625" style="1" hidden="1" customWidth="1"/>
    <col min="3" max="3" width="7.6640625" style="1" hidden="1" customWidth="1"/>
    <col min="4" max="4" width="4.33203125" style="1" hidden="1" customWidth="1"/>
    <col min="5" max="5" width="6" style="1" hidden="1" customWidth="1"/>
    <col min="6" max="7" width="4.33203125" style="1" hidden="1" customWidth="1"/>
    <col min="8" max="8" width="7.6640625" style="1" hidden="1" customWidth="1"/>
    <col min="9" max="10" width="4.33203125" style="1" hidden="1" customWidth="1"/>
    <col min="11" max="11" width="5.88671875" style="1" hidden="1" customWidth="1"/>
    <col min="12" max="12" width="2.6640625" style="1" bestFit="1" customWidth="1"/>
    <col min="13" max="13" width="9.33203125" style="1" bestFit="1" customWidth="1"/>
    <col min="14" max="14" width="7.664062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10.33203125" style="1" bestFit="1" customWidth="1"/>
    <col min="19" max="19" width="13.88671875" style="1" bestFit="1" customWidth="1"/>
    <col min="20" max="20" width="8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5.77734375" style="1" bestFit="1" customWidth="1"/>
    <col min="25" max="26" width="7.6640625" style="1" bestFit="1" customWidth="1"/>
    <col min="27" max="28" width="4.33203125" style="1" bestFit="1" customWidth="1"/>
    <col min="29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118">
        <f>COUNTA(charts[ISIN])</f>
        <v>0</v>
      </c>
      <c r="B1" s="7" t="s">
        <v>136</v>
      </c>
      <c r="Q1" s="120">
        <f>COUNTA(Table_graph_weeklydeal[Index])</f>
        <v>0</v>
      </c>
      <c r="R1" s="119" t="s">
        <v>436</v>
      </c>
      <c r="S1" s="120">
        <f>ROUND(SUM(Table_graph_weeklydeal[亿美元]),1)</f>
        <v>0</v>
      </c>
      <c r="T1" s="119" t="s">
        <v>173</v>
      </c>
      <c r="AV1" s="4"/>
    </row>
    <row r="2" spans="1:48" ht="42" customHeight="1" x14ac:dyDescent="0.25">
      <c r="A2" s="117" t="s">
        <v>179</v>
      </c>
      <c r="Q2" s="119" t="s">
        <v>185</v>
      </c>
    </row>
    <row r="8" spans="1:48" x14ac:dyDescent="0.25">
      <c r="A8" t="s">
        <v>49</v>
      </c>
      <c r="B8" t="s">
        <v>48</v>
      </c>
      <c r="C8" t="s">
        <v>47</v>
      </c>
      <c r="D8" t="s">
        <v>87</v>
      </c>
      <c r="E8" t="s">
        <v>173</v>
      </c>
      <c r="F8" t="s">
        <v>64</v>
      </c>
      <c r="G8" t="s">
        <v>228</v>
      </c>
      <c r="H8" t="s">
        <v>93</v>
      </c>
      <c r="I8" t="s">
        <v>107</v>
      </c>
      <c r="J8" t="s">
        <v>118</v>
      </c>
      <c r="L8" t="s">
        <v>265</v>
      </c>
      <c r="M8" t="s">
        <v>266</v>
      </c>
      <c r="N8" t="s">
        <v>267</v>
      </c>
      <c r="P8" t="s">
        <v>86</v>
      </c>
      <c r="Q8" t="s">
        <v>48</v>
      </c>
      <c r="R8" t="s">
        <v>49</v>
      </c>
      <c r="S8" t="s">
        <v>165</v>
      </c>
      <c r="T8" t="s">
        <v>135</v>
      </c>
      <c r="U8" t="s">
        <v>64</v>
      </c>
      <c r="V8" t="s">
        <v>57</v>
      </c>
      <c r="W8" t="s">
        <v>87</v>
      </c>
      <c r="X8" t="s">
        <v>120</v>
      </c>
      <c r="Y8" t="s">
        <v>88</v>
      </c>
      <c r="Z8" t="s">
        <v>166</v>
      </c>
      <c r="AA8" t="s">
        <v>90</v>
      </c>
      <c r="AB8" t="s">
        <v>36</v>
      </c>
      <c r="AC8" t="s">
        <v>228</v>
      </c>
      <c r="AD8" t="s">
        <v>89</v>
      </c>
      <c r="AE8" t="s">
        <v>148</v>
      </c>
      <c r="AF8" t="s">
        <v>173</v>
      </c>
    </row>
    <row r="9" spans="1:48" x14ac:dyDescent="0.25">
      <c r="A9"/>
      <c r="B9"/>
      <c r="C9"/>
      <c r="D9"/>
      <c r="E9"/>
      <c r="F9"/>
      <c r="G9"/>
      <c r="H9"/>
      <c r="I9"/>
      <c r="J9"/>
      <c r="L9"/>
      <c r="M9"/>
      <c r="N9"/>
      <c r="P9"/>
      <c r="Q9"/>
      <c r="R9" s="45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48" x14ac:dyDescent="0.25">
      <c r="P10"/>
      <c r="Q10"/>
      <c r="R10" s="45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spans="1:48" x14ac:dyDescent="0.25">
      <c r="P11"/>
      <c r="Q11"/>
      <c r="R11" s="45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48" x14ac:dyDescent="0.25">
      <c r="L12" t="s">
        <v>269</v>
      </c>
      <c r="M12" t="s">
        <v>266</v>
      </c>
      <c r="N12" t="s">
        <v>267</v>
      </c>
      <c r="P12"/>
      <c r="Q12"/>
      <c r="R12" s="45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spans="1:48" x14ac:dyDescent="0.25">
      <c r="L13"/>
      <c r="M13"/>
      <c r="N13"/>
      <c r="P13"/>
      <c r="Q13"/>
      <c r="R13" s="45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48" x14ac:dyDescent="0.25">
      <c r="P14"/>
      <c r="Q14"/>
      <c r="R14" s="45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spans="1:48" x14ac:dyDescent="0.25">
      <c r="P15"/>
      <c r="Q15"/>
      <c r="R15" s="4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54" spans="15:15" x14ac:dyDescent="0.25">
      <c r="O54"/>
    </row>
  </sheetData>
  <phoneticPr fontId="14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N21"/>
  <sheetViews>
    <sheetView workbookViewId="0">
      <selection activeCell="C12" sqref="C12"/>
    </sheetView>
  </sheetViews>
  <sheetFormatPr defaultRowHeight="15" x14ac:dyDescent="0.25"/>
  <cols>
    <col min="1" max="1" width="7.33203125" style="1" bestFit="1" customWidth="1"/>
    <col min="2" max="2" width="11.109375" style="1" bestFit="1" customWidth="1"/>
    <col min="3" max="3" width="29.88671875" style="1" bestFit="1" customWidth="1"/>
    <col min="4" max="4" width="13.33203125" style="1" bestFit="1" customWidth="1"/>
    <col min="5" max="5" width="10.33203125" style="1" bestFit="1" customWidth="1"/>
    <col min="6" max="6" width="9.44140625" style="1" bestFit="1" customWidth="1"/>
    <col min="7" max="7" width="12.109375" style="1" bestFit="1" customWidth="1"/>
    <col min="8" max="8" width="12.77734375" style="1" bestFit="1" customWidth="1"/>
    <col min="9" max="9" width="6.109375" style="1" bestFit="1" customWidth="1"/>
    <col min="10" max="10" width="12.21875" style="1" bestFit="1" customWidth="1"/>
    <col min="11" max="11" width="6.109375" style="1" bestFit="1" customWidth="1"/>
    <col min="12" max="12" width="8.5546875" style="1" bestFit="1" customWidth="1"/>
    <col min="13" max="13" width="10.44140625" style="1" bestFit="1" customWidth="1"/>
    <col min="14" max="15" width="8.5546875" style="1" bestFit="1" customWidth="1"/>
    <col min="16" max="17" width="9.44140625" style="1" bestFit="1" customWidth="1"/>
    <col min="18" max="18" width="7.77734375" style="1" bestFit="1" customWidth="1"/>
    <col min="19" max="19" width="8.88671875" style="1" bestFit="1" customWidth="1"/>
    <col min="20" max="20" width="20.5546875" style="1" bestFit="1" customWidth="1"/>
    <col min="21" max="22" width="11.109375" style="1" bestFit="1" customWidth="1"/>
    <col min="23" max="24" width="9.44140625" style="1" bestFit="1" customWidth="1"/>
    <col min="25" max="25" width="10.33203125" style="1" bestFit="1" customWidth="1"/>
    <col min="26" max="26" width="11.109375" style="1" bestFit="1" customWidth="1"/>
    <col min="27" max="27" width="10.33203125" style="1" bestFit="1" customWidth="1"/>
    <col min="28" max="28" width="7.77734375" style="1" bestFit="1" customWidth="1"/>
    <col min="29" max="29" width="7" style="1" bestFit="1" customWidth="1"/>
    <col min="30" max="30" width="7.77734375" style="1" bestFit="1" customWidth="1"/>
    <col min="31" max="31" width="8.5546875" style="1" bestFit="1" customWidth="1"/>
    <col min="32" max="32" width="11.109375" style="1" bestFit="1" customWidth="1"/>
    <col min="33" max="33" width="14.44140625" style="1" bestFit="1" customWidth="1"/>
    <col min="34" max="34" width="9.44140625" style="1" bestFit="1" customWidth="1"/>
    <col min="35" max="35" width="56.44140625" style="1" bestFit="1" customWidth="1"/>
    <col min="36" max="36" width="23" style="1" bestFit="1" customWidth="1"/>
    <col min="37" max="37" width="25.88671875" style="1" bestFit="1" customWidth="1"/>
    <col min="38" max="38" width="7.77734375" style="1" bestFit="1" customWidth="1"/>
    <col min="39" max="39" width="6" style="1" bestFit="1" customWidth="1"/>
    <col min="40" max="40" width="9.44140625" style="1" bestFit="1" customWidth="1"/>
    <col min="41" max="41" width="6.109375" style="1" bestFit="1" customWidth="1"/>
    <col min="42" max="42" width="9.44140625" style="1" bestFit="1" customWidth="1"/>
    <col min="43" max="43" width="10.21875" style="1" bestFit="1" customWidth="1"/>
    <col min="44" max="44" width="12.6640625" style="1" bestFit="1" customWidth="1"/>
    <col min="45" max="45" width="6.77734375" style="1" bestFit="1" customWidth="1"/>
    <col min="46" max="46" width="80.88671875" style="1" bestFit="1" customWidth="1"/>
    <col min="47" max="47" width="9.44140625" style="1" bestFit="1" customWidth="1"/>
    <col min="48" max="48" width="12.21875" style="1" bestFit="1" customWidth="1"/>
    <col min="49" max="49" width="9.5546875" style="1" bestFit="1" customWidth="1"/>
    <col min="50" max="50" width="11.77734375" style="1" bestFit="1" customWidth="1"/>
    <col min="51" max="51" width="19.44140625" style="1" bestFit="1" customWidth="1"/>
    <col min="52" max="52" width="10.77734375" style="1" bestFit="1" customWidth="1"/>
    <col min="53" max="53" width="17.44140625" style="1" bestFit="1" customWidth="1"/>
    <col min="54" max="54" width="20.109375" style="1" customWidth="1"/>
    <col min="55" max="55" width="11.5546875" style="1" bestFit="1" customWidth="1"/>
    <col min="56" max="57" width="17.33203125" style="1" bestFit="1" customWidth="1"/>
    <col min="58" max="58" width="9.21875" style="1" bestFit="1" customWidth="1"/>
    <col min="59" max="59" width="15.21875" style="1" bestFit="1" customWidth="1"/>
    <col min="60" max="60" width="13.44140625" style="1" bestFit="1" customWidth="1"/>
    <col min="61" max="61" width="11.109375" style="1" bestFit="1" customWidth="1"/>
    <col min="62" max="63" width="10.88671875" style="1" bestFit="1" customWidth="1"/>
    <col min="64" max="64" width="9.21875" style="1" bestFit="1" customWidth="1"/>
    <col min="65" max="65" width="8.77734375" style="1" bestFit="1" customWidth="1"/>
    <col min="66" max="66" width="9.21875" style="1" bestFit="1" customWidth="1"/>
    <col min="67" max="67" width="14.6640625" style="1" bestFit="1" customWidth="1"/>
    <col min="68" max="68" width="9.21875" style="1" bestFit="1" customWidth="1"/>
    <col min="69" max="69" width="8.5546875" style="1" bestFit="1" customWidth="1"/>
    <col min="70" max="70" width="9.33203125" style="1" bestFit="1" customWidth="1"/>
    <col min="71" max="71" width="9.21875" style="1" bestFit="1" customWidth="1"/>
    <col min="72" max="72" width="10.109375" style="1" bestFit="1" customWidth="1"/>
    <col min="73" max="73" width="10.33203125" style="1" bestFit="1" customWidth="1"/>
    <col min="74" max="74" width="15.109375" style="1" bestFit="1" customWidth="1"/>
    <col min="75" max="75" width="10.33203125" style="1" bestFit="1" customWidth="1"/>
    <col min="76" max="76" width="5.88671875" style="1" bestFit="1" customWidth="1"/>
    <col min="77" max="77" width="9.21875" style="1" bestFit="1" customWidth="1"/>
    <col min="78" max="78" width="10.33203125" style="1" bestFit="1" customWidth="1"/>
    <col min="79" max="79" width="14.44140625" style="1" bestFit="1" customWidth="1"/>
    <col min="80" max="80" width="16.109375" style="1" bestFit="1" customWidth="1"/>
    <col min="81" max="81" width="20.6640625" style="1" bestFit="1" customWidth="1"/>
    <col min="82" max="82" width="18.88671875" style="1" bestFit="1" customWidth="1"/>
    <col min="83" max="83" width="27.109375" style="1" bestFit="1" customWidth="1"/>
    <col min="84" max="16384" width="8.88671875" style="1"/>
  </cols>
  <sheetData>
    <row r="1" spans="1:66" ht="39.75" customHeight="1" x14ac:dyDescent="0.25"/>
    <row r="2" spans="1:66" ht="39.75" customHeight="1" x14ac:dyDescent="0.25"/>
    <row r="3" spans="1:66" ht="39.75" customHeight="1" x14ac:dyDescent="0.25"/>
    <row r="4" spans="1:66" x14ac:dyDescent="0.25">
      <c r="A4" t="s">
        <v>86</v>
      </c>
      <c r="B4" t="s">
        <v>427</v>
      </c>
      <c r="C4" t="s">
        <v>94</v>
      </c>
      <c r="D4" t="s">
        <v>48</v>
      </c>
      <c r="E4" t="s">
        <v>49</v>
      </c>
      <c r="F4" t="s">
        <v>135</v>
      </c>
      <c r="G4" t="s">
        <v>177</v>
      </c>
      <c r="H4" t="s">
        <v>51</v>
      </c>
      <c r="I4" t="s">
        <v>64</v>
      </c>
      <c r="J4" t="s">
        <v>57</v>
      </c>
      <c r="K4" t="s">
        <v>87</v>
      </c>
      <c r="L4" t="s">
        <v>120</v>
      </c>
      <c r="M4" t="s">
        <v>88</v>
      </c>
      <c r="N4" t="s">
        <v>53</v>
      </c>
      <c r="O4" t="s">
        <v>152</v>
      </c>
      <c r="P4" t="s">
        <v>166</v>
      </c>
      <c r="Q4" t="s">
        <v>168</v>
      </c>
      <c r="R4" t="s">
        <v>59</v>
      </c>
      <c r="S4" t="s">
        <v>90</v>
      </c>
      <c r="T4" t="s">
        <v>91</v>
      </c>
      <c r="U4" t="s">
        <v>186</v>
      </c>
      <c r="V4" t="s">
        <v>187</v>
      </c>
      <c r="W4" t="s">
        <v>141</v>
      </c>
      <c r="X4" t="s">
        <v>81</v>
      </c>
      <c r="Y4" t="s">
        <v>67</v>
      </c>
      <c r="Z4" t="s">
        <v>70</v>
      </c>
      <c r="AA4" t="s">
        <v>52</v>
      </c>
      <c r="AB4" t="s">
        <v>173</v>
      </c>
      <c r="AC4" t="s">
        <v>174</v>
      </c>
      <c r="AD4" t="s">
        <v>211</v>
      </c>
      <c r="AE4" t="s">
        <v>770</v>
      </c>
      <c r="AF4" t="s">
        <v>232</v>
      </c>
      <c r="AG4" t="s">
        <v>261</v>
      </c>
      <c r="AH4" t="s">
        <v>208</v>
      </c>
      <c r="AI4" t="s">
        <v>71</v>
      </c>
      <c r="AJ4" t="s">
        <v>72</v>
      </c>
      <c r="AK4" t="s">
        <v>82</v>
      </c>
      <c r="AL4" t="s">
        <v>41</v>
      </c>
      <c r="AM4" t="s">
        <v>139</v>
      </c>
      <c r="AN4" t="s">
        <v>577</v>
      </c>
      <c r="AO4" t="s">
        <v>217</v>
      </c>
      <c r="AP4" t="s">
        <v>210</v>
      </c>
      <c r="AQ4" t="s">
        <v>218</v>
      </c>
      <c r="AR4" t="s">
        <v>219</v>
      </c>
      <c r="AS4" t="s">
        <v>303</v>
      </c>
      <c r="AT4" t="s">
        <v>225</v>
      </c>
      <c r="AU4" t="s">
        <v>199</v>
      </c>
      <c r="AV4" t="s">
        <v>414</v>
      </c>
      <c r="AW4" t="s">
        <v>169</v>
      </c>
      <c r="AX4" t="s">
        <v>220</v>
      </c>
      <c r="AY4" t="s">
        <v>140</v>
      </c>
      <c r="AZ4" t="s">
        <v>768</v>
      </c>
    </row>
    <row r="5" spans="1:66" x14ac:dyDescent="0.25">
      <c r="A5" s="149"/>
      <c r="B5" s="149" t="s">
        <v>92</v>
      </c>
      <c r="C5" s="149" t="s">
        <v>1170</v>
      </c>
      <c r="D5" s="149" t="s">
        <v>1169</v>
      </c>
      <c r="E5" s="45">
        <v>45219</v>
      </c>
      <c r="F5" s="149" t="s">
        <v>527</v>
      </c>
      <c r="G5" s="149" t="s">
        <v>527</v>
      </c>
      <c r="H5" s="149" t="s">
        <v>552</v>
      </c>
      <c r="I5" s="149" t="s">
        <v>85</v>
      </c>
      <c r="J5" s="149">
        <v>2.8</v>
      </c>
      <c r="K5" s="149" t="s">
        <v>151</v>
      </c>
      <c r="L5" s="149" t="s">
        <v>1216</v>
      </c>
      <c r="M5" s="149" t="s">
        <v>1116</v>
      </c>
      <c r="N5" s="149" t="s">
        <v>1216</v>
      </c>
      <c r="O5" s="149" t="s">
        <v>92</v>
      </c>
      <c r="P5" s="149">
        <v>30</v>
      </c>
      <c r="Q5" s="149" t="s">
        <v>115</v>
      </c>
      <c r="R5" s="149">
        <v>100</v>
      </c>
      <c r="S5" s="149" t="s">
        <v>39</v>
      </c>
      <c r="T5" s="149" t="s">
        <v>263</v>
      </c>
      <c r="U5" s="149" t="s">
        <v>7</v>
      </c>
      <c r="V5" s="149" t="s">
        <v>7</v>
      </c>
      <c r="W5" s="149" t="s">
        <v>92</v>
      </c>
      <c r="X5" s="149" t="s">
        <v>131</v>
      </c>
      <c r="Y5" s="45">
        <v>45226</v>
      </c>
      <c r="Z5" s="45"/>
      <c r="AA5" s="45">
        <v>46322</v>
      </c>
      <c r="AB5" s="149">
        <v>2.8</v>
      </c>
      <c r="AC5" s="149">
        <v>20.51</v>
      </c>
      <c r="AD5" s="149">
        <v>21.91</v>
      </c>
      <c r="AE5" s="149"/>
      <c r="AF5" s="149" t="s">
        <v>832</v>
      </c>
      <c r="AG5" s="149" t="s">
        <v>7</v>
      </c>
      <c r="AH5" t="s">
        <v>92</v>
      </c>
      <c r="AI5" s="149" t="s">
        <v>1215</v>
      </c>
      <c r="AJ5" s="149" t="s">
        <v>1170</v>
      </c>
      <c r="AK5" s="149" t="s">
        <v>92</v>
      </c>
      <c r="AL5" s="149" t="s">
        <v>92</v>
      </c>
      <c r="AM5" s="149" t="s">
        <v>752</v>
      </c>
      <c r="AN5" t="s">
        <v>7</v>
      </c>
      <c r="AO5"/>
      <c r="AP5" s="149" t="s">
        <v>92</v>
      </c>
      <c r="AQ5"/>
      <c r="AR5"/>
      <c r="AS5" s="149" t="s">
        <v>92</v>
      </c>
      <c r="AT5" s="149" t="s">
        <v>1213</v>
      </c>
      <c r="AU5" s="149" t="s">
        <v>327</v>
      </c>
      <c r="AV5" s="149" t="s">
        <v>242</v>
      </c>
      <c r="AW5"/>
      <c r="AX5"/>
      <c r="AY5" s="149" t="s">
        <v>1175</v>
      </c>
      <c r="AZ5" t="s">
        <v>750</v>
      </c>
      <c r="BM5" s="20"/>
    </row>
    <row r="6" spans="1:66" x14ac:dyDescent="0.25">
      <c r="A6" s="149"/>
      <c r="B6" s="149" t="s">
        <v>92</v>
      </c>
      <c r="C6" s="149" t="s">
        <v>1165</v>
      </c>
      <c r="D6" s="149" t="s">
        <v>1164</v>
      </c>
      <c r="E6" s="45">
        <v>45219</v>
      </c>
      <c r="F6" s="149" t="s">
        <v>83</v>
      </c>
      <c r="G6" s="149" t="s">
        <v>83</v>
      </c>
      <c r="H6" s="149" t="s">
        <v>548</v>
      </c>
      <c r="I6" s="149" t="s">
        <v>85</v>
      </c>
      <c r="J6" s="149">
        <v>1.1000000000000001</v>
      </c>
      <c r="K6" s="149" t="s">
        <v>151</v>
      </c>
      <c r="L6" s="149" t="s">
        <v>1228</v>
      </c>
      <c r="M6" s="149" t="s">
        <v>92</v>
      </c>
      <c r="N6" s="149" t="s">
        <v>92</v>
      </c>
      <c r="O6" s="149" t="s">
        <v>92</v>
      </c>
      <c r="P6" s="149"/>
      <c r="Q6" s="149" t="s">
        <v>115</v>
      </c>
      <c r="R6" s="149">
        <v>100</v>
      </c>
      <c r="S6" s="149" t="s">
        <v>37</v>
      </c>
      <c r="T6" s="149" t="s">
        <v>110</v>
      </c>
      <c r="U6" s="149" t="s">
        <v>7</v>
      </c>
      <c r="V6" s="149" t="s">
        <v>7</v>
      </c>
      <c r="W6" s="149" t="s">
        <v>92</v>
      </c>
      <c r="X6" s="149" t="s">
        <v>131</v>
      </c>
      <c r="Y6" s="45">
        <v>45226</v>
      </c>
      <c r="Z6" s="45">
        <v>45409</v>
      </c>
      <c r="AA6" s="45">
        <v>46322</v>
      </c>
      <c r="AB6" s="149">
        <v>1.1000000000000001</v>
      </c>
      <c r="AC6" s="149">
        <v>8.0579999999999998</v>
      </c>
      <c r="AD6" s="149">
        <v>8.6080000000000005</v>
      </c>
      <c r="AE6" s="149"/>
      <c r="AF6" s="149" t="s">
        <v>250</v>
      </c>
      <c r="AG6" s="149" t="s">
        <v>7</v>
      </c>
      <c r="AH6" t="s">
        <v>92</v>
      </c>
      <c r="AI6" s="149" t="s">
        <v>1165</v>
      </c>
      <c r="AJ6" s="149" t="s">
        <v>92</v>
      </c>
      <c r="AK6" s="149" t="s">
        <v>92</v>
      </c>
      <c r="AL6" s="149" t="s">
        <v>92</v>
      </c>
      <c r="AM6" s="149" t="s">
        <v>92</v>
      </c>
      <c r="AN6" t="s">
        <v>7</v>
      </c>
      <c r="AO6"/>
      <c r="AP6" s="149" t="s">
        <v>92</v>
      </c>
      <c r="AQ6"/>
      <c r="AR6"/>
      <c r="AS6" s="149" t="s">
        <v>92</v>
      </c>
      <c r="AT6" s="149" t="s">
        <v>92</v>
      </c>
      <c r="AU6" s="149" t="s">
        <v>327</v>
      </c>
      <c r="AV6" s="149" t="s">
        <v>242</v>
      </c>
      <c r="AW6"/>
      <c r="AX6"/>
      <c r="AY6" s="149" t="s">
        <v>1168</v>
      </c>
      <c r="AZ6" t="s">
        <v>750</v>
      </c>
      <c r="BM6" s="20"/>
    </row>
    <row r="7" spans="1:66" x14ac:dyDescent="0.25">
      <c r="A7" s="149"/>
      <c r="B7" s="149" t="s">
        <v>92</v>
      </c>
      <c r="C7" s="149" t="s">
        <v>816</v>
      </c>
      <c r="D7" s="149" t="s">
        <v>815</v>
      </c>
      <c r="E7" s="45">
        <v>45218</v>
      </c>
      <c r="F7" s="149" t="s">
        <v>83</v>
      </c>
      <c r="G7" s="149" t="s">
        <v>83</v>
      </c>
      <c r="H7" s="149" t="s">
        <v>409</v>
      </c>
      <c r="I7" s="149" t="s">
        <v>262</v>
      </c>
      <c r="J7" s="149">
        <v>106</v>
      </c>
      <c r="K7" s="149" t="s">
        <v>151</v>
      </c>
      <c r="L7" s="149" t="s">
        <v>928</v>
      </c>
      <c r="M7" s="149" t="s">
        <v>1111</v>
      </c>
      <c r="N7" s="149" t="s">
        <v>928</v>
      </c>
      <c r="O7" s="149" t="s">
        <v>92</v>
      </c>
      <c r="P7" s="149">
        <v>30</v>
      </c>
      <c r="Q7" s="149" t="s">
        <v>115</v>
      </c>
      <c r="R7" s="149">
        <v>100</v>
      </c>
      <c r="S7" s="149" t="s">
        <v>112</v>
      </c>
      <c r="T7" s="149" t="s">
        <v>263</v>
      </c>
      <c r="U7" s="149" t="s">
        <v>7</v>
      </c>
      <c r="V7" s="149" t="s">
        <v>7</v>
      </c>
      <c r="W7" s="149" t="s">
        <v>92</v>
      </c>
      <c r="X7" s="149" t="s">
        <v>131</v>
      </c>
      <c r="Y7" s="45">
        <v>45224</v>
      </c>
      <c r="Z7" s="45">
        <v>45407</v>
      </c>
      <c r="AA7" s="45">
        <v>46320</v>
      </c>
      <c r="AB7" s="149">
        <v>0.74199999999999999</v>
      </c>
      <c r="AC7" s="149">
        <v>5.194</v>
      </c>
      <c r="AD7" s="149">
        <v>5.5119999999999996</v>
      </c>
      <c r="AE7" s="149"/>
      <c r="AF7" s="149" t="s">
        <v>250</v>
      </c>
      <c r="AG7" s="149" t="s">
        <v>7</v>
      </c>
      <c r="AH7" t="s">
        <v>92</v>
      </c>
      <c r="AI7" s="149" t="s">
        <v>816</v>
      </c>
      <c r="AJ7" s="149" t="s">
        <v>92</v>
      </c>
      <c r="AK7" s="149" t="s">
        <v>92</v>
      </c>
      <c r="AL7" s="149" t="s">
        <v>344</v>
      </c>
      <c r="AM7" s="149" t="s">
        <v>92</v>
      </c>
      <c r="AN7" t="s">
        <v>7</v>
      </c>
      <c r="AO7"/>
      <c r="AP7" s="149" t="s">
        <v>92</v>
      </c>
      <c r="AQ7"/>
      <c r="AR7"/>
      <c r="AS7" s="149" t="s">
        <v>92</v>
      </c>
      <c r="AT7" s="149" t="s">
        <v>932</v>
      </c>
      <c r="AU7" s="149" t="s">
        <v>327</v>
      </c>
      <c r="AV7" s="149" t="s">
        <v>242</v>
      </c>
      <c r="AW7"/>
      <c r="AX7"/>
      <c r="AY7" s="149" t="s">
        <v>820</v>
      </c>
      <c r="AZ7" t="s">
        <v>750</v>
      </c>
      <c r="BM7" s="20"/>
    </row>
    <row r="8" spans="1:66" x14ac:dyDescent="0.25">
      <c r="A8" s="149"/>
      <c r="B8" s="149" t="s">
        <v>92</v>
      </c>
      <c r="C8" s="149" t="s">
        <v>862</v>
      </c>
      <c r="D8" s="149" t="s">
        <v>861</v>
      </c>
      <c r="E8" s="45">
        <v>45217</v>
      </c>
      <c r="F8" s="149" t="s">
        <v>83</v>
      </c>
      <c r="G8" s="149" t="s">
        <v>863</v>
      </c>
      <c r="H8" s="149" t="s">
        <v>552</v>
      </c>
      <c r="I8" s="149" t="s">
        <v>85</v>
      </c>
      <c r="J8" s="149">
        <v>2.1</v>
      </c>
      <c r="K8" s="149" t="s">
        <v>151</v>
      </c>
      <c r="L8" s="149" t="s">
        <v>1032</v>
      </c>
      <c r="M8" s="149" t="s">
        <v>1114</v>
      </c>
      <c r="N8" s="149" t="s">
        <v>1032</v>
      </c>
      <c r="O8" s="149" t="s">
        <v>92</v>
      </c>
      <c r="P8" s="149">
        <v>60</v>
      </c>
      <c r="Q8" s="149" t="s">
        <v>115</v>
      </c>
      <c r="R8" s="149">
        <v>100</v>
      </c>
      <c r="S8" s="149" t="s">
        <v>40</v>
      </c>
      <c r="T8" s="149" t="s">
        <v>251</v>
      </c>
      <c r="U8" s="149" t="s">
        <v>7</v>
      </c>
      <c r="V8" s="149" t="s">
        <v>7</v>
      </c>
      <c r="W8" s="149" t="s">
        <v>92</v>
      </c>
      <c r="X8" s="149" t="s">
        <v>131</v>
      </c>
      <c r="Y8" s="45">
        <v>45224</v>
      </c>
      <c r="Z8" s="45">
        <v>45407</v>
      </c>
      <c r="AA8" s="45">
        <v>46320</v>
      </c>
      <c r="AB8" s="149">
        <v>2.1</v>
      </c>
      <c r="AC8" s="149">
        <v>15.391</v>
      </c>
      <c r="AD8" s="149">
        <v>16.440999999999999</v>
      </c>
      <c r="AE8" s="149"/>
      <c r="AF8" s="149" t="s">
        <v>573</v>
      </c>
      <c r="AG8" s="149" t="s">
        <v>7</v>
      </c>
      <c r="AH8" t="s">
        <v>92</v>
      </c>
      <c r="AI8" s="149" t="s">
        <v>1038</v>
      </c>
      <c r="AJ8" s="149" t="s">
        <v>92</v>
      </c>
      <c r="AK8" s="149" t="s">
        <v>862</v>
      </c>
      <c r="AL8" s="149" t="s">
        <v>92</v>
      </c>
      <c r="AM8" s="149" t="s">
        <v>787</v>
      </c>
      <c r="AN8" t="s">
        <v>7</v>
      </c>
      <c r="AO8"/>
      <c r="AP8" s="149" t="s">
        <v>92</v>
      </c>
      <c r="AQ8"/>
      <c r="AR8"/>
      <c r="AS8" s="149" t="s">
        <v>92</v>
      </c>
      <c r="AT8" s="149" t="s">
        <v>1036</v>
      </c>
      <c r="AU8" s="149" t="s">
        <v>327</v>
      </c>
      <c r="AV8" s="149" t="s">
        <v>242</v>
      </c>
      <c r="AW8"/>
      <c r="AX8"/>
      <c r="AY8" s="149" t="s">
        <v>868</v>
      </c>
      <c r="AZ8" t="s">
        <v>750</v>
      </c>
      <c r="BM8" s="20"/>
    </row>
    <row r="9" spans="1:66" x14ac:dyDescent="0.25">
      <c r="A9" s="149"/>
      <c r="B9" s="149" t="s">
        <v>92</v>
      </c>
      <c r="C9" s="149" t="s">
        <v>840</v>
      </c>
      <c r="D9" s="149" t="s">
        <v>839</v>
      </c>
      <c r="E9" s="45">
        <v>45217</v>
      </c>
      <c r="F9" s="149" t="s">
        <v>83</v>
      </c>
      <c r="G9" s="149" t="s">
        <v>83</v>
      </c>
      <c r="H9" s="149" t="s">
        <v>409</v>
      </c>
      <c r="I9" s="149" t="s">
        <v>106</v>
      </c>
      <c r="J9" s="149">
        <v>0.6</v>
      </c>
      <c r="K9" s="149" t="s">
        <v>560</v>
      </c>
      <c r="L9" s="149" t="s">
        <v>1016</v>
      </c>
      <c r="M9" s="149" t="s">
        <v>92</v>
      </c>
      <c r="N9" s="149" t="s">
        <v>1016</v>
      </c>
      <c r="O9" s="149" t="s">
        <v>92</v>
      </c>
      <c r="P9" s="149"/>
      <c r="Q9" s="149" t="s">
        <v>115</v>
      </c>
      <c r="R9" s="149">
        <v>100</v>
      </c>
      <c r="S9" s="149" t="s">
        <v>39</v>
      </c>
      <c r="T9" s="149" t="s">
        <v>251</v>
      </c>
      <c r="U9" s="149" t="s">
        <v>7</v>
      </c>
      <c r="V9" s="149" t="s">
        <v>7</v>
      </c>
      <c r="W9" s="149" t="s">
        <v>92</v>
      </c>
      <c r="X9" s="149" t="s">
        <v>131</v>
      </c>
      <c r="Y9" s="45">
        <v>45223</v>
      </c>
      <c r="Z9" s="45">
        <v>45406</v>
      </c>
      <c r="AA9" s="45">
        <v>45587</v>
      </c>
      <c r="AB9" s="149">
        <v>8.2000000000000003E-2</v>
      </c>
      <c r="AC9" s="149">
        <v>0.6</v>
      </c>
      <c r="AD9" s="149">
        <v>0.64100000000000001</v>
      </c>
      <c r="AE9" s="149"/>
      <c r="AF9" s="149" t="s">
        <v>573</v>
      </c>
      <c r="AG9" s="149" t="s">
        <v>7</v>
      </c>
      <c r="AH9" t="s">
        <v>92</v>
      </c>
      <c r="AI9" s="149" t="s">
        <v>1023</v>
      </c>
      <c r="AJ9" s="149" t="s">
        <v>840</v>
      </c>
      <c r="AK9" s="149" t="s">
        <v>92</v>
      </c>
      <c r="AL9" s="149" t="s">
        <v>92</v>
      </c>
      <c r="AM9" s="149" t="s">
        <v>92</v>
      </c>
      <c r="AN9" t="s">
        <v>7</v>
      </c>
      <c r="AO9"/>
      <c r="AP9" s="149" t="s">
        <v>561</v>
      </c>
      <c r="AQ9"/>
      <c r="AR9"/>
      <c r="AS9" s="149" t="s">
        <v>92</v>
      </c>
      <c r="AT9" s="149" t="s">
        <v>1021</v>
      </c>
      <c r="AU9" s="149" t="s">
        <v>327</v>
      </c>
      <c r="AV9" s="149" t="s">
        <v>242</v>
      </c>
      <c r="AW9"/>
      <c r="AX9"/>
      <c r="AY9" s="149" t="s">
        <v>845</v>
      </c>
      <c r="AZ9" t="s">
        <v>750</v>
      </c>
      <c r="BM9" s="20"/>
    </row>
    <row r="10" spans="1:66" x14ac:dyDescent="0.25">
      <c r="A10" s="149"/>
      <c r="B10" s="149" t="s">
        <v>92</v>
      </c>
      <c r="C10" s="149" t="s">
        <v>825</v>
      </c>
      <c r="D10" s="149" t="s">
        <v>824</v>
      </c>
      <c r="E10" s="45">
        <v>45217</v>
      </c>
      <c r="F10" s="149" t="s">
        <v>83</v>
      </c>
      <c r="G10" s="149" t="s">
        <v>83</v>
      </c>
      <c r="H10" s="149" t="s">
        <v>92</v>
      </c>
      <c r="I10" s="149" t="s">
        <v>85</v>
      </c>
      <c r="J10" s="149">
        <v>1.7</v>
      </c>
      <c r="K10" s="149" t="s">
        <v>151</v>
      </c>
      <c r="L10" s="149" t="s">
        <v>1032</v>
      </c>
      <c r="M10" s="149" t="s">
        <v>92</v>
      </c>
      <c r="N10" s="149" t="s">
        <v>92</v>
      </c>
      <c r="O10" s="149" t="s">
        <v>92</v>
      </c>
      <c r="P10" s="149"/>
      <c r="Q10" s="149" t="s">
        <v>115</v>
      </c>
      <c r="R10" s="149">
        <v>100</v>
      </c>
      <c r="S10" s="149" t="s">
        <v>39</v>
      </c>
      <c r="T10" s="149" t="s">
        <v>263</v>
      </c>
      <c r="U10" s="149" t="s">
        <v>7</v>
      </c>
      <c r="V10" s="149" t="s">
        <v>7</v>
      </c>
      <c r="W10" s="149" t="s">
        <v>92</v>
      </c>
      <c r="X10" s="149" t="s">
        <v>545</v>
      </c>
      <c r="Y10" s="45">
        <v>45225</v>
      </c>
      <c r="Z10" s="45">
        <v>45591</v>
      </c>
      <c r="AA10" s="45">
        <v>46321</v>
      </c>
      <c r="AB10" s="149">
        <v>1.7</v>
      </c>
      <c r="AC10" s="149">
        <v>12.459</v>
      </c>
      <c r="AD10" s="149">
        <v>13.308999999999999</v>
      </c>
      <c r="AE10" s="149"/>
      <c r="AF10" s="149" t="s">
        <v>250</v>
      </c>
      <c r="AG10" s="149" t="s">
        <v>7</v>
      </c>
      <c r="AH10" t="s">
        <v>92</v>
      </c>
      <c r="AI10" s="149" t="s">
        <v>826</v>
      </c>
      <c r="AJ10" s="149" t="s">
        <v>825</v>
      </c>
      <c r="AK10" s="149" t="s">
        <v>92</v>
      </c>
      <c r="AL10" s="149" t="s">
        <v>92</v>
      </c>
      <c r="AM10" s="149" t="s">
        <v>92</v>
      </c>
      <c r="AN10" t="s">
        <v>7</v>
      </c>
      <c r="AO10"/>
      <c r="AP10" s="149" t="s">
        <v>92</v>
      </c>
      <c r="AQ10"/>
      <c r="AR10"/>
      <c r="AS10" s="149" t="s">
        <v>92</v>
      </c>
      <c r="AT10" s="149" t="s">
        <v>92</v>
      </c>
      <c r="AU10" s="149" t="s">
        <v>327</v>
      </c>
      <c r="AV10" s="149" t="s">
        <v>242</v>
      </c>
      <c r="AW10"/>
      <c r="AX10"/>
      <c r="AY10" s="149" t="s">
        <v>830</v>
      </c>
      <c r="AZ10" t="s">
        <v>750</v>
      </c>
      <c r="BM10" s="20"/>
    </row>
    <row r="11" spans="1:66" x14ac:dyDescent="0.25">
      <c r="A11" s="149"/>
      <c r="B11" s="149" t="s">
        <v>92</v>
      </c>
      <c r="C11" s="149" t="s">
        <v>870</v>
      </c>
      <c r="D11" s="149" t="s">
        <v>869</v>
      </c>
      <c r="E11" s="45">
        <v>45217</v>
      </c>
      <c r="F11" s="149" t="s">
        <v>83</v>
      </c>
      <c r="G11" s="149" t="s">
        <v>83</v>
      </c>
      <c r="H11" s="149" t="s">
        <v>409</v>
      </c>
      <c r="I11" s="149" t="s">
        <v>85</v>
      </c>
      <c r="J11" s="149">
        <v>3</v>
      </c>
      <c r="K11" s="149" t="s">
        <v>151</v>
      </c>
      <c r="L11" s="149" t="s">
        <v>999</v>
      </c>
      <c r="M11" s="149" t="s">
        <v>1116</v>
      </c>
      <c r="N11" s="149" t="s">
        <v>999</v>
      </c>
      <c r="O11" s="149" t="s">
        <v>92</v>
      </c>
      <c r="P11" s="149">
        <v>40</v>
      </c>
      <c r="Q11" s="149" t="s">
        <v>115</v>
      </c>
      <c r="R11" s="149">
        <v>100</v>
      </c>
      <c r="S11" s="149" t="s">
        <v>37</v>
      </c>
      <c r="T11" s="149" t="s">
        <v>263</v>
      </c>
      <c r="U11" s="149" t="s">
        <v>7</v>
      </c>
      <c r="V11" s="149" t="s">
        <v>7</v>
      </c>
      <c r="W11" s="149" t="s">
        <v>92</v>
      </c>
      <c r="X11" s="149" t="s">
        <v>131</v>
      </c>
      <c r="Y11" s="45">
        <v>45225</v>
      </c>
      <c r="Z11" s="45">
        <v>45408</v>
      </c>
      <c r="AA11" s="45">
        <v>46321</v>
      </c>
      <c r="AB11" s="149">
        <v>3</v>
      </c>
      <c r="AC11" s="149">
        <v>21.986999999999998</v>
      </c>
      <c r="AD11" s="149">
        <v>23.486999999999998</v>
      </c>
      <c r="AE11" s="149"/>
      <c r="AF11" s="149" t="s">
        <v>250</v>
      </c>
      <c r="AG11" s="149" t="s">
        <v>7</v>
      </c>
      <c r="AH11" t="s">
        <v>92</v>
      </c>
      <c r="AI11" s="149" t="s">
        <v>870</v>
      </c>
      <c r="AJ11" s="149" t="s">
        <v>92</v>
      </c>
      <c r="AK11" s="149" t="s">
        <v>92</v>
      </c>
      <c r="AL11" s="149" t="s">
        <v>92</v>
      </c>
      <c r="AM11" s="149" t="s">
        <v>752</v>
      </c>
      <c r="AN11" t="s">
        <v>7</v>
      </c>
      <c r="AO11"/>
      <c r="AP11" s="149" t="s">
        <v>92</v>
      </c>
      <c r="AQ11"/>
      <c r="AR11"/>
      <c r="AS11" s="149" t="s">
        <v>92</v>
      </c>
      <c r="AT11" s="149" t="s">
        <v>1003</v>
      </c>
      <c r="AU11" s="149" t="s">
        <v>327</v>
      </c>
      <c r="AV11" s="149" t="s">
        <v>242</v>
      </c>
      <c r="AW11"/>
      <c r="AX11"/>
      <c r="AY11" s="149" t="s">
        <v>873</v>
      </c>
      <c r="AZ11" t="s">
        <v>750</v>
      </c>
      <c r="BN11" s="20"/>
    </row>
    <row r="12" spans="1:66" x14ac:dyDescent="0.25">
      <c r="A12" s="149"/>
      <c r="B12" s="149" t="s">
        <v>92</v>
      </c>
      <c r="C12" s="149" t="s">
        <v>692</v>
      </c>
      <c r="D12" s="149" t="s">
        <v>831</v>
      </c>
      <c r="E12" s="45">
        <v>45217</v>
      </c>
      <c r="F12" s="149" t="s">
        <v>83</v>
      </c>
      <c r="G12" s="149" t="s">
        <v>837</v>
      </c>
      <c r="H12" s="149" t="s">
        <v>92</v>
      </c>
      <c r="I12" s="149" t="s">
        <v>106</v>
      </c>
      <c r="J12" s="149">
        <v>31.9</v>
      </c>
      <c r="K12" s="149" t="s">
        <v>151</v>
      </c>
      <c r="L12" s="149" t="s">
        <v>1117</v>
      </c>
      <c r="M12" s="149" t="s">
        <v>92</v>
      </c>
      <c r="N12" s="149" t="s">
        <v>92</v>
      </c>
      <c r="O12" s="149" t="s">
        <v>92</v>
      </c>
      <c r="P12" s="149"/>
      <c r="Q12" s="149" t="s">
        <v>115</v>
      </c>
      <c r="R12" s="149">
        <v>100</v>
      </c>
      <c r="S12" s="149" t="s">
        <v>39</v>
      </c>
      <c r="T12" s="149" t="s">
        <v>110</v>
      </c>
      <c r="U12" s="149" t="s">
        <v>149</v>
      </c>
      <c r="V12" s="149" t="s">
        <v>7</v>
      </c>
      <c r="W12" s="149" t="s">
        <v>92</v>
      </c>
      <c r="X12" s="149" t="s">
        <v>131</v>
      </c>
      <c r="Y12" s="45">
        <v>45224</v>
      </c>
      <c r="Z12" s="45">
        <v>45407</v>
      </c>
      <c r="AA12" s="45">
        <v>46320</v>
      </c>
      <c r="AB12" s="149">
        <v>4.3380000000000001</v>
      </c>
      <c r="AC12" s="149">
        <v>31.9</v>
      </c>
      <c r="AD12" s="149">
        <v>34.069000000000003</v>
      </c>
      <c r="AE12" s="149"/>
      <c r="AF12" s="149" t="s">
        <v>832</v>
      </c>
      <c r="AG12" s="149" t="s">
        <v>7</v>
      </c>
      <c r="AH12" t="s">
        <v>92</v>
      </c>
      <c r="AI12" s="149" t="s">
        <v>993</v>
      </c>
      <c r="AJ12" s="149" t="s">
        <v>692</v>
      </c>
      <c r="AK12" s="149" t="s">
        <v>92</v>
      </c>
      <c r="AL12" s="149" t="s">
        <v>92</v>
      </c>
      <c r="AM12" s="149" t="s">
        <v>92</v>
      </c>
      <c r="AN12" t="s">
        <v>7</v>
      </c>
      <c r="AO12"/>
      <c r="AP12" s="149" t="s">
        <v>92</v>
      </c>
      <c r="AQ12"/>
      <c r="AR12"/>
      <c r="AS12" s="149" t="s">
        <v>92</v>
      </c>
      <c r="AT12" s="149" t="s">
        <v>92</v>
      </c>
      <c r="AU12" s="149" t="s">
        <v>327</v>
      </c>
      <c r="AV12" s="149" t="s">
        <v>242</v>
      </c>
      <c r="AW12"/>
      <c r="AX12"/>
      <c r="AY12" s="149" t="s">
        <v>838</v>
      </c>
      <c r="AZ12" t="s">
        <v>750</v>
      </c>
      <c r="BN12" s="20"/>
    </row>
    <row r="13" spans="1:66" x14ac:dyDescent="0.25">
      <c r="A13" s="149"/>
      <c r="B13" s="149" t="s">
        <v>92</v>
      </c>
      <c r="C13" s="149" t="s">
        <v>847</v>
      </c>
      <c r="D13" s="149" t="s">
        <v>851</v>
      </c>
      <c r="E13" s="45">
        <v>45217</v>
      </c>
      <c r="F13" s="149" t="s">
        <v>1176</v>
      </c>
      <c r="G13" s="149" t="s">
        <v>464</v>
      </c>
      <c r="H13" s="149" t="s">
        <v>552</v>
      </c>
      <c r="I13" s="149" t="s">
        <v>85</v>
      </c>
      <c r="J13" s="149">
        <v>10</v>
      </c>
      <c r="K13" s="149" t="s">
        <v>151</v>
      </c>
      <c r="L13" s="149" t="s">
        <v>476</v>
      </c>
      <c r="M13" s="149" t="s">
        <v>477</v>
      </c>
      <c r="N13" s="149" t="s">
        <v>476</v>
      </c>
      <c r="O13" s="149" t="s">
        <v>476</v>
      </c>
      <c r="P13" s="149">
        <v>45</v>
      </c>
      <c r="Q13" s="149" t="s">
        <v>1126</v>
      </c>
      <c r="R13" s="149">
        <v>100</v>
      </c>
      <c r="S13" s="149" t="s">
        <v>37</v>
      </c>
      <c r="T13" s="149" t="s">
        <v>1120</v>
      </c>
      <c r="U13" s="149" t="s">
        <v>7</v>
      </c>
      <c r="V13" s="149" t="s">
        <v>7</v>
      </c>
      <c r="W13" s="149" t="s">
        <v>92</v>
      </c>
      <c r="X13" s="149" t="s">
        <v>983</v>
      </c>
      <c r="Y13" s="45">
        <v>45224</v>
      </c>
      <c r="Z13" s="45">
        <v>45316</v>
      </c>
      <c r="AA13" s="45">
        <v>46320</v>
      </c>
      <c r="AB13" s="149">
        <v>10</v>
      </c>
      <c r="AC13" s="149">
        <v>73.290000000000006</v>
      </c>
      <c r="AD13" s="149">
        <v>78.290000000000006</v>
      </c>
      <c r="AE13" s="149"/>
      <c r="AF13" s="149" t="s">
        <v>250</v>
      </c>
      <c r="AG13" s="149" t="s">
        <v>7</v>
      </c>
      <c r="AH13" t="s">
        <v>1125</v>
      </c>
      <c r="AI13" s="149" t="s">
        <v>978</v>
      </c>
      <c r="AJ13" s="149" t="s">
        <v>92</v>
      </c>
      <c r="AK13" s="149" t="s">
        <v>92</v>
      </c>
      <c r="AL13" s="149" t="s">
        <v>92</v>
      </c>
      <c r="AM13" s="149" t="s">
        <v>752</v>
      </c>
      <c r="AN13" t="s">
        <v>1127</v>
      </c>
      <c r="AO13"/>
      <c r="AP13" s="149" t="s">
        <v>92</v>
      </c>
      <c r="AQ13"/>
      <c r="AR13"/>
      <c r="AS13" s="149" t="s">
        <v>92</v>
      </c>
      <c r="AT13" s="149" t="s">
        <v>947</v>
      </c>
      <c r="AU13" s="149" t="s">
        <v>327</v>
      </c>
      <c r="AV13" s="149" t="s">
        <v>242</v>
      </c>
      <c r="AW13"/>
      <c r="AX13"/>
      <c r="AY13" s="149" t="s">
        <v>853</v>
      </c>
      <c r="AZ13" t="s">
        <v>750</v>
      </c>
      <c r="BN13" s="20"/>
    </row>
    <row r="14" spans="1:66" x14ac:dyDescent="0.25">
      <c r="A14" s="149"/>
      <c r="B14" s="149" t="s">
        <v>92</v>
      </c>
      <c r="C14" s="149" t="s">
        <v>847</v>
      </c>
      <c r="D14" s="149" t="s">
        <v>846</v>
      </c>
      <c r="E14" s="45">
        <v>45217</v>
      </c>
      <c r="F14" s="149" t="s">
        <v>1176</v>
      </c>
      <c r="G14" s="149" t="s">
        <v>464</v>
      </c>
      <c r="H14" s="149" t="s">
        <v>552</v>
      </c>
      <c r="I14" s="149" t="s">
        <v>85</v>
      </c>
      <c r="J14" s="149">
        <v>5</v>
      </c>
      <c r="K14" s="149" t="s">
        <v>151</v>
      </c>
      <c r="L14" s="149" t="s">
        <v>969</v>
      </c>
      <c r="M14" s="149" t="s">
        <v>1123</v>
      </c>
      <c r="N14" s="149" t="s">
        <v>1124</v>
      </c>
      <c r="O14" s="149" t="s">
        <v>92</v>
      </c>
      <c r="P14" s="149"/>
      <c r="Q14" s="149" t="s">
        <v>1122</v>
      </c>
      <c r="R14" s="149">
        <v>99.816999999999993</v>
      </c>
      <c r="S14" s="149" t="s">
        <v>37</v>
      </c>
      <c r="T14" s="149" t="s">
        <v>1120</v>
      </c>
      <c r="U14" s="149" t="s">
        <v>149</v>
      </c>
      <c r="V14" s="149" t="s">
        <v>7</v>
      </c>
      <c r="W14" s="149" t="s">
        <v>92</v>
      </c>
      <c r="X14" s="149" t="s">
        <v>131</v>
      </c>
      <c r="Y14" s="45">
        <v>45224</v>
      </c>
      <c r="Z14" s="45">
        <v>45407</v>
      </c>
      <c r="AA14" s="45">
        <v>46320</v>
      </c>
      <c r="AB14" s="149">
        <v>5</v>
      </c>
      <c r="AC14" s="149">
        <v>36.645000000000003</v>
      </c>
      <c r="AD14" s="149">
        <v>39.145000000000003</v>
      </c>
      <c r="AE14" s="149"/>
      <c r="AF14" s="149" t="s">
        <v>250</v>
      </c>
      <c r="AG14" s="149" t="s">
        <v>7</v>
      </c>
      <c r="AH14" t="s">
        <v>1121</v>
      </c>
      <c r="AI14" s="149" t="s">
        <v>968</v>
      </c>
      <c r="AJ14" s="149" t="s">
        <v>92</v>
      </c>
      <c r="AK14" s="149" t="s">
        <v>92</v>
      </c>
      <c r="AL14" s="149" t="s">
        <v>92</v>
      </c>
      <c r="AM14" s="149" t="s">
        <v>752</v>
      </c>
      <c r="AN14" t="s">
        <v>7</v>
      </c>
      <c r="AO14"/>
      <c r="AP14" s="149" t="s">
        <v>92</v>
      </c>
      <c r="AQ14"/>
      <c r="AR14"/>
      <c r="AS14" s="149" t="s">
        <v>92</v>
      </c>
      <c r="AT14" s="149" t="s">
        <v>957</v>
      </c>
      <c r="AU14" s="149" t="s">
        <v>327</v>
      </c>
      <c r="AV14" s="149" t="s">
        <v>242</v>
      </c>
      <c r="AW14"/>
      <c r="AX14"/>
      <c r="AY14" s="149" t="s">
        <v>850</v>
      </c>
      <c r="AZ14" t="s">
        <v>750</v>
      </c>
      <c r="BN14" s="20"/>
    </row>
    <row r="15" spans="1:66" x14ac:dyDescent="0.25">
      <c r="A15" s="149"/>
      <c r="B15" s="149" t="s">
        <v>92</v>
      </c>
      <c r="C15" s="149" t="s">
        <v>847</v>
      </c>
      <c r="D15" s="149" t="s">
        <v>854</v>
      </c>
      <c r="E15" s="45">
        <v>45217</v>
      </c>
      <c r="F15" s="149" t="s">
        <v>1176</v>
      </c>
      <c r="G15" s="149" t="s">
        <v>464</v>
      </c>
      <c r="H15" s="149" t="s">
        <v>552</v>
      </c>
      <c r="I15" s="149" t="s">
        <v>111</v>
      </c>
      <c r="J15" s="149">
        <v>3</v>
      </c>
      <c r="K15" s="149" t="s">
        <v>151</v>
      </c>
      <c r="L15" s="149" t="s">
        <v>959</v>
      </c>
      <c r="M15" s="149" t="s">
        <v>1129</v>
      </c>
      <c r="N15" s="149" t="s">
        <v>1144</v>
      </c>
      <c r="O15" s="149" t="s">
        <v>1144</v>
      </c>
      <c r="P15" s="149">
        <v>20</v>
      </c>
      <c r="Q15" s="149" t="s">
        <v>1145</v>
      </c>
      <c r="R15" s="149">
        <v>99.745999999999995</v>
      </c>
      <c r="S15" s="149" t="s">
        <v>37</v>
      </c>
      <c r="T15" s="149" t="s">
        <v>1120</v>
      </c>
      <c r="U15" s="149" t="s">
        <v>149</v>
      </c>
      <c r="V15" s="149" t="s">
        <v>7</v>
      </c>
      <c r="W15" s="149" t="s">
        <v>92</v>
      </c>
      <c r="X15" s="149" t="s">
        <v>545</v>
      </c>
      <c r="Y15" s="45">
        <v>45224</v>
      </c>
      <c r="Z15" s="45">
        <v>45590</v>
      </c>
      <c r="AA15" s="45">
        <v>46320</v>
      </c>
      <c r="AB15" s="149">
        <v>3.1589999999999998</v>
      </c>
      <c r="AC15" s="149">
        <v>23.154</v>
      </c>
      <c r="AD15" s="149">
        <v>24.734999999999999</v>
      </c>
      <c r="AE15" s="149"/>
      <c r="AF15" s="149" t="s">
        <v>250</v>
      </c>
      <c r="AG15" s="149" t="s">
        <v>7</v>
      </c>
      <c r="AH15" t="s">
        <v>1128</v>
      </c>
      <c r="AI15" s="149" t="s">
        <v>958</v>
      </c>
      <c r="AJ15" s="149" t="s">
        <v>92</v>
      </c>
      <c r="AK15" s="149" t="s">
        <v>92</v>
      </c>
      <c r="AL15" s="149" t="s">
        <v>92</v>
      </c>
      <c r="AM15" s="149" t="s">
        <v>752</v>
      </c>
      <c r="AN15" t="s">
        <v>7</v>
      </c>
      <c r="AO15"/>
      <c r="AP15" s="149" t="s">
        <v>92</v>
      </c>
      <c r="AQ15"/>
      <c r="AR15"/>
      <c r="AS15" s="149" t="s">
        <v>92</v>
      </c>
      <c r="AT15" s="149" t="s">
        <v>957</v>
      </c>
      <c r="AU15" s="149" t="s">
        <v>327</v>
      </c>
      <c r="AV15" s="149" t="s">
        <v>242</v>
      </c>
      <c r="AW15"/>
      <c r="AX15"/>
      <c r="AY15" s="149" t="s">
        <v>856</v>
      </c>
      <c r="AZ15" t="s">
        <v>750</v>
      </c>
    </row>
    <row r="16" spans="1:66" x14ac:dyDescent="0.25">
      <c r="A16" s="149"/>
      <c r="B16" s="149" t="s">
        <v>92</v>
      </c>
      <c r="C16" s="149" t="s">
        <v>847</v>
      </c>
      <c r="D16" s="149" t="s">
        <v>857</v>
      </c>
      <c r="E16" s="45">
        <v>45217</v>
      </c>
      <c r="F16" s="149" t="s">
        <v>1176</v>
      </c>
      <c r="G16" s="149" t="s">
        <v>464</v>
      </c>
      <c r="H16" s="149" t="s">
        <v>552</v>
      </c>
      <c r="I16" s="149" t="s">
        <v>106</v>
      </c>
      <c r="J16" s="149">
        <v>16</v>
      </c>
      <c r="K16" s="149" t="s">
        <v>576</v>
      </c>
      <c r="L16" s="149" t="s">
        <v>1132</v>
      </c>
      <c r="M16" s="149" t="s">
        <v>1131</v>
      </c>
      <c r="N16" s="149" t="s">
        <v>1132</v>
      </c>
      <c r="O16" s="149" t="s">
        <v>92</v>
      </c>
      <c r="P16" s="149">
        <v>35</v>
      </c>
      <c r="Q16" s="149" t="s">
        <v>115</v>
      </c>
      <c r="R16" s="149">
        <v>100</v>
      </c>
      <c r="S16" s="149" t="s">
        <v>37</v>
      </c>
      <c r="T16" s="149" t="s">
        <v>1120</v>
      </c>
      <c r="U16" s="149" t="s">
        <v>149</v>
      </c>
      <c r="V16" s="149" t="s">
        <v>7</v>
      </c>
      <c r="W16" s="149" t="s">
        <v>92</v>
      </c>
      <c r="X16" s="149" t="s">
        <v>131</v>
      </c>
      <c r="Y16" s="45">
        <v>45224</v>
      </c>
      <c r="Z16" s="45">
        <v>45407</v>
      </c>
      <c r="AA16" s="45">
        <v>45955</v>
      </c>
      <c r="AB16" s="149">
        <v>2.1760000000000002</v>
      </c>
      <c r="AC16" s="149">
        <v>16</v>
      </c>
      <c r="AD16" s="149">
        <v>17.088000000000001</v>
      </c>
      <c r="AE16" s="149"/>
      <c r="AF16" s="149" t="s">
        <v>250</v>
      </c>
      <c r="AG16" s="149" t="s">
        <v>7</v>
      </c>
      <c r="AH16" t="s">
        <v>1130</v>
      </c>
      <c r="AI16" s="149" t="s">
        <v>949</v>
      </c>
      <c r="AJ16" s="149" t="s">
        <v>92</v>
      </c>
      <c r="AK16" s="149" t="s">
        <v>92</v>
      </c>
      <c r="AL16" s="149" t="s">
        <v>92</v>
      </c>
      <c r="AM16" s="149" t="s">
        <v>752</v>
      </c>
      <c r="AN16" t="s">
        <v>7</v>
      </c>
      <c r="AO16"/>
      <c r="AP16" s="149" t="s">
        <v>92</v>
      </c>
      <c r="AQ16"/>
      <c r="AR16"/>
      <c r="AS16" s="149" t="s">
        <v>92</v>
      </c>
      <c r="AT16" s="149" t="s">
        <v>947</v>
      </c>
      <c r="AU16" s="149" t="s">
        <v>327</v>
      </c>
      <c r="AV16" s="149" t="s">
        <v>242</v>
      </c>
      <c r="AW16"/>
      <c r="AX16"/>
      <c r="AY16" s="149" t="s">
        <v>860</v>
      </c>
      <c r="AZ16" t="s">
        <v>750</v>
      </c>
    </row>
    <row r="17" spans="1:52" x14ac:dyDescent="0.25">
      <c r="A17" s="149"/>
      <c r="B17" s="149" t="s">
        <v>92</v>
      </c>
      <c r="C17" s="149" t="s">
        <v>879</v>
      </c>
      <c r="D17" s="149" t="s">
        <v>878</v>
      </c>
      <c r="E17" s="45">
        <v>45216</v>
      </c>
      <c r="F17" s="149" t="s">
        <v>83</v>
      </c>
      <c r="G17" s="149" t="s">
        <v>83</v>
      </c>
      <c r="H17" s="149" t="s">
        <v>409</v>
      </c>
      <c r="I17" s="149" t="s">
        <v>106</v>
      </c>
      <c r="J17" s="149">
        <v>4.5</v>
      </c>
      <c r="K17" s="149" t="s">
        <v>151</v>
      </c>
      <c r="L17" s="149" t="s">
        <v>1135</v>
      </c>
      <c r="M17" s="149" t="s">
        <v>92</v>
      </c>
      <c r="N17" s="149" t="s">
        <v>92</v>
      </c>
      <c r="O17" s="149" t="s">
        <v>92</v>
      </c>
      <c r="P17" s="149"/>
      <c r="Q17" s="149" t="s">
        <v>115</v>
      </c>
      <c r="R17" s="149">
        <v>100</v>
      </c>
      <c r="S17" s="149" t="s">
        <v>37</v>
      </c>
      <c r="T17" s="149" t="s">
        <v>251</v>
      </c>
      <c r="U17" s="149" t="s">
        <v>7</v>
      </c>
      <c r="V17" s="149" t="s">
        <v>7</v>
      </c>
      <c r="W17" s="149" t="s">
        <v>92</v>
      </c>
      <c r="X17" s="149" t="s">
        <v>131</v>
      </c>
      <c r="Y17" s="45">
        <v>45223</v>
      </c>
      <c r="Z17" s="45">
        <v>45406</v>
      </c>
      <c r="AA17" s="45">
        <v>46319</v>
      </c>
      <c r="AB17" s="149">
        <v>0.61599999999999999</v>
      </c>
      <c r="AC17" s="149">
        <v>4.5</v>
      </c>
      <c r="AD17" s="149">
        <v>4.8099999999999996</v>
      </c>
      <c r="AE17" s="149"/>
      <c r="AF17" s="149" t="s">
        <v>250</v>
      </c>
      <c r="AG17" s="149" t="s">
        <v>7</v>
      </c>
      <c r="AH17" t="s">
        <v>92</v>
      </c>
      <c r="AI17" s="149" t="s">
        <v>879</v>
      </c>
      <c r="AJ17" s="149" t="s">
        <v>92</v>
      </c>
      <c r="AK17" s="149" t="s">
        <v>92</v>
      </c>
      <c r="AL17" s="149" t="s">
        <v>92</v>
      </c>
      <c r="AM17" s="149" t="s">
        <v>92</v>
      </c>
      <c r="AN17" t="s">
        <v>7</v>
      </c>
      <c r="AO17"/>
      <c r="AP17" s="149" t="s">
        <v>92</v>
      </c>
      <c r="AQ17"/>
      <c r="AR17"/>
      <c r="AS17" s="149" t="s">
        <v>92</v>
      </c>
      <c r="AT17" s="149" t="s">
        <v>1058</v>
      </c>
      <c r="AU17" s="149" t="s">
        <v>327</v>
      </c>
      <c r="AV17" s="149" t="s">
        <v>242</v>
      </c>
      <c r="AW17"/>
      <c r="AX17"/>
      <c r="AY17" s="149" t="s">
        <v>883</v>
      </c>
      <c r="AZ17" t="s">
        <v>750</v>
      </c>
    </row>
    <row r="18" spans="1:52" x14ac:dyDescent="0.25">
      <c r="A18" s="149"/>
      <c r="B18" s="149" t="s">
        <v>92</v>
      </c>
      <c r="C18" s="149" t="s">
        <v>885</v>
      </c>
      <c r="D18" s="149" t="s">
        <v>884</v>
      </c>
      <c r="E18" s="45">
        <v>45216</v>
      </c>
      <c r="F18" s="149" t="s">
        <v>83</v>
      </c>
      <c r="G18" s="149" t="s">
        <v>83</v>
      </c>
      <c r="H18" s="149" t="s">
        <v>548</v>
      </c>
      <c r="I18" s="149" t="s">
        <v>262</v>
      </c>
      <c r="J18" s="149">
        <v>45</v>
      </c>
      <c r="K18" s="149" t="s">
        <v>151</v>
      </c>
      <c r="L18" s="149" t="s">
        <v>1044</v>
      </c>
      <c r="M18" s="149" t="s">
        <v>1136</v>
      </c>
      <c r="N18" s="149" t="s">
        <v>1044</v>
      </c>
      <c r="O18" s="149" t="s">
        <v>92</v>
      </c>
      <c r="P18" s="149">
        <v>15</v>
      </c>
      <c r="Q18" s="149" t="s">
        <v>115</v>
      </c>
      <c r="R18" s="149">
        <v>100</v>
      </c>
      <c r="S18" s="149" t="s">
        <v>112</v>
      </c>
      <c r="T18" s="149" t="s">
        <v>251</v>
      </c>
      <c r="U18" s="149" t="s">
        <v>7</v>
      </c>
      <c r="V18" s="149" t="s">
        <v>7</v>
      </c>
      <c r="W18" s="149" t="s">
        <v>92</v>
      </c>
      <c r="X18" s="149" t="s">
        <v>131</v>
      </c>
      <c r="Y18" s="45">
        <v>45224</v>
      </c>
      <c r="Z18" s="45">
        <v>45407</v>
      </c>
      <c r="AA18" s="45">
        <v>46320</v>
      </c>
      <c r="AB18" s="149">
        <v>0.315</v>
      </c>
      <c r="AC18" s="149">
        <v>2.2050000000000001</v>
      </c>
      <c r="AD18" s="149">
        <v>2.34</v>
      </c>
      <c r="AE18" s="149"/>
      <c r="AF18" s="149" t="s">
        <v>250</v>
      </c>
      <c r="AG18" s="149" t="s">
        <v>7</v>
      </c>
      <c r="AH18" t="s">
        <v>92</v>
      </c>
      <c r="AI18" s="149" t="s">
        <v>885</v>
      </c>
      <c r="AJ18" s="149" t="s">
        <v>92</v>
      </c>
      <c r="AK18" s="149" t="s">
        <v>92</v>
      </c>
      <c r="AL18" s="149" t="s">
        <v>343</v>
      </c>
      <c r="AM18" s="149" t="s">
        <v>92</v>
      </c>
      <c r="AN18" t="s">
        <v>7</v>
      </c>
      <c r="AO18"/>
      <c r="AP18" s="149" t="s">
        <v>92</v>
      </c>
      <c r="AQ18"/>
      <c r="AR18"/>
      <c r="AS18" s="149" t="s">
        <v>92</v>
      </c>
      <c r="AT18" s="149" t="s">
        <v>1049</v>
      </c>
      <c r="AU18" s="149" t="s">
        <v>327</v>
      </c>
      <c r="AV18" s="149" t="s">
        <v>242</v>
      </c>
      <c r="AW18"/>
      <c r="AX18"/>
      <c r="AY18" s="149" t="s">
        <v>889</v>
      </c>
      <c r="AZ18" t="s">
        <v>750</v>
      </c>
    </row>
    <row r="19" spans="1:52" x14ac:dyDescent="0.25">
      <c r="A19" s="149"/>
      <c r="B19" s="149" t="s">
        <v>92</v>
      </c>
      <c r="C19" s="149" t="s">
        <v>900</v>
      </c>
      <c r="D19" s="149" t="s">
        <v>899</v>
      </c>
      <c r="E19" s="45">
        <v>45215</v>
      </c>
      <c r="F19" s="149" t="s">
        <v>83</v>
      </c>
      <c r="G19" s="149" t="s">
        <v>83</v>
      </c>
      <c r="H19" s="149" t="s">
        <v>409</v>
      </c>
      <c r="I19" s="149" t="s">
        <v>106</v>
      </c>
      <c r="J19" s="149">
        <v>2.7</v>
      </c>
      <c r="K19" s="149" t="s">
        <v>151</v>
      </c>
      <c r="L19" s="149" t="s">
        <v>1016</v>
      </c>
      <c r="M19" s="149" t="s">
        <v>92</v>
      </c>
      <c r="N19" s="149" t="s">
        <v>1016</v>
      </c>
      <c r="O19" s="149" t="s">
        <v>92</v>
      </c>
      <c r="P19" s="149"/>
      <c r="Q19" s="149" t="s">
        <v>115</v>
      </c>
      <c r="R19" s="149">
        <v>100</v>
      </c>
      <c r="S19" s="149" t="s">
        <v>113</v>
      </c>
      <c r="T19" s="149" t="s">
        <v>251</v>
      </c>
      <c r="U19" s="149" t="s">
        <v>7</v>
      </c>
      <c r="V19" s="149" t="s">
        <v>7</v>
      </c>
      <c r="W19" s="149" t="s">
        <v>92</v>
      </c>
      <c r="X19" s="149" t="s">
        <v>131</v>
      </c>
      <c r="Y19" s="45">
        <v>45223</v>
      </c>
      <c r="Z19" s="45">
        <v>45406</v>
      </c>
      <c r="AA19" s="45">
        <v>46319</v>
      </c>
      <c r="AB19" s="149">
        <v>0.37</v>
      </c>
      <c r="AC19" s="149">
        <v>2.7</v>
      </c>
      <c r="AD19" s="149">
        <v>2.8860000000000001</v>
      </c>
      <c r="AE19" s="149"/>
      <c r="AF19" s="149" t="s">
        <v>901</v>
      </c>
      <c r="AG19" s="149" t="s">
        <v>7</v>
      </c>
      <c r="AH19" t="s">
        <v>92</v>
      </c>
      <c r="AI19" s="149" t="s">
        <v>1098</v>
      </c>
      <c r="AJ19" s="149" t="s">
        <v>900</v>
      </c>
      <c r="AK19" s="149" t="s">
        <v>92</v>
      </c>
      <c r="AL19" s="149" t="s">
        <v>264</v>
      </c>
      <c r="AM19" s="149" t="s">
        <v>92</v>
      </c>
      <c r="AN19" t="s">
        <v>7</v>
      </c>
      <c r="AO19"/>
      <c r="AP19" s="149" t="s">
        <v>92</v>
      </c>
      <c r="AQ19"/>
      <c r="AR19"/>
      <c r="AS19" s="149" t="s">
        <v>92</v>
      </c>
      <c r="AT19" s="149" t="s">
        <v>1096</v>
      </c>
      <c r="AU19" s="149" t="s">
        <v>327</v>
      </c>
      <c r="AV19" s="149" t="s">
        <v>242</v>
      </c>
      <c r="AW19"/>
      <c r="AX19"/>
      <c r="AY19" s="149" t="s">
        <v>904</v>
      </c>
      <c r="AZ19" t="s">
        <v>750</v>
      </c>
    </row>
    <row r="20" spans="1:52" x14ac:dyDescent="0.25">
      <c r="A20" s="149"/>
      <c r="B20" s="149" t="s">
        <v>92</v>
      </c>
      <c r="C20" s="149" t="s">
        <v>909</v>
      </c>
      <c r="D20" s="149" t="s">
        <v>908</v>
      </c>
      <c r="E20" s="45">
        <v>45215</v>
      </c>
      <c r="F20" s="149" t="s">
        <v>83</v>
      </c>
      <c r="G20" s="149" t="s">
        <v>1233</v>
      </c>
      <c r="H20" s="149" t="s">
        <v>552</v>
      </c>
      <c r="I20" s="149" t="s">
        <v>106</v>
      </c>
      <c r="J20" s="149">
        <v>17.75</v>
      </c>
      <c r="K20" s="149" t="s">
        <v>151</v>
      </c>
      <c r="L20" s="149" t="s">
        <v>565</v>
      </c>
      <c r="M20" s="149" t="s">
        <v>795</v>
      </c>
      <c r="N20" s="149" t="s">
        <v>565</v>
      </c>
      <c r="O20" s="149" t="s">
        <v>92</v>
      </c>
      <c r="P20" s="149">
        <v>20</v>
      </c>
      <c r="Q20" s="149" t="s">
        <v>115</v>
      </c>
      <c r="R20" s="149">
        <v>100</v>
      </c>
      <c r="S20" s="149" t="s">
        <v>37</v>
      </c>
      <c r="T20" s="149" t="s">
        <v>263</v>
      </c>
      <c r="U20" s="149" t="s">
        <v>7</v>
      </c>
      <c r="V20" s="149" t="s">
        <v>7</v>
      </c>
      <c r="W20" s="149" t="s">
        <v>92</v>
      </c>
      <c r="X20" s="149" t="s">
        <v>131</v>
      </c>
      <c r="Y20" s="45">
        <v>45219</v>
      </c>
      <c r="Z20" s="45">
        <v>45402</v>
      </c>
      <c r="AA20" s="45">
        <v>46315</v>
      </c>
      <c r="AB20" s="149">
        <v>2.4319999999999999</v>
      </c>
      <c r="AC20" s="149">
        <v>17.75</v>
      </c>
      <c r="AD20" s="149">
        <v>18.975000000000001</v>
      </c>
      <c r="AE20" s="149"/>
      <c r="AF20" s="149" t="s">
        <v>250</v>
      </c>
      <c r="AG20" s="149" t="s">
        <v>7</v>
      </c>
      <c r="AH20" t="s">
        <v>92</v>
      </c>
      <c r="AI20" s="149" t="s">
        <v>909</v>
      </c>
      <c r="AJ20" s="149" t="s">
        <v>92</v>
      </c>
      <c r="AK20" s="149" t="s">
        <v>92</v>
      </c>
      <c r="AL20" s="149" t="s">
        <v>92</v>
      </c>
      <c r="AM20" s="149" t="s">
        <v>92</v>
      </c>
      <c r="AN20" t="s">
        <v>7</v>
      </c>
      <c r="AO20"/>
      <c r="AP20" s="149" t="s">
        <v>92</v>
      </c>
      <c r="AQ20"/>
      <c r="AR20"/>
      <c r="AS20" s="149" t="s">
        <v>92</v>
      </c>
      <c r="AT20" s="149" t="s">
        <v>1086</v>
      </c>
      <c r="AU20" s="149" t="s">
        <v>327</v>
      </c>
      <c r="AV20" s="149" t="s">
        <v>242</v>
      </c>
      <c r="AW20"/>
      <c r="AX20"/>
      <c r="AY20" s="149" t="s">
        <v>913</v>
      </c>
      <c r="AZ20" t="s">
        <v>750</v>
      </c>
    </row>
    <row r="21" spans="1:52" x14ac:dyDescent="0.25">
      <c r="A21" s="149"/>
      <c r="B21" s="149" t="s">
        <v>92</v>
      </c>
      <c r="C21" s="149" t="s">
        <v>777</v>
      </c>
      <c r="D21" s="149" t="s">
        <v>905</v>
      </c>
      <c r="E21" s="45">
        <v>45215</v>
      </c>
      <c r="F21" s="149" t="s">
        <v>83</v>
      </c>
      <c r="G21" s="149" t="s">
        <v>783</v>
      </c>
      <c r="H21" s="149" t="s">
        <v>409</v>
      </c>
      <c r="I21" s="149" t="s">
        <v>85</v>
      </c>
      <c r="J21" s="149">
        <v>0.3</v>
      </c>
      <c r="K21" s="149" t="s">
        <v>151</v>
      </c>
      <c r="L21" s="149" t="s">
        <v>788</v>
      </c>
      <c r="M21" s="149" t="s">
        <v>92</v>
      </c>
      <c r="N21" s="149" t="s">
        <v>788</v>
      </c>
      <c r="O21" s="149" t="s">
        <v>92</v>
      </c>
      <c r="P21" s="149"/>
      <c r="Q21" s="149" t="s">
        <v>115</v>
      </c>
      <c r="R21" s="149">
        <v>100</v>
      </c>
      <c r="S21" s="149" t="s">
        <v>112</v>
      </c>
      <c r="T21" s="149" t="s">
        <v>263</v>
      </c>
      <c r="U21" s="149" t="s">
        <v>7</v>
      </c>
      <c r="V21" s="149" t="s">
        <v>7</v>
      </c>
      <c r="W21" s="149" t="s">
        <v>92</v>
      </c>
      <c r="X21" s="149" t="s">
        <v>131</v>
      </c>
      <c r="Y21" s="45">
        <v>45217</v>
      </c>
      <c r="Z21" s="45">
        <v>45400</v>
      </c>
      <c r="AA21" s="45">
        <v>46313</v>
      </c>
      <c r="AB21" s="149">
        <v>0.3</v>
      </c>
      <c r="AC21" s="149">
        <v>2.194</v>
      </c>
      <c r="AD21" s="149">
        <v>2.3460000000000001</v>
      </c>
      <c r="AE21" s="149"/>
      <c r="AF21" s="149" t="s">
        <v>250</v>
      </c>
      <c r="AG21" s="149" t="s">
        <v>7</v>
      </c>
      <c r="AH21" t="s">
        <v>92</v>
      </c>
      <c r="AI21" s="149" t="s">
        <v>777</v>
      </c>
      <c r="AJ21" s="149" t="s">
        <v>92</v>
      </c>
      <c r="AK21" s="149" t="s">
        <v>92</v>
      </c>
      <c r="AL21" s="149" t="s">
        <v>342</v>
      </c>
      <c r="AM21" s="149" t="s">
        <v>92</v>
      </c>
      <c r="AN21" t="s">
        <v>7</v>
      </c>
      <c r="AO21"/>
      <c r="AP21" s="149" t="s">
        <v>92</v>
      </c>
      <c r="AQ21"/>
      <c r="AR21"/>
      <c r="AS21" s="149" t="s">
        <v>92</v>
      </c>
      <c r="AT21" s="149" t="s">
        <v>779</v>
      </c>
      <c r="AU21" s="149" t="s">
        <v>327</v>
      </c>
      <c r="AV21" s="149" t="s">
        <v>242</v>
      </c>
      <c r="AW21"/>
      <c r="AX21"/>
      <c r="AY21" s="149" t="s">
        <v>907</v>
      </c>
      <c r="AZ21" t="s">
        <v>750</v>
      </c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V7"/>
  <sheetViews>
    <sheetView workbookViewId="0">
      <selection activeCell="T6" sqref="T6"/>
    </sheetView>
  </sheetViews>
  <sheetFormatPr defaultRowHeight="15" x14ac:dyDescent="0.25"/>
  <cols>
    <col min="1" max="1" width="7.33203125" style="1" bestFit="1" customWidth="1"/>
    <col min="2" max="2" width="13.21875" style="1" bestFit="1" customWidth="1"/>
    <col min="3" max="3" width="10.33203125" style="1" bestFit="1" customWidth="1"/>
    <col min="4" max="4" width="21.33203125" style="1" bestFit="1" customWidth="1"/>
    <col min="5" max="5" width="11.33203125" style="1" bestFit="1" customWidth="1"/>
    <col min="6" max="6" width="9.44140625" style="1" bestFit="1" customWidth="1"/>
    <col min="7" max="7" width="9" style="1" bestFit="1" customWidth="1"/>
    <col min="8" max="9" width="9.44140625" style="1" bestFit="1" customWidth="1"/>
    <col min="10" max="10" width="11.6640625" style="1" bestFit="1" customWidth="1"/>
    <col min="11" max="11" width="15.44140625" style="1" bestFit="1" customWidth="1"/>
    <col min="12" max="12" width="6.109375" style="1" bestFit="1" customWidth="1"/>
    <col min="13" max="13" width="9.44140625" style="1" bestFit="1" customWidth="1"/>
    <col min="14" max="14" width="6.109375" style="1" bestFit="1" customWidth="1"/>
    <col min="15" max="16" width="7.77734375" style="1" bestFit="1" customWidth="1"/>
    <col min="17" max="17" width="11.5546875" style="1" bestFit="1" customWidth="1"/>
    <col min="18" max="18" width="14" style="1" bestFit="1" customWidth="1"/>
    <col min="19" max="19" width="19.33203125" style="1" bestFit="1" customWidth="1"/>
    <col min="20" max="20" width="10.5546875" style="1" bestFit="1" customWidth="1"/>
    <col min="21" max="21" width="11.77734375" style="1" bestFit="1" customWidth="1"/>
    <col min="22" max="22" width="7.88671875" style="1" bestFit="1" customWidth="1"/>
    <col min="23" max="23" width="11.33203125" style="1" bestFit="1" customWidth="1"/>
    <col min="24" max="24" width="10.33203125" style="1" bestFit="1" customWidth="1"/>
    <col min="25" max="25" width="11.109375" style="1" bestFit="1" customWidth="1"/>
    <col min="26" max="26" width="8.77734375" style="1" bestFit="1" customWidth="1"/>
    <col min="27" max="27" width="9.21875" style="1" bestFit="1" customWidth="1"/>
    <col min="28" max="16384" width="8.88671875" style="1"/>
  </cols>
  <sheetData>
    <row r="5" spans="1:22" x14ac:dyDescent="0.25">
      <c r="A5" t="s">
        <v>86</v>
      </c>
      <c r="B5" t="s">
        <v>48</v>
      </c>
      <c r="C5" t="s">
        <v>49</v>
      </c>
      <c r="D5" t="s">
        <v>94</v>
      </c>
      <c r="E5" t="s">
        <v>147</v>
      </c>
      <c r="F5" t="s">
        <v>200</v>
      </c>
      <c r="G5" t="s">
        <v>201</v>
      </c>
      <c r="H5" t="s">
        <v>202</v>
      </c>
      <c r="I5" t="s">
        <v>171</v>
      </c>
      <c r="J5" t="s">
        <v>172</v>
      </c>
      <c r="K5" t="s">
        <v>182</v>
      </c>
      <c r="L5" t="s">
        <v>170</v>
      </c>
      <c r="M5" t="s">
        <v>204</v>
      </c>
      <c r="N5" t="s">
        <v>214</v>
      </c>
      <c r="O5" t="s">
        <v>215</v>
      </c>
      <c r="P5" t="s">
        <v>216</v>
      </c>
      <c r="Q5" t="s">
        <v>439</v>
      </c>
      <c r="R5" t="s">
        <v>1235</v>
      </c>
      <c r="S5" t="s">
        <v>140</v>
      </c>
      <c r="T5" t="s">
        <v>275</v>
      </c>
      <c r="U5" t="s">
        <v>220</v>
      </c>
      <c r="V5" t="s">
        <v>766</v>
      </c>
    </row>
    <row r="6" spans="1:22" x14ac:dyDescent="0.25">
      <c r="A6" s="149"/>
      <c r="B6" s="149" t="s">
        <v>1169</v>
      </c>
      <c r="C6" s="45">
        <v>45219</v>
      </c>
      <c r="D6" s="149" t="s">
        <v>1170</v>
      </c>
      <c r="E6" s="149" t="s">
        <v>149</v>
      </c>
      <c r="F6" s="149" t="s">
        <v>92</v>
      </c>
      <c r="G6" s="149" t="s">
        <v>92</v>
      </c>
      <c r="H6" s="149" t="s">
        <v>7</v>
      </c>
      <c r="I6" t="s">
        <v>180</v>
      </c>
      <c r="J6" s="149" t="s">
        <v>184</v>
      </c>
      <c r="K6" t="s">
        <v>1236</v>
      </c>
      <c r="L6" t="s">
        <v>1232</v>
      </c>
      <c r="M6" s="149" t="s">
        <v>762</v>
      </c>
      <c r="N6">
        <v>1</v>
      </c>
      <c r="O6">
        <v>1</v>
      </c>
      <c r="P6">
        <v>1</v>
      </c>
      <c r="Q6"/>
      <c r="R6"/>
      <c r="S6" s="149" t="s">
        <v>1175</v>
      </c>
      <c r="T6"/>
      <c r="U6"/>
      <c r="V6" t="s">
        <v>750</v>
      </c>
    </row>
    <row r="7" spans="1:22" x14ac:dyDescent="0.25">
      <c r="A7" s="149"/>
      <c r="B7" s="149" t="s">
        <v>869</v>
      </c>
      <c r="C7" s="45">
        <v>45217</v>
      </c>
      <c r="D7" s="149" t="s">
        <v>870</v>
      </c>
      <c r="E7" s="149" t="s">
        <v>150</v>
      </c>
      <c r="F7" s="149" t="s">
        <v>1142</v>
      </c>
      <c r="G7" s="149" t="s">
        <v>92</v>
      </c>
      <c r="H7" s="149" t="s">
        <v>7</v>
      </c>
      <c r="I7" t="s">
        <v>183</v>
      </c>
      <c r="J7" s="149" t="s">
        <v>184</v>
      </c>
      <c r="K7" t="s">
        <v>1140</v>
      </c>
      <c r="L7" t="s">
        <v>1141</v>
      </c>
      <c r="M7" s="149" t="s">
        <v>1224</v>
      </c>
      <c r="N7">
        <v>1</v>
      </c>
      <c r="O7">
        <v>1</v>
      </c>
      <c r="P7">
        <v>1</v>
      </c>
      <c r="Q7"/>
      <c r="R7"/>
      <c r="S7" s="149" t="s">
        <v>873</v>
      </c>
      <c r="T7"/>
      <c r="U7"/>
      <c r="V7" t="s">
        <v>750</v>
      </c>
    </row>
  </sheetData>
  <phoneticPr fontId="3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1" t="s">
        <v>138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84</v>
      </c>
      <c r="E3" s="19"/>
      <c r="F3" s="19"/>
      <c r="G3" s="19"/>
    </row>
    <row r="4" spans="1:7" x14ac:dyDescent="0.25">
      <c r="A4" t="s">
        <v>86</v>
      </c>
      <c r="B4" t="s">
        <v>228</v>
      </c>
      <c r="C4" t="s">
        <v>64</v>
      </c>
      <c r="D4" t="s">
        <v>165</v>
      </c>
      <c r="E4" t="s">
        <v>137</v>
      </c>
      <c r="F4" t="s">
        <v>236</v>
      </c>
    </row>
    <row r="5" spans="1:7" x14ac:dyDescent="0.25">
      <c r="A5"/>
      <c r="B5"/>
      <c r="C5"/>
      <c r="D5"/>
      <c r="E5"/>
      <c r="F5" s="44"/>
    </row>
    <row r="8" spans="1:7" ht="46.5" x14ac:dyDescent="0.25">
      <c r="A8" s="7" t="s">
        <v>106</v>
      </c>
      <c r="E8" s="19"/>
      <c r="F8" s="19"/>
      <c r="G8" s="19"/>
    </row>
    <row r="9" spans="1:7" x14ac:dyDescent="0.25">
      <c r="A9" s="44" t="s">
        <v>86</v>
      </c>
      <c r="B9" t="s">
        <v>228</v>
      </c>
      <c r="C9" s="44" t="s">
        <v>64</v>
      </c>
      <c r="D9" s="44" t="s">
        <v>165</v>
      </c>
      <c r="E9" s="44" t="s">
        <v>137</v>
      </c>
      <c r="F9" s="44" t="s">
        <v>236</v>
      </c>
    </row>
    <row r="10" spans="1:7" x14ac:dyDescent="0.25">
      <c r="A10" s="44">
        <v>14</v>
      </c>
      <c r="B10" t="s">
        <v>258</v>
      </c>
      <c r="C10" s="44" t="s">
        <v>106</v>
      </c>
      <c r="D10" s="44" t="s">
        <v>292</v>
      </c>
      <c r="E10" s="44" t="s">
        <v>295</v>
      </c>
      <c r="F10" s="44" t="s">
        <v>7</v>
      </c>
    </row>
    <row r="11" spans="1:7" x14ac:dyDescent="0.25">
      <c r="A11" s="44">
        <v>12</v>
      </c>
      <c r="B11" t="s">
        <v>229</v>
      </c>
      <c r="C11" s="44" t="s">
        <v>106</v>
      </c>
      <c r="D11" s="44" t="s">
        <v>293</v>
      </c>
      <c r="E11" s="44" t="s">
        <v>296</v>
      </c>
      <c r="F11" s="44" t="s">
        <v>7</v>
      </c>
    </row>
    <row r="12" spans="1:7" x14ac:dyDescent="0.25">
      <c r="A12" s="44">
        <v>8</v>
      </c>
      <c r="B12" t="s">
        <v>229</v>
      </c>
      <c r="C12" s="44" t="s">
        <v>106</v>
      </c>
      <c r="D12" s="44" t="s">
        <v>294</v>
      </c>
      <c r="E12" s="44" t="s">
        <v>297</v>
      </c>
      <c r="F12" s="44" t="s">
        <v>7</v>
      </c>
    </row>
    <row r="13" spans="1:7" x14ac:dyDescent="0.25">
      <c r="A13" s="44">
        <v>7</v>
      </c>
      <c r="B13" t="s">
        <v>229</v>
      </c>
      <c r="C13" s="44" t="s">
        <v>106</v>
      </c>
      <c r="D13" s="44" t="s">
        <v>294</v>
      </c>
      <c r="E13" s="44" t="s">
        <v>298</v>
      </c>
      <c r="F13" s="44" t="s">
        <v>7</v>
      </c>
    </row>
    <row r="14" spans="1:7" x14ac:dyDescent="0.25">
      <c r="A14" s="44">
        <v>6</v>
      </c>
      <c r="B14" t="s">
        <v>229</v>
      </c>
      <c r="C14" s="44" t="s">
        <v>106</v>
      </c>
      <c r="D14" s="44" t="s">
        <v>294</v>
      </c>
      <c r="E14" s="44" t="s">
        <v>299</v>
      </c>
      <c r="F14" s="44" t="s">
        <v>7</v>
      </c>
    </row>
    <row r="15" spans="1:7" x14ac:dyDescent="0.25">
      <c r="A15" s="44">
        <v>3</v>
      </c>
      <c r="B15" t="s">
        <v>258</v>
      </c>
      <c r="C15" s="44" t="s">
        <v>106</v>
      </c>
      <c r="D15" s="44" t="s">
        <v>291</v>
      </c>
      <c r="E15" s="44" t="s">
        <v>300</v>
      </c>
      <c r="F15" s="44" t="s">
        <v>7</v>
      </c>
    </row>
    <row r="19" spans="1:6" ht="46.5" x14ac:dyDescent="0.25">
      <c r="A19" s="7" t="s">
        <v>209</v>
      </c>
    </row>
    <row r="20" spans="1:6" x14ac:dyDescent="0.25">
      <c r="A20" t="s">
        <v>86</v>
      </c>
      <c r="B20" t="s">
        <v>228</v>
      </c>
      <c r="C20" t="s">
        <v>64</v>
      </c>
      <c r="D20" t="s">
        <v>165</v>
      </c>
      <c r="E20" t="s">
        <v>137</v>
      </c>
      <c r="F20" t="s">
        <v>303</v>
      </c>
    </row>
    <row r="21" spans="1:6" x14ac:dyDescent="0.25">
      <c r="A21"/>
      <c r="B21"/>
      <c r="C21"/>
      <c r="D21"/>
      <c r="E21"/>
      <c r="F21"/>
    </row>
  </sheetData>
  <phoneticPr fontId="14" type="noConversion"/>
  <conditionalFormatting sqref="G9:G11 E4:E5 E9:E15">
    <cfRule type="containsText" dxfId="83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A13" sqref="A13:O27"/>
    </sheetView>
  </sheetViews>
  <sheetFormatPr defaultColWidth="8.88671875" defaultRowHeight="28.5" customHeight="1" x14ac:dyDescent="0.25"/>
  <cols>
    <col min="1" max="1" width="4.88671875" style="25" bestFit="1" customWidth="1"/>
    <col min="2" max="2" width="6.77734375" style="25" bestFit="1" customWidth="1"/>
    <col min="3" max="3" width="25" style="25" bestFit="1" customWidth="1"/>
    <col min="4" max="4" width="12.5546875" style="25" customWidth="1"/>
    <col min="5" max="7" width="9.33203125" style="25" bestFit="1" customWidth="1"/>
    <col min="8" max="8" width="7.33203125" style="25" bestFit="1" customWidth="1"/>
    <col min="9" max="9" width="9.21875" style="25" bestFit="1" customWidth="1"/>
    <col min="10" max="10" width="15.77734375" style="25" hidden="1" customWidth="1"/>
    <col min="11" max="11" width="10.6640625" style="25" hidden="1" customWidth="1"/>
    <col min="12" max="12" width="7.21875" style="25" hidden="1" customWidth="1"/>
    <col min="13" max="13" width="6" style="25" hidden="1" customWidth="1"/>
    <col min="14" max="14" width="11" style="25" hidden="1" customWidth="1"/>
    <col min="15" max="15" width="28.44140625" style="25" bestFit="1" customWidth="1" collapsed="1"/>
    <col min="16" max="16" width="15.5546875" style="25" bestFit="1" customWidth="1"/>
    <col min="17" max="17" width="6.77734375" style="25" customWidth="1"/>
    <col min="18" max="18" width="28.109375" style="25" bestFit="1" customWidth="1"/>
    <col min="19" max="19" width="12.6640625" style="25" bestFit="1" customWidth="1"/>
    <col min="20" max="22" width="7.6640625" style="25" customWidth="1"/>
    <col min="23" max="23" width="6.109375" style="25" bestFit="1" customWidth="1"/>
    <col min="24" max="24" width="9.44140625" style="25" bestFit="1" customWidth="1"/>
    <col min="25" max="25" width="35.109375" style="25" bestFit="1" customWidth="1"/>
    <col min="26" max="16384" width="8.88671875" style="25"/>
  </cols>
  <sheetData>
    <row r="1" spans="1:22" ht="59.25" customHeight="1" thickBot="1" x14ac:dyDescent="0.3">
      <c r="A1" s="31" t="s">
        <v>121</v>
      </c>
      <c r="I1" s="59" t="s">
        <v>153</v>
      </c>
    </row>
    <row r="2" spans="1:22" ht="17.25" thickTop="1" thickBot="1" x14ac:dyDescent="0.3">
      <c r="B2" s="26" t="s">
        <v>86</v>
      </c>
      <c r="C2" s="26" t="s">
        <v>153</v>
      </c>
      <c r="D2" s="26" t="s">
        <v>154</v>
      </c>
      <c r="E2" s="26" t="s">
        <v>155</v>
      </c>
      <c r="F2" s="26" t="s">
        <v>156</v>
      </c>
      <c r="G2" s="26" t="s">
        <v>157</v>
      </c>
      <c r="P2" s="129" t="s">
        <v>522</v>
      </c>
      <c r="Q2" s="132">
        <v>60</v>
      </c>
    </row>
    <row r="3" spans="1:22" ht="17.25" thickTop="1" thickBot="1" x14ac:dyDescent="0.3">
      <c r="B3" s="26"/>
      <c r="C3" s="27"/>
      <c r="D3" s="38"/>
      <c r="E3" s="29"/>
      <c r="F3" s="29"/>
      <c r="G3" s="29"/>
      <c r="P3" s="129" t="s">
        <v>523</v>
      </c>
      <c r="Q3" s="132">
        <v>20</v>
      </c>
    </row>
    <row r="4" spans="1:22" ht="15.75" thickTop="1" x14ac:dyDescent="0.25">
      <c r="B4" s="26"/>
      <c r="C4" s="27"/>
      <c r="D4" s="38"/>
      <c r="E4" s="29"/>
      <c r="F4" s="29"/>
      <c r="G4" s="29"/>
    </row>
    <row r="5" spans="1:22" ht="15" x14ac:dyDescent="0.25">
      <c r="B5" s="26"/>
      <c r="C5" s="27"/>
      <c r="D5" s="38"/>
      <c r="E5" s="29"/>
      <c r="F5" s="29"/>
      <c r="G5" s="29"/>
    </row>
    <row r="6" spans="1:22" ht="15" x14ac:dyDescent="0.25">
      <c r="B6" s="26"/>
      <c r="C6" s="27"/>
      <c r="D6" s="38"/>
      <c r="E6" s="29"/>
      <c r="F6" s="29"/>
      <c r="G6" s="29"/>
    </row>
    <row r="7" spans="1:22" ht="15" x14ac:dyDescent="0.25">
      <c r="B7" s="26"/>
      <c r="C7" s="27"/>
      <c r="D7" s="38"/>
      <c r="E7" s="29"/>
      <c r="F7" s="29"/>
      <c r="G7" s="29"/>
    </row>
    <row r="8" spans="1:22" ht="15" x14ac:dyDescent="0.25">
      <c r="B8" s="26"/>
      <c r="C8" s="27"/>
      <c r="D8" s="38"/>
      <c r="E8" s="29"/>
      <c r="F8" s="29"/>
      <c r="G8" s="29"/>
    </row>
    <row r="9" spans="1:22" ht="15" x14ac:dyDescent="0.25">
      <c r="Q9" s="28"/>
      <c r="R9" s="28"/>
      <c r="S9" s="28"/>
      <c r="T9" s="28"/>
      <c r="U9" s="28"/>
      <c r="V9" s="28"/>
    </row>
    <row r="10" spans="1:22" ht="15" x14ac:dyDescent="0.25">
      <c r="Q10" s="28"/>
      <c r="R10" s="28"/>
      <c r="S10" s="28"/>
      <c r="T10" s="28"/>
      <c r="U10" s="28"/>
      <c r="V10" s="28"/>
    </row>
    <row r="11" spans="1:22" ht="15" x14ac:dyDescent="0.25">
      <c r="Q11" s="28"/>
      <c r="R11" s="28"/>
      <c r="S11" s="28"/>
      <c r="T11" s="28"/>
      <c r="U11" s="28"/>
      <c r="V11" s="28"/>
    </row>
    <row r="12" spans="1:22" ht="15" x14ac:dyDescent="0.25">
      <c r="A12" s="26" t="s">
        <v>122</v>
      </c>
      <c r="B12" s="27" t="s">
        <v>158</v>
      </c>
      <c r="C12" s="27" t="s">
        <v>123</v>
      </c>
      <c r="D12" s="27" t="s">
        <v>159</v>
      </c>
      <c r="E12" s="27" t="s">
        <v>124</v>
      </c>
      <c r="F12" s="27" t="s">
        <v>125</v>
      </c>
      <c r="G12" s="27" t="s">
        <v>126</v>
      </c>
      <c r="H12" s="27" t="s">
        <v>127</v>
      </c>
      <c r="I12" s="27" t="s">
        <v>128</v>
      </c>
      <c r="J12" s="27" t="s">
        <v>129</v>
      </c>
      <c r="K12" s="27" t="s">
        <v>130</v>
      </c>
      <c r="L12" s="27" t="s">
        <v>160</v>
      </c>
      <c r="M12" s="27" t="s">
        <v>162</v>
      </c>
      <c r="N12" s="27" t="s">
        <v>163</v>
      </c>
      <c r="O12" s="27" t="s">
        <v>153</v>
      </c>
      <c r="Q12" s="28"/>
      <c r="R12" s="28"/>
      <c r="S12" s="28"/>
      <c r="T12" s="28"/>
      <c r="U12" s="28"/>
      <c r="V12" s="28"/>
    </row>
    <row r="13" spans="1:22" ht="15" x14ac:dyDescent="0.25">
      <c r="A13" s="123"/>
      <c r="B13" s="27"/>
      <c r="C13" s="27"/>
      <c r="D13" s="27"/>
      <c r="E13" s="27"/>
      <c r="F13" s="27"/>
      <c r="G13" s="27"/>
      <c r="H13" s="27"/>
      <c r="I13" s="27"/>
      <c r="J13" s="27"/>
      <c r="K13" s="124"/>
      <c r="L13" s="27"/>
      <c r="M13" s="27"/>
      <c r="N13" s="27"/>
      <c r="O13" s="27"/>
      <c r="Q13" s="28"/>
      <c r="R13" s="28"/>
      <c r="S13" s="28"/>
      <c r="T13" s="28"/>
      <c r="U13" s="28"/>
      <c r="V13" s="28"/>
    </row>
    <row r="14" spans="1:22" ht="15" x14ac:dyDescent="0.25">
      <c r="A14" s="123"/>
      <c r="B14" s="27"/>
      <c r="C14" s="27"/>
      <c r="D14" s="27"/>
      <c r="E14" s="27"/>
      <c r="F14" s="27"/>
      <c r="G14" s="27"/>
      <c r="H14" s="27"/>
      <c r="I14" s="27"/>
      <c r="J14" s="27"/>
      <c r="K14" s="124"/>
      <c r="L14" s="27"/>
      <c r="M14" s="27"/>
      <c r="N14" s="27"/>
      <c r="O14" s="27"/>
      <c r="Q14" s="28"/>
      <c r="R14" s="28"/>
      <c r="S14" s="28"/>
      <c r="T14" s="28"/>
      <c r="U14" s="28"/>
      <c r="V14" s="28"/>
    </row>
    <row r="15" spans="1:22" ht="15" x14ac:dyDescent="0.25">
      <c r="A15" s="123"/>
      <c r="B15" s="27"/>
      <c r="C15" s="27"/>
      <c r="D15" s="27"/>
      <c r="E15" s="27"/>
      <c r="F15" s="27"/>
      <c r="G15" s="27"/>
      <c r="H15" s="27"/>
      <c r="I15" s="27"/>
      <c r="J15" s="27"/>
      <c r="K15" s="124"/>
      <c r="L15" s="27"/>
      <c r="M15" s="27"/>
      <c r="N15" s="27"/>
      <c r="O15" s="27"/>
      <c r="Q15" s="28"/>
      <c r="R15" s="28"/>
      <c r="S15" s="28"/>
      <c r="T15" s="28"/>
      <c r="U15" s="28"/>
      <c r="V15" s="28"/>
    </row>
    <row r="16" spans="1:22" ht="15" x14ac:dyDescent="0.25">
      <c r="A16" s="123"/>
      <c r="B16" s="27"/>
      <c r="C16" s="27"/>
      <c r="D16" s="27"/>
      <c r="E16" s="27"/>
      <c r="F16" s="27"/>
      <c r="G16" s="27"/>
      <c r="H16" s="27"/>
      <c r="I16" s="27"/>
      <c r="J16" s="27"/>
      <c r="K16" s="124"/>
      <c r="L16" s="27"/>
      <c r="M16" s="27"/>
      <c r="N16" s="27"/>
      <c r="O16" s="27"/>
      <c r="Q16" s="28"/>
      <c r="R16" s="28"/>
      <c r="S16" s="28"/>
      <c r="T16" s="28"/>
      <c r="U16" s="28"/>
      <c r="V16" s="28"/>
    </row>
    <row r="17" spans="1:22" ht="15" x14ac:dyDescent="0.25">
      <c r="A17" s="123"/>
      <c r="B17" s="27"/>
      <c r="C17" s="27"/>
      <c r="D17" s="27"/>
      <c r="E17" s="27"/>
      <c r="F17" s="27"/>
      <c r="G17" s="27"/>
      <c r="H17" s="27"/>
      <c r="I17" s="27"/>
      <c r="J17" s="27"/>
      <c r="K17" s="124"/>
      <c r="L17" s="27"/>
      <c r="M17" s="27"/>
      <c r="N17" s="27"/>
      <c r="O17" s="27"/>
      <c r="Q17" s="28"/>
      <c r="R17" s="28"/>
      <c r="S17" s="28"/>
      <c r="T17" s="28"/>
      <c r="U17" s="28"/>
      <c r="V17" s="28"/>
    </row>
    <row r="18" spans="1:22" ht="15" x14ac:dyDescent="0.25">
      <c r="A18" s="123"/>
      <c r="B18" s="27"/>
      <c r="C18" s="27"/>
      <c r="D18" s="27"/>
      <c r="E18" s="27"/>
      <c r="F18" s="27"/>
      <c r="G18" s="27"/>
      <c r="H18" s="27"/>
      <c r="I18" s="27"/>
      <c r="J18" s="27"/>
      <c r="K18" s="124"/>
      <c r="L18" s="27"/>
      <c r="M18" s="27"/>
      <c r="N18" s="27"/>
      <c r="O18" s="27"/>
    </row>
    <row r="19" spans="1:22" ht="15" x14ac:dyDescent="0.25">
      <c r="A19" s="123"/>
      <c r="B19" s="27"/>
      <c r="C19" s="27"/>
      <c r="D19" s="27"/>
      <c r="E19" s="27"/>
      <c r="F19" s="27"/>
      <c r="G19" s="27"/>
      <c r="H19" s="27"/>
      <c r="I19" s="27"/>
      <c r="J19" s="27"/>
      <c r="K19" s="124"/>
      <c r="L19" s="27"/>
      <c r="M19" s="27"/>
      <c r="N19" s="27"/>
      <c r="O19" s="27"/>
      <c r="Q19" s="28"/>
      <c r="R19" s="28"/>
      <c r="S19" s="28"/>
      <c r="T19" s="28"/>
      <c r="U19" s="28"/>
      <c r="V19" s="28"/>
    </row>
    <row r="20" spans="1:22" ht="15" x14ac:dyDescent="0.25">
      <c r="A20" s="123"/>
      <c r="B20" s="27"/>
      <c r="C20" s="27"/>
      <c r="D20" s="27"/>
      <c r="E20" s="27"/>
      <c r="F20" s="27"/>
      <c r="G20" s="27"/>
      <c r="H20" s="27"/>
      <c r="I20" s="27"/>
      <c r="J20" s="27"/>
      <c r="K20" s="124"/>
      <c r="L20" s="27"/>
      <c r="M20" s="27"/>
      <c r="N20" s="27"/>
      <c r="O20" s="27"/>
      <c r="V20" s="28"/>
    </row>
    <row r="21" spans="1:22" ht="15" x14ac:dyDescent="0.25">
      <c r="A21" s="123"/>
      <c r="B21" s="27"/>
      <c r="C21" s="27"/>
      <c r="D21" s="27"/>
      <c r="E21" s="27"/>
      <c r="F21" s="27"/>
      <c r="G21" s="27"/>
      <c r="H21" s="27"/>
      <c r="I21" s="27"/>
      <c r="J21" s="27"/>
      <c r="K21" s="124"/>
      <c r="L21" s="27"/>
      <c r="M21" s="27"/>
      <c r="N21" s="27"/>
      <c r="O21" s="27"/>
      <c r="V21" s="28"/>
    </row>
    <row r="22" spans="1:22" ht="15" x14ac:dyDescent="0.25">
      <c r="A22" s="123"/>
      <c r="B22" s="27"/>
      <c r="C22" s="27"/>
      <c r="D22" s="27"/>
      <c r="E22" s="27"/>
      <c r="F22" s="27"/>
      <c r="G22" s="27"/>
      <c r="H22" s="27"/>
      <c r="I22" s="27"/>
      <c r="J22" s="27"/>
      <c r="K22" s="124"/>
      <c r="L22" s="27"/>
      <c r="M22" s="27"/>
      <c r="N22" s="27"/>
      <c r="O22" s="27"/>
      <c r="V22" s="28"/>
    </row>
    <row r="23" spans="1:22" ht="15" x14ac:dyDescent="0.25">
      <c r="A23" s="123"/>
      <c r="B23" s="27"/>
      <c r="C23" s="27"/>
      <c r="D23" s="27"/>
      <c r="E23" s="27"/>
      <c r="F23" s="27"/>
      <c r="G23" s="27"/>
      <c r="H23" s="27"/>
      <c r="I23" s="27"/>
      <c r="J23" s="27"/>
      <c r="K23" s="124"/>
      <c r="L23" s="27"/>
      <c r="M23" s="27"/>
      <c r="N23" s="27"/>
      <c r="O23" s="27"/>
      <c r="V23" s="28"/>
    </row>
    <row r="24" spans="1:22" ht="15" x14ac:dyDescent="0.25">
      <c r="A24" s="123"/>
      <c r="B24" s="27"/>
      <c r="C24" s="27"/>
      <c r="D24" s="27"/>
      <c r="E24" s="27"/>
      <c r="F24" s="27"/>
      <c r="G24" s="27"/>
      <c r="H24" s="27"/>
      <c r="I24" s="27"/>
      <c r="J24" s="27"/>
      <c r="K24" s="124"/>
      <c r="L24" s="27"/>
      <c r="M24" s="27"/>
      <c r="N24" s="27"/>
      <c r="O24" s="27"/>
      <c r="V24" s="28"/>
    </row>
    <row r="25" spans="1:22" ht="15" x14ac:dyDescent="0.25">
      <c r="A25" s="123"/>
      <c r="B25" s="27"/>
      <c r="C25" s="27"/>
      <c r="D25" s="27"/>
      <c r="E25" s="27"/>
      <c r="F25" s="27"/>
      <c r="G25" s="27"/>
      <c r="H25" s="27"/>
      <c r="I25" s="27"/>
      <c r="J25" s="27"/>
      <c r="K25" s="124"/>
      <c r="L25" s="27"/>
      <c r="M25" s="27"/>
      <c r="N25" s="27"/>
      <c r="O25" s="27"/>
      <c r="V25" s="28"/>
    </row>
    <row r="26" spans="1:22" ht="15" x14ac:dyDescent="0.25">
      <c r="A26" s="123"/>
      <c r="B26" s="27"/>
      <c r="C26" s="27"/>
      <c r="D26" s="27"/>
      <c r="E26" s="27"/>
      <c r="F26" s="27"/>
      <c r="G26" s="27"/>
      <c r="H26" s="27"/>
      <c r="I26" s="27"/>
      <c r="J26" s="27"/>
      <c r="K26" s="124"/>
      <c r="L26" s="27"/>
      <c r="M26" s="27"/>
      <c r="N26" s="27"/>
      <c r="O26" s="27"/>
      <c r="V26" s="28"/>
    </row>
    <row r="27" spans="1:22" ht="15" x14ac:dyDescent="0.25">
      <c r="A27" s="123"/>
      <c r="B27" s="27"/>
      <c r="C27" s="27"/>
      <c r="D27" s="27"/>
      <c r="E27" s="27"/>
      <c r="F27" s="27"/>
      <c r="G27" s="27"/>
      <c r="H27" s="27"/>
      <c r="I27" s="27"/>
      <c r="J27" s="27"/>
      <c r="K27" s="124"/>
      <c r="L27" s="27"/>
      <c r="M27" s="27"/>
      <c r="N27" s="27"/>
      <c r="O27" s="27"/>
      <c r="V27" s="28"/>
    </row>
    <row r="28" spans="1:22" ht="15" x14ac:dyDescent="0.25"/>
    <row r="29" spans="1:22" ht="15" x14ac:dyDescent="0.25"/>
    <row r="30" spans="1:22" ht="15" x14ac:dyDescent="0.25"/>
    <row r="31" spans="1:22" ht="15" x14ac:dyDescent="0.25"/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4" type="noConversion"/>
  <conditionalFormatting sqref="I13:I27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3">
    <dataValidation type="list" allowBlank="1" showInputMessage="1" sqref="I1" xr:uid="{247CD28C-E434-4B8B-BA8E-BA3C6FA30DA7}">
      <formula1>dd_econ</formula1>
    </dataValidation>
    <dataValidation type="custom" allowBlank="1" showInputMessage="1" showErrorMessage="1" errorTitle="Out of range" error="US_addon + RlvLvl cannot exceed 90" promptTitle="US ECON EVENT" prompt="Additonal relevance level required for US ECON events - on top of ECON Relevance Level" sqref="Q3" xr:uid="{93C724B3-802C-4674-A197-5BFAC6756A04}">
      <formula1>Q2+Q3&lt;90</formula1>
    </dataValidation>
    <dataValidation type="whole" errorStyle="warning" allowBlank="1" showInputMessage="1" showErrorMessage="1" errorTitle="Out of range" error="50~90 only" promptTitle="ECON Event Relevance Level" prompt="Thredshold level to be relevant to include in weekly update" sqref="Q2" xr:uid="{3640EC5F-CBD1-4A2F-AA0A-9A27B47DA365}">
      <formula1>50</formula1>
      <formula2>90</formula2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I13:I27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7"/>
  <sheetViews>
    <sheetView zoomScale="85" zoomScaleNormal="85" workbookViewId="0">
      <selection activeCell="A11" sqref="A11:O23"/>
    </sheetView>
  </sheetViews>
  <sheetFormatPr defaultColWidth="8.88671875" defaultRowHeight="15" x14ac:dyDescent="0.25"/>
  <cols>
    <col min="1" max="1" width="10.44140625" style="25" bestFit="1" customWidth="1"/>
    <col min="2" max="2" width="8.5546875" style="25" bestFit="1" customWidth="1"/>
    <col min="3" max="3" width="25.109375" style="25" bestFit="1" customWidth="1"/>
    <col min="4" max="4" width="12.33203125" style="25" customWidth="1"/>
    <col min="5" max="5" width="8.33203125" style="25" bestFit="1" customWidth="1"/>
    <col min="6" max="6" width="8" style="25" bestFit="1" customWidth="1"/>
    <col min="7" max="7" width="7.44140625" style="25" bestFit="1" customWidth="1"/>
    <col min="8" max="8" width="9.109375" style="25" bestFit="1" customWidth="1"/>
    <col min="9" max="9" width="11" style="25" bestFit="1" customWidth="1" collapsed="1"/>
    <col min="10" max="10" width="15.5546875" style="25" bestFit="1" customWidth="1"/>
    <col min="11" max="11" width="10.77734375" style="25" bestFit="1" customWidth="1"/>
    <col min="12" max="12" width="7.33203125" style="25" bestFit="1" customWidth="1"/>
    <col min="13" max="13" width="6.109375" style="25" bestFit="1" customWidth="1"/>
    <col min="14" max="14" width="7.77734375" style="25" bestFit="1" customWidth="1"/>
    <col min="15" max="15" width="28.5546875" style="25" bestFit="1" customWidth="1" collapsed="1"/>
    <col min="16" max="16" width="6.5546875" style="25" customWidth="1"/>
    <col min="17" max="17" width="6.77734375" style="25" customWidth="1"/>
    <col min="18" max="18" width="28.109375" style="25" bestFit="1" customWidth="1"/>
    <col min="19" max="19" width="12.6640625" style="25" bestFit="1" customWidth="1"/>
    <col min="20" max="22" width="7.6640625" style="25" customWidth="1"/>
    <col min="23" max="23" width="6.109375" style="25" bestFit="1" customWidth="1"/>
    <col min="24" max="24" width="9.44140625" style="25" bestFit="1" customWidth="1"/>
    <col min="25" max="25" width="35.109375" style="25" bestFit="1" customWidth="1"/>
    <col min="26" max="16384" width="8.88671875" style="25"/>
  </cols>
  <sheetData>
    <row r="1" spans="1:22" ht="59.25" customHeight="1" x14ac:dyDescent="0.25">
      <c r="A1" s="24" t="s">
        <v>161</v>
      </c>
      <c r="H1" s="59" t="s">
        <v>164</v>
      </c>
    </row>
    <row r="2" spans="1:22" x14ac:dyDescent="0.25">
      <c r="B2" s="26" t="s">
        <v>86</v>
      </c>
      <c r="C2" s="26" t="s">
        <v>164</v>
      </c>
      <c r="D2" s="26" t="s">
        <v>167</v>
      </c>
      <c r="E2" s="26" t="s">
        <v>155</v>
      </c>
      <c r="F2" s="26" t="s">
        <v>156</v>
      </c>
      <c r="V2" s="28"/>
    </row>
    <row r="3" spans="1:22" x14ac:dyDescent="0.25">
      <c r="B3" s="26"/>
      <c r="D3" s="39"/>
      <c r="E3" s="30"/>
      <c r="F3" s="30"/>
      <c r="V3" s="33"/>
    </row>
    <row r="4" spans="1:22" x14ac:dyDescent="0.25">
      <c r="B4" s="26"/>
      <c r="D4" s="39"/>
      <c r="E4" s="30"/>
      <c r="F4" s="30"/>
      <c r="V4" s="33"/>
    </row>
    <row r="5" spans="1:22" x14ac:dyDescent="0.25">
      <c r="B5" s="26"/>
      <c r="D5" s="39"/>
      <c r="E5" s="30"/>
      <c r="F5" s="30"/>
      <c r="V5" s="33"/>
    </row>
    <row r="6" spans="1:22" x14ac:dyDescent="0.25">
      <c r="B6" s="26"/>
      <c r="D6" s="39"/>
      <c r="E6" s="30"/>
      <c r="F6" s="30"/>
      <c r="V6" s="33"/>
    </row>
    <row r="7" spans="1:22" x14ac:dyDescent="0.25">
      <c r="B7" s="26"/>
      <c r="D7" s="39"/>
      <c r="E7" s="30"/>
      <c r="F7" s="30"/>
      <c r="V7" s="33"/>
    </row>
    <row r="8" spans="1:22" x14ac:dyDescent="0.25">
      <c r="B8" s="26"/>
      <c r="D8" s="39"/>
      <c r="E8" s="30"/>
      <c r="F8" s="30"/>
      <c r="V8" s="33"/>
    </row>
    <row r="9" spans="1:22" x14ac:dyDescent="0.25">
      <c r="Q9" s="28"/>
      <c r="R9" s="28"/>
      <c r="S9" s="28"/>
      <c r="T9" s="28"/>
      <c r="U9" s="28"/>
      <c r="V9" s="28"/>
    </row>
    <row r="10" spans="1:22" x14ac:dyDescent="0.25">
      <c r="A10" s="27" t="s">
        <v>122</v>
      </c>
      <c r="B10" s="27" t="s">
        <v>158</v>
      </c>
      <c r="C10" s="27" t="s">
        <v>123</v>
      </c>
      <c r="D10" s="27" t="s">
        <v>159</v>
      </c>
      <c r="E10" s="27" t="s">
        <v>124</v>
      </c>
      <c r="F10" s="27" t="s">
        <v>125</v>
      </c>
      <c r="G10" s="27" t="s">
        <v>126</v>
      </c>
      <c r="H10" s="27" t="s">
        <v>127</v>
      </c>
      <c r="I10" s="27" t="s">
        <v>128</v>
      </c>
      <c r="J10" s="27" t="s">
        <v>129</v>
      </c>
      <c r="K10" s="27" t="s">
        <v>130</v>
      </c>
      <c r="L10" s="27" t="s">
        <v>160</v>
      </c>
      <c r="M10" s="27" t="s">
        <v>162</v>
      </c>
      <c r="N10" s="27" t="s">
        <v>163</v>
      </c>
      <c r="O10" s="27" t="s">
        <v>164</v>
      </c>
      <c r="Q10" s="28"/>
      <c r="R10" s="28"/>
      <c r="S10" s="28"/>
      <c r="T10" s="28"/>
      <c r="U10" s="28"/>
      <c r="V10" s="28"/>
    </row>
    <row r="11" spans="1:22" x14ac:dyDescent="0.25">
      <c r="A11" s="37"/>
      <c r="K11" s="35"/>
      <c r="Q11" s="28"/>
      <c r="R11" s="28"/>
      <c r="S11" s="28"/>
      <c r="T11" s="28"/>
      <c r="U11" s="28"/>
      <c r="V11" s="28"/>
    </row>
    <row r="12" spans="1:22" x14ac:dyDescent="0.25">
      <c r="A12" s="37"/>
      <c r="K12" s="35"/>
      <c r="Q12" s="28"/>
      <c r="R12" s="28"/>
      <c r="S12" s="28"/>
      <c r="T12" s="28"/>
      <c r="U12" s="28"/>
      <c r="V12" s="28"/>
    </row>
    <row r="13" spans="1:22" x14ac:dyDescent="0.25">
      <c r="A13" s="37"/>
      <c r="K13" s="35"/>
      <c r="Q13" s="28"/>
      <c r="R13" s="28"/>
      <c r="S13" s="28"/>
      <c r="T13" s="28"/>
      <c r="U13" s="28"/>
      <c r="V13" s="28"/>
    </row>
    <row r="14" spans="1:22" x14ac:dyDescent="0.25">
      <c r="A14" s="37"/>
      <c r="K14" s="35"/>
      <c r="Q14" s="28"/>
      <c r="R14" s="28"/>
      <c r="S14" s="28"/>
      <c r="T14" s="28"/>
      <c r="U14" s="28"/>
      <c r="V14" s="28"/>
    </row>
    <row r="15" spans="1:22" x14ac:dyDescent="0.25">
      <c r="A15" s="37"/>
      <c r="K15" s="35"/>
      <c r="Q15" s="28"/>
      <c r="R15" s="28"/>
      <c r="S15" s="28"/>
      <c r="T15" s="28"/>
      <c r="U15" s="28"/>
      <c r="V15" s="28"/>
    </row>
    <row r="16" spans="1:22" x14ac:dyDescent="0.25">
      <c r="A16" s="37"/>
      <c r="K16" s="35"/>
      <c r="Q16" s="28"/>
      <c r="R16" s="28"/>
      <c r="S16" s="28"/>
      <c r="T16" s="28"/>
      <c r="U16" s="28"/>
      <c r="V16" s="28"/>
    </row>
    <row r="17" spans="1:22" x14ac:dyDescent="0.25">
      <c r="A17" s="37"/>
      <c r="K17" s="35"/>
      <c r="Q17" s="28"/>
      <c r="R17" s="28"/>
      <c r="S17" s="28"/>
      <c r="T17" s="28"/>
      <c r="U17" s="28"/>
      <c r="V17" s="28"/>
    </row>
    <row r="18" spans="1:22" x14ac:dyDescent="0.25">
      <c r="A18" s="37"/>
      <c r="K18" s="35"/>
    </row>
    <row r="19" spans="1:22" x14ac:dyDescent="0.25">
      <c r="A19" s="37"/>
      <c r="K19" s="35"/>
      <c r="Q19" s="28"/>
      <c r="R19" s="28"/>
      <c r="S19" s="28"/>
      <c r="T19" s="28"/>
      <c r="U19" s="28"/>
      <c r="V19" s="28"/>
    </row>
    <row r="20" spans="1:22" x14ac:dyDescent="0.25">
      <c r="A20" s="37"/>
      <c r="K20" s="35"/>
      <c r="V20" s="28"/>
    </row>
    <row r="21" spans="1:22" x14ac:dyDescent="0.25">
      <c r="A21" s="37"/>
      <c r="K21" s="35"/>
      <c r="V21" s="28"/>
    </row>
    <row r="22" spans="1:22" x14ac:dyDescent="0.25">
      <c r="A22" s="37"/>
      <c r="K22" s="35"/>
      <c r="V22" s="28"/>
    </row>
    <row r="23" spans="1:22" x14ac:dyDescent="0.25">
      <c r="A23" s="37"/>
      <c r="K23" s="35"/>
      <c r="V23" s="28"/>
    </row>
    <row r="24" spans="1:22" x14ac:dyDescent="0.25">
      <c r="Q24" s="28"/>
      <c r="R24" s="28"/>
      <c r="S24" s="28"/>
      <c r="T24" s="28"/>
      <c r="U24" s="28"/>
      <c r="V24" s="28"/>
    </row>
    <row r="25" spans="1:22" x14ac:dyDescent="0.25">
      <c r="A25" s="37"/>
      <c r="K25" s="35"/>
      <c r="Q25" s="28"/>
      <c r="R25" s="28"/>
      <c r="S25" s="36"/>
      <c r="T25" s="33"/>
      <c r="U25" s="33"/>
      <c r="V25" s="28"/>
    </row>
    <row r="26" spans="1:22" x14ac:dyDescent="0.25">
      <c r="A26" s="37"/>
      <c r="K26" s="35"/>
      <c r="Q26" s="28"/>
      <c r="R26" s="28"/>
      <c r="S26" s="36"/>
      <c r="T26" s="33"/>
      <c r="U26" s="33"/>
      <c r="V26" s="28"/>
    </row>
    <row r="27" spans="1:22" x14ac:dyDescent="0.25">
      <c r="A27" s="37"/>
      <c r="K27" s="35"/>
      <c r="Q27" s="28"/>
      <c r="R27" s="28"/>
      <c r="S27" s="36"/>
      <c r="T27" s="33"/>
      <c r="U27" s="33"/>
      <c r="V27" s="28"/>
    </row>
    <row r="28" spans="1:22" x14ac:dyDescent="0.25">
      <c r="A28" s="37"/>
      <c r="K28" s="35"/>
      <c r="Q28" s="28"/>
      <c r="R28" s="28"/>
      <c r="S28" s="36"/>
      <c r="T28" s="33"/>
      <c r="U28" s="33"/>
    </row>
    <row r="29" spans="1:22" x14ac:dyDescent="0.25">
      <c r="A29" s="37"/>
      <c r="K29" s="35"/>
      <c r="Q29" s="28"/>
      <c r="R29" s="28"/>
      <c r="S29" s="36"/>
      <c r="T29" s="33"/>
      <c r="U29" s="33"/>
    </row>
    <row r="30" spans="1:22" x14ac:dyDescent="0.25">
      <c r="A30" s="37"/>
      <c r="K30" s="35"/>
      <c r="Q30" s="28"/>
      <c r="R30" s="28"/>
      <c r="S30" s="36"/>
      <c r="T30" s="33"/>
      <c r="U30" s="33"/>
    </row>
    <row r="31" spans="1:22" x14ac:dyDescent="0.25">
      <c r="A31" s="37"/>
      <c r="K31" s="35"/>
    </row>
    <row r="32" spans="1:22" x14ac:dyDescent="0.25">
      <c r="A32" s="37"/>
      <c r="K32" s="35"/>
    </row>
    <row r="33" spans="1:11" x14ac:dyDescent="0.25">
      <c r="A33" s="37"/>
      <c r="K33" s="35"/>
    </row>
    <row r="34" spans="1:11" x14ac:dyDescent="0.25">
      <c r="A34" s="37"/>
      <c r="K34" s="35"/>
    </row>
    <row r="35" spans="1:11" x14ac:dyDescent="0.25">
      <c r="A35" s="37"/>
      <c r="K35" s="35"/>
    </row>
    <row r="36" spans="1:11" x14ac:dyDescent="0.25">
      <c r="A36" s="37"/>
      <c r="K36" s="35"/>
    </row>
    <row r="37" spans="1:11" x14ac:dyDescent="0.25">
      <c r="A37" s="37"/>
      <c r="K37" s="35"/>
    </row>
  </sheetData>
  <phoneticPr fontId="33" type="noConversion"/>
  <conditionalFormatting sqref="I25:I37 I11:I23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I25:I37 I11:I23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3E2B-479A-4984-8E89-136C7DF470B0}">
  <dimension ref="A2:L9"/>
  <sheetViews>
    <sheetView workbookViewId="0">
      <selection activeCell="C12" sqref="C12"/>
    </sheetView>
  </sheetViews>
  <sheetFormatPr defaultRowHeight="15" x14ac:dyDescent="0.25"/>
  <cols>
    <col min="1" max="1" width="7.33203125" bestFit="1" customWidth="1"/>
    <col min="2" max="2" width="11.109375" bestFit="1" customWidth="1"/>
    <col min="3" max="3" width="10.33203125" bestFit="1" customWidth="1"/>
    <col min="4" max="4" width="13.33203125" bestFit="1" customWidth="1"/>
    <col min="5" max="5" width="25.88671875" bestFit="1" customWidth="1"/>
    <col min="6" max="6" width="9.44140625" bestFit="1" customWidth="1"/>
    <col min="7" max="7" width="6.109375" bestFit="1" customWidth="1"/>
    <col min="8" max="8" width="12.21875" bestFit="1" customWidth="1"/>
    <col min="9" max="9" width="7.77734375" bestFit="1" customWidth="1"/>
    <col min="10" max="10" width="6.109375" bestFit="1" customWidth="1"/>
    <col min="11" max="11" width="19.44140625" bestFit="1" customWidth="1"/>
    <col min="12" max="12" width="8.6640625" bestFit="1" customWidth="1"/>
  </cols>
  <sheetData>
    <row r="2" spans="1:12" x14ac:dyDescent="0.25">
      <c r="A2" t="s">
        <v>86</v>
      </c>
      <c r="B2" t="s">
        <v>427</v>
      </c>
      <c r="C2" t="s">
        <v>49</v>
      </c>
      <c r="D2" t="s">
        <v>48</v>
      </c>
      <c r="E2" t="s">
        <v>94</v>
      </c>
      <c r="F2" t="s">
        <v>135</v>
      </c>
      <c r="G2" t="s">
        <v>64</v>
      </c>
      <c r="H2" t="s">
        <v>57</v>
      </c>
      <c r="I2" t="s">
        <v>173</v>
      </c>
      <c r="J2" t="s">
        <v>87</v>
      </c>
      <c r="K2" t="s">
        <v>140</v>
      </c>
      <c r="L2" t="s">
        <v>769</v>
      </c>
    </row>
    <row r="3" spans="1:12" x14ac:dyDescent="0.25">
      <c r="A3">
        <v>23</v>
      </c>
      <c r="B3" t="s">
        <v>765</v>
      </c>
      <c r="C3" s="45">
        <v>45219</v>
      </c>
      <c r="D3" s="149" t="s">
        <v>1155</v>
      </c>
      <c r="E3" t="s">
        <v>1156</v>
      </c>
      <c r="F3" t="s">
        <v>83</v>
      </c>
      <c r="G3" t="s">
        <v>85</v>
      </c>
      <c r="H3">
        <v>0.2</v>
      </c>
      <c r="I3">
        <v>0.2</v>
      </c>
      <c r="J3" t="s">
        <v>1226</v>
      </c>
      <c r="K3" s="149" t="s">
        <v>1163</v>
      </c>
      <c r="L3" t="s">
        <v>750</v>
      </c>
    </row>
    <row r="4" spans="1:12" x14ac:dyDescent="0.25">
      <c r="A4">
        <v>21</v>
      </c>
      <c r="B4" t="s">
        <v>765</v>
      </c>
      <c r="C4" s="45">
        <v>45219</v>
      </c>
      <c r="D4" s="149" t="s">
        <v>1150</v>
      </c>
      <c r="E4" t="s">
        <v>590</v>
      </c>
      <c r="F4" t="s">
        <v>83</v>
      </c>
      <c r="G4" t="s">
        <v>85</v>
      </c>
      <c r="H4">
        <v>0.25</v>
      </c>
      <c r="I4">
        <v>0.25</v>
      </c>
      <c r="J4" t="s">
        <v>1226</v>
      </c>
      <c r="K4" s="149" t="s">
        <v>1154</v>
      </c>
      <c r="L4" t="s">
        <v>750</v>
      </c>
    </row>
    <row r="5" spans="1:12" x14ac:dyDescent="0.25">
      <c r="A5">
        <v>20</v>
      </c>
      <c r="B5" t="s">
        <v>765</v>
      </c>
      <c r="C5" s="45">
        <v>45219</v>
      </c>
      <c r="D5" s="149" t="s">
        <v>796</v>
      </c>
      <c r="E5" t="s">
        <v>753</v>
      </c>
      <c r="F5" t="s">
        <v>83</v>
      </c>
      <c r="G5" t="s">
        <v>106</v>
      </c>
      <c r="H5">
        <v>0.2</v>
      </c>
      <c r="I5">
        <v>2.7E-2</v>
      </c>
      <c r="J5" t="s">
        <v>786</v>
      </c>
      <c r="K5" s="149" t="s">
        <v>799</v>
      </c>
      <c r="L5" t="s">
        <v>750</v>
      </c>
    </row>
    <row r="6" spans="1:12" x14ac:dyDescent="0.25">
      <c r="A6">
        <v>18</v>
      </c>
      <c r="B6" t="s">
        <v>765</v>
      </c>
      <c r="C6" s="45">
        <v>45218</v>
      </c>
      <c r="D6" s="149" t="s">
        <v>809</v>
      </c>
      <c r="E6" t="s">
        <v>619</v>
      </c>
      <c r="F6" t="s">
        <v>83</v>
      </c>
      <c r="G6" t="s">
        <v>106</v>
      </c>
      <c r="H6">
        <v>2</v>
      </c>
      <c r="I6">
        <v>0.27200000000000002</v>
      </c>
      <c r="J6" t="s">
        <v>560</v>
      </c>
      <c r="K6" s="149" t="s">
        <v>814</v>
      </c>
      <c r="L6" t="s">
        <v>750</v>
      </c>
    </row>
    <row r="7" spans="1:12" x14ac:dyDescent="0.25">
      <c r="A7">
        <v>17</v>
      </c>
      <c r="B7" t="s">
        <v>765</v>
      </c>
      <c r="C7" s="45">
        <v>45218</v>
      </c>
      <c r="D7" s="149" t="s">
        <v>800</v>
      </c>
      <c r="E7" t="s">
        <v>753</v>
      </c>
      <c r="F7" t="s">
        <v>83</v>
      </c>
      <c r="G7" t="s">
        <v>109</v>
      </c>
      <c r="H7">
        <v>0.05</v>
      </c>
      <c r="I7">
        <v>6.0000000000000001E-3</v>
      </c>
      <c r="J7" t="s">
        <v>786</v>
      </c>
      <c r="K7" s="149" t="s">
        <v>802</v>
      </c>
      <c r="L7" t="s">
        <v>750</v>
      </c>
    </row>
    <row r="8" spans="1:12" x14ac:dyDescent="0.25">
      <c r="A8">
        <v>7</v>
      </c>
      <c r="B8" t="s">
        <v>765</v>
      </c>
      <c r="C8" s="45">
        <v>45217</v>
      </c>
      <c r="D8" s="149" t="s">
        <v>821</v>
      </c>
      <c r="E8" t="s">
        <v>753</v>
      </c>
      <c r="F8" t="s">
        <v>83</v>
      </c>
      <c r="G8" t="s">
        <v>106</v>
      </c>
      <c r="H8">
        <v>0.25700000000000001</v>
      </c>
      <c r="I8">
        <v>3.5000000000000003E-2</v>
      </c>
      <c r="J8" t="s">
        <v>560</v>
      </c>
      <c r="K8" s="149" t="s">
        <v>823</v>
      </c>
      <c r="L8" t="s">
        <v>750</v>
      </c>
    </row>
    <row r="9" spans="1:12" x14ac:dyDescent="0.25">
      <c r="A9">
        <v>2</v>
      </c>
      <c r="B9" t="s">
        <v>765</v>
      </c>
      <c r="C9" s="45">
        <v>45215</v>
      </c>
      <c r="D9" s="149" t="s">
        <v>897</v>
      </c>
      <c r="E9" t="s">
        <v>753</v>
      </c>
      <c r="F9" t="s">
        <v>83</v>
      </c>
      <c r="G9" t="s">
        <v>109</v>
      </c>
      <c r="H9">
        <v>7.0000000000000007E-2</v>
      </c>
      <c r="I9">
        <v>8.9999999999999993E-3</v>
      </c>
      <c r="J9" t="s">
        <v>1138</v>
      </c>
      <c r="K9" s="149" t="s">
        <v>898</v>
      </c>
      <c r="L9" t="s">
        <v>750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K13"/>
  <sheetViews>
    <sheetView workbookViewId="0">
      <selection activeCell="C12" sqref="C12"/>
    </sheetView>
  </sheetViews>
  <sheetFormatPr defaultRowHeight="15" x14ac:dyDescent="0.25"/>
  <cols>
    <col min="1" max="1" width="29.88671875" style="1" bestFit="1" customWidth="1"/>
    <col min="2" max="2" width="12.77734375" style="1" bestFit="1" customWidth="1"/>
    <col min="3" max="3" width="7.6640625" style="1" bestFit="1" customWidth="1"/>
    <col min="4" max="4" width="9.44140625" style="1" bestFit="1" customWidth="1"/>
    <col min="5" max="7" width="6.109375" style="1" bestFit="1" customWidth="1"/>
    <col min="8" max="8" width="11.109375" style="1" bestFit="1" customWidth="1"/>
    <col min="9" max="9" width="13.5546875" style="1" bestFit="1" customWidth="1"/>
    <col min="10" max="10" width="6.109375" style="1" bestFit="1" customWidth="1"/>
    <col min="11" max="11" width="9.33203125" style="1" bestFit="1" customWidth="1"/>
    <col min="12" max="13" width="6.109375" style="1" bestFit="1" customWidth="1"/>
    <col min="14" max="14" width="4.44140625" style="1" bestFit="1" customWidth="1"/>
    <col min="15" max="15" width="11.109375" style="1" bestFit="1" customWidth="1"/>
    <col min="16" max="16" width="13.5546875" style="1" bestFit="1" customWidth="1"/>
    <col min="17" max="17" width="7.77734375" style="1" bestFit="1" customWidth="1"/>
    <col min="18" max="18" width="9.44140625" style="1" bestFit="1" customWidth="1"/>
    <col min="19" max="19" width="6.109375" style="1" bestFit="1" customWidth="1"/>
    <col min="20" max="20" width="8.109375" style="1" bestFit="1" customWidth="1"/>
    <col min="21" max="21" width="9.44140625" style="1" bestFit="1" customWidth="1"/>
    <col min="22" max="22" width="10.88671875" style="1" bestFit="1" customWidth="1"/>
    <col min="23" max="23" width="9.21875" style="1" bestFit="1" customWidth="1"/>
    <col min="24" max="24" width="10.88671875" style="1" bestFit="1" customWidth="1"/>
    <col min="25" max="25" width="12.5546875" style="1" bestFit="1" customWidth="1"/>
    <col min="26" max="26" width="9.5546875" style="1" bestFit="1" customWidth="1"/>
    <col min="27" max="28" width="11.77734375" style="1" bestFit="1" customWidth="1"/>
    <col min="29" max="29" width="11" style="1" bestFit="1" customWidth="1"/>
    <col min="30" max="30" width="9.33203125" style="1" bestFit="1" customWidth="1"/>
    <col min="31" max="31" width="11.5546875" style="1" bestFit="1" customWidth="1"/>
    <col min="32" max="32" width="5.88671875" style="1" bestFit="1" customWidth="1"/>
    <col min="33" max="33" width="9.21875" style="1" customWidth="1"/>
    <col min="34" max="34" width="5.88671875" style="1" bestFit="1" customWidth="1"/>
    <col min="35" max="36" width="9.21875" style="1" customWidth="1"/>
    <col min="37" max="39" width="5.88671875" style="1" bestFit="1" customWidth="1"/>
    <col min="40" max="40" width="9.21875" style="1" customWidth="1"/>
    <col min="41" max="41" width="4.21875" style="1" bestFit="1" customWidth="1"/>
    <col min="42" max="42" width="10.88671875" style="1" bestFit="1" customWidth="1"/>
    <col min="43" max="43" width="13.33203125" style="1" bestFit="1" customWidth="1"/>
    <col min="44" max="44" width="7.5546875" style="1" bestFit="1" customWidth="1"/>
    <col min="45" max="45" width="9.21875" style="1" customWidth="1"/>
    <col min="46" max="46" width="5.88671875" style="1" bestFit="1" customWidth="1"/>
    <col min="47" max="48" width="9.21875" style="1" customWidth="1"/>
    <col min="49" max="49" width="9.33203125" style="1" bestFit="1" customWidth="1"/>
    <col min="50" max="50" width="11.5546875" style="1" bestFit="1" customWidth="1"/>
    <col min="51" max="51" width="5.88671875" style="1" bestFit="1" customWidth="1"/>
    <col min="52" max="52" width="9.21875" style="1" bestFit="1" customWidth="1"/>
    <col min="53" max="53" width="7.6640625" style="1" bestFit="1" customWidth="1"/>
    <col min="54" max="55" width="9.21875" style="1" bestFit="1" customWidth="1"/>
    <col min="56" max="58" width="5.88671875" style="1" bestFit="1" customWidth="1"/>
    <col min="59" max="59" width="9.21875" style="1" bestFit="1" customWidth="1"/>
    <col min="60" max="60" width="4.21875" style="1" bestFit="1" customWidth="1"/>
    <col min="61" max="61" width="10.88671875" style="1" bestFit="1" customWidth="1"/>
    <col min="62" max="62" width="13.33203125" style="1" bestFit="1" customWidth="1"/>
    <col min="63" max="63" width="7.5546875" style="1" bestFit="1" customWidth="1"/>
    <col min="64" max="64" width="9.21875" style="1" bestFit="1" customWidth="1"/>
    <col min="65" max="65" width="5.88671875" style="1" bestFit="1" customWidth="1"/>
    <col min="66" max="67" width="9.21875" style="1" bestFit="1" customWidth="1"/>
    <col min="68" max="68" width="9.33203125" style="1" bestFit="1" customWidth="1"/>
    <col min="69" max="69" width="11.5546875" style="1" bestFit="1" customWidth="1"/>
    <col min="70" max="70" width="11.77734375" style="1" bestFit="1" customWidth="1"/>
    <col min="71" max="71" width="5.88671875" style="1" bestFit="1" customWidth="1"/>
    <col min="72" max="73" width="8.33203125" style="1" bestFit="1" customWidth="1"/>
    <col min="74" max="16384" width="8.88671875" style="1"/>
  </cols>
  <sheetData>
    <row r="1" spans="1:11" ht="43.5" customHeight="1" x14ac:dyDescent="0.25"/>
    <row r="2" spans="1:11" ht="43.5" customHeight="1" x14ac:dyDescent="0.25"/>
    <row r="3" spans="1:11" ht="43.5" customHeight="1" x14ac:dyDescent="0.25"/>
    <row r="4" spans="1:11" x14ac:dyDescent="0.25">
      <c r="A4" t="s">
        <v>94</v>
      </c>
      <c r="B4" t="s">
        <v>117</v>
      </c>
      <c r="C4" t="s">
        <v>228</v>
      </c>
      <c r="D4" t="s">
        <v>205</v>
      </c>
      <c r="E4" t="s">
        <v>89</v>
      </c>
      <c r="F4" t="s">
        <v>45</v>
      </c>
      <c r="G4" t="s">
        <v>46</v>
      </c>
      <c r="H4" t="s">
        <v>230</v>
      </c>
      <c r="I4" t="s">
        <v>193</v>
      </c>
      <c r="J4" t="s">
        <v>43</v>
      </c>
      <c r="K4" t="s">
        <v>767</v>
      </c>
    </row>
    <row r="5" spans="1:11" x14ac:dyDescent="0.25">
      <c r="A5" t="s">
        <v>862</v>
      </c>
      <c r="B5" t="s">
        <v>1103</v>
      </c>
      <c r="C5" t="s">
        <v>258</v>
      </c>
      <c r="D5" t="s">
        <v>196</v>
      </c>
      <c r="E5" t="s">
        <v>10</v>
      </c>
      <c r="F5" t="s">
        <v>1034</v>
      </c>
      <c r="G5" t="s">
        <v>7</v>
      </c>
      <c r="H5" s="45"/>
      <c r="I5" s="149">
        <v>43074</v>
      </c>
      <c r="J5" t="s">
        <v>1</v>
      </c>
      <c r="K5" t="s">
        <v>750</v>
      </c>
    </row>
    <row r="6" spans="1:11" x14ac:dyDescent="0.25">
      <c r="A6" t="s">
        <v>1165</v>
      </c>
      <c r="B6" t="s">
        <v>1230</v>
      </c>
      <c r="C6" t="s">
        <v>258</v>
      </c>
      <c r="D6" t="s">
        <v>196</v>
      </c>
      <c r="E6" t="s">
        <v>22</v>
      </c>
      <c r="F6" t="s">
        <v>1191</v>
      </c>
      <c r="G6" t="s">
        <v>1192</v>
      </c>
      <c r="H6" s="45"/>
      <c r="I6" s="149">
        <v>45219</v>
      </c>
      <c r="J6" t="s">
        <v>1</v>
      </c>
      <c r="K6" t="s">
        <v>750</v>
      </c>
    </row>
    <row r="7" spans="1:11" x14ac:dyDescent="0.25">
      <c r="A7" t="s">
        <v>816</v>
      </c>
      <c r="B7" t="s">
        <v>1147</v>
      </c>
      <c r="C7" t="s">
        <v>258</v>
      </c>
      <c r="D7" t="s">
        <v>196</v>
      </c>
      <c r="E7" t="s">
        <v>19</v>
      </c>
      <c r="F7" t="s">
        <v>775</v>
      </c>
      <c r="G7" t="s">
        <v>1219</v>
      </c>
      <c r="H7" s="45"/>
      <c r="I7" s="149">
        <v>45218</v>
      </c>
      <c r="J7" t="s">
        <v>1</v>
      </c>
      <c r="K7" t="s">
        <v>750</v>
      </c>
    </row>
    <row r="8" spans="1:11" x14ac:dyDescent="0.25">
      <c r="A8" t="s">
        <v>840</v>
      </c>
      <c r="B8" t="s">
        <v>1104</v>
      </c>
      <c r="C8" t="s">
        <v>258</v>
      </c>
      <c r="D8" t="s">
        <v>196</v>
      </c>
      <c r="E8" t="s">
        <v>10</v>
      </c>
      <c r="F8" t="s">
        <v>1017</v>
      </c>
      <c r="G8" t="s">
        <v>1018</v>
      </c>
      <c r="H8" s="45"/>
      <c r="I8" s="149">
        <v>45217</v>
      </c>
      <c r="J8" t="s">
        <v>1</v>
      </c>
      <c r="K8" t="s">
        <v>750</v>
      </c>
    </row>
    <row r="9" spans="1:11" x14ac:dyDescent="0.25">
      <c r="A9" t="s">
        <v>825</v>
      </c>
      <c r="B9" t="s">
        <v>1105</v>
      </c>
      <c r="C9" t="s">
        <v>258</v>
      </c>
      <c r="D9" t="s">
        <v>196</v>
      </c>
      <c r="E9" t="s">
        <v>15</v>
      </c>
      <c r="F9" t="s">
        <v>773</v>
      </c>
      <c r="G9" t="s">
        <v>7</v>
      </c>
      <c r="H9" s="45"/>
      <c r="I9" s="149">
        <v>45217</v>
      </c>
      <c r="J9" t="s">
        <v>2</v>
      </c>
      <c r="K9" t="s">
        <v>750</v>
      </c>
    </row>
    <row r="10" spans="1:11" x14ac:dyDescent="0.25">
      <c r="A10" t="s">
        <v>870</v>
      </c>
      <c r="B10" t="s">
        <v>1146</v>
      </c>
      <c r="C10" t="s">
        <v>258</v>
      </c>
      <c r="D10" t="s">
        <v>196</v>
      </c>
      <c r="E10" t="s">
        <v>10</v>
      </c>
      <c r="F10" t="s">
        <v>1000</v>
      </c>
      <c r="G10" t="s">
        <v>1001</v>
      </c>
      <c r="H10" s="45"/>
      <c r="I10" s="149">
        <v>44169</v>
      </c>
      <c r="J10" t="s">
        <v>1</v>
      </c>
      <c r="K10" t="s">
        <v>750</v>
      </c>
    </row>
    <row r="11" spans="1:11" x14ac:dyDescent="0.25">
      <c r="A11" t="s">
        <v>692</v>
      </c>
      <c r="B11" t="s">
        <v>1107</v>
      </c>
      <c r="C11" t="s">
        <v>260</v>
      </c>
      <c r="D11" t="s">
        <v>194</v>
      </c>
      <c r="E11" t="s">
        <v>144</v>
      </c>
      <c r="F11" t="s">
        <v>988</v>
      </c>
      <c r="G11" t="s">
        <v>7</v>
      </c>
      <c r="H11" s="45"/>
      <c r="I11" s="149">
        <v>34298</v>
      </c>
      <c r="J11" t="s">
        <v>3</v>
      </c>
      <c r="K11" t="s">
        <v>750</v>
      </c>
    </row>
    <row r="12" spans="1:11" x14ac:dyDescent="0.25">
      <c r="A12" t="s">
        <v>879</v>
      </c>
      <c r="B12" t="s">
        <v>1108</v>
      </c>
      <c r="C12" t="s">
        <v>258</v>
      </c>
      <c r="D12" t="s">
        <v>196</v>
      </c>
      <c r="E12" t="s">
        <v>17</v>
      </c>
      <c r="F12" t="s">
        <v>1055</v>
      </c>
      <c r="G12" t="s">
        <v>1056</v>
      </c>
      <c r="H12" s="45"/>
      <c r="I12" s="149">
        <v>45216</v>
      </c>
      <c r="J12" t="s">
        <v>1</v>
      </c>
      <c r="K12" t="s">
        <v>750</v>
      </c>
    </row>
    <row r="13" spans="1:11" x14ac:dyDescent="0.25">
      <c r="A13" t="s">
        <v>909</v>
      </c>
      <c r="B13" t="s">
        <v>1143</v>
      </c>
      <c r="C13" t="s">
        <v>258</v>
      </c>
      <c r="D13" t="s">
        <v>196</v>
      </c>
      <c r="E13" t="s">
        <v>8</v>
      </c>
      <c r="F13" t="s">
        <v>1082</v>
      </c>
      <c r="G13" t="s">
        <v>7</v>
      </c>
      <c r="H13" s="45"/>
      <c r="I13" s="149">
        <v>43090</v>
      </c>
      <c r="J13" t="s">
        <v>1</v>
      </c>
      <c r="K13" t="s">
        <v>750</v>
      </c>
    </row>
  </sheetData>
  <phoneticPr fontId="3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9"/>
  <sheetViews>
    <sheetView topLeftCell="A34" zoomScale="85" zoomScaleNormal="85" workbookViewId="0">
      <selection activeCell="B26" sqref="B26:C59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73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67">
        <v>45167</v>
      </c>
      <c r="H1" s="64"/>
      <c r="I1" s="56" t="s">
        <v>311</v>
      </c>
      <c r="J1" s="56" t="s">
        <v>53</v>
      </c>
      <c r="K1" s="56" t="s">
        <v>65</v>
      </c>
      <c r="L1" s="56" t="s">
        <v>75</v>
      </c>
    </row>
    <row r="2" spans="1:125" ht="36" x14ac:dyDescent="0.55000000000000004">
      <c r="A2" s="81" t="s">
        <v>322</v>
      </c>
      <c r="D2" s="74"/>
      <c r="E2" s="66"/>
      <c r="F2" s="66"/>
      <c r="M2" s="66"/>
      <c r="N2" s="64"/>
      <c r="O2" s="64"/>
      <c r="P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</row>
    <row r="4" spans="1:125" ht="27.75" customHeight="1" x14ac:dyDescent="0.45">
      <c r="B4" s="78" t="s">
        <v>321</v>
      </c>
      <c r="D4" s="74"/>
      <c r="E4" s="66"/>
      <c r="F4" s="66"/>
      <c r="G4" s="66"/>
      <c r="H4" s="66"/>
      <c r="I4" s="66"/>
      <c r="J4" s="66"/>
      <c r="K4" s="66"/>
      <c r="L4" s="66"/>
      <c r="M4" s="66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</row>
    <row r="5" spans="1:125" ht="27.75" customHeight="1" x14ac:dyDescent="0.45">
      <c r="B5" s="77" t="s">
        <v>313</v>
      </c>
      <c r="C5" s="77" t="s">
        <v>314</v>
      </c>
      <c r="D5" s="77" t="s">
        <v>319</v>
      </c>
      <c r="E5" s="66"/>
      <c r="F5" s="66"/>
      <c r="G5" s="66"/>
      <c r="H5" s="66"/>
      <c r="I5" s="66"/>
      <c r="J5" s="66"/>
      <c r="K5" s="66"/>
      <c r="L5" s="66"/>
      <c r="M5" s="66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</row>
    <row r="6" spans="1:125" ht="27.75" customHeight="1" x14ac:dyDescent="0.45">
      <c r="B6" s="72"/>
      <c r="C6" s="72" t="s">
        <v>444</v>
      </c>
      <c r="D6" s="72" t="s">
        <v>320</v>
      </c>
      <c r="E6" s="66"/>
      <c r="F6" s="66"/>
      <c r="G6" s="66"/>
      <c r="H6" s="66"/>
      <c r="I6" s="66"/>
      <c r="J6" s="66"/>
      <c r="K6" s="66"/>
      <c r="L6" s="66"/>
      <c r="M6" s="66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</row>
    <row r="8" spans="1:125" ht="27.75" customHeight="1" x14ac:dyDescent="0.45">
      <c r="B8" s="80" t="s">
        <v>317</v>
      </c>
      <c r="C8" s="70"/>
      <c r="D8" s="75"/>
      <c r="E8" s="70"/>
      <c r="F8" s="70"/>
      <c r="G8" s="70"/>
      <c r="H8" s="70"/>
      <c r="I8" s="70"/>
      <c r="J8" s="70"/>
      <c r="K8" s="70"/>
      <c r="L8" s="70"/>
      <c r="M8" s="70"/>
      <c r="N8" s="70"/>
      <c r="O8" s="64"/>
      <c r="P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</row>
    <row r="9" spans="1:125" x14ac:dyDescent="0.25">
      <c r="B9" t="s">
        <v>48</v>
      </c>
      <c r="C9" t="s">
        <v>165</v>
      </c>
      <c r="D9" s="71" t="s">
        <v>49</v>
      </c>
      <c r="E9" t="s">
        <v>135</v>
      </c>
      <c r="F9" t="s">
        <v>64</v>
      </c>
      <c r="G9" t="s">
        <v>57</v>
      </c>
      <c r="H9" t="s">
        <v>87</v>
      </c>
      <c r="I9" t="s">
        <v>120</v>
      </c>
      <c r="J9" t="s">
        <v>88</v>
      </c>
      <c r="K9" t="s">
        <v>166</v>
      </c>
    </row>
    <row r="10" spans="1:125" x14ac:dyDescent="0.25">
      <c r="B10" t="s">
        <v>455</v>
      </c>
      <c r="C10" t="s">
        <v>458</v>
      </c>
      <c r="D10" s="71">
        <v>45191</v>
      </c>
      <c r="E10" t="s">
        <v>83</v>
      </c>
      <c r="F10" t="s">
        <v>85</v>
      </c>
      <c r="G10">
        <v>1</v>
      </c>
      <c r="H10" t="s">
        <v>151</v>
      </c>
      <c r="I10" t="s">
        <v>456</v>
      </c>
      <c r="J10" t="s">
        <v>7</v>
      </c>
      <c r="K10" t="s">
        <v>7</v>
      </c>
    </row>
    <row r="11" spans="1:125" x14ac:dyDescent="0.25">
      <c r="B11" t="s">
        <v>446</v>
      </c>
      <c r="C11" t="s">
        <v>459</v>
      </c>
      <c r="D11">
        <v>45190</v>
      </c>
      <c r="E11" t="s">
        <v>83</v>
      </c>
      <c r="F11" t="s">
        <v>106</v>
      </c>
      <c r="G11">
        <v>10.65</v>
      </c>
      <c r="H11" t="s">
        <v>151</v>
      </c>
      <c r="I11" t="s">
        <v>448</v>
      </c>
      <c r="J11" t="s">
        <v>7</v>
      </c>
      <c r="K11" t="s">
        <v>7</v>
      </c>
    </row>
    <row r="12" spans="1:125" x14ac:dyDescent="0.25">
      <c r="B12" t="s">
        <v>447</v>
      </c>
      <c r="C12" t="s">
        <v>453</v>
      </c>
      <c r="D12">
        <v>45189</v>
      </c>
      <c r="E12" t="s">
        <v>457</v>
      </c>
      <c r="F12" t="s">
        <v>106</v>
      </c>
      <c r="G12">
        <v>18.600000000000001</v>
      </c>
      <c r="H12" t="s">
        <v>151</v>
      </c>
      <c r="I12" t="s">
        <v>452</v>
      </c>
      <c r="J12" t="s">
        <v>451</v>
      </c>
      <c r="K12">
        <v>10</v>
      </c>
    </row>
    <row r="13" spans="1:125" x14ac:dyDescent="0.25">
      <c r="B13" t="s">
        <v>445</v>
      </c>
      <c r="C13" t="s">
        <v>454</v>
      </c>
      <c r="D13">
        <v>45189</v>
      </c>
      <c r="E13" t="s">
        <v>83</v>
      </c>
      <c r="F13" t="s">
        <v>106</v>
      </c>
      <c r="G13">
        <v>7.3</v>
      </c>
      <c r="H13" t="s">
        <v>151</v>
      </c>
      <c r="I13" t="s">
        <v>449</v>
      </c>
      <c r="J13" t="s">
        <v>450</v>
      </c>
      <c r="K13">
        <v>6</v>
      </c>
    </row>
    <row r="14" spans="1:125" s="60" customFormat="1" ht="35.25" customHeight="1" x14ac:dyDescent="0.25">
      <c r="B14" t="s">
        <v>440</v>
      </c>
      <c r="C14" t="s">
        <v>441</v>
      </c>
      <c r="D14">
        <v>45183</v>
      </c>
      <c r="E14" t="s">
        <v>83</v>
      </c>
      <c r="F14" t="s">
        <v>106</v>
      </c>
      <c r="G14">
        <v>2.6</v>
      </c>
      <c r="H14" t="s">
        <v>151</v>
      </c>
      <c r="I14" t="s">
        <v>442</v>
      </c>
      <c r="J14" t="s">
        <v>7</v>
      </c>
      <c r="K14" t="s">
        <v>7</v>
      </c>
    </row>
    <row r="15" spans="1:125" ht="27.75" x14ac:dyDescent="0.45">
      <c r="B15" t="s">
        <v>460</v>
      </c>
      <c r="C15" t="s">
        <v>466</v>
      </c>
      <c r="D15">
        <v>45182</v>
      </c>
      <c r="E15" t="s">
        <v>83</v>
      </c>
      <c r="F15" t="s">
        <v>262</v>
      </c>
      <c r="G15">
        <v>76</v>
      </c>
      <c r="H15" t="s">
        <v>151</v>
      </c>
      <c r="I15" t="s">
        <v>467</v>
      </c>
      <c r="J15" t="s">
        <v>468</v>
      </c>
      <c r="K15">
        <v>0</v>
      </c>
      <c r="L15" s="65"/>
      <c r="M15" s="65"/>
    </row>
    <row r="16" spans="1:125" x14ac:dyDescent="0.25">
      <c r="B16" t="s">
        <v>462</v>
      </c>
      <c r="C16" t="s">
        <v>469</v>
      </c>
      <c r="D16">
        <v>45182</v>
      </c>
      <c r="E16" t="s">
        <v>83</v>
      </c>
      <c r="F16" t="s">
        <v>106</v>
      </c>
      <c r="G16">
        <v>5.8</v>
      </c>
      <c r="H16" t="s">
        <v>151</v>
      </c>
      <c r="I16" t="s">
        <v>470</v>
      </c>
      <c r="J16" t="s">
        <v>471</v>
      </c>
      <c r="K16">
        <v>0</v>
      </c>
    </row>
    <row r="17" spans="2:13" x14ac:dyDescent="0.25">
      <c r="B17" t="s">
        <v>461</v>
      </c>
      <c r="C17" t="s">
        <v>472</v>
      </c>
      <c r="D17">
        <v>45182</v>
      </c>
      <c r="E17" t="s">
        <v>443</v>
      </c>
      <c r="F17" t="s">
        <v>85</v>
      </c>
      <c r="G17">
        <v>5.5</v>
      </c>
      <c r="H17" t="s">
        <v>151</v>
      </c>
      <c r="I17" t="s">
        <v>473</v>
      </c>
      <c r="J17" t="s">
        <v>474</v>
      </c>
      <c r="K17">
        <v>47</v>
      </c>
    </row>
    <row r="18" spans="2:13" x14ac:dyDescent="0.25">
      <c r="B18" t="s">
        <v>463</v>
      </c>
      <c r="C18" t="s">
        <v>475</v>
      </c>
      <c r="D18">
        <v>45180</v>
      </c>
      <c r="E18" t="s">
        <v>464</v>
      </c>
      <c r="F18" t="s">
        <v>85</v>
      </c>
      <c r="G18">
        <v>5</v>
      </c>
      <c r="H18" t="s">
        <v>151</v>
      </c>
      <c r="I18" t="s">
        <v>476</v>
      </c>
      <c r="J18" t="s">
        <v>477</v>
      </c>
      <c r="K18">
        <v>45</v>
      </c>
    </row>
    <row r="19" spans="2:13" ht="27.75" x14ac:dyDescent="0.45">
      <c r="B19" t="s">
        <v>465</v>
      </c>
      <c r="C19" t="s">
        <v>478</v>
      </c>
      <c r="D19">
        <v>45180</v>
      </c>
      <c r="E19" t="s">
        <v>464</v>
      </c>
      <c r="F19" t="s">
        <v>106</v>
      </c>
      <c r="G19">
        <v>20</v>
      </c>
      <c r="H19" t="s">
        <v>151</v>
      </c>
      <c r="I19" t="s">
        <v>479</v>
      </c>
      <c r="J19" t="s">
        <v>480</v>
      </c>
      <c r="K19">
        <v>32</v>
      </c>
      <c r="L19" s="66"/>
      <c r="M19" s="66"/>
    </row>
    <row r="21" spans="2:13" ht="27.75" x14ac:dyDescent="0.45">
      <c r="B21" s="79" t="s">
        <v>316</v>
      </c>
      <c r="C21" s="65"/>
      <c r="D21" s="76"/>
      <c r="E21" s="65"/>
      <c r="F21" s="65"/>
      <c r="G21" s="65"/>
      <c r="H21" s="65"/>
      <c r="I21" s="65"/>
      <c r="J21" s="65"/>
      <c r="K21" s="65"/>
    </row>
    <row r="22" spans="2:13" x14ac:dyDescent="0.25">
      <c r="B22" t="s">
        <v>309</v>
      </c>
      <c r="C22" t="s">
        <v>307</v>
      </c>
      <c r="D22" s="71" t="s">
        <v>141</v>
      </c>
      <c r="E22" t="s">
        <v>310</v>
      </c>
      <c r="F22" t="s">
        <v>49</v>
      </c>
      <c r="G22" t="s">
        <v>57</v>
      </c>
      <c r="H22" t="s">
        <v>311</v>
      </c>
      <c r="I22" t="s">
        <v>53</v>
      </c>
      <c r="J22" t="s">
        <v>401</v>
      </c>
      <c r="K22" t="s">
        <v>402</v>
      </c>
    </row>
    <row r="23" spans="2:13" ht="18.75" x14ac:dyDescent="0.25">
      <c r="B23" s="94" t="s">
        <v>406</v>
      </c>
      <c r="C23" s="94" t="s">
        <v>308</v>
      </c>
      <c r="D23" s="95" t="s">
        <v>252</v>
      </c>
      <c r="E23" s="94"/>
      <c r="F23" s="96">
        <v>45177</v>
      </c>
      <c r="G23" s="94">
        <v>1.22</v>
      </c>
      <c r="H23" s="94" t="s">
        <v>290</v>
      </c>
      <c r="I23" s="97">
        <v>6.2E-2</v>
      </c>
      <c r="J23" s="98" t="s">
        <v>235</v>
      </c>
      <c r="K23" s="98" t="s">
        <v>394</v>
      </c>
    </row>
    <row r="25" spans="2:13" ht="27.75" x14ac:dyDescent="0.45">
      <c r="B25" s="80" t="s">
        <v>318</v>
      </c>
      <c r="C25" s="66"/>
      <c r="D25" s="74"/>
      <c r="E25" s="66"/>
      <c r="F25" s="80" t="s">
        <v>323</v>
      </c>
      <c r="G25" s="66"/>
      <c r="H25" s="66"/>
      <c r="I25" s="66"/>
      <c r="J25" s="66"/>
      <c r="K25" s="66"/>
    </row>
    <row r="26" spans="2:13" x14ac:dyDescent="0.25">
      <c r="B26" t="s">
        <v>304</v>
      </c>
      <c r="C26" t="s">
        <v>306</v>
      </c>
    </row>
    <row r="27" spans="2:13" x14ac:dyDescent="0.25">
      <c r="B27" t="s">
        <v>309</v>
      </c>
      <c r="C27" s="44" t="s">
        <v>406</v>
      </c>
    </row>
    <row r="28" spans="2:13" x14ac:dyDescent="0.25">
      <c r="B28" t="s">
        <v>414</v>
      </c>
      <c r="C28" s="44" t="s">
        <v>308</v>
      </c>
    </row>
    <row r="29" spans="2:13" x14ac:dyDescent="0.25">
      <c r="B29" t="s">
        <v>141</v>
      </c>
      <c r="C29" s="44" t="s">
        <v>252</v>
      </c>
    </row>
    <row r="30" spans="2:13" x14ac:dyDescent="0.25">
      <c r="B30" t="s">
        <v>49</v>
      </c>
      <c r="C30" s="44">
        <v>45177</v>
      </c>
    </row>
    <row r="31" spans="2:13" x14ac:dyDescent="0.25">
      <c r="B31" t="s">
        <v>57</v>
      </c>
      <c r="C31" s="44">
        <v>1.22</v>
      </c>
    </row>
    <row r="32" spans="2:13" x14ac:dyDescent="0.25">
      <c r="B32" t="s">
        <v>311</v>
      </c>
      <c r="C32" s="44" t="s">
        <v>287</v>
      </c>
    </row>
    <row r="33" spans="2:3" x14ac:dyDescent="0.25">
      <c r="B33" t="s">
        <v>53</v>
      </c>
      <c r="C33" s="44" t="s">
        <v>315</v>
      </c>
    </row>
    <row r="34" spans="2:3" x14ac:dyDescent="0.25">
      <c r="B34" t="s">
        <v>65</v>
      </c>
      <c r="C34" s="44" t="s">
        <v>392</v>
      </c>
    </row>
    <row r="35" spans="2:3" x14ac:dyDescent="0.25">
      <c r="B35" t="s">
        <v>75</v>
      </c>
      <c r="C35" s="44" t="s">
        <v>396</v>
      </c>
    </row>
    <row r="36" spans="2:3" x14ac:dyDescent="0.25">
      <c r="B36" t="s">
        <v>94</v>
      </c>
      <c r="C36" s="44" t="s">
        <v>408</v>
      </c>
    </row>
    <row r="37" spans="2:3" x14ac:dyDescent="0.25">
      <c r="B37" t="s">
        <v>48</v>
      </c>
      <c r="C37" s="44" t="s">
        <v>406</v>
      </c>
    </row>
    <row r="38" spans="2:3" x14ac:dyDescent="0.25">
      <c r="B38" t="s">
        <v>240</v>
      </c>
      <c r="C38" s="44" t="s">
        <v>83</v>
      </c>
    </row>
    <row r="39" spans="2:3" x14ac:dyDescent="0.25">
      <c r="B39" t="s">
        <v>241</v>
      </c>
      <c r="C39" s="44" t="s">
        <v>83</v>
      </c>
    </row>
    <row r="40" spans="2:3" x14ac:dyDescent="0.25">
      <c r="B40" t="s">
        <v>51</v>
      </c>
      <c r="C40" s="44" t="s">
        <v>409</v>
      </c>
    </row>
    <row r="41" spans="2:3" x14ac:dyDescent="0.25">
      <c r="B41" t="s">
        <v>64</v>
      </c>
      <c r="C41" s="44" t="s">
        <v>85</v>
      </c>
    </row>
    <row r="42" spans="2:3" x14ac:dyDescent="0.25">
      <c r="B42" t="s">
        <v>87</v>
      </c>
      <c r="C42" s="44" t="s">
        <v>151</v>
      </c>
    </row>
    <row r="43" spans="2:3" x14ac:dyDescent="0.25">
      <c r="B43" t="s">
        <v>168</v>
      </c>
      <c r="C43" s="44" t="s">
        <v>115</v>
      </c>
    </row>
    <row r="44" spans="2:3" x14ac:dyDescent="0.25">
      <c r="B44" t="s">
        <v>90</v>
      </c>
      <c r="C44" s="44" t="s">
        <v>37</v>
      </c>
    </row>
    <row r="45" spans="2:3" x14ac:dyDescent="0.25">
      <c r="B45" t="s">
        <v>91</v>
      </c>
      <c r="C45" s="44" t="s">
        <v>263</v>
      </c>
    </row>
    <row r="46" spans="2:3" x14ac:dyDescent="0.25">
      <c r="B46" t="s">
        <v>81</v>
      </c>
      <c r="C46" s="44" t="s">
        <v>131</v>
      </c>
    </row>
    <row r="47" spans="2:3" x14ac:dyDescent="0.25">
      <c r="B47" t="s">
        <v>67</v>
      </c>
      <c r="C47" s="44">
        <v>44811</v>
      </c>
    </row>
    <row r="48" spans="2:3" x14ac:dyDescent="0.25">
      <c r="B48" t="s">
        <v>70</v>
      </c>
      <c r="C48" s="44">
        <v>44992</v>
      </c>
    </row>
    <row r="49" spans="2:3" x14ac:dyDescent="0.25">
      <c r="B49" t="s">
        <v>52</v>
      </c>
      <c r="C49" s="44">
        <v>45907</v>
      </c>
    </row>
    <row r="50" spans="2:3" x14ac:dyDescent="0.25">
      <c r="B50" t="s">
        <v>173</v>
      </c>
      <c r="C50" s="44">
        <v>2</v>
      </c>
    </row>
    <row r="51" spans="2:3" x14ac:dyDescent="0.25">
      <c r="B51" t="s">
        <v>174</v>
      </c>
      <c r="C51" s="44">
        <v>13.8</v>
      </c>
    </row>
    <row r="52" spans="2:3" x14ac:dyDescent="0.25">
      <c r="B52" t="s">
        <v>211</v>
      </c>
      <c r="C52" s="44">
        <v>15.7</v>
      </c>
    </row>
    <row r="53" spans="2:3" x14ac:dyDescent="0.25">
      <c r="B53" t="s">
        <v>66</v>
      </c>
      <c r="C53" s="44" t="s">
        <v>410</v>
      </c>
    </row>
    <row r="54" spans="2:3" x14ac:dyDescent="0.25">
      <c r="B54" t="s">
        <v>232</v>
      </c>
      <c r="C54" s="44" t="s">
        <v>250</v>
      </c>
    </row>
    <row r="55" spans="2:3" ht="45" x14ac:dyDescent="0.25">
      <c r="B55" t="s">
        <v>71</v>
      </c>
      <c r="C55" s="44" t="s">
        <v>411</v>
      </c>
    </row>
    <row r="56" spans="2:3" x14ac:dyDescent="0.25">
      <c r="B56" t="s">
        <v>225</v>
      </c>
      <c r="C56" s="44" t="s">
        <v>413</v>
      </c>
    </row>
    <row r="57" spans="2:3" x14ac:dyDescent="0.25">
      <c r="B57" t="s">
        <v>199</v>
      </c>
      <c r="C57" s="44" t="s">
        <v>327</v>
      </c>
    </row>
    <row r="58" spans="2:3" x14ac:dyDescent="0.25">
      <c r="B58" t="s">
        <v>140</v>
      </c>
      <c r="C58" s="44" t="s">
        <v>412</v>
      </c>
    </row>
    <row r="59" spans="2:3" x14ac:dyDescent="0.25">
      <c r="B59" t="s">
        <v>165</v>
      </c>
      <c r="C59" s="44" t="s">
        <v>407</v>
      </c>
    </row>
  </sheetData>
  <phoneticPr fontId="14" type="noConversion"/>
  <conditionalFormatting sqref="B10:J19">
    <cfRule type="expression" dxfId="82" priority="1">
      <formula>ISNUMBER(FIND(#REF!,"【"))</formula>
    </cfRule>
  </conditionalFormatting>
  <conditionalFormatting sqref="K10:K19">
    <cfRule type="expression" dxfId="81" priority="13">
      <formula>ISNUMBER(FIND(#REF!,"【"))</formula>
    </cfRule>
  </conditionalFormatting>
  <dataValidations count="7">
    <dataValidation type="list" allowBlank="1" showInputMessage="1" showErrorMessage="1" sqref="C23" xr:uid="{11485101-3356-430B-AD53-0DB45BFA4D76}">
      <formula1>"【】,新增记录,拆分记录"</formula1>
    </dataValidation>
    <dataValidation type="list" allowBlank="1" showInputMessage="1" showErrorMessage="1" sqref="D23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23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23 I1" xr:uid="{B8C59A8D-B217-413F-9F9F-510A2F586F44}"/>
    <dataValidation type="list" allowBlank="1" showInputMessage="1" sqref="B23" xr:uid="{630C696C-1BA5-4EF7-B919-569446863386}">
      <formula1>$B$10:$B$19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23:K23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</sheetPr>
  <dimension ref="A1:V140"/>
  <sheetViews>
    <sheetView tabSelected="1" topLeftCell="E48" zoomScale="115" zoomScaleNormal="115" workbookViewId="0">
      <selection activeCell="O62" sqref="O62"/>
    </sheetView>
  </sheetViews>
  <sheetFormatPr defaultColWidth="8.21875" defaultRowHeight="18" customHeight="1" outlineLevelRow="1" outlineLevelCol="1" x14ac:dyDescent="0.25"/>
  <cols>
    <col min="1" max="1" width="4.5546875" style="17" customWidth="1" outlineLevel="1"/>
    <col min="2" max="2" width="8.109375" style="16" bestFit="1" customWidth="1"/>
    <col min="3" max="3" width="8.109375" style="16" customWidth="1"/>
    <col min="4" max="4" width="17.33203125" style="17" bestFit="1" customWidth="1"/>
    <col min="5" max="5" width="10.44140625" style="10" bestFit="1" customWidth="1"/>
    <col min="6" max="6" width="15" style="10" bestFit="1" customWidth="1"/>
    <col min="7" max="7" width="23.33203125" style="10" bestFit="1" customWidth="1"/>
    <col min="8" max="8" width="8.33203125" style="10" bestFit="1" customWidth="1"/>
    <col min="9" max="9" width="7.88671875" style="10" bestFit="1" customWidth="1"/>
    <col min="10" max="10" width="7.5546875" style="10" bestFit="1" customWidth="1"/>
    <col min="11" max="11" width="10.44140625" style="10" bestFit="1" customWidth="1"/>
    <col min="12" max="12" width="7.44140625" style="10" bestFit="1" customWidth="1"/>
    <col min="13" max="13" width="12.6640625" style="10" bestFit="1" customWidth="1"/>
    <col min="14" max="14" width="16.109375" style="10" bestFit="1" customWidth="1"/>
    <col min="15" max="15" width="13.109375" style="10" bestFit="1" customWidth="1"/>
    <col min="16" max="16" width="18.109375" style="10" bestFit="1" customWidth="1"/>
    <col min="17" max="17" width="12.77734375" style="10" bestFit="1" customWidth="1"/>
    <col min="18" max="18" width="12.77734375" style="10" customWidth="1"/>
    <col min="19" max="19" width="13.44140625" style="10" bestFit="1" customWidth="1"/>
    <col min="20" max="20" width="13.44140625" style="10" customWidth="1"/>
    <col min="21" max="21" width="31.5546875" style="10" bestFit="1" customWidth="1"/>
    <col min="22" max="22" width="29.21875" style="10" bestFit="1" customWidth="1"/>
    <col min="23" max="23" width="7.88671875" style="10" bestFit="1" customWidth="1"/>
    <col min="24" max="24" width="7.5546875" style="10" bestFit="1" customWidth="1"/>
    <col min="25" max="25" width="20.44140625" style="10" bestFit="1" customWidth="1"/>
    <col min="26" max="26" width="11.88671875" style="10" bestFit="1" customWidth="1"/>
    <col min="27" max="27" width="10.6640625" style="10" bestFit="1" customWidth="1"/>
    <col min="28" max="28" width="8.88671875" style="10" bestFit="1" customWidth="1"/>
    <col min="29" max="29" width="7.109375" style="10" bestFit="1" customWidth="1"/>
    <col min="30" max="30" width="7.88671875" style="10" bestFit="1" customWidth="1"/>
    <col min="31" max="31" width="23.109375" style="10" bestFit="1" customWidth="1"/>
    <col min="32" max="32" width="7.21875" style="10" bestFit="1" customWidth="1"/>
    <col min="33" max="33" width="15.5546875" style="10" bestFit="1" customWidth="1"/>
    <col min="34" max="34" width="15.5546875" style="10" customWidth="1"/>
    <col min="35" max="35" width="8.109375" style="10" bestFit="1" customWidth="1"/>
    <col min="36" max="36" width="9" style="10" bestFit="1" customWidth="1"/>
    <col min="37" max="37" width="7.109375" style="10" bestFit="1" customWidth="1"/>
    <col min="38" max="38" width="10.6640625" style="10" bestFit="1" customWidth="1"/>
    <col min="39" max="39" width="7.109375" style="10" bestFit="1" customWidth="1"/>
    <col min="40" max="40" width="15.21875" style="10" bestFit="1" customWidth="1"/>
    <col min="41" max="41" width="7.109375" style="10" bestFit="1" customWidth="1"/>
    <col min="42" max="42" width="5.77734375" style="10" bestFit="1" customWidth="1"/>
    <col min="43" max="43" width="7.109375" style="10" bestFit="1" customWidth="1"/>
    <col min="44" max="16384" width="8.21875" style="10"/>
  </cols>
  <sheetData>
    <row r="1" spans="1:22" ht="18" customHeight="1" outlineLevel="1" x14ac:dyDescent="0.25">
      <c r="A1" s="125" t="str">
        <f ca="1" xml:space="preserve"> IF(ISNUMBER(FIND("ktkt",CELL("filename"))),"Remote",IF(ISNUMBER(FIND("http",CELL("filename"))),"Remote","Global"))</f>
        <v>Global</v>
      </c>
      <c r="B1" s="125" t="str">
        <f ca="1">CELL("filename")</f>
        <v>\\10.10.1.215\dcm$\Team Folder\Execution Team\Weekly AM\20231023\Data\[2.Dynamic List Generator.xlsm]ToDM</v>
      </c>
      <c r="C1" s="125"/>
      <c r="D1" s="10"/>
    </row>
    <row r="2" spans="1:22" ht="18" customHeight="1" x14ac:dyDescent="0.25">
      <c r="B2" s="10"/>
      <c r="C2" s="10"/>
      <c r="D2" s="10"/>
    </row>
    <row r="3" spans="1:22" ht="18" customHeight="1" x14ac:dyDescent="0.25">
      <c r="B3" s="10"/>
      <c r="C3" s="10"/>
      <c r="D3" s="10"/>
    </row>
    <row r="4" spans="1:22" ht="18" customHeight="1" x14ac:dyDescent="0.25">
      <c r="B4" s="10"/>
      <c r="C4" s="10"/>
      <c r="D4" s="84" t="s">
        <v>399</v>
      </c>
      <c r="F4" s="84" t="s">
        <v>400</v>
      </c>
      <c r="G4" s="84"/>
      <c r="I4" s="84" t="s">
        <v>387</v>
      </c>
      <c r="M4" s="84" t="s">
        <v>418</v>
      </c>
      <c r="P4" s="84" t="s">
        <v>419</v>
      </c>
      <c r="Q4" s="84"/>
      <c r="R4" s="84" t="s">
        <v>416</v>
      </c>
      <c r="U4" s="84" t="s">
        <v>416</v>
      </c>
    </row>
    <row r="5" spans="1:22" ht="18" customHeight="1" x14ac:dyDescent="0.25">
      <c r="A5" s="8"/>
      <c r="D5" s="16"/>
      <c r="E5" s="17"/>
      <c r="I5" s="17"/>
    </row>
    <row r="6" spans="1:22" ht="15" x14ac:dyDescent="0.25">
      <c r="D6" s="82" t="s">
        <v>89</v>
      </c>
      <c r="E6" s="16"/>
      <c r="F6" s="86" t="s">
        <v>397</v>
      </c>
      <c r="G6" s="32" t="s">
        <v>398</v>
      </c>
      <c r="I6" s="32" t="s">
        <v>169</v>
      </c>
      <c r="J6" t="s">
        <v>270</v>
      </c>
      <c r="M6" t="s">
        <v>420</v>
      </c>
      <c r="N6" t="s">
        <v>421</v>
      </c>
      <c r="O6" s="1"/>
      <c r="P6" s="32" t="s">
        <v>417</v>
      </c>
      <c r="Q6" s="104"/>
      <c r="R6" s="32" t="s">
        <v>415</v>
      </c>
      <c r="S6" s="32" t="s">
        <v>304</v>
      </c>
      <c r="U6" t="s">
        <v>748</v>
      </c>
      <c r="V6" t="s">
        <v>747</v>
      </c>
    </row>
    <row r="7" spans="1:22" ht="15" x14ac:dyDescent="0.25">
      <c r="A7" s="9"/>
      <c r="D7" s="82" t="s">
        <v>12</v>
      </c>
      <c r="E7" s="16"/>
      <c r="F7" s="86" t="s">
        <v>233</v>
      </c>
      <c r="G7" s="32" t="s">
        <v>391</v>
      </c>
      <c r="I7" s="32" t="s">
        <v>0</v>
      </c>
      <c r="J7" t="s">
        <v>277</v>
      </c>
      <c r="M7" t="s">
        <v>94</v>
      </c>
      <c r="N7" t="s">
        <v>422</v>
      </c>
      <c r="O7" s="1"/>
      <c r="P7" t="s">
        <v>86</v>
      </c>
      <c r="Q7" s="1"/>
      <c r="R7" t="s">
        <v>120</v>
      </c>
      <c r="S7" t="str">
        <f>DMIRenamed[[#This Row],[DMIRenamed]]&amp;"_DMI"</f>
        <v>票息_DMI</v>
      </c>
      <c r="U7" t="s">
        <v>574</v>
      </c>
      <c r="V7" t="s">
        <v>575</v>
      </c>
    </row>
    <row r="8" spans="1:22" ht="15" x14ac:dyDescent="0.25">
      <c r="D8" s="82" t="s">
        <v>28</v>
      </c>
      <c r="E8" s="16"/>
      <c r="F8" s="86" t="s">
        <v>234</v>
      </c>
      <c r="G8" s="32" t="s">
        <v>393</v>
      </c>
      <c r="I8" s="32" t="s">
        <v>4</v>
      </c>
      <c r="J8" t="s">
        <v>271</v>
      </c>
      <c r="M8" t="s">
        <v>237</v>
      </c>
      <c r="N8" t="s">
        <v>426</v>
      </c>
      <c r="O8" s="1"/>
      <c r="P8" t="s">
        <v>427</v>
      </c>
      <c r="Q8" s="1"/>
      <c r="R8" t="s">
        <v>311</v>
      </c>
      <c r="S8" t="str">
        <f>DMIRenamed[[#This Row],[DMIRenamed]]&amp;"_DMI"</f>
        <v>IPT_DMI</v>
      </c>
      <c r="U8" t="s">
        <v>581</v>
      </c>
      <c r="V8" t="s">
        <v>583</v>
      </c>
    </row>
    <row r="9" spans="1:22" ht="15" x14ac:dyDescent="0.25">
      <c r="A9" s="14"/>
      <c r="D9" s="82" t="s">
        <v>33</v>
      </c>
      <c r="E9" s="16"/>
      <c r="F9" s="86" t="s">
        <v>235</v>
      </c>
      <c r="G9" s="32" t="s">
        <v>392</v>
      </c>
      <c r="I9" s="32" t="s">
        <v>5</v>
      </c>
      <c r="J9" t="s">
        <v>272</v>
      </c>
      <c r="M9" t="s">
        <v>48</v>
      </c>
      <c r="N9" t="s">
        <v>422</v>
      </c>
      <c r="O9" s="1"/>
      <c r="P9" t="s">
        <v>94</v>
      </c>
      <c r="Q9" s="1"/>
      <c r="R9" t="s">
        <v>53</v>
      </c>
      <c r="S9" t="str">
        <f>DMIRenamed[[#This Row],[DMIRenamed]]&amp;"_DMI"</f>
        <v>FPG_DMI</v>
      </c>
      <c r="U9" t="s">
        <v>582</v>
      </c>
      <c r="V9" t="s">
        <v>584</v>
      </c>
    </row>
    <row r="10" spans="1:22" ht="15" x14ac:dyDescent="0.25">
      <c r="D10" s="82" t="s">
        <v>29</v>
      </c>
      <c r="E10" s="16"/>
      <c r="F10" s="86" t="s">
        <v>394</v>
      </c>
      <c r="G10" s="85"/>
      <c r="I10" s="32" t="s">
        <v>6</v>
      </c>
      <c r="J10" t="s">
        <v>273</v>
      </c>
      <c r="M10" t="s">
        <v>49</v>
      </c>
      <c r="N10" t="s">
        <v>422</v>
      </c>
      <c r="O10" s="1"/>
      <c r="P10" t="s">
        <v>48</v>
      </c>
      <c r="Q10" s="1"/>
      <c r="R10" t="s">
        <v>152</v>
      </c>
      <c r="S10" t="str">
        <f>DMIRenamed[[#This Row],[DMIRenamed]]&amp;"_DMI"</f>
        <v>定价_DMI</v>
      </c>
      <c r="U10" t="s">
        <v>585</v>
      </c>
      <c r="V10" t="s">
        <v>587</v>
      </c>
    </row>
    <row r="11" spans="1:22" ht="15" x14ac:dyDescent="0.25">
      <c r="A11" s="11"/>
      <c r="D11" s="82" t="s">
        <v>34</v>
      </c>
      <c r="F11" s="86" t="s">
        <v>395</v>
      </c>
      <c r="G11" s="32"/>
      <c r="I11" s="32" t="s">
        <v>231</v>
      </c>
      <c r="J11" t="s">
        <v>274</v>
      </c>
      <c r="M11" t="s">
        <v>47</v>
      </c>
      <c r="N11" t="s">
        <v>425</v>
      </c>
      <c r="O11" s="1"/>
      <c r="P11" t="s">
        <v>49</v>
      </c>
      <c r="Q11" s="1"/>
      <c r="U11" t="s">
        <v>586</v>
      </c>
      <c r="V11" t="s">
        <v>588</v>
      </c>
    </row>
    <row r="12" spans="1:22" ht="15" x14ac:dyDescent="0.25">
      <c r="D12" s="82" t="s">
        <v>9</v>
      </c>
      <c r="F12" s="92" t="s">
        <v>7</v>
      </c>
      <c r="G12" s="92" t="s">
        <v>7</v>
      </c>
      <c r="M12" t="s">
        <v>98</v>
      </c>
      <c r="N12" t="s">
        <v>425</v>
      </c>
      <c r="O12" s="1"/>
      <c r="P12" t="s">
        <v>135</v>
      </c>
      <c r="Q12" s="1"/>
      <c r="U12" t="s">
        <v>589</v>
      </c>
      <c r="V12" t="s">
        <v>590</v>
      </c>
    </row>
    <row r="13" spans="1:22" ht="15" x14ac:dyDescent="0.25">
      <c r="A13" s="12"/>
      <c r="D13" s="82" t="s">
        <v>30</v>
      </c>
      <c r="G13" s="87"/>
      <c r="M13" t="s">
        <v>99</v>
      </c>
      <c r="N13" t="s">
        <v>426</v>
      </c>
      <c r="O13" s="1"/>
      <c r="P13" t="s">
        <v>177</v>
      </c>
      <c r="Q13" s="1"/>
      <c r="U13" t="s">
        <v>592</v>
      </c>
      <c r="V13" t="s">
        <v>591</v>
      </c>
    </row>
    <row r="14" spans="1:22" ht="15" x14ac:dyDescent="0.25">
      <c r="D14" s="82" t="s">
        <v>32</v>
      </c>
      <c r="F14" s="42" t="s">
        <v>93</v>
      </c>
      <c r="G14" s="87"/>
      <c r="I14" s="32" t="s">
        <v>205</v>
      </c>
      <c r="J14" t="s">
        <v>276</v>
      </c>
      <c r="M14" t="s">
        <v>50</v>
      </c>
      <c r="N14" t="s">
        <v>425</v>
      </c>
      <c r="O14" s="1"/>
      <c r="P14" t="s">
        <v>51</v>
      </c>
      <c r="Q14" s="1"/>
      <c r="U14" t="s">
        <v>593</v>
      </c>
      <c r="V14" t="s">
        <v>600</v>
      </c>
    </row>
    <row r="15" spans="1:22" ht="15" x14ac:dyDescent="0.25">
      <c r="A15" s="15"/>
      <c r="D15" s="82" t="s">
        <v>13</v>
      </c>
      <c r="F15" s="42" t="s">
        <v>133</v>
      </c>
      <c r="G15" s="88"/>
      <c r="I15" s="32" t="s">
        <v>194</v>
      </c>
      <c r="J15">
        <v>1</v>
      </c>
      <c r="M15" t="s">
        <v>325</v>
      </c>
      <c r="N15" t="s">
        <v>424</v>
      </c>
      <c r="O15" s="1"/>
      <c r="P15" t="s">
        <v>64</v>
      </c>
      <c r="Q15" s="1"/>
      <c r="U15" t="s">
        <v>594</v>
      </c>
      <c r="V15" t="s">
        <v>603</v>
      </c>
    </row>
    <row r="16" spans="1:22" ht="15" x14ac:dyDescent="0.25">
      <c r="D16" s="82" t="s">
        <v>17</v>
      </c>
      <c r="F16" s="42" t="s">
        <v>134</v>
      </c>
      <c r="G16" s="88"/>
      <c r="I16" s="32" t="s">
        <v>195</v>
      </c>
      <c r="J16">
        <v>2</v>
      </c>
      <c r="M16" t="s">
        <v>57</v>
      </c>
      <c r="N16" t="s">
        <v>422</v>
      </c>
      <c r="O16" s="1"/>
      <c r="P16" t="s">
        <v>57</v>
      </c>
      <c r="Q16" s="1"/>
      <c r="U16" t="s">
        <v>595</v>
      </c>
      <c r="V16" t="s">
        <v>604</v>
      </c>
    </row>
    <row r="17" spans="1:22" ht="15" x14ac:dyDescent="0.25">
      <c r="A17" s="13"/>
      <c r="D17" s="82" t="s">
        <v>8</v>
      </c>
      <c r="F17" s="42" t="s">
        <v>116</v>
      </c>
      <c r="G17" s="87"/>
      <c r="I17" s="32" t="s">
        <v>196</v>
      </c>
      <c r="J17">
        <v>3</v>
      </c>
      <c r="M17" t="s">
        <v>64</v>
      </c>
      <c r="N17" t="s">
        <v>422</v>
      </c>
      <c r="O17" s="1"/>
      <c r="P17" t="s">
        <v>87</v>
      </c>
      <c r="Q17" s="1"/>
      <c r="U17" t="s">
        <v>596</v>
      </c>
      <c r="V17" t="s">
        <v>607</v>
      </c>
    </row>
    <row r="18" spans="1:22" ht="15" x14ac:dyDescent="0.25">
      <c r="D18" s="82" t="s">
        <v>22</v>
      </c>
      <c r="G18" s="87"/>
      <c r="I18" s="32" t="s">
        <v>197</v>
      </c>
      <c r="J18">
        <v>4</v>
      </c>
      <c r="M18" t="s">
        <v>58</v>
      </c>
      <c r="N18" t="s">
        <v>425</v>
      </c>
      <c r="O18" s="1"/>
      <c r="P18" t="s">
        <v>120</v>
      </c>
      <c r="Q18" s="1"/>
      <c r="U18" t="s">
        <v>597</v>
      </c>
      <c r="V18" t="s">
        <v>611</v>
      </c>
    </row>
    <row r="19" spans="1:22" ht="15" x14ac:dyDescent="0.25">
      <c r="A19" s="14"/>
      <c r="D19" s="82" t="s">
        <v>16</v>
      </c>
      <c r="F19" s="43" t="s">
        <v>43</v>
      </c>
      <c r="I19" s="32" t="s">
        <v>2</v>
      </c>
      <c r="J19">
        <v>5</v>
      </c>
      <c r="M19" t="s">
        <v>120</v>
      </c>
      <c r="N19" t="s">
        <v>423</v>
      </c>
      <c r="O19" s="1"/>
      <c r="P19" t="s">
        <v>88</v>
      </c>
      <c r="Q19" s="1"/>
      <c r="U19" t="s">
        <v>598</v>
      </c>
      <c r="V19" t="s">
        <v>612</v>
      </c>
    </row>
    <row r="20" spans="1:22" ht="15" x14ac:dyDescent="0.25">
      <c r="D20" s="82" t="s">
        <v>20</v>
      </c>
      <c r="F20" s="43" t="s">
        <v>1</v>
      </c>
      <c r="G20" s="89"/>
      <c r="I20" s="32" t="s">
        <v>198</v>
      </c>
      <c r="J20">
        <v>6</v>
      </c>
      <c r="M20" t="s">
        <v>81</v>
      </c>
      <c r="N20" t="s">
        <v>422</v>
      </c>
      <c r="O20" s="1"/>
      <c r="P20" t="s">
        <v>53</v>
      </c>
      <c r="Q20" s="1"/>
      <c r="U20" t="s">
        <v>599</v>
      </c>
      <c r="V20" t="s">
        <v>613</v>
      </c>
    </row>
    <row r="21" spans="1:22" ht="15" x14ac:dyDescent="0.25">
      <c r="A21" s="32" t="s">
        <v>304</v>
      </c>
      <c r="D21" s="82" t="s">
        <v>10</v>
      </c>
      <c r="F21" s="43" t="s">
        <v>84</v>
      </c>
      <c r="G21" s="89"/>
      <c r="I21" s="32" t="s">
        <v>7</v>
      </c>
      <c r="J21">
        <v>7</v>
      </c>
      <c r="M21" t="s">
        <v>52</v>
      </c>
      <c r="N21" t="s">
        <v>422</v>
      </c>
      <c r="O21" s="1"/>
      <c r="P21" t="s">
        <v>152</v>
      </c>
      <c r="Q21" s="1"/>
      <c r="U21" t="s">
        <v>601</v>
      </c>
      <c r="V21" t="s">
        <v>614</v>
      </c>
    </row>
    <row r="22" spans="1:22" ht="15" x14ac:dyDescent="0.25">
      <c r="A22" s="32"/>
      <c r="D22" s="82" t="s">
        <v>26</v>
      </c>
      <c r="F22" s="82" t="s">
        <v>385</v>
      </c>
      <c r="G22" s="89"/>
      <c r="M22" t="s">
        <v>100</v>
      </c>
      <c r="N22" t="s">
        <v>425</v>
      </c>
      <c r="O22" s="1"/>
      <c r="P22" t="s">
        <v>166</v>
      </c>
      <c r="Q22" s="1"/>
      <c r="U22" t="s">
        <v>602</v>
      </c>
      <c r="V22" t="s">
        <v>615</v>
      </c>
    </row>
    <row r="23" spans="1:22" ht="15" x14ac:dyDescent="0.25">
      <c r="A23" s="128"/>
      <c r="D23" s="82" t="s">
        <v>21</v>
      </c>
      <c r="F23" s="82" t="s">
        <v>386</v>
      </c>
      <c r="G23" s="89"/>
      <c r="I23" s="32" t="s">
        <v>228</v>
      </c>
      <c r="J23" t="s">
        <v>276</v>
      </c>
      <c r="M23" t="s">
        <v>311</v>
      </c>
      <c r="N23" t="s">
        <v>423</v>
      </c>
      <c r="O23" s="1"/>
      <c r="P23" t="s">
        <v>168</v>
      </c>
      <c r="Q23" s="1"/>
      <c r="U23" t="s">
        <v>605</v>
      </c>
      <c r="V23" t="s">
        <v>618</v>
      </c>
    </row>
    <row r="24" spans="1:22" ht="15" x14ac:dyDescent="0.25">
      <c r="A24" s="32" t="s">
        <v>304</v>
      </c>
      <c r="D24" s="82" t="s">
        <v>14</v>
      </c>
      <c r="E24" s="16"/>
      <c r="F24" s="43" t="s">
        <v>2</v>
      </c>
      <c r="G24" s="89"/>
      <c r="I24" s="32" t="s">
        <v>229</v>
      </c>
      <c r="J24">
        <v>1</v>
      </c>
      <c r="M24" t="s">
        <v>53</v>
      </c>
      <c r="N24" t="s">
        <v>423</v>
      </c>
      <c r="O24" s="1"/>
      <c r="P24" t="s">
        <v>59</v>
      </c>
      <c r="Q24" s="1"/>
      <c r="U24" t="s">
        <v>606</v>
      </c>
      <c r="V24" t="s">
        <v>619</v>
      </c>
    </row>
    <row r="25" spans="1:22" ht="15" x14ac:dyDescent="0.25">
      <c r="A25" s="32"/>
      <c r="D25" s="82" t="s">
        <v>18</v>
      </c>
      <c r="E25" s="16"/>
      <c r="F25" s="43" t="s">
        <v>3</v>
      </c>
      <c r="I25" s="32" t="s">
        <v>257</v>
      </c>
      <c r="J25">
        <v>2</v>
      </c>
      <c r="M25" t="s">
        <v>82</v>
      </c>
      <c r="N25" t="s">
        <v>422</v>
      </c>
      <c r="O25" s="1"/>
      <c r="P25" t="s">
        <v>90</v>
      </c>
      <c r="Q25" s="1"/>
      <c r="U25" t="s">
        <v>608</v>
      </c>
      <c r="V25" t="s">
        <v>623</v>
      </c>
    </row>
    <row r="26" spans="1:22" ht="15" x14ac:dyDescent="0.25">
      <c r="A26" s="128"/>
      <c r="D26" s="82" t="s">
        <v>24</v>
      </c>
      <c r="E26" s="16"/>
      <c r="G26" s="89"/>
      <c r="I26" s="32" t="s">
        <v>258</v>
      </c>
      <c r="J26">
        <v>3</v>
      </c>
      <c r="M26" t="s">
        <v>54</v>
      </c>
      <c r="N26" t="s">
        <v>426</v>
      </c>
      <c r="O26" s="1"/>
      <c r="P26" t="s">
        <v>91</v>
      </c>
      <c r="Q26" s="1"/>
      <c r="U26" t="s">
        <v>609</v>
      </c>
      <c r="V26" t="s">
        <v>624</v>
      </c>
    </row>
    <row r="27" spans="1:22" ht="15" x14ac:dyDescent="0.25">
      <c r="A27" s="32" t="s">
        <v>304</v>
      </c>
      <c r="D27" s="82" t="s">
        <v>27</v>
      </c>
      <c r="E27" s="16"/>
      <c r="F27" s="32" t="s">
        <v>96</v>
      </c>
      <c r="G27" s="89"/>
      <c r="I27" s="32" t="s">
        <v>259</v>
      </c>
      <c r="J27">
        <v>4</v>
      </c>
      <c r="M27" t="s">
        <v>324</v>
      </c>
      <c r="N27" t="s">
        <v>425</v>
      </c>
      <c r="O27" s="1"/>
      <c r="P27" t="s">
        <v>186</v>
      </c>
      <c r="Q27" s="1"/>
      <c r="U27" t="s">
        <v>610</v>
      </c>
      <c r="V27" t="s">
        <v>630</v>
      </c>
    </row>
    <row r="28" spans="1:22" ht="15" x14ac:dyDescent="0.25">
      <c r="A28" s="32"/>
      <c r="D28" s="82" t="s">
        <v>11</v>
      </c>
      <c r="E28" s="16"/>
      <c r="F28" s="32" t="s">
        <v>312</v>
      </c>
      <c r="G28" s="89"/>
      <c r="I28" s="32" t="s">
        <v>260</v>
      </c>
      <c r="J28">
        <v>5</v>
      </c>
      <c r="M28" t="s">
        <v>238</v>
      </c>
      <c r="N28" t="s">
        <v>425</v>
      </c>
      <c r="O28" s="1"/>
      <c r="P28" t="s">
        <v>187</v>
      </c>
      <c r="Q28" s="1"/>
      <c r="U28" t="s">
        <v>616</v>
      </c>
      <c r="V28" t="s">
        <v>631</v>
      </c>
    </row>
    <row r="29" spans="1:22" ht="15" x14ac:dyDescent="0.25">
      <c r="A29" s="128"/>
      <c r="D29" s="82" t="s">
        <v>19</v>
      </c>
      <c r="E29" s="16"/>
      <c r="F29" s="32" t="s">
        <v>388</v>
      </c>
      <c r="G29" s="89"/>
      <c r="I29" s="32" t="s">
        <v>7</v>
      </c>
      <c r="J29">
        <v>6</v>
      </c>
      <c r="M29" t="s">
        <v>55</v>
      </c>
      <c r="N29" t="s">
        <v>425</v>
      </c>
      <c r="O29" s="1"/>
      <c r="P29" t="s">
        <v>141</v>
      </c>
      <c r="Q29" s="1"/>
      <c r="U29" t="s">
        <v>617</v>
      </c>
      <c r="V29" t="s">
        <v>633</v>
      </c>
    </row>
    <row r="30" spans="1:22" ht="15" x14ac:dyDescent="0.25">
      <c r="A30" s="32" t="s">
        <v>304</v>
      </c>
      <c r="D30" s="82" t="s">
        <v>25</v>
      </c>
      <c r="E30" s="16"/>
      <c r="F30" s="32" t="s">
        <v>389</v>
      </c>
      <c r="G30" s="90"/>
      <c r="I30" s="22"/>
      <c r="J30" s="22"/>
      <c r="M30" t="s">
        <v>56</v>
      </c>
      <c r="N30" t="s">
        <v>425</v>
      </c>
      <c r="O30" s="1"/>
      <c r="P30" t="s">
        <v>81</v>
      </c>
      <c r="Q30" s="1"/>
      <c r="U30" t="s">
        <v>620</v>
      </c>
      <c r="V30" t="s">
        <v>636</v>
      </c>
    </row>
    <row r="31" spans="1:22" ht="15" x14ac:dyDescent="0.25">
      <c r="A31" s="32"/>
      <c r="D31" s="82" t="s">
        <v>23</v>
      </c>
      <c r="E31" s="16"/>
      <c r="F31" s="32" t="s">
        <v>390</v>
      </c>
      <c r="I31" s="32" t="s">
        <v>147</v>
      </c>
      <c r="J31" t="s">
        <v>276</v>
      </c>
      <c r="M31" t="s">
        <v>105</v>
      </c>
      <c r="N31" t="s">
        <v>426</v>
      </c>
      <c r="O31" s="1"/>
      <c r="P31" t="s">
        <v>67</v>
      </c>
      <c r="Q31" s="1"/>
      <c r="U31" t="s">
        <v>621</v>
      </c>
      <c r="V31" t="s">
        <v>644</v>
      </c>
    </row>
    <row r="32" spans="1:22" ht="15" x14ac:dyDescent="0.25">
      <c r="A32" s="128"/>
      <c r="D32" s="82" t="s">
        <v>143</v>
      </c>
      <c r="E32" s="16"/>
      <c r="I32" s="32" t="s">
        <v>212</v>
      </c>
      <c r="J32">
        <v>1</v>
      </c>
      <c r="M32" t="s">
        <v>59</v>
      </c>
      <c r="N32" t="s">
        <v>422</v>
      </c>
      <c r="O32" s="1"/>
      <c r="P32" t="s">
        <v>70</v>
      </c>
      <c r="Q32" s="1"/>
      <c r="U32" t="s">
        <v>622</v>
      </c>
      <c r="V32" t="s">
        <v>649</v>
      </c>
    </row>
    <row r="33" spans="1:22" ht="15" x14ac:dyDescent="0.25">
      <c r="A33" s="32" t="s">
        <v>304</v>
      </c>
      <c r="D33" s="82" t="s">
        <v>15</v>
      </c>
      <c r="E33" s="16"/>
      <c r="F33" s="32" t="s">
        <v>172</v>
      </c>
      <c r="I33" s="32" t="s">
        <v>150</v>
      </c>
      <c r="J33">
        <v>2</v>
      </c>
      <c r="M33" t="s">
        <v>60</v>
      </c>
      <c r="N33" t="s">
        <v>426</v>
      </c>
      <c r="O33" s="1"/>
      <c r="P33" t="s">
        <v>52</v>
      </c>
      <c r="Q33" s="1"/>
      <c r="U33" t="s">
        <v>625</v>
      </c>
      <c r="V33" t="s">
        <v>653</v>
      </c>
    </row>
    <row r="34" spans="1:22" ht="15" x14ac:dyDescent="0.25">
      <c r="A34" s="32"/>
      <c r="D34" s="82" t="s">
        <v>35</v>
      </c>
      <c r="E34" s="16"/>
      <c r="F34" s="32" t="s">
        <v>181</v>
      </c>
      <c r="I34" s="32" t="s">
        <v>149</v>
      </c>
      <c r="J34">
        <v>3</v>
      </c>
      <c r="M34" t="s">
        <v>95</v>
      </c>
      <c r="N34" t="s">
        <v>425</v>
      </c>
      <c r="O34" s="1"/>
      <c r="P34" t="s">
        <v>173</v>
      </c>
      <c r="Q34" s="1"/>
      <c r="U34" t="s">
        <v>626</v>
      </c>
      <c r="V34" t="s">
        <v>656</v>
      </c>
    </row>
    <row r="35" spans="1:22" ht="15" x14ac:dyDescent="0.25">
      <c r="A35" s="128"/>
      <c r="D35" s="82" t="s">
        <v>142</v>
      </c>
      <c r="E35" s="16"/>
      <c r="F35" s="32" t="s">
        <v>184</v>
      </c>
      <c r="I35" s="32" t="s">
        <v>213</v>
      </c>
      <c r="J35">
        <v>4</v>
      </c>
      <c r="M35" t="s">
        <v>45</v>
      </c>
      <c r="N35" t="s">
        <v>422</v>
      </c>
      <c r="O35" s="1"/>
      <c r="P35" t="s">
        <v>174</v>
      </c>
      <c r="Q35" s="1"/>
      <c r="U35" t="s">
        <v>627</v>
      </c>
      <c r="V35" t="s">
        <v>657</v>
      </c>
    </row>
    <row r="36" spans="1:22" ht="15" x14ac:dyDescent="0.25">
      <c r="A36" s="32" t="s">
        <v>304</v>
      </c>
      <c r="D36" s="82" t="s">
        <v>31</v>
      </c>
      <c r="E36" s="16"/>
      <c r="F36" s="32" t="s">
        <v>192</v>
      </c>
      <c r="I36" s="32" t="s">
        <v>190</v>
      </c>
      <c r="J36">
        <v>5</v>
      </c>
      <c r="M36" t="s">
        <v>80</v>
      </c>
      <c r="N36" t="s">
        <v>425</v>
      </c>
      <c r="O36" s="1"/>
      <c r="P36" t="s">
        <v>211</v>
      </c>
      <c r="Q36" s="1"/>
      <c r="U36" t="s">
        <v>628</v>
      </c>
      <c r="V36" t="s">
        <v>658</v>
      </c>
    </row>
    <row r="37" spans="1:22" ht="15" x14ac:dyDescent="0.25">
      <c r="A37" s="32"/>
      <c r="D37" s="82" t="s">
        <v>144</v>
      </c>
      <c r="E37" s="16"/>
      <c r="F37" s="85" t="s">
        <v>7</v>
      </c>
      <c r="I37" s="32" t="s">
        <v>189</v>
      </c>
      <c r="J37">
        <v>6</v>
      </c>
      <c r="M37" t="s">
        <v>46</v>
      </c>
      <c r="N37" t="s">
        <v>422</v>
      </c>
      <c r="O37" s="1"/>
      <c r="P37" t="s">
        <v>770</v>
      </c>
      <c r="Q37" s="1"/>
      <c r="U37" t="s">
        <v>629</v>
      </c>
      <c r="V37" t="s">
        <v>660</v>
      </c>
    </row>
    <row r="38" spans="1:22" ht="15" x14ac:dyDescent="0.25">
      <c r="A38" s="128"/>
      <c r="D38" s="82" t="s">
        <v>383</v>
      </c>
      <c r="E38" s="16"/>
      <c r="M38" t="s">
        <v>132</v>
      </c>
      <c r="N38" t="s">
        <v>425</v>
      </c>
      <c r="O38" s="1"/>
      <c r="P38" t="s">
        <v>232</v>
      </c>
      <c r="Q38" s="1"/>
      <c r="U38" t="s">
        <v>632</v>
      </c>
      <c r="V38" t="s">
        <v>664</v>
      </c>
    </row>
    <row r="39" spans="1:22" ht="15" x14ac:dyDescent="0.25">
      <c r="A39" s="32" t="s">
        <v>304</v>
      </c>
      <c r="D39" s="82" t="s">
        <v>384</v>
      </c>
      <c r="E39" s="16"/>
      <c r="I39" s="32" t="s">
        <v>64</v>
      </c>
      <c r="J39" s="32" t="s">
        <v>276</v>
      </c>
      <c r="M39" t="s">
        <v>61</v>
      </c>
      <c r="N39" t="s">
        <v>425</v>
      </c>
      <c r="O39" s="1"/>
      <c r="P39" t="s">
        <v>261</v>
      </c>
      <c r="Q39" s="1"/>
      <c r="U39" t="s">
        <v>634</v>
      </c>
      <c r="V39" t="s">
        <v>666</v>
      </c>
    </row>
    <row r="40" spans="1:22" ht="15" x14ac:dyDescent="0.25">
      <c r="A40" s="32"/>
      <c r="E40" s="16"/>
      <c r="I40" s="32" t="s">
        <v>85</v>
      </c>
      <c r="J40">
        <v>1</v>
      </c>
      <c r="M40" t="s">
        <v>62</v>
      </c>
      <c r="N40" t="s">
        <v>425</v>
      </c>
      <c r="O40" s="1"/>
      <c r="P40" t="s">
        <v>208</v>
      </c>
      <c r="Q40" s="1"/>
      <c r="U40" t="s">
        <v>635</v>
      </c>
      <c r="V40" t="s">
        <v>670</v>
      </c>
    </row>
    <row r="41" spans="1:22" ht="15" x14ac:dyDescent="0.25">
      <c r="A41" s="128"/>
      <c r="D41" s="82" t="s">
        <v>41</v>
      </c>
      <c r="E41" s="16"/>
      <c r="I41" s="32" t="s">
        <v>106</v>
      </c>
      <c r="J41">
        <v>2</v>
      </c>
      <c r="M41" t="s">
        <v>79</v>
      </c>
      <c r="N41" t="s">
        <v>426</v>
      </c>
      <c r="O41" s="1"/>
      <c r="P41" t="s">
        <v>71</v>
      </c>
      <c r="Q41" s="1"/>
      <c r="U41" t="s">
        <v>637</v>
      </c>
      <c r="V41" t="s">
        <v>671</v>
      </c>
    </row>
    <row r="42" spans="1:22" ht="15" x14ac:dyDescent="0.25">
      <c r="A42" s="32" t="s">
        <v>304</v>
      </c>
      <c r="D42" s="82" t="s">
        <v>357</v>
      </c>
      <c r="E42" s="16"/>
      <c r="I42" s="32" t="s">
        <v>109</v>
      </c>
      <c r="J42">
        <v>3</v>
      </c>
      <c r="M42" t="s">
        <v>63</v>
      </c>
      <c r="N42" t="s">
        <v>425</v>
      </c>
      <c r="O42" s="1"/>
      <c r="P42" t="s">
        <v>72</v>
      </c>
      <c r="Q42" s="1"/>
      <c r="U42" t="s">
        <v>638</v>
      </c>
      <c r="V42" t="s">
        <v>674</v>
      </c>
    </row>
    <row r="43" spans="1:22" ht="15" x14ac:dyDescent="0.25">
      <c r="A43" s="32"/>
      <c r="D43" s="82" t="s">
        <v>330</v>
      </c>
      <c r="E43" s="16"/>
      <c r="I43" s="32" t="s">
        <v>111</v>
      </c>
      <c r="J43">
        <v>4</v>
      </c>
      <c r="M43" t="s">
        <v>65</v>
      </c>
      <c r="N43" t="s">
        <v>425</v>
      </c>
      <c r="O43" s="1"/>
      <c r="P43" t="s">
        <v>82</v>
      </c>
      <c r="Q43" s="1"/>
      <c r="U43" t="s">
        <v>639</v>
      </c>
      <c r="V43" t="s">
        <v>679</v>
      </c>
    </row>
    <row r="44" spans="1:22" ht="15" x14ac:dyDescent="0.25">
      <c r="A44" s="128"/>
      <c r="D44" s="82" t="s">
        <v>331</v>
      </c>
      <c r="E44" s="16"/>
      <c r="I44" s="32" t="s">
        <v>262</v>
      </c>
      <c r="J44">
        <v>5</v>
      </c>
      <c r="M44" t="s">
        <v>199</v>
      </c>
      <c r="N44" t="s">
        <v>422</v>
      </c>
      <c r="O44" s="1"/>
      <c r="P44" t="s">
        <v>41</v>
      </c>
      <c r="Q44" s="1"/>
      <c r="U44" t="s">
        <v>640</v>
      </c>
      <c r="V44" t="s">
        <v>681</v>
      </c>
    </row>
    <row r="45" spans="1:22" ht="15" x14ac:dyDescent="0.25">
      <c r="A45" s="32" t="s">
        <v>304</v>
      </c>
      <c r="D45" s="82" t="s">
        <v>332</v>
      </c>
      <c r="E45" s="16"/>
      <c r="I45" s="32" t="s">
        <v>278</v>
      </c>
      <c r="J45">
        <v>6</v>
      </c>
      <c r="M45" t="s">
        <v>44</v>
      </c>
      <c r="N45" t="s">
        <v>422</v>
      </c>
      <c r="O45" s="1"/>
      <c r="P45" t="s">
        <v>139</v>
      </c>
      <c r="Q45" s="1"/>
      <c r="U45" t="s">
        <v>641</v>
      </c>
      <c r="V45" t="s">
        <v>682</v>
      </c>
    </row>
    <row r="46" spans="1:22" ht="15" x14ac:dyDescent="0.25">
      <c r="A46" s="32"/>
      <c r="D46" s="82" t="s">
        <v>328</v>
      </c>
      <c r="E46" s="16"/>
      <c r="I46" s="32" t="s">
        <v>279</v>
      </c>
      <c r="J46">
        <v>7</v>
      </c>
      <c r="M46" t="s">
        <v>176</v>
      </c>
      <c r="N46" t="s">
        <v>426</v>
      </c>
      <c r="O46" s="1"/>
      <c r="P46" t="s">
        <v>577</v>
      </c>
      <c r="Q46" s="1"/>
      <c r="U46" t="s">
        <v>642</v>
      </c>
      <c r="V46" t="s">
        <v>691</v>
      </c>
    </row>
    <row r="47" spans="1:22" ht="15" x14ac:dyDescent="0.25">
      <c r="D47" s="82" t="s">
        <v>333</v>
      </c>
      <c r="E47" s="16"/>
      <c r="I47" s="32" t="s">
        <v>280</v>
      </c>
      <c r="J47">
        <v>8</v>
      </c>
      <c r="M47" t="s">
        <v>78</v>
      </c>
      <c r="N47" t="s">
        <v>425</v>
      </c>
      <c r="O47" s="1"/>
      <c r="P47" t="s">
        <v>217</v>
      </c>
      <c r="Q47" s="1"/>
      <c r="U47" t="s">
        <v>643</v>
      </c>
      <c r="V47" t="s">
        <v>696</v>
      </c>
    </row>
    <row r="48" spans="1:22" ht="15" x14ac:dyDescent="0.25">
      <c r="D48" s="82" t="s">
        <v>334</v>
      </c>
      <c r="E48" s="16"/>
      <c r="I48" s="32" t="s">
        <v>281</v>
      </c>
      <c r="J48">
        <v>9</v>
      </c>
      <c r="M48" t="s">
        <v>51</v>
      </c>
      <c r="N48" t="s">
        <v>422</v>
      </c>
      <c r="O48" s="1"/>
      <c r="P48" t="s">
        <v>210</v>
      </c>
      <c r="Q48" s="1"/>
      <c r="U48" t="s">
        <v>645</v>
      </c>
      <c r="V48" t="s">
        <v>698</v>
      </c>
    </row>
    <row r="49" spans="4:22" ht="15" x14ac:dyDescent="0.25">
      <c r="D49" s="82" t="s">
        <v>335</v>
      </c>
      <c r="E49" s="16"/>
      <c r="I49" s="32" t="s">
        <v>282</v>
      </c>
      <c r="J49">
        <v>10</v>
      </c>
      <c r="M49" t="s">
        <v>96</v>
      </c>
      <c r="N49" t="s">
        <v>425</v>
      </c>
      <c r="O49" s="1"/>
      <c r="P49" t="s">
        <v>218</v>
      </c>
      <c r="Q49" s="1"/>
      <c r="U49" t="s">
        <v>646</v>
      </c>
      <c r="V49" t="s">
        <v>700</v>
      </c>
    </row>
    <row r="50" spans="4:22" ht="15" x14ac:dyDescent="0.25">
      <c r="D50" s="82" t="s">
        <v>336</v>
      </c>
      <c r="E50" s="16"/>
      <c r="I50" s="32" t="s">
        <v>283</v>
      </c>
      <c r="J50">
        <v>11</v>
      </c>
      <c r="M50" t="s">
        <v>43</v>
      </c>
      <c r="N50" t="s">
        <v>422</v>
      </c>
      <c r="O50" s="1"/>
      <c r="P50" t="s">
        <v>219</v>
      </c>
      <c r="Q50" s="1"/>
      <c r="U50" t="s">
        <v>647</v>
      </c>
      <c r="V50" t="s">
        <v>706</v>
      </c>
    </row>
    <row r="51" spans="4:22" ht="15" x14ac:dyDescent="0.25">
      <c r="D51" s="82" t="s">
        <v>337</v>
      </c>
      <c r="E51" s="16"/>
      <c r="M51" t="s">
        <v>221</v>
      </c>
      <c r="N51" t="s">
        <v>426</v>
      </c>
      <c r="O51" s="1"/>
      <c r="P51" t="s">
        <v>303</v>
      </c>
      <c r="Q51" s="1"/>
      <c r="U51" t="s">
        <v>648</v>
      </c>
      <c r="V51" t="s">
        <v>716</v>
      </c>
    </row>
    <row r="52" spans="4:22" ht="15" x14ac:dyDescent="0.25">
      <c r="D52" s="82" t="s">
        <v>338</v>
      </c>
      <c r="E52" s="16"/>
      <c r="I52" s="32" t="s">
        <v>284</v>
      </c>
      <c r="J52" s="32" t="s">
        <v>276</v>
      </c>
      <c r="M52" t="s">
        <v>77</v>
      </c>
      <c r="N52" t="s">
        <v>426</v>
      </c>
      <c r="O52" s="1"/>
      <c r="P52" t="s">
        <v>225</v>
      </c>
      <c r="Q52" s="1"/>
      <c r="U52" t="s">
        <v>650</v>
      </c>
      <c r="V52" t="s">
        <v>723</v>
      </c>
    </row>
    <row r="53" spans="4:22" ht="15" x14ac:dyDescent="0.25">
      <c r="D53" s="82" t="s">
        <v>339</v>
      </c>
      <c r="E53" s="16"/>
      <c r="I53" s="32" t="s">
        <v>263</v>
      </c>
      <c r="J53">
        <v>1</v>
      </c>
      <c r="M53" t="s">
        <v>42</v>
      </c>
      <c r="N53" t="s">
        <v>422</v>
      </c>
      <c r="O53" s="1"/>
      <c r="P53" t="s">
        <v>199</v>
      </c>
      <c r="Q53" s="1"/>
      <c r="U53" t="s">
        <v>651</v>
      </c>
      <c r="V53" t="s">
        <v>731</v>
      </c>
    </row>
    <row r="54" spans="4:22" ht="15" x14ac:dyDescent="0.25">
      <c r="D54" s="82" t="s">
        <v>340</v>
      </c>
      <c r="E54" s="16"/>
      <c r="I54" s="32" t="s">
        <v>285</v>
      </c>
      <c r="J54">
        <v>2</v>
      </c>
      <c r="M54" t="s">
        <v>97</v>
      </c>
      <c r="N54" t="s">
        <v>426</v>
      </c>
      <c r="O54" s="1"/>
      <c r="P54" t="s">
        <v>414</v>
      </c>
      <c r="Q54" s="1"/>
      <c r="U54" t="s">
        <v>652</v>
      </c>
      <c r="V54" t="s">
        <v>736</v>
      </c>
    </row>
    <row r="55" spans="4:22" ht="15" x14ac:dyDescent="0.25">
      <c r="D55" s="82" t="s">
        <v>341</v>
      </c>
      <c r="E55" s="16"/>
      <c r="I55" s="32" t="s">
        <v>251</v>
      </c>
      <c r="J55">
        <v>3</v>
      </c>
      <c r="M55" t="s">
        <v>222</v>
      </c>
      <c r="N55" t="s">
        <v>425</v>
      </c>
      <c r="O55" s="1"/>
      <c r="P55" t="s">
        <v>169</v>
      </c>
      <c r="Q55" s="1"/>
      <c r="U55" t="s">
        <v>654</v>
      </c>
      <c r="V55" t="s">
        <v>692</v>
      </c>
    </row>
    <row r="56" spans="4:22" ht="15" x14ac:dyDescent="0.25">
      <c r="D56" s="82" t="s">
        <v>264</v>
      </c>
      <c r="E56" s="16"/>
      <c r="I56" s="32" t="s">
        <v>2</v>
      </c>
      <c r="J56">
        <v>4</v>
      </c>
      <c r="M56" t="s">
        <v>223</v>
      </c>
      <c r="N56" t="s">
        <v>425</v>
      </c>
      <c r="O56" s="1"/>
      <c r="P56" t="s">
        <v>220</v>
      </c>
      <c r="U56" t="s">
        <v>655</v>
      </c>
      <c r="V56"/>
    </row>
    <row r="57" spans="4:22" ht="15" x14ac:dyDescent="0.25">
      <c r="D57" s="82" t="s">
        <v>342</v>
      </c>
      <c r="E57" s="16"/>
      <c r="I57" s="32" t="s">
        <v>286</v>
      </c>
      <c r="J57">
        <v>5</v>
      </c>
      <c r="M57" t="s">
        <v>76</v>
      </c>
      <c r="N57" t="s">
        <v>425</v>
      </c>
      <c r="O57" s="1"/>
      <c r="P57" t="s">
        <v>140</v>
      </c>
      <c r="U57" t="s">
        <v>659</v>
      </c>
      <c r="V57"/>
    </row>
    <row r="58" spans="4:22" ht="15" x14ac:dyDescent="0.25">
      <c r="D58" s="82" t="s">
        <v>343</v>
      </c>
      <c r="E58" s="16"/>
      <c r="I58" s="32" t="s">
        <v>110</v>
      </c>
      <c r="J58">
        <v>6</v>
      </c>
      <c r="M58" t="s">
        <v>224</v>
      </c>
      <c r="N58" t="s">
        <v>425</v>
      </c>
      <c r="O58" s="1"/>
      <c r="U58" t="s">
        <v>661</v>
      </c>
      <c r="V58"/>
    </row>
    <row r="59" spans="4:22" ht="15" x14ac:dyDescent="0.25">
      <c r="D59" s="82" t="s">
        <v>344</v>
      </c>
      <c r="E59" s="16"/>
      <c r="I59" s="32" t="s">
        <v>7</v>
      </c>
      <c r="J59">
        <v>7</v>
      </c>
      <c r="M59" t="s">
        <v>225</v>
      </c>
      <c r="N59" t="s">
        <v>422</v>
      </c>
      <c r="O59" s="1"/>
      <c r="U59" t="s">
        <v>662</v>
      </c>
      <c r="V59"/>
    </row>
    <row r="60" spans="4:22" ht="15" x14ac:dyDescent="0.25">
      <c r="D60" s="82" t="s">
        <v>345</v>
      </c>
      <c r="E60" s="16"/>
      <c r="M60" t="s">
        <v>66</v>
      </c>
      <c r="N60" t="s">
        <v>422</v>
      </c>
      <c r="O60" s="1"/>
      <c r="U60" t="s">
        <v>663</v>
      </c>
      <c r="V60"/>
    </row>
    <row r="61" spans="4:22" ht="15" x14ac:dyDescent="0.25">
      <c r="D61" s="82" t="s">
        <v>346</v>
      </c>
      <c r="E61" s="16"/>
      <c r="I61" s="32" t="s">
        <v>171</v>
      </c>
      <c r="J61" t="s">
        <v>276</v>
      </c>
      <c r="M61" t="s">
        <v>101</v>
      </c>
      <c r="N61" t="s">
        <v>426</v>
      </c>
      <c r="O61" s="1"/>
      <c r="U61" t="s">
        <v>665</v>
      </c>
      <c r="V61"/>
    </row>
    <row r="62" spans="4:22" ht="15" x14ac:dyDescent="0.25">
      <c r="D62" s="82" t="s">
        <v>347</v>
      </c>
      <c r="E62" s="16"/>
      <c r="I62" s="32" t="s">
        <v>183</v>
      </c>
      <c r="J62">
        <v>1</v>
      </c>
      <c r="M62" t="s">
        <v>102</v>
      </c>
      <c r="N62" t="s">
        <v>426</v>
      </c>
      <c r="O62" s="1"/>
      <c r="U62" t="s">
        <v>667</v>
      </c>
      <c r="V62"/>
    </row>
    <row r="63" spans="4:22" ht="15" x14ac:dyDescent="0.25">
      <c r="D63" s="82" t="s">
        <v>348</v>
      </c>
      <c r="E63" s="16"/>
      <c r="I63" s="32" t="s">
        <v>180</v>
      </c>
      <c r="J63">
        <v>2</v>
      </c>
      <c r="M63" t="s">
        <v>226</v>
      </c>
      <c r="N63" t="s">
        <v>425</v>
      </c>
      <c r="O63" s="1"/>
      <c r="U63" t="s">
        <v>668</v>
      </c>
      <c r="V63"/>
    </row>
    <row r="64" spans="4:22" ht="15" x14ac:dyDescent="0.25">
      <c r="D64" s="82" t="s">
        <v>349</v>
      </c>
      <c r="E64" s="16"/>
      <c r="I64" s="32" t="s">
        <v>255</v>
      </c>
      <c r="J64">
        <v>3</v>
      </c>
      <c r="M64" t="s">
        <v>67</v>
      </c>
      <c r="N64" t="s">
        <v>422</v>
      </c>
      <c r="O64" s="1"/>
      <c r="U64" t="s">
        <v>669</v>
      </c>
      <c r="V64"/>
    </row>
    <row r="65" spans="4:22" ht="15" x14ac:dyDescent="0.25">
      <c r="D65" s="82" t="s">
        <v>350</v>
      </c>
      <c r="E65" s="16"/>
      <c r="I65" s="32" t="s">
        <v>254</v>
      </c>
      <c r="J65">
        <v>4</v>
      </c>
      <c r="M65" t="s">
        <v>68</v>
      </c>
      <c r="N65" t="s">
        <v>425</v>
      </c>
      <c r="O65" s="1"/>
      <c r="U65" t="s">
        <v>672</v>
      </c>
      <c r="V65"/>
    </row>
    <row r="66" spans="4:22" ht="15" x14ac:dyDescent="0.25">
      <c r="D66" s="82" t="s">
        <v>351</v>
      </c>
      <c r="E66" s="16"/>
      <c r="I66" s="32" t="s">
        <v>191</v>
      </c>
      <c r="J66">
        <v>5</v>
      </c>
      <c r="M66" t="s">
        <v>103</v>
      </c>
      <c r="N66" t="s">
        <v>426</v>
      </c>
      <c r="O66" s="1"/>
      <c r="U66" t="s">
        <v>673</v>
      </c>
      <c r="V66"/>
    </row>
    <row r="67" spans="4:22" ht="15" x14ac:dyDescent="0.25">
      <c r="D67" s="82" t="s">
        <v>326</v>
      </c>
      <c r="E67" s="16"/>
      <c r="I67" s="32" t="s">
        <v>198</v>
      </c>
      <c r="J67">
        <v>6</v>
      </c>
      <c r="M67" t="s">
        <v>69</v>
      </c>
      <c r="N67" t="s">
        <v>425</v>
      </c>
      <c r="O67" s="1"/>
      <c r="U67" t="s">
        <v>675</v>
      </c>
      <c r="V67"/>
    </row>
    <row r="68" spans="4:22" ht="15" x14ac:dyDescent="0.25">
      <c r="D68" s="82" t="s">
        <v>288</v>
      </c>
      <c r="E68" s="16"/>
      <c r="M68" t="s">
        <v>75</v>
      </c>
      <c r="N68" t="s">
        <v>425</v>
      </c>
      <c r="O68" s="1"/>
      <c r="U68" t="s">
        <v>676</v>
      </c>
      <c r="V68"/>
    </row>
    <row r="69" spans="4:22" ht="15" x14ac:dyDescent="0.25">
      <c r="D69" s="82" t="s">
        <v>352</v>
      </c>
      <c r="E69" s="16"/>
      <c r="I69" s="151" t="s">
        <v>139</v>
      </c>
      <c r="J69" s="151" t="s">
        <v>276</v>
      </c>
      <c r="M69" t="s">
        <v>70</v>
      </c>
      <c r="N69" t="s">
        <v>422</v>
      </c>
      <c r="O69" s="1"/>
      <c r="U69" t="s">
        <v>677</v>
      </c>
      <c r="V69"/>
    </row>
    <row r="70" spans="4:22" ht="15" x14ac:dyDescent="0.25">
      <c r="D70" s="82" t="s">
        <v>353</v>
      </c>
      <c r="E70" s="16"/>
      <c r="I70" s="152" t="s">
        <v>752</v>
      </c>
      <c r="J70" s="151">
        <v>1</v>
      </c>
      <c r="M70" t="s">
        <v>71</v>
      </c>
      <c r="N70" t="s">
        <v>422</v>
      </c>
      <c r="O70" s="1"/>
      <c r="U70" t="s">
        <v>678</v>
      </c>
      <c r="V70"/>
    </row>
    <row r="71" spans="4:22" ht="15" x14ac:dyDescent="0.25">
      <c r="D71" s="82" t="s">
        <v>354</v>
      </c>
      <c r="E71" s="16"/>
      <c r="I71" s="152" t="s">
        <v>787</v>
      </c>
      <c r="J71" s="151">
        <v>2</v>
      </c>
      <c r="M71" t="s">
        <v>72</v>
      </c>
      <c r="N71" t="s">
        <v>422</v>
      </c>
      <c r="O71" s="1"/>
      <c r="U71" t="s">
        <v>680</v>
      </c>
      <c r="V71"/>
    </row>
    <row r="72" spans="4:22" ht="15" x14ac:dyDescent="0.25">
      <c r="D72" s="82" t="s">
        <v>355</v>
      </c>
      <c r="E72" s="16"/>
      <c r="I72" s="152" t="s">
        <v>789</v>
      </c>
      <c r="J72" s="151">
        <v>3</v>
      </c>
      <c r="M72" t="s">
        <v>73</v>
      </c>
      <c r="N72" t="s">
        <v>426</v>
      </c>
      <c r="O72" s="1"/>
      <c r="U72" t="s">
        <v>683</v>
      </c>
      <c r="V72"/>
    </row>
    <row r="73" spans="4:22" ht="15" x14ac:dyDescent="0.25">
      <c r="D73" s="82" t="s">
        <v>356</v>
      </c>
      <c r="E73" s="16"/>
      <c r="I73" s="152" t="s">
        <v>790</v>
      </c>
      <c r="J73" s="151">
        <v>4</v>
      </c>
      <c r="M73" t="s">
        <v>104</v>
      </c>
      <c r="N73" t="s">
        <v>425</v>
      </c>
      <c r="O73" s="1"/>
      <c r="U73" t="s">
        <v>684</v>
      </c>
      <c r="V73"/>
    </row>
    <row r="74" spans="4:22" ht="15" x14ac:dyDescent="0.25">
      <c r="D74" s="82" t="s">
        <v>483</v>
      </c>
      <c r="E74" s="16"/>
      <c r="I74" s="152" t="s">
        <v>791</v>
      </c>
      <c r="J74" s="151">
        <v>5</v>
      </c>
      <c r="M74" t="s">
        <v>152</v>
      </c>
      <c r="N74" t="s">
        <v>423</v>
      </c>
      <c r="O74" s="1"/>
      <c r="U74" t="s">
        <v>685</v>
      </c>
      <c r="V74"/>
    </row>
    <row r="75" spans="4:22" ht="15" x14ac:dyDescent="0.25">
      <c r="D75" s="82" t="s">
        <v>358</v>
      </c>
      <c r="E75" s="16"/>
      <c r="I75" s="17"/>
      <c r="M75" t="s">
        <v>74</v>
      </c>
      <c r="N75" t="s">
        <v>426</v>
      </c>
      <c r="O75" s="1"/>
      <c r="U75" t="s">
        <v>686</v>
      </c>
      <c r="V75"/>
    </row>
    <row r="76" spans="4:22" ht="15" x14ac:dyDescent="0.25">
      <c r="D76" s="82" t="s">
        <v>359</v>
      </c>
      <c r="E76" s="16"/>
      <c r="I76" s="17"/>
      <c r="Q76" s="1"/>
      <c r="U76" t="s">
        <v>687</v>
      </c>
      <c r="V76"/>
    </row>
    <row r="77" spans="4:22" ht="15" x14ac:dyDescent="0.25">
      <c r="D77" s="82" t="s">
        <v>360</v>
      </c>
      <c r="E77" s="16"/>
      <c r="I77" s="17"/>
      <c r="Q77" s="1"/>
      <c r="U77" t="s">
        <v>688</v>
      </c>
      <c r="V77"/>
    </row>
    <row r="78" spans="4:22" ht="15" x14ac:dyDescent="0.25">
      <c r="D78" s="82" t="s">
        <v>361</v>
      </c>
      <c r="E78" s="16"/>
      <c r="I78" s="17"/>
      <c r="Q78" s="1"/>
      <c r="U78" t="s">
        <v>689</v>
      </c>
      <c r="V78"/>
    </row>
    <row r="79" spans="4:22" ht="15" x14ac:dyDescent="0.25">
      <c r="D79" s="82" t="s">
        <v>362</v>
      </c>
      <c r="E79" s="16"/>
      <c r="I79" s="17"/>
      <c r="Q79" s="1"/>
      <c r="U79" t="s">
        <v>690</v>
      </c>
      <c r="V79"/>
    </row>
    <row r="80" spans="4:22" ht="15" x14ac:dyDescent="0.25">
      <c r="D80" s="82" t="s">
        <v>363</v>
      </c>
      <c r="E80" s="16"/>
      <c r="I80" s="17"/>
      <c r="Q80" s="1"/>
      <c r="U80" t="s">
        <v>693</v>
      </c>
      <c r="V80"/>
    </row>
    <row r="81" spans="3:22" ht="15" x14ac:dyDescent="0.25">
      <c r="D81" s="82" t="s">
        <v>364</v>
      </c>
      <c r="E81" s="16"/>
      <c r="I81" s="17"/>
      <c r="Q81" s="1"/>
      <c r="U81" t="s">
        <v>694</v>
      </c>
      <c r="V81"/>
    </row>
    <row r="82" spans="3:22" ht="15" x14ac:dyDescent="0.25">
      <c r="D82" s="82" t="s">
        <v>365</v>
      </c>
      <c r="E82" s="16"/>
      <c r="I82" s="17"/>
      <c r="Q82" s="1"/>
      <c r="U82" t="s">
        <v>695</v>
      </c>
      <c r="V82"/>
    </row>
    <row r="83" spans="3:22" ht="15" x14ac:dyDescent="0.25">
      <c r="D83" s="82" t="s">
        <v>366</v>
      </c>
      <c r="E83" s="16"/>
      <c r="I83" s="17"/>
      <c r="Q83" s="1"/>
      <c r="U83" t="s">
        <v>697</v>
      </c>
      <c r="V83"/>
    </row>
    <row r="84" spans="3:22" ht="15" x14ac:dyDescent="0.25">
      <c r="D84" s="82" t="s">
        <v>367</v>
      </c>
      <c r="E84" s="16"/>
      <c r="I84" s="17"/>
      <c r="Q84" s="1"/>
      <c r="U84" t="s">
        <v>699</v>
      </c>
      <c r="V84"/>
    </row>
    <row r="85" spans="3:22" ht="15" x14ac:dyDescent="0.25">
      <c r="D85" s="82" t="s">
        <v>368</v>
      </c>
      <c r="E85" s="16"/>
      <c r="I85" s="17"/>
      <c r="Q85" s="1"/>
      <c r="U85" t="s">
        <v>701</v>
      </c>
      <c r="V85"/>
    </row>
    <row r="86" spans="3:22" ht="15" x14ac:dyDescent="0.25">
      <c r="D86" s="82" t="s">
        <v>369</v>
      </c>
      <c r="E86" s="16"/>
      <c r="I86" s="17"/>
      <c r="Q86" s="1"/>
      <c r="U86" t="s">
        <v>702</v>
      </c>
      <c r="V86"/>
    </row>
    <row r="87" spans="3:22" ht="15" x14ac:dyDescent="0.25">
      <c r="D87" s="82" t="s">
        <v>370</v>
      </c>
      <c r="E87" s="16"/>
      <c r="I87" s="17"/>
      <c r="Q87" s="1"/>
      <c r="U87" t="s">
        <v>703</v>
      </c>
      <c r="V87"/>
    </row>
    <row r="88" spans="3:22" ht="15" x14ac:dyDescent="0.25">
      <c r="D88" s="82" t="s">
        <v>371</v>
      </c>
      <c r="E88" s="16"/>
      <c r="I88" s="17"/>
      <c r="Q88" s="1"/>
      <c r="U88" t="s">
        <v>704</v>
      </c>
      <c r="V88"/>
    </row>
    <row r="89" spans="3:22" ht="15" x14ac:dyDescent="0.25">
      <c r="D89" s="82" t="s">
        <v>372</v>
      </c>
      <c r="E89" s="16"/>
      <c r="I89" s="17"/>
      <c r="Q89" s="1"/>
      <c r="U89" t="s">
        <v>705</v>
      </c>
      <c r="V89"/>
    </row>
    <row r="90" spans="3:22" ht="15" x14ac:dyDescent="0.25">
      <c r="D90" s="82" t="s">
        <v>373</v>
      </c>
      <c r="E90" s="16"/>
      <c r="I90" s="17"/>
      <c r="Q90" s="1"/>
      <c r="U90" t="s">
        <v>707</v>
      </c>
      <c r="V90"/>
    </row>
    <row r="91" spans="3:22" ht="15" x14ac:dyDescent="0.25">
      <c r="D91" s="82" t="s">
        <v>374</v>
      </c>
      <c r="E91" s="16"/>
      <c r="I91" s="17"/>
      <c r="Q91" s="1"/>
      <c r="U91" t="s">
        <v>708</v>
      </c>
      <c r="V91"/>
    </row>
    <row r="92" spans="3:22" ht="15" x14ac:dyDescent="0.25">
      <c r="D92" s="82" t="s">
        <v>375</v>
      </c>
      <c r="E92" s="16"/>
      <c r="I92" s="17"/>
      <c r="Q92" s="1"/>
      <c r="U92" t="s">
        <v>709</v>
      </c>
      <c r="V92"/>
    </row>
    <row r="93" spans="3:22" ht="15" x14ac:dyDescent="0.25">
      <c r="D93" s="82" t="s">
        <v>376</v>
      </c>
      <c r="E93" s="16"/>
      <c r="I93" s="17"/>
      <c r="Q93" s="1"/>
      <c r="U93" t="s">
        <v>710</v>
      </c>
      <c r="V93"/>
    </row>
    <row r="94" spans="3:22" ht="15" x14ac:dyDescent="0.25">
      <c r="E94" s="16"/>
      <c r="Q94" s="1"/>
      <c r="U94" t="s">
        <v>711</v>
      </c>
      <c r="V94"/>
    </row>
    <row r="95" spans="3:22" ht="15" x14ac:dyDescent="0.25">
      <c r="D95" s="16"/>
      <c r="E95" s="16"/>
      <c r="Q95" s="1"/>
      <c r="U95" t="s">
        <v>712</v>
      </c>
      <c r="V95"/>
    </row>
    <row r="96" spans="3:22" ht="15" x14ac:dyDescent="0.25">
      <c r="C96" t="s">
        <v>578</v>
      </c>
      <c r="D96" s="16"/>
      <c r="H96" s="17"/>
      <c r="P96" s="1"/>
      <c r="U96" t="s">
        <v>713</v>
      </c>
      <c r="V96"/>
    </row>
    <row r="97" spans="3:22" ht="15" x14ac:dyDescent="0.25">
      <c r="C97" t="s">
        <v>112</v>
      </c>
      <c r="D97" s="16"/>
      <c r="H97" s="17"/>
      <c r="P97" s="1"/>
      <c r="U97" t="s">
        <v>714</v>
      </c>
      <c r="V97"/>
    </row>
    <row r="98" spans="3:22" ht="15" x14ac:dyDescent="0.25">
      <c r="C98" t="s">
        <v>113</v>
      </c>
      <c r="D98" s="16"/>
      <c r="H98" s="17"/>
      <c r="P98" s="1"/>
      <c r="U98" t="s">
        <v>715</v>
      </c>
      <c r="V98"/>
    </row>
    <row r="99" spans="3:22" ht="15" x14ac:dyDescent="0.25">
      <c r="C99" t="s">
        <v>289</v>
      </c>
      <c r="D99" s="16"/>
      <c r="H99" s="17"/>
      <c r="P99" s="1"/>
      <c r="U99" t="s">
        <v>717</v>
      </c>
      <c r="V99"/>
    </row>
    <row r="100" spans="3:22" ht="15" x14ac:dyDescent="0.25">
      <c r="C100" t="s">
        <v>114</v>
      </c>
      <c r="D100" s="16"/>
      <c r="H100" s="17"/>
      <c r="P100" s="1"/>
      <c r="U100" t="s">
        <v>718</v>
      </c>
      <c r="V100"/>
    </row>
    <row r="101" spans="3:22" ht="15" x14ac:dyDescent="0.25">
      <c r="C101" t="s">
        <v>39</v>
      </c>
      <c r="D101" s="16"/>
      <c r="H101" s="17"/>
      <c r="P101" s="1"/>
      <c r="U101" t="s">
        <v>719</v>
      </c>
      <c r="V101"/>
    </row>
    <row r="102" spans="3:22" ht="15" x14ac:dyDescent="0.25">
      <c r="C102" t="s">
        <v>37</v>
      </c>
      <c r="D102" s="16"/>
      <c r="H102" s="17"/>
      <c r="P102" s="1"/>
      <c r="U102" t="s">
        <v>720</v>
      </c>
      <c r="V102"/>
    </row>
    <row r="103" spans="3:22" ht="15" x14ac:dyDescent="0.25">
      <c r="C103" t="s">
        <v>256</v>
      </c>
      <c r="D103" s="16"/>
      <c r="H103" s="17"/>
      <c r="P103" s="1"/>
      <c r="U103" t="s">
        <v>721</v>
      </c>
      <c r="V103"/>
    </row>
    <row r="104" spans="3:22" ht="15" x14ac:dyDescent="0.25">
      <c r="C104" t="s">
        <v>40</v>
      </c>
      <c r="D104" s="16"/>
      <c r="H104" s="17"/>
      <c r="I104" s="17"/>
      <c r="P104" s="1"/>
      <c r="U104" t="s">
        <v>722</v>
      </c>
      <c r="V104"/>
    </row>
    <row r="105" spans="3:22" ht="15" x14ac:dyDescent="0.25">
      <c r="C105" t="s">
        <v>38</v>
      </c>
      <c r="D105" s="10"/>
      <c r="H105" s="17"/>
      <c r="I105" s="17"/>
      <c r="P105" s="1"/>
      <c r="U105" t="s">
        <v>724</v>
      </c>
      <c r="V105"/>
    </row>
    <row r="106" spans="3:22" ht="15" x14ac:dyDescent="0.25">
      <c r="D106" s="82" t="s">
        <v>486</v>
      </c>
      <c r="E106" s="16"/>
      <c r="I106" s="17"/>
      <c r="Q106" s="1"/>
      <c r="U106" t="s">
        <v>725</v>
      </c>
      <c r="V106"/>
    </row>
    <row r="107" spans="3:22" ht="15" x14ac:dyDescent="0.25">
      <c r="D107" s="145" t="s">
        <v>487</v>
      </c>
      <c r="E107" s="16"/>
      <c r="I107" s="17"/>
      <c r="Q107" s="1"/>
      <c r="U107" t="s">
        <v>726</v>
      </c>
      <c r="V107"/>
    </row>
    <row r="108" spans="3:22" ht="15" x14ac:dyDescent="0.25">
      <c r="D108" s="145" t="s">
        <v>488</v>
      </c>
      <c r="E108" s="16"/>
      <c r="I108" s="17"/>
      <c r="Q108" s="1"/>
      <c r="U108" t="s">
        <v>727</v>
      </c>
      <c r="V108"/>
    </row>
    <row r="109" spans="3:22" ht="15" x14ac:dyDescent="0.25">
      <c r="D109" s="145" t="s">
        <v>489</v>
      </c>
      <c r="E109" s="16"/>
      <c r="I109" s="17"/>
      <c r="Q109" s="1"/>
      <c r="U109" t="s">
        <v>728</v>
      </c>
      <c r="V109"/>
    </row>
    <row r="110" spans="3:22" ht="15" x14ac:dyDescent="0.25">
      <c r="D110" s="145" t="s">
        <v>490</v>
      </c>
      <c r="E110" s="16"/>
      <c r="I110" s="17"/>
      <c r="Q110" s="1"/>
      <c r="U110" t="s">
        <v>729</v>
      </c>
      <c r="V110"/>
    </row>
    <row r="111" spans="3:22" ht="15" x14ac:dyDescent="0.25">
      <c r="D111" s="145" t="s">
        <v>491</v>
      </c>
      <c r="E111" s="16"/>
      <c r="I111" s="17"/>
      <c r="Q111" s="1"/>
      <c r="U111" t="s">
        <v>730</v>
      </c>
      <c r="V111"/>
    </row>
    <row r="112" spans="3:22" ht="15" x14ac:dyDescent="0.25">
      <c r="D112" s="145" t="s">
        <v>492</v>
      </c>
      <c r="E112" s="16"/>
      <c r="I112" s="17"/>
      <c r="Q112" s="1"/>
      <c r="U112" t="s">
        <v>732</v>
      </c>
      <c r="V112"/>
    </row>
    <row r="113" spans="4:22" ht="15" x14ac:dyDescent="0.25">
      <c r="D113" s="145" t="s">
        <v>493</v>
      </c>
      <c r="E113" s="16"/>
      <c r="I113" s="17"/>
      <c r="Q113" s="1"/>
      <c r="U113" t="s">
        <v>733</v>
      </c>
      <c r="V113"/>
    </row>
    <row r="114" spans="4:22" ht="15" x14ac:dyDescent="0.25">
      <c r="D114" s="145" t="s">
        <v>494</v>
      </c>
      <c r="E114" s="16"/>
      <c r="I114" s="17"/>
      <c r="Q114" s="1"/>
      <c r="U114" t="s">
        <v>734</v>
      </c>
      <c r="V114"/>
    </row>
    <row r="115" spans="4:22" ht="15" x14ac:dyDescent="0.25">
      <c r="D115" s="145" t="s">
        <v>495</v>
      </c>
      <c r="E115" s="16"/>
      <c r="I115" s="17"/>
      <c r="Q115" s="1"/>
      <c r="U115" t="s">
        <v>735</v>
      </c>
      <c r="V115"/>
    </row>
    <row r="116" spans="4:22" ht="15" x14ac:dyDescent="0.25">
      <c r="D116" s="145" t="s">
        <v>496</v>
      </c>
      <c r="E116" s="16"/>
      <c r="I116" s="17"/>
      <c r="Q116" s="1"/>
      <c r="U116" t="s">
        <v>737</v>
      </c>
      <c r="V116"/>
    </row>
    <row r="117" spans="4:22" ht="15" x14ac:dyDescent="0.25">
      <c r="D117" s="145" t="s">
        <v>497</v>
      </c>
      <c r="E117" s="16"/>
      <c r="I117" s="17"/>
      <c r="Q117" s="1"/>
      <c r="U117" t="s">
        <v>738</v>
      </c>
      <c r="V117"/>
    </row>
    <row r="118" spans="4:22" ht="15" x14ac:dyDescent="0.25">
      <c r="D118" s="145" t="s">
        <v>498</v>
      </c>
      <c r="E118" s="16"/>
      <c r="I118" s="17"/>
      <c r="Q118" s="1"/>
      <c r="U118" t="s">
        <v>739</v>
      </c>
      <c r="V118"/>
    </row>
    <row r="119" spans="4:22" ht="15" x14ac:dyDescent="0.25">
      <c r="D119" s="145" t="s">
        <v>499</v>
      </c>
      <c r="E119" s="16"/>
      <c r="I119" s="17"/>
      <c r="Q119" s="1"/>
      <c r="U119" t="s">
        <v>740</v>
      </c>
      <c r="V119"/>
    </row>
    <row r="120" spans="4:22" ht="15" x14ac:dyDescent="0.25">
      <c r="D120" s="145" t="s">
        <v>500</v>
      </c>
      <c r="I120" s="17"/>
      <c r="Q120" s="1"/>
      <c r="U120" t="s">
        <v>741</v>
      </c>
      <c r="V120"/>
    </row>
    <row r="121" spans="4:22" ht="15" x14ac:dyDescent="0.25">
      <c r="D121" s="145" t="s">
        <v>501</v>
      </c>
      <c r="I121" s="17"/>
      <c r="Q121" s="1"/>
      <c r="U121" t="s">
        <v>742</v>
      </c>
      <c r="V121"/>
    </row>
    <row r="122" spans="4:22" ht="15" x14ac:dyDescent="0.25">
      <c r="D122" s="145" t="s">
        <v>502</v>
      </c>
      <c r="I122" s="17"/>
      <c r="Q122" s="1"/>
      <c r="U122" t="s">
        <v>743</v>
      </c>
      <c r="V122"/>
    </row>
    <row r="123" spans="4:22" ht="15" x14ac:dyDescent="0.25">
      <c r="D123" s="145" t="s">
        <v>503</v>
      </c>
      <c r="I123" s="17"/>
      <c r="Q123" s="1"/>
      <c r="U123" t="s">
        <v>744</v>
      </c>
      <c r="V123"/>
    </row>
    <row r="124" spans="4:22" ht="15" x14ac:dyDescent="0.25">
      <c r="D124" s="145" t="s">
        <v>504</v>
      </c>
      <c r="I124" s="17"/>
      <c r="Q124" s="1"/>
      <c r="U124" t="s">
        <v>745</v>
      </c>
      <c r="V124"/>
    </row>
    <row r="125" spans="4:22" ht="15" x14ac:dyDescent="0.25">
      <c r="D125" s="145" t="s">
        <v>505</v>
      </c>
      <c r="I125" s="17"/>
      <c r="U125" t="s">
        <v>746</v>
      </c>
      <c r="V125"/>
    </row>
    <row r="126" spans="4:22" ht="15" x14ac:dyDescent="0.25">
      <c r="D126" s="145" t="s">
        <v>506</v>
      </c>
      <c r="I126" s="17"/>
    </row>
    <row r="127" spans="4:22" ht="15" x14ac:dyDescent="0.25">
      <c r="D127" s="145" t="s">
        <v>507</v>
      </c>
      <c r="E127" s="16"/>
      <c r="I127" s="17"/>
    </row>
    <row r="128" spans="4:22" ht="15" x14ac:dyDescent="0.25">
      <c r="D128" s="145" t="s">
        <v>508</v>
      </c>
      <c r="E128" s="16"/>
      <c r="I128" s="17"/>
    </row>
    <row r="129" spans="4:9" ht="15" x14ac:dyDescent="0.25">
      <c r="D129" s="145" t="s">
        <v>509</v>
      </c>
      <c r="I129" s="17"/>
    </row>
    <row r="130" spans="4:9" ht="15" x14ac:dyDescent="0.25">
      <c r="D130" s="145" t="s">
        <v>510</v>
      </c>
      <c r="I130" s="17"/>
    </row>
    <row r="131" spans="4:9" ht="15" x14ac:dyDescent="0.25">
      <c r="D131" s="145" t="s">
        <v>511</v>
      </c>
    </row>
    <row r="132" spans="4:9" ht="15" x14ac:dyDescent="0.25">
      <c r="D132" s="145" t="s">
        <v>512</v>
      </c>
    </row>
    <row r="133" spans="4:9" ht="15" x14ac:dyDescent="0.25">
      <c r="D133" s="145" t="s">
        <v>513</v>
      </c>
    </row>
    <row r="134" spans="4:9" ht="15" x14ac:dyDescent="0.25">
      <c r="D134" s="145" t="s">
        <v>514</v>
      </c>
    </row>
    <row r="135" spans="4:9" ht="15" x14ac:dyDescent="0.25">
      <c r="D135" s="145" t="s">
        <v>515</v>
      </c>
    </row>
    <row r="136" spans="4:9" ht="15" x14ac:dyDescent="0.25">
      <c r="D136" s="145" t="s">
        <v>516</v>
      </c>
    </row>
    <row r="137" spans="4:9" ht="15" x14ac:dyDescent="0.25">
      <c r="D137" s="145" t="s">
        <v>524</v>
      </c>
    </row>
    <row r="138" spans="4:9" ht="15" x14ac:dyDescent="0.25">
      <c r="D138" s="145" t="s">
        <v>764</v>
      </c>
    </row>
    <row r="139" spans="4:9" ht="15" x14ac:dyDescent="0.25">
      <c r="D139" s="145" t="s">
        <v>1234</v>
      </c>
    </row>
    <row r="140" spans="4:9" ht="11.25" x14ac:dyDescent="0.25"/>
  </sheetData>
  <phoneticPr fontId="14" type="noConversion"/>
  <conditionalFormatting sqref="N7:N75">
    <cfRule type="containsText" dxfId="80" priority="1" operator="containsText" text="Reference">
      <formula>NOT(ISERROR(SEARCH("Reference",N7)))</formula>
    </cfRule>
    <cfRule type="containsText" dxfId="79" priority="2" operator="containsText" text="原始录入">
      <formula>NOT(ISERROR(SEARCH("原始录入",N7)))</formula>
    </cfRule>
    <cfRule type="containsText" dxfId="78" priority="3" operator="containsText" text="未">
      <formula>NOT(ISERROR(SEARCH("未",N7)))</formula>
    </cfRule>
  </conditionalFormatting>
  <pageMargins left="0.7" right="0.7" top="0.75" bottom="0.75" header="0.3" footer="0.3"/>
  <pageSetup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56" t="s">
        <v>41</v>
      </c>
      <c r="H1" s="56" t="s">
        <v>96</v>
      </c>
      <c r="I1" s="101" t="s">
        <v>238</v>
      </c>
    </row>
    <row r="2" spans="1:9" ht="36" x14ac:dyDescent="0.55000000000000004">
      <c r="A2" s="81" t="s">
        <v>377</v>
      </c>
      <c r="E2" s="1" t="s">
        <v>381</v>
      </c>
    </row>
    <row r="3" spans="1:9" ht="15.75" x14ac:dyDescent="0.25">
      <c r="B3" s="77" t="s">
        <v>314</v>
      </c>
      <c r="C3" s="77" t="s">
        <v>319</v>
      </c>
    </row>
    <row r="4" spans="1:9" x14ac:dyDescent="0.25">
      <c r="B4" s="72" t="s">
        <v>403</v>
      </c>
      <c r="C4" s="72" t="s">
        <v>320</v>
      </c>
    </row>
    <row r="6" spans="1:9" x14ac:dyDescent="0.25">
      <c r="B6" t="s">
        <v>94</v>
      </c>
    </row>
    <row r="7" spans="1:9" x14ac:dyDescent="0.25">
      <c r="B7" t="s">
        <v>588</v>
      </c>
    </row>
    <row r="8" spans="1:9" x14ac:dyDescent="0.25">
      <c r="B8" t="s">
        <v>611</v>
      </c>
    </row>
    <row r="9" spans="1:9" x14ac:dyDescent="0.25">
      <c r="B9" t="s">
        <v>624</v>
      </c>
    </row>
    <row r="10" spans="1:9" x14ac:dyDescent="0.25">
      <c r="B10" t="s">
        <v>633</v>
      </c>
    </row>
    <row r="11" spans="1:9" x14ac:dyDescent="0.25">
      <c r="B11" t="s">
        <v>636</v>
      </c>
    </row>
    <row r="12" spans="1:9" x14ac:dyDescent="0.25">
      <c r="B12" t="s">
        <v>641</v>
      </c>
    </row>
    <row r="13" spans="1:9" x14ac:dyDescent="0.25">
      <c r="B13" t="s">
        <v>653</v>
      </c>
    </row>
    <row r="14" spans="1:9" x14ac:dyDescent="0.25">
      <c r="B14" t="s">
        <v>657</v>
      </c>
    </row>
    <row r="15" spans="1:9" x14ac:dyDescent="0.25">
      <c r="B15" t="s">
        <v>674</v>
      </c>
    </row>
    <row r="16" spans="1:9" x14ac:dyDescent="0.25">
      <c r="B16" t="s">
        <v>679</v>
      </c>
    </row>
    <row r="20" spans="2:12" x14ac:dyDescent="0.25">
      <c r="K20" t="s">
        <v>397</v>
      </c>
      <c r="L20" t="s">
        <v>398</v>
      </c>
    </row>
    <row r="21" spans="2:12" x14ac:dyDescent="0.25">
      <c r="K21" t="s">
        <v>378</v>
      </c>
      <c r="L21" s="93" t="s">
        <v>67</v>
      </c>
    </row>
    <row r="22" spans="2:12" x14ac:dyDescent="0.25">
      <c r="K22" t="s">
        <v>379</v>
      </c>
      <c r="L22" s="93" t="s">
        <v>52</v>
      </c>
    </row>
    <row r="23" spans="2:12" x14ac:dyDescent="0.25">
      <c r="K23" t="s">
        <v>401</v>
      </c>
      <c r="L23" t="s">
        <v>65</v>
      </c>
    </row>
    <row r="24" spans="2:12" ht="17.25" customHeight="1" x14ac:dyDescent="0.25">
      <c r="B24" s="1" t="s">
        <v>404</v>
      </c>
      <c r="C24" s="1" t="s">
        <v>380</v>
      </c>
      <c r="K24" t="s">
        <v>402</v>
      </c>
      <c r="L24" t="s">
        <v>75</v>
      </c>
    </row>
    <row r="25" spans="2:12" ht="17.25" customHeight="1" x14ac:dyDescent="0.25">
      <c r="B25" s="91" t="s">
        <v>48</v>
      </c>
      <c r="C25" s="99"/>
      <c r="K25" t="s">
        <v>135</v>
      </c>
      <c r="L25" t="s">
        <v>240</v>
      </c>
    </row>
    <row r="26" spans="2:12" ht="17.25" customHeight="1" x14ac:dyDescent="0.25">
      <c r="B26" s="91" t="s">
        <v>49</v>
      </c>
      <c r="C26" s="99"/>
      <c r="K26" t="s">
        <v>177</v>
      </c>
      <c r="L26" t="s">
        <v>241</v>
      </c>
    </row>
    <row r="27" spans="2:12" ht="17.25" customHeight="1" x14ac:dyDescent="0.25">
      <c r="B27" s="91" t="s">
        <v>58</v>
      </c>
      <c r="C27" s="99"/>
      <c r="K27" t="s">
        <v>120</v>
      </c>
      <c r="L27" t="s">
        <v>405</v>
      </c>
    </row>
    <row r="28" spans="2:12" ht="17.25" customHeight="1" x14ac:dyDescent="0.25">
      <c r="B28" s="91" t="s">
        <v>238</v>
      </c>
      <c r="C28" s="99"/>
    </row>
    <row r="29" spans="2:12" ht="17.25" customHeight="1" x14ac:dyDescent="0.25">
      <c r="B29" s="91" t="s">
        <v>55</v>
      </c>
      <c r="C29" s="99"/>
    </row>
    <row r="30" spans="2:12" ht="17.25" customHeight="1" x14ac:dyDescent="0.25">
      <c r="B30" s="91" t="s">
        <v>401</v>
      </c>
      <c r="C30" s="99" t="s">
        <v>233</v>
      </c>
    </row>
    <row r="31" spans="2:12" ht="17.25" customHeight="1" x14ac:dyDescent="0.25">
      <c r="B31" s="91" t="s">
        <v>402</v>
      </c>
      <c r="C31" s="99" t="s">
        <v>394</v>
      </c>
    </row>
    <row r="32" spans="2:12" ht="17.25" customHeight="1" x14ac:dyDescent="0.25">
      <c r="B32" s="91" t="s">
        <v>135</v>
      </c>
      <c r="C32" s="99"/>
    </row>
    <row r="33" spans="2:3" ht="17.25" customHeight="1" x14ac:dyDescent="0.25">
      <c r="B33" s="91" t="s">
        <v>96</v>
      </c>
      <c r="C33" s="99"/>
    </row>
    <row r="34" spans="2:3" ht="17.25" customHeight="1" x14ac:dyDescent="0.25">
      <c r="B34" s="91" t="s">
        <v>120</v>
      </c>
      <c r="C34" s="100">
        <v>3.2000000000000001E-2</v>
      </c>
    </row>
    <row r="35" spans="2:3" ht="17.25" customHeight="1" x14ac:dyDescent="0.25">
      <c r="B35" s="91" t="s">
        <v>64</v>
      </c>
      <c r="C35" s="99" t="s">
        <v>85</v>
      </c>
    </row>
    <row r="36" spans="2:3" ht="17.25" customHeight="1" x14ac:dyDescent="0.25">
      <c r="B36" s="91" t="s">
        <v>57</v>
      </c>
      <c r="C36" s="99">
        <v>2</v>
      </c>
    </row>
    <row r="37" spans="2:3" ht="17.25" customHeight="1" x14ac:dyDescent="0.25">
      <c r="B37" s="91" t="s">
        <v>311</v>
      </c>
      <c r="C37" s="99" t="s">
        <v>382</v>
      </c>
    </row>
    <row r="38" spans="2:3" ht="17.25" customHeight="1" x14ac:dyDescent="0.25">
      <c r="B38" s="91" t="s">
        <v>53</v>
      </c>
      <c r="C38" s="100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V29"/>
  <sheetViews>
    <sheetView topLeftCell="A4" workbookViewId="0">
      <selection activeCell="D6" sqref="D6"/>
    </sheetView>
  </sheetViews>
  <sheetFormatPr defaultRowHeight="15" x14ac:dyDescent="0.25"/>
  <cols>
    <col min="1" max="1" width="29.88671875" style="1" bestFit="1" customWidth="1"/>
    <col min="2" max="2" width="26.21875" style="1" bestFit="1" customWidth="1"/>
    <col min="3" max="3" width="13.33203125" style="1" bestFit="1" customWidth="1"/>
    <col min="4" max="4" width="10.33203125" style="1" bestFit="1" customWidth="1"/>
    <col min="5" max="5" width="28.6640625" style="1" bestFit="1" customWidth="1"/>
    <col min="6" max="6" width="10.21875" style="1" bestFit="1" customWidth="1"/>
    <col min="7" max="7" width="12.77734375" style="1" bestFit="1" customWidth="1"/>
    <col min="8" max="8" width="9.44140625" style="1" bestFit="1" customWidth="1"/>
    <col min="9" max="9" width="12.21875" style="1" bestFit="1" customWidth="1"/>
    <col min="10" max="10" width="6.109375" style="1" bestFit="1" customWidth="1"/>
    <col min="11" max="11" width="12.21875" style="1" bestFit="1" customWidth="1"/>
    <col min="12" max="12" width="10.44140625" style="1" bestFit="1" customWidth="1"/>
    <col min="13" max="13" width="10.33203125" style="1" bestFit="1" customWidth="1"/>
    <col min="14" max="14" width="46.33203125" style="1" bestFit="1" customWidth="1"/>
    <col min="15" max="15" width="28.5546875" style="1" bestFit="1" customWidth="1"/>
    <col min="16" max="16" width="24.109375" style="1" bestFit="1" customWidth="1"/>
    <col min="17" max="17" width="12.77734375" style="1" bestFit="1" customWidth="1"/>
    <col min="18" max="19" width="9.44140625" style="1" bestFit="1" customWidth="1"/>
    <col min="20" max="20" width="24.6640625" style="1" bestFit="1" customWidth="1"/>
    <col min="21" max="21" width="14.88671875" style="1" bestFit="1" customWidth="1"/>
    <col min="22" max="22" width="7.77734375" style="1" bestFit="1" customWidth="1"/>
    <col min="23" max="23" width="9.44140625" style="1" bestFit="1" customWidth="1"/>
    <col min="24" max="24" width="12.6640625" style="1" bestFit="1" customWidth="1"/>
    <col min="25" max="25" width="7.6640625" style="1" bestFit="1" customWidth="1"/>
    <col min="26" max="26" width="9.33203125" style="1" bestFit="1" customWidth="1"/>
    <col min="27" max="27" width="10.5546875" style="1" bestFit="1" customWidth="1"/>
    <col min="28" max="30" width="9.44140625" style="1" bestFit="1" customWidth="1"/>
    <col min="31" max="31" width="80.88671875" style="1" bestFit="1" customWidth="1"/>
    <col min="32" max="32" width="9.44140625" style="1" bestFit="1" customWidth="1"/>
    <col min="33" max="33" width="11" style="1" bestFit="1" customWidth="1"/>
    <col min="34" max="35" width="12.77734375" style="1" bestFit="1" customWidth="1"/>
    <col min="36" max="36" width="9.44140625" style="1" bestFit="1" customWidth="1"/>
    <col min="37" max="37" width="6.109375" style="1" bestFit="1" customWidth="1"/>
    <col min="38" max="38" width="9.44140625" style="1" bestFit="1" customWidth="1"/>
    <col min="39" max="39" width="14.44140625" style="1" bestFit="1" customWidth="1"/>
    <col min="40" max="40" width="9.44140625" style="1" bestFit="1" customWidth="1"/>
    <col min="41" max="41" width="12.77734375" style="1" bestFit="1" customWidth="1"/>
    <col min="42" max="43" width="11.109375" style="1" bestFit="1" customWidth="1"/>
    <col min="44" max="44" width="80.88671875" style="1" bestFit="1" customWidth="1"/>
    <col min="45" max="45" width="8.44140625" style="1" bestFit="1" customWidth="1"/>
    <col min="46" max="46" width="12.77734375" style="1" bestFit="1" customWidth="1"/>
    <col min="47" max="47" width="9.44140625" style="1" bestFit="1" customWidth="1"/>
    <col min="48" max="48" width="10.33203125" style="1" bestFit="1" customWidth="1"/>
    <col min="49" max="49" width="11.109375" style="1" bestFit="1" customWidth="1"/>
    <col min="50" max="50" width="12.77734375" style="1" bestFit="1" customWidth="1"/>
    <col min="51" max="51" width="16.21875" style="1" bestFit="1" customWidth="1"/>
    <col min="52" max="52" width="11.109375" style="1" bestFit="1" customWidth="1"/>
    <col min="53" max="53" width="56.44140625" style="1" bestFit="1" customWidth="1"/>
    <col min="54" max="54" width="31.33203125" style="1" bestFit="1" customWidth="1"/>
    <col min="55" max="55" width="11.109375" style="1" bestFit="1" customWidth="1"/>
    <col min="56" max="56" width="23.77734375" style="1" bestFit="1" customWidth="1"/>
    <col min="57" max="57" width="10.33203125" style="1" bestFit="1" customWidth="1"/>
    <col min="58" max="58" width="19" style="1" bestFit="1" customWidth="1"/>
    <col min="59" max="60" width="80.88671875" style="1" bestFit="1" customWidth="1"/>
    <col min="61" max="61" width="11.109375" style="1" bestFit="1" customWidth="1"/>
    <col min="62" max="67" width="9.44140625" style="1" bestFit="1" customWidth="1"/>
    <col min="68" max="68" width="25.88671875" style="1" bestFit="1" customWidth="1"/>
    <col min="69" max="69" width="8.77734375" style="1" bestFit="1" customWidth="1"/>
    <col min="70" max="70" width="12.21875" style="1" bestFit="1" customWidth="1"/>
    <col min="71" max="71" width="11.109375" style="1" bestFit="1" customWidth="1"/>
    <col min="72" max="72" width="9.5546875" style="1" bestFit="1" customWidth="1"/>
    <col min="73" max="73" width="6.109375" style="1" bestFit="1" customWidth="1"/>
    <col min="74" max="74" width="19.44140625" style="1" bestFit="1" customWidth="1"/>
    <col min="75" max="75" width="7.6640625" style="1" bestFit="1" customWidth="1"/>
    <col min="76" max="76" width="19.44140625" style="1" bestFit="1" customWidth="1"/>
    <col min="77" max="78" width="20.21875" style="1" bestFit="1" customWidth="1"/>
    <col min="79" max="83" width="19.33203125" style="1" bestFit="1" customWidth="1"/>
    <col min="84" max="84" width="6.109375" style="1" bestFit="1" customWidth="1"/>
    <col min="85" max="85" width="19.44140625" style="1" bestFit="1" customWidth="1"/>
    <col min="86" max="16384" width="8.88671875" style="1"/>
  </cols>
  <sheetData>
    <row r="1" spans="1:74" ht="67.5" customHeight="1" x14ac:dyDescent="0.25">
      <c r="A1" s="5" t="s">
        <v>242</v>
      </c>
    </row>
    <row r="5" spans="1:74" x14ac:dyDescent="0.25">
      <c r="A5" t="s">
        <v>94</v>
      </c>
      <c r="B5" t="s">
        <v>237</v>
      </c>
      <c r="C5" t="s">
        <v>48</v>
      </c>
      <c r="D5" t="s">
        <v>49</v>
      </c>
      <c r="E5" t="s">
        <v>47</v>
      </c>
      <c r="F5" t="s">
        <v>98</v>
      </c>
      <c r="G5" t="s">
        <v>99</v>
      </c>
      <c r="H5" t="s">
        <v>50</v>
      </c>
      <c r="I5" t="s">
        <v>57</v>
      </c>
      <c r="J5" t="s">
        <v>64</v>
      </c>
      <c r="K5" t="s">
        <v>58</v>
      </c>
      <c r="L5" t="s">
        <v>405</v>
      </c>
      <c r="M5" t="s">
        <v>52</v>
      </c>
      <c r="N5" t="s">
        <v>100</v>
      </c>
      <c r="O5" t="s">
        <v>206</v>
      </c>
      <c r="P5" t="s">
        <v>207</v>
      </c>
      <c r="Q5" t="s">
        <v>54</v>
      </c>
      <c r="R5" t="s">
        <v>324</v>
      </c>
      <c r="S5" t="s">
        <v>238</v>
      </c>
      <c r="T5" t="s">
        <v>55</v>
      </c>
      <c r="U5" t="s">
        <v>56</v>
      </c>
      <c r="V5" t="s">
        <v>59</v>
      </c>
      <c r="W5" t="s">
        <v>60</v>
      </c>
      <c r="X5" t="s">
        <v>95</v>
      </c>
      <c r="Y5" t="s">
        <v>45</v>
      </c>
      <c r="Z5" t="s">
        <v>46</v>
      </c>
      <c r="AA5" t="s">
        <v>132</v>
      </c>
      <c r="AB5" t="s">
        <v>61</v>
      </c>
      <c r="AC5" t="s">
        <v>62</v>
      </c>
      <c r="AD5" t="s">
        <v>63</v>
      </c>
      <c r="AE5" t="s">
        <v>65</v>
      </c>
      <c r="AF5" t="s">
        <v>199</v>
      </c>
      <c r="AG5" t="s">
        <v>44</v>
      </c>
      <c r="AH5" t="s">
        <v>176</v>
      </c>
      <c r="AI5" t="s">
        <v>51</v>
      </c>
      <c r="AJ5" t="s">
        <v>96</v>
      </c>
      <c r="AK5" t="s">
        <v>43</v>
      </c>
      <c r="AL5" t="s">
        <v>221</v>
      </c>
      <c r="AM5" t="s">
        <v>42</v>
      </c>
      <c r="AN5" t="s">
        <v>97</v>
      </c>
      <c r="AO5" t="s">
        <v>222</v>
      </c>
      <c r="AP5" t="s">
        <v>223</v>
      </c>
      <c r="AQ5" t="s">
        <v>224</v>
      </c>
      <c r="AR5" t="s">
        <v>225</v>
      </c>
      <c r="AS5" t="s">
        <v>66</v>
      </c>
      <c r="AT5" t="s">
        <v>101</v>
      </c>
      <c r="AU5" t="s">
        <v>102</v>
      </c>
      <c r="AV5" t="s">
        <v>67</v>
      </c>
      <c r="AW5" t="s">
        <v>68</v>
      </c>
      <c r="AX5" t="s">
        <v>103</v>
      </c>
      <c r="AY5" t="s">
        <v>69</v>
      </c>
      <c r="AZ5" t="s">
        <v>70</v>
      </c>
      <c r="BA5" t="s">
        <v>71</v>
      </c>
      <c r="BB5" t="s">
        <v>72</v>
      </c>
      <c r="BC5" t="s">
        <v>73</v>
      </c>
      <c r="BD5" t="s">
        <v>227</v>
      </c>
      <c r="BE5" t="s">
        <v>74</v>
      </c>
      <c r="BF5" t="s">
        <v>104</v>
      </c>
      <c r="BG5" t="s">
        <v>75</v>
      </c>
      <c r="BH5" t="s">
        <v>226</v>
      </c>
      <c r="BI5" t="s">
        <v>76</v>
      </c>
      <c r="BJ5" t="s">
        <v>77</v>
      </c>
      <c r="BK5" t="s">
        <v>78</v>
      </c>
      <c r="BL5" t="s">
        <v>79</v>
      </c>
      <c r="BM5" t="s">
        <v>80</v>
      </c>
      <c r="BN5" t="s">
        <v>105</v>
      </c>
      <c r="BO5" t="s">
        <v>81</v>
      </c>
      <c r="BP5" t="s">
        <v>82</v>
      </c>
      <c r="BQ5" t="s">
        <v>325</v>
      </c>
      <c r="BR5" t="s">
        <v>414</v>
      </c>
      <c r="BS5" t="s">
        <v>230</v>
      </c>
      <c r="BT5" t="s">
        <v>528</v>
      </c>
      <c r="BU5" t="s">
        <v>89</v>
      </c>
      <c r="BV5" t="s">
        <v>140</v>
      </c>
    </row>
    <row r="6" spans="1:74" x14ac:dyDescent="0.25">
      <c r="A6" s="147" t="s">
        <v>753</v>
      </c>
      <c r="B6" s="147" t="s">
        <v>914</v>
      </c>
      <c r="C6" s="145" t="s">
        <v>796</v>
      </c>
      <c r="D6" s="146">
        <v>45219</v>
      </c>
      <c r="E6" s="147" t="s">
        <v>915</v>
      </c>
      <c r="F6" s="147" t="s">
        <v>535</v>
      </c>
      <c r="G6" s="147" t="s">
        <v>535</v>
      </c>
      <c r="H6" s="147" t="s">
        <v>535</v>
      </c>
      <c r="I6" s="147">
        <v>0.2</v>
      </c>
      <c r="J6" s="147" t="s">
        <v>106</v>
      </c>
      <c r="K6" s="147" t="s">
        <v>784</v>
      </c>
      <c r="L6" s="145">
        <v>2.85</v>
      </c>
      <c r="M6" s="146">
        <v>45316</v>
      </c>
      <c r="N6" s="147" t="s">
        <v>110</v>
      </c>
      <c r="O6" s="147" t="s">
        <v>92</v>
      </c>
      <c r="P6" s="147" t="s">
        <v>92</v>
      </c>
      <c r="Q6" s="145"/>
      <c r="R6" s="147" t="s">
        <v>539</v>
      </c>
      <c r="S6" s="147" t="s">
        <v>579</v>
      </c>
      <c r="T6" s="147" t="s">
        <v>92</v>
      </c>
      <c r="U6" s="147" t="s">
        <v>537</v>
      </c>
      <c r="V6" s="145">
        <v>100</v>
      </c>
      <c r="W6" s="145"/>
      <c r="X6" s="147" t="s">
        <v>550</v>
      </c>
      <c r="Y6" s="147" t="s">
        <v>92</v>
      </c>
      <c r="Z6" s="147" t="s">
        <v>92</v>
      </c>
      <c r="AA6" s="145"/>
      <c r="AB6" s="145"/>
      <c r="AC6" s="145"/>
      <c r="AD6" s="145"/>
      <c r="AE6" s="147" t="s">
        <v>758</v>
      </c>
      <c r="AF6" s="147" t="s">
        <v>327</v>
      </c>
      <c r="AG6" s="147" t="s">
        <v>580</v>
      </c>
      <c r="AH6" s="147" t="s">
        <v>535</v>
      </c>
      <c r="AI6" s="147" t="s">
        <v>92</v>
      </c>
      <c r="AJ6" s="147" t="s">
        <v>92</v>
      </c>
      <c r="AK6" s="147" t="s">
        <v>84</v>
      </c>
      <c r="AL6" s="145" t="s">
        <v>1178</v>
      </c>
      <c r="AM6" s="147" t="s">
        <v>534</v>
      </c>
      <c r="AN6" s="147" t="s">
        <v>546</v>
      </c>
      <c r="AO6" s="145"/>
      <c r="AP6" s="147" t="s">
        <v>92</v>
      </c>
      <c r="AQ6" s="147" t="s">
        <v>92</v>
      </c>
      <c r="AR6" s="145" t="s">
        <v>92</v>
      </c>
      <c r="AS6" s="145" t="s">
        <v>759</v>
      </c>
      <c r="AT6" s="147">
        <v>10000</v>
      </c>
      <c r="AU6" s="145">
        <v>0.2</v>
      </c>
      <c r="AV6" s="146">
        <v>45224</v>
      </c>
      <c r="AW6" s="146"/>
      <c r="AX6" s="147">
        <v>2.85</v>
      </c>
      <c r="AY6" s="147" t="s">
        <v>92</v>
      </c>
      <c r="AZ6" s="146">
        <v>45316</v>
      </c>
      <c r="BA6" s="147" t="s">
        <v>760</v>
      </c>
      <c r="BB6" s="147" t="s">
        <v>753</v>
      </c>
      <c r="BC6" s="146">
        <v>45224</v>
      </c>
      <c r="BD6" s="147" t="s">
        <v>92</v>
      </c>
      <c r="BE6" s="146">
        <v>45224</v>
      </c>
      <c r="BF6" s="147" t="s">
        <v>92</v>
      </c>
      <c r="BG6" s="147" t="s">
        <v>92</v>
      </c>
      <c r="BH6" s="147" t="s">
        <v>758</v>
      </c>
      <c r="BI6" s="147" t="s">
        <v>532</v>
      </c>
      <c r="BJ6" s="147" t="s">
        <v>532</v>
      </c>
      <c r="BK6" s="147" t="s">
        <v>531</v>
      </c>
      <c r="BL6" s="147" t="s">
        <v>530</v>
      </c>
      <c r="BM6" s="147" t="s">
        <v>529</v>
      </c>
      <c r="BN6" s="147" t="s">
        <v>92</v>
      </c>
      <c r="BO6" s="147" t="s">
        <v>92</v>
      </c>
      <c r="BP6" s="147" t="s">
        <v>92</v>
      </c>
      <c r="BQ6" s="147" t="s">
        <v>92</v>
      </c>
      <c r="BR6" s="147" t="s">
        <v>242</v>
      </c>
      <c r="BS6" s="45"/>
      <c r="BT6" t="s">
        <v>7</v>
      </c>
      <c r="BU6" s="147" t="s">
        <v>12</v>
      </c>
      <c r="BV6" s="145" t="s">
        <v>799</v>
      </c>
    </row>
    <row r="7" spans="1:74" x14ac:dyDescent="0.25">
      <c r="A7" s="147" t="s">
        <v>590</v>
      </c>
      <c r="B7" s="147" t="s">
        <v>1179</v>
      </c>
      <c r="C7" s="145" t="s">
        <v>1150</v>
      </c>
      <c r="D7" s="146">
        <v>45219</v>
      </c>
      <c r="E7" s="147" t="s">
        <v>1180</v>
      </c>
      <c r="F7" s="147" t="s">
        <v>1181</v>
      </c>
      <c r="G7" s="147" t="s">
        <v>554</v>
      </c>
      <c r="H7" s="147" t="s">
        <v>535</v>
      </c>
      <c r="I7" s="147">
        <v>0.25</v>
      </c>
      <c r="J7" s="147" t="s">
        <v>85</v>
      </c>
      <c r="K7" s="147" t="s">
        <v>1182</v>
      </c>
      <c r="L7" s="145">
        <v>6.1</v>
      </c>
      <c r="M7" s="146">
        <v>45408</v>
      </c>
      <c r="N7" s="147" t="s">
        <v>110</v>
      </c>
      <c r="O7" s="147" t="s">
        <v>92</v>
      </c>
      <c r="P7" s="147" t="s">
        <v>92</v>
      </c>
      <c r="Q7" s="145"/>
      <c r="R7" s="147" t="s">
        <v>92</v>
      </c>
      <c r="S7" s="147" t="s">
        <v>538</v>
      </c>
      <c r="T7" s="147" t="s">
        <v>92</v>
      </c>
      <c r="U7" s="147" t="s">
        <v>537</v>
      </c>
      <c r="V7" s="145"/>
      <c r="W7" s="145"/>
      <c r="X7" s="147" t="s">
        <v>921</v>
      </c>
      <c r="Y7" s="147" t="s">
        <v>988</v>
      </c>
      <c r="Z7" s="147" t="s">
        <v>92</v>
      </c>
      <c r="AA7" s="145"/>
      <c r="AB7" s="145"/>
      <c r="AC7" s="145"/>
      <c r="AD7" s="145"/>
      <c r="AE7" s="147" t="s">
        <v>1183</v>
      </c>
      <c r="AF7" s="147" t="s">
        <v>327</v>
      </c>
      <c r="AG7" s="147" t="s">
        <v>1184</v>
      </c>
      <c r="AH7" s="147" t="s">
        <v>535</v>
      </c>
      <c r="AI7" s="147" t="s">
        <v>92</v>
      </c>
      <c r="AJ7" s="147" t="s">
        <v>92</v>
      </c>
      <c r="AK7" s="147" t="s">
        <v>84</v>
      </c>
      <c r="AL7" s="145" t="s">
        <v>1185</v>
      </c>
      <c r="AM7" s="147" t="s">
        <v>991</v>
      </c>
      <c r="AN7" s="147" t="s">
        <v>543</v>
      </c>
      <c r="AO7" s="145"/>
      <c r="AP7" s="147" t="s">
        <v>92</v>
      </c>
      <c r="AQ7" s="147" t="s">
        <v>92</v>
      </c>
      <c r="AR7" s="145" t="s">
        <v>92</v>
      </c>
      <c r="AS7" s="145" t="s">
        <v>1186</v>
      </c>
      <c r="AT7" s="147">
        <v>1000</v>
      </c>
      <c r="AU7" s="145">
        <v>0.25</v>
      </c>
      <c r="AV7" s="146">
        <v>45225</v>
      </c>
      <c r="AW7" s="146"/>
      <c r="AX7" s="147">
        <v>6.1</v>
      </c>
      <c r="AY7" s="147" t="s">
        <v>92</v>
      </c>
      <c r="AZ7" s="146">
        <v>45408</v>
      </c>
      <c r="BA7" s="147" t="s">
        <v>1187</v>
      </c>
      <c r="BB7" s="147" t="s">
        <v>92</v>
      </c>
      <c r="BC7" s="146">
        <v>45225</v>
      </c>
      <c r="BD7" s="147" t="s">
        <v>92</v>
      </c>
      <c r="BE7" s="146">
        <v>45225</v>
      </c>
      <c r="BF7" s="147" t="s">
        <v>92</v>
      </c>
      <c r="BG7" s="147" t="s">
        <v>92</v>
      </c>
      <c r="BH7" s="147" t="s">
        <v>1183</v>
      </c>
      <c r="BI7" s="147" t="s">
        <v>532</v>
      </c>
      <c r="BJ7" s="147" t="s">
        <v>532</v>
      </c>
      <c r="BK7" s="147" t="s">
        <v>531</v>
      </c>
      <c r="BL7" s="147" t="s">
        <v>530</v>
      </c>
      <c r="BM7" s="147" t="s">
        <v>529</v>
      </c>
      <c r="BN7" s="147" t="s">
        <v>92</v>
      </c>
      <c r="BO7" s="147" t="s">
        <v>92</v>
      </c>
      <c r="BP7" s="147" t="s">
        <v>92</v>
      </c>
      <c r="BQ7" s="147" t="s">
        <v>92</v>
      </c>
      <c r="BR7" s="147" t="s">
        <v>242</v>
      </c>
      <c r="BS7" s="45"/>
      <c r="BT7" t="s">
        <v>7</v>
      </c>
      <c r="BU7" s="147" t="s">
        <v>144</v>
      </c>
      <c r="BV7" s="145" t="s">
        <v>1154</v>
      </c>
    </row>
    <row r="8" spans="1:74" x14ac:dyDescent="0.25">
      <c r="A8" s="147" t="s">
        <v>1165</v>
      </c>
      <c r="B8" s="147" t="s">
        <v>1188</v>
      </c>
      <c r="C8" s="145" t="s">
        <v>1164</v>
      </c>
      <c r="D8" s="146">
        <v>45219</v>
      </c>
      <c r="E8" s="147" t="s">
        <v>1189</v>
      </c>
      <c r="F8" s="147" t="s">
        <v>535</v>
      </c>
      <c r="G8" s="147" t="s">
        <v>535</v>
      </c>
      <c r="H8" s="147" t="s">
        <v>535</v>
      </c>
      <c r="I8" s="147">
        <v>1.1000000000000001</v>
      </c>
      <c r="J8" s="147" t="s">
        <v>85</v>
      </c>
      <c r="K8" s="147" t="s">
        <v>541</v>
      </c>
      <c r="L8" s="145">
        <v>7.9</v>
      </c>
      <c r="M8" s="146">
        <v>46322</v>
      </c>
      <c r="N8" s="147" t="s">
        <v>110</v>
      </c>
      <c r="O8" s="147" t="s">
        <v>92</v>
      </c>
      <c r="P8" s="147" t="s">
        <v>92</v>
      </c>
      <c r="Q8" s="145"/>
      <c r="R8" s="147" t="s">
        <v>539</v>
      </c>
      <c r="S8" s="147" t="s">
        <v>538</v>
      </c>
      <c r="T8" s="147" t="s">
        <v>92</v>
      </c>
      <c r="U8" s="147" t="s">
        <v>537</v>
      </c>
      <c r="V8" s="145">
        <v>100</v>
      </c>
      <c r="W8" s="145"/>
      <c r="X8" s="147" t="s">
        <v>1190</v>
      </c>
      <c r="Y8" s="147" t="s">
        <v>1191</v>
      </c>
      <c r="Z8" s="147" t="s">
        <v>1192</v>
      </c>
      <c r="AA8" s="145"/>
      <c r="AB8" s="145"/>
      <c r="AC8" s="145"/>
      <c r="AD8" s="145"/>
      <c r="AE8" s="147" t="s">
        <v>1193</v>
      </c>
      <c r="AF8" s="147" t="s">
        <v>327</v>
      </c>
      <c r="AG8" s="147" t="s">
        <v>536</v>
      </c>
      <c r="AH8" s="147" t="s">
        <v>535</v>
      </c>
      <c r="AI8" s="147" t="s">
        <v>548</v>
      </c>
      <c r="AJ8" s="147" t="s">
        <v>92</v>
      </c>
      <c r="AK8" s="147" t="s">
        <v>1</v>
      </c>
      <c r="AL8" s="145" t="s">
        <v>931</v>
      </c>
      <c r="AM8" s="147" t="s">
        <v>534</v>
      </c>
      <c r="AN8" s="147" t="s">
        <v>546</v>
      </c>
      <c r="AO8" s="145"/>
      <c r="AP8" s="147" t="s">
        <v>92</v>
      </c>
      <c r="AQ8" s="147" t="s">
        <v>92</v>
      </c>
      <c r="AR8" s="145" t="s">
        <v>92</v>
      </c>
      <c r="AS8" s="145" t="s">
        <v>1194</v>
      </c>
      <c r="AT8" s="147">
        <v>1000</v>
      </c>
      <c r="AU8" s="145">
        <v>1.1000000000000001</v>
      </c>
      <c r="AV8" s="146">
        <v>45226</v>
      </c>
      <c r="AW8" s="146"/>
      <c r="AX8" s="147">
        <v>7.9</v>
      </c>
      <c r="AY8" s="147" t="s">
        <v>92</v>
      </c>
      <c r="AZ8" s="146">
        <v>45409</v>
      </c>
      <c r="BA8" s="147" t="s">
        <v>1165</v>
      </c>
      <c r="BB8" s="147" t="s">
        <v>92</v>
      </c>
      <c r="BC8" s="146">
        <v>45226</v>
      </c>
      <c r="BD8" s="147" t="s">
        <v>92</v>
      </c>
      <c r="BE8" s="146">
        <v>45226</v>
      </c>
      <c r="BF8" s="147" t="s">
        <v>92</v>
      </c>
      <c r="BG8" s="147" t="s">
        <v>92</v>
      </c>
      <c r="BH8" s="147" t="s">
        <v>1193</v>
      </c>
      <c r="BI8" s="147" t="s">
        <v>532</v>
      </c>
      <c r="BJ8" s="147" t="s">
        <v>532</v>
      </c>
      <c r="BK8" s="147" t="s">
        <v>531</v>
      </c>
      <c r="BL8" s="147" t="s">
        <v>530</v>
      </c>
      <c r="BM8" s="147" t="s">
        <v>529</v>
      </c>
      <c r="BN8" s="147" t="s">
        <v>92</v>
      </c>
      <c r="BO8" s="147" t="s">
        <v>131</v>
      </c>
      <c r="BP8" s="147" t="s">
        <v>92</v>
      </c>
      <c r="BQ8" s="147" t="s">
        <v>92</v>
      </c>
      <c r="BR8" s="147" t="s">
        <v>242</v>
      </c>
      <c r="BS8" s="45"/>
      <c r="BT8" t="s">
        <v>7</v>
      </c>
      <c r="BU8" s="147" t="s">
        <v>22</v>
      </c>
      <c r="BV8" s="145" t="s">
        <v>1168</v>
      </c>
    </row>
    <row r="9" spans="1:74" x14ac:dyDescent="0.25">
      <c r="A9" s="147" t="s">
        <v>1156</v>
      </c>
      <c r="B9" s="147" t="s">
        <v>1195</v>
      </c>
      <c r="C9" s="145" t="s">
        <v>1155</v>
      </c>
      <c r="D9" s="146">
        <v>45219</v>
      </c>
      <c r="E9" s="147" t="s">
        <v>1196</v>
      </c>
      <c r="F9" s="147" t="s">
        <v>1197</v>
      </c>
      <c r="G9" s="147" t="s">
        <v>1198</v>
      </c>
      <c r="H9" s="147" t="s">
        <v>535</v>
      </c>
      <c r="I9" s="147">
        <v>0.2</v>
      </c>
      <c r="J9" s="147" t="s">
        <v>85</v>
      </c>
      <c r="K9" s="147" t="s">
        <v>1199</v>
      </c>
      <c r="L9" s="145"/>
      <c r="M9" s="146">
        <v>45411</v>
      </c>
      <c r="N9" s="147" t="s">
        <v>110</v>
      </c>
      <c r="O9" s="147" t="s">
        <v>92</v>
      </c>
      <c r="P9" s="147" t="s">
        <v>92</v>
      </c>
      <c r="Q9" s="145"/>
      <c r="R9" s="147" t="s">
        <v>539</v>
      </c>
      <c r="S9" s="147" t="s">
        <v>1033</v>
      </c>
      <c r="T9" s="147" t="s">
        <v>92</v>
      </c>
      <c r="U9" s="147" t="s">
        <v>537</v>
      </c>
      <c r="V9" s="145"/>
      <c r="W9" s="145"/>
      <c r="X9" s="147" t="s">
        <v>1200</v>
      </c>
      <c r="Y9" s="147" t="s">
        <v>1201</v>
      </c>
      <c r="Z9" s="147" t="s">
        <v>92</v>
      </c>
      <c r="AA9" s="145"/>
      <c r="AB9" s="145"/>
      <c r="AC9" s="145"/>
      <c r="AD9" s="145"/>
      <c r="AE9" s="147" t="s">
        <v>1202</v>
      </c>
      <c r="AF9" s="147" t="s">
        <v>327</v>
      </c>
      <c r="AG9" s="147" t="s">
        <v>580</v>
      </c>
      <c r="AH9" s="147" t="s">
        <v>535</v>
      </c>
      <c r="AI9" s="147" t="s">
        <v>552</v>
      </c>
      <c r="AJ9" s="147" t="s">
        <v>92</v>
      </c>
      <c r="AK9" s="147" t="s">
        <v>84</v>
      </c>
      <c r="AL9" s="145" t="s">
        <v>1203</v>
      </c>
      <c r="AM9" s="147" t="s">
        <v>991</v>
      </c>
      <c r="AN9" s="147" t="s">
        <v>543</v>
      </c>
      <c r="AO9" s="145"/>
      <c r="AP9" s="147" t="s">
        <v>92</v>
      </c>
      <c r="AQ9" s="147" t="s">
        <v>92</v>
      </c>
      <c r="AR9" s="145" t="s">
        <v>92</v>
      </c>
      <c r="AS9" s="145" t="s">
        <v>1204</v>
      </c>
      <c r="AT9" s="147">
        <v>1000</v>
      </c>
      <c r="AU9" s="145">
        <v>0.2</v>
      </c>
      <c r="AV9" s="146">
        <v>45226</v>
      </c>
      <c r="AW9" s="146"/>
      <c r="AX9" s="147">
        <v>6.0347999999999997</v>
      </c>
      <c r="AY9" s="147" t="s">
        <v>1205</v>
      </c>
      <c r="AZ9" s="146">
        <v>45320</v>
      </c>
      <c r="BA9" s="147" t="s">
        <v>1206</v>
      </c>
      <c r="BB9" s="147" t="s">
        <v>92</v>
      </c>
      <c r="BC9" s="146">
        <v>45226</v>
      </c>
      <c r="BD9" s="147" t="s">
        <v>92</v>
      </c>
      <c r="BE9" s="146">
        <v>45226</v>
      </c>
      <c r="BF9" s="147" t="s">
        <v>92</v>
      </c>
      <c r="BG9" s="147" t="s">
        <v>92</v>
      </c>
      <c r="BH9" s="147" t="s">
        <v>1202</v>
      </c>
      <c r="BI9" s="147" t="s">
        <v>532</v>
      </c>
      <c r="BJ9" s="147" t="s">
        <v>532</v>
      </c>
      <c r="BK9" s="147" t="s">
        <v>982</v>
      </c>
      <c r="BL9" s="147" t="s">
        <v>530</v>
      </c>
      <c r="BM9" s="147" t="s">
        <v>529</v>
      </c>
      <c r="BN9" s="147" t="s">
        <v>92</v>
      </c>
      <c r="BO9" s="147" t="s">
        <v>983</v>
      </c>
      <c r="BP9" s="147" t="s">
        <v>1156</v>
      </c>
      <c r="BQ9" s="147" t="s">
        <v>92</v>
      </c>
      <c r="BR9" s="147" t="s">
        <v>242</v>
      </c>
      <c r="BS9" s="45"/>
      <c r="BT9" t="s">
        <v>7</v>
      </c>
      <c r="BU9" s="147" t="s">
        <v>13</v>
      </c>
      <c r="BV9" s="145" t="s">
        <v>1163</v>
      </c>
    </row>
    <row r="10" spans="1:74" x14ac:dyDescent="0.25">
      <c r="A10" s="147" t="s">
        <v>1170</v>
      </c>
      <c r="B10" s="147" t="s">
        <v>1207</v>
      </c>
      <c r="C10" s="145" t="s">
        <v>1169</v>
      </c>
      <c r="D10" s="146">
        <v>45219</v>
      </c>
      <c r="E10" s="147" t="s">
        <v>1208</v>
      </c>
      <c r="F10" s="147" t="s">
        <v>535</v>
      </c>
      <c r="G10" s="147" t="s">
        <v>535</v>
      </c>
      <c r="H10" s="147" t="s">
        <v>535</v>
      </c>
      <c r="I10" s="147">
        <v>2.8</v>
      </c>
      <c r="J10" s="147" t="s">
        <v>85</v>
      </c>
      <c r="K10" s="147" t="s">
        <v>541</v>
      </c>
      <c r="L10" s="145">
        <v>7.4</v>
      </c>
      <c r="M10" s="146">
        <v>46322</v>
      </c>
      <c r="N10" s="147" t="s">
        <v>540</v>
      </c>
      <c r="O10" s="147" t="s">
        <v>998</v>
      </c>
      <c r="P10" s="147" t="s">
        <v>1209</v>
      </c>
      <c r="Q10" s="145">
        <v>30</v>
      </c>
      <c r="R10" s="147" t="s">
        <v>539</v>
      </c>
      <c r="S10" s="147" t="s">
        <v>579</v>
      </c>
      <c r="T10" s="147" t="s">
        <v>92</v>
      </c>
      <c r="U10" s="147" t="s">
        <v>537</v>
      </c>
      <c r="V10" s="145">
        <v>100</v>
      </c>
      <c r="W10" s="145"/>
      <c r="X10" s="147" t="s">
        <v>763</v>
      </c>
      <c r="Y10" s="147" t="s">
        <v>1000</v>
      </c>
      <c r="Z10" s="147" t="s">
        <v>1210</v>
      </c>
      <c r="AA10" s="145"/>
      <c r="AB10" s="145"/>
      <c r="AC10" s="145"/>
      <c r="AD10" s="145"/>
      <c r="AE10" s="147" t="s">
        <v>1211</v>
      </c>
      <c r="AF10" s="147" t="s">
        <v>327</v>
      </c>
      <c r="AG10" s="147" t="s">
        <v>1212</v>
      </c>
      <c r="AH10" s="147" t="s">
        <v>535</v>
      </c>
      <c r="AI10" s="147" t="s">
        <v>552</v>
      </c>
      <c r="AJ10" s="147" t="s">
        <v>312</v>
      </c>
      <c r="AK10" s="147" t="s">
        <v>1</v>
      </c>
      <c r="AL10" s="145" t="s">
        <v>931</v>
      </c>
      <c r="AM10" s="147" t="s">
        <v>534</v>
      </c>
      <c r="AN10" s="147" t="s">
        <v>543</v>
      </c>
      <c r="AO10" s="145"/>
      <c r="AP10" s="147" t="s">
        <v>92</v>
      </c>
      <c r="AQ10" s="147" t="s">
        <v>92</v>
      </c>
      <c r="AR10" s="145" t="s">
        <v>1213</v>
      </c>
      <c r="AS10" s="145" t="s">
        <v>1214</v>
      </c>
      <c r="AT10" s="147">
        <v>1000</v>
      </c>
      <c r="AU10" s="145">
        <v>2.8</v>
      </c>
      <c r="AV10" s="146">
        <v>45226</v>
      </c>
      <c r="AW10" s="146"/>
      <c r="AX10" s="147">
        <v>7.4</v>
      </c>
      <c r="AY10" s="147" t="s">
        <v>92</v>
      </c>
      <c r="AZ10" s="146"/>
      <c r="BA10" s="147" t="s">
        <v>1215</v>
      </c>
      <c r="BB10" s="147" t="s">
        <v>1170</v>
      </c>
      <c r="BC10" s="146">
        <v>45226</v>
      </c>
      <c r="BD10" s="147" t="s">
        <v>1216</v>
      </c>
      <c r="BE10" s="146">
        <v>45226</v>
      </c>
      <c r="BF10" s="147" t="s">
        <v>92</v>
      </c>
      <c r="BG10" s="147" t="s">
        <v>1217</v>
      </c>
      <c r="BH10" s="147" t="s">
        <v>1218</v>
      </c>
      <c r="BI10" s="147" t="s">
        <v>532</v>
      </c>
      <c r="BJ10" s="147" t="s">
        <v>532</v>
      </c>
      <c r="BK10" s="147" t="s">
        <v>531</v>
      </c>
      <c r="BL10" s="147" t="s">
        <v>530</v>
      </c>
      <c r="BM10" s="147" t="s">
        <v>529</v>
      </c>
      <c r="BN10" s="147" t="s">
        <v>92</v>
      </c>
      <c r="BO10" s="147" t="s">
        <v>131</v>
      </c>
      <c r="BP10" s="147" t="s">
        <v>92</v>
      </c>
      <c r="BQ10" s="147" t="s">
        <v>92</v>
      </c>
      <c r="BR10" s="147" t="s">
        <v>242</v>
      </c>
      <c r="BS10" s="45"/>
      <c r="BT10" t="s">
        <v>7</v>
      </c>
      <c r="BU10" s="147" t="s">
        <v>10</v>
      </c>
      <c r="BV10" s="145" t="s">
        <v>1175</v>
      </c>
    </row>
    <row r="11" spans="1:74" x14ac:dyDescent="0.25">
      <c r="A11" s="147" t="s">
        <v>753</v>
      </c>
      <c r="B11" s="147" t="s">
        <v>916</v>
      </c>
      <c r="C11" s="145" t="s">
        <v>800</v>
      </c>
      <c r="D11" s="146">
        <v>45218</v>
      </c>
      <c r="E11" s="147" t="s">
        <v>917</v>
      </c>
      <c r="F11" s="147" t="s">
        <v>535</v>
      </c>
      <c r="G11" s="147" t="s">
        <v>535</v>
      </c>
      <c r="H11" s="147" t="s">
        <v>535</v>
      </c>
      <c r="I11" s="147">
        <v>0.05</v>
      </c>
      <c r="J11" s="147" t="s">
        <v>109</v>
      </c>
      <c r="K11" s="147" t="s">
        <v>784</v>
      </c>
      <c r="L11" s="145">
        <v>4.6500000000000004</v>
      </c>
      <c r="M11" s="146">
        <v>45316</v>
      </c>
      <c r="N11" s="147" t="s">
        <v>110</v>
      </c>
      <c r="O11" s="147" t="s">
        <v>92</v>
      </c>
      <c r="P11" s="147" t="s">
        <v>92</v>
      </c>
      <c r="Q11" s="145"/>
      <c r="R11" s="147" t="s">
        <v>539</v>
      </c>
      <c r="S11" s="147" t="s">
        <v>579</v>
      </c>
      <c r="T11" s="147" t="s">
        <v>92</v>
      </c>
      <c r="U11" s="147" t="s">
        <v>537</v>
      </c>
      <c r="V11" s="145">
        <v>100</v>
      </c>
      <c r="W11" s="145"/>
      <c r="X11" s="147" t="s">
        <v>550</v>
      </c>
      <c r="Y11" s="147" t="s">
        <v>92</v>
      </c>
      <c r="Z11" s="147" t="s">
        <v>92</v>
      </c>
      <c r="AA11" s="145"/>
      <c r="AB11" s="145"/>
      <c r="AC11" s="145"/>
      <c r="AD11" s="145"/>
      <c r="AE11" s="147" t="s">
        <v>758</v>
      </c>
      <c r="AF11" s="147" t="s">
        <v>327</v>
      </c>
      <c r="AG11" s="147" t="s">
        <v>580</v>
      </c>
      <c r="AH11" s="147" t="s">
        <v>535</v>
      </c>
      <c r="AI11" s="147" t="s">
        <v>92</v>
      </c>
      <c r="AJ11" s="147" t="s">
        <v>92</v>
      </c>
      <c r="AK11" s="147" t="s">
        <v>84</v>
      </c>
      <c r="AL11" s="145" t="s">
        <v>1178</v>
      </c>
      <c r="AM11" s="147" t="s">
        <v>534</v>
      </c>
      <c r="AN11" s="147" t="s">
        <v>546</v>
      </c>
      <c r="AO11" s="145"/>
      <c r="AP11" s="147" t="s">
        <v>92</v>
      </c>
      <c r="AQ11" s="147" t="s">
        <v>92</v>
      </c>
      <c r="AR11" s="145" t="s">
        <v>92</v>
      </c>
      <c r="AS11" s="145" t="s">
        <v>759</v>
      </c>
      <c r="AT11" s="147">
        <v>5000000</v>
      </c>
      <c r="AU11" s="145">
        <v>0.05</v>
      </c>
      <c r="AV11" s="146">
        <v>45224</v>
      </c>
      <c r="AW11" s="146"/>
      <c r="AX11" s="147">
        <v>4.6500000000000004</v>
      </c>
      <c r="AY11" s="147" t="s">
        <v>92</v>
      </c>
      <c r="AZ11" s="146">
        <v>45316</v>
      </c>
      <c r="BA11" s="147" t="s">
        <v>760</v>
      </c>
      <c r="BB11" s="147" t="s">
        <v>753</v>
      </c>
      <c r="BC11" s="146">
        <v>45224</v>
      </c>
      <c r="BD11" s="147" t="s">
        <v>92</v>
      </c>
      <c r="BE11" s="146">
        <v>45224</v>
      </c>
      <c r="BF11" s="147" t="s">
        <v>92</v>
      </c>
      <c r="BG11" s="147" t="s">
        <v>92</v>
      </c>
      <c r="BH11" s="147" t="s">
        <v>758</v>
      </c>
      <c r="BI11" s="147" t="s">
        <v>532</v>
      </c>
      <c r="BJ11" s="147" t="s">
        <v>532</v>
      </c>
      <c r="BK11" s="147" t="s">
        <v>531</v>
      </c>
      <c r="BL11" s="147" t="s">
        <v>530</v>
      </c>
      <c r="BM11" s="147" t="s">
        <v>529</v>
      </c>
      <c r="BN11" s="147" t="s">
        <v>92</v>
      </c>
      <c r="BO11" s="147" t="s">
        <v>92</v>
      </c>
      <c r="BP11" s="147" t="s">
        <v>92</v>
      </c>
      <c r="BQ11" s="147" t="s">
        <v>92</v>
      </c>
      <c r="BR11" s="147" t="s">
        <v>242</v>
      </c>
      <c r="BS11" s="45"/>
      <c r="BT11" t="s">
        <v>7</v>
      </c>
      <c r="BU11" s="147" t="s">
        <v>12</v>
      </c>
      <c r="BV11" s="145" t="s">
        <v>802</v>
      </c>
    </row>
    <row r="12" spans="1:74" x14ac:dyDescent="0.25">
      <c r="A12" s="147" t="s">
        <v>619</v>
      </c>
      <c r="B12" s="147" t="s">
        <v>918</v>
      </c>
      <c r="C12" s="145" t="s">
        <v>809</v>
      </c>
      <c r="D12" s="146">
        <v>45218</v>
      </c>
      <c r="E12" s="147" t="s">
        <v>919</v>
      </c>
      <c r="F12" s="147" t="s">
        <v>920</v>
      </c>
      <c r="G12" s="147" t="s">
        <v>554</v>
      </c>
      <c r="H12" s="147" t="s">
        <v>535</v>
      </c>
      <c r="I12" s="147">
        <v>2</v>
      </c>
      <c r="J12" s="147" t="s">
        <v>106</v>
      </c>
      <c r="K12" s="147" t="s">
        <v>549</v>
      </c>
      <c r="L12" s="145">
        <v>3.7</v>
      </c>
      <c r="M12" s="146">
        <v>45590</v>
      </c>
      <c r="N12" s="147" t="s">
        <v>110</v>
      </c>
      <c r="O12" s="147" t="s">
        <v>92</v>
      </c>
      <c r="P12" s="147" t="s">
        <v>92</v>
      </c>
      <c r="Q12" s="145"/>
      <c r="R12" s="147" t="s">
        <v>92</v>
      </c>
      <c r="S12" s="147" t="s">
        <v>579</v>
      </c>
      <c r="T12" s="147" t="s">
        <v>92</v>
      </c>
      <c r="U12" s="147" t="s">
        <v>537</v>
      </c>
      <c r="V12" s="145">
        <v>100</v>
      </c>
      <c r="W12" s="145"/>
      <c r="X12" s="147" t="s">
        <v>921</v>
      </c>
      <c r="Y12" s="147" t="s">
        <v>92</v>
      </c>
      <c r="Z12" s="147" t="s">
        <v>92</v>
      </c>
      <c r="AA12" s="145"/>
      <c r="AB12" s="145"/>
      <c r="AC12" s="145"/>
      <c r="AD12" s="145"/>
      <c r="AE12" s="147" t="s">
        <v>922</v>
      </c>
      <c r="AF12" s="147" t="s">
        <v>327</v>
      </c>
      <c r="AG12" s="147" t="s">
        <v>580</v>
      </c>
      <c r="AH12" s="147" t="s">
        <v>535</v>
      </c>
      <c r="AI12" s="147" t="s">
        <v>92</v>
      </c>
      <c r="AJ12" s="147" t="s">
        <v>92</v>
      </c>
      <c r="AK12" s="147" t="s">
        <v>84</v>
      </c>
      <c r="AL12" s="145" t="s">
        <v>1020</v>
      </c>
      <c r="AM12" s="147" t="s">
        <v>923</v>
      </c>
      <c r="AN12" s="147" t="s">
        <v>543</v>
      </c>
      <c r="AO12" s="145"/>
      <c r="AP12" s="147" t="s">
        <v>92</v>
      </c>
      <c r="AQ12" s="147" t="s">
        <v>92</v>
      </c>
      <c r="AR12" s="145" t="s">
        <v>92</v>
      </c>
      <c r="AS12" s="145" t="s">
        <v>924</v>
      </c>
      <c r="AT12" s="147">
        <v>1000000</v>
      </c>
      <c r="AU12" s="145">
        <v>2</v>
      </c>
      <c r="AV12" s="146">
        <v>45226</v>
      </c>
      <c r="AW12" s="146"/>
      <c r="AX12" s="147">
        <v>3.7</v>
      </c>
      <c r="AY12" s="147" t="s">
        <v>92</v>
      </c>
      <c r="AZ12" s="146">
        <v>45590</v>
      </c>
      <c r="BA12" s="147" t="s">
        <v>810</v>
      </c>
      <c r="BB12" s="147" t="s">
        <v>811</v>
      </c>
      <c r="BC12" s="146">
        <v>45226</v>
      </c>
      <c r="BD12" s="147" t="s">
        <v>92</v>
      </c>
      <c r="BE12" s="146">
        <v>45226</v>
      </c>
      <c r="BF12" s="147" t="s">
        <v>92</v>
      </c>
      <c r="BG12" s="147" t="s">
        <v>92</v>
      </c>
      <c r="BH12" s="147" t="s">
        <v>922</v>
      </c>
      <c r="BI12" s="147" t="s">
        <v>532</v>
      </c>
      <c r="BJ12" s="147" t="s">
        <v>532</v>
      </c>
      <c r="BK12" s="147" t="s">
        <v>531</v>
      </c>
      <c r="BL12" s="147" t="s">
        <v>530</v>
      </c>
      <c r="BM12" s="147" t="s">
        <v>529</v>
      </c>
      <c r="BN12" s="147" t="s">
        <v>92</v>
      </c>
      <c r="BO12" s="147" t="s">
        <v>92</v>
      </c>
      <c r="BP12" s="147" t="s">
        <v>92</v>
      </c>
      <c r="BQ12" s="147" t="s">
        <v>92</v>
      </c>
      <c r="BR12" s="147" t="s">
        <v>242</v>
      </c>
      <c r="BS12" s="45"/>
      <c r="BT12" t="s">
        <v>7</v>
      </c>
      <c r="BU12" s="147" t="s">
        <v>144</v>
      </c>
      <c r="BV12" s="145" t="s">
        <v>814</v>
      </c>
    </row>
    <row r="13" spans="1:74" x14ac:dyDescent="0.25">
      <c r="A13" s="147" t="s">
        <v>816</v>
      </c>
      <c r="B13" s="147" t="s">
        <v>925</v>
      </c>
      <c r="C13" s="145" t="s">
        <v>815</v>
      </c>
      <c r="D13" s="146">
        <v>45218</v>
      </c>
      <c r="E13" s="147" t="s">
        <v>926</v>
      </c>
      <c r="F13" s="147" t="s">
        <v>535</v>
      </c>
      <c r="G13" s="147" t="s">
        <v>535</v>
      </c>
      <c r="H13" s="147" t="s">
        <v>535</v>
      </c>
      <c r="I13" s="147">
        <v>106</v>
      </c>
      <c r="J13" s="147" t="s">
        <v>262</v>
      </c>
      <c r="K13" s="147" t="s">
        <v>541</v>
      </c>
      <c r="L13" s="145">
        <v>1.4</v>
      </c>
      <c r="M13" s="146">
        <v>46320</v>
      </c>
      <c r="N13" s="147" t="s">
        <v>540</v>
      </c>
      <c r="O13" s="147" t="s">
        <v>927</v>
      </c>
      <c r="P13" s="147" t="s">
        <v>928</v>
      </c>
      <c r="Q13" s="145">
        <v>30</v>
      </c>
      <c r="R13" s="147" t="s">
        <v>539</v>
      </c>
      <c r="S13" s="147" t="s">
        <v>544</v>
      </c>
      <c r="T13" s="147" t="s">
        <v>929</v>
      </c>
      <c r="U13" s="147" t="s">
        <v>537</v>
      </c>
      <c r="V13" s="145">
        <v>100</v>
      </c>
      <c r="W13" s="145"/>
      <c r="X13" s="147" t="s">
        <v>776</v>
      </c>
      <c r="Y13" s="147" t="s">
        <v>775</v>
      </c>
      <c r="Z13" s="147" t="s">
        <v>1219</v>
      </c>
      <c r="AA13" s="145"/>
      <c r="AB13" s="145"/>
      <c r="AC13" s="145"/>
      <c r="AD13" s="145"/>
      <c r="AE13" s="147" t="s">
        <v>930</v>
      </c>
      <c r="AF13" s="147" t="s">
        <v>327</v>
      </c>
      <c r="AG13" s="147" t="s">
        <v>536</v>
      </c>
      <c r="AH13" s="147" t="s">
        <v>535</v>
      </c>
      <c r="AI13" s="147" t="s">
        <v>409</v>
      </c>
      <c r="AJ13" s="147" t="s">
        <v>92</v>
      </c>
      <c r="AK13" s="147" t="s">
        <v>1</v>
      </c>
      <c r="AL13" s="145" t="s">
        <v>1085</v>
      </c>
      <c r="AM13" s="147" t="s">
        <v>534</v>
      </c>
      <c r="AN13" s="147" t="s">
        <v>546</v>
      </c>
      <c r="AO13" s="145"/>
      <c r="AP13" s="147" t="s">
        <v>92</v>
      </c>
      <c r="AQ13" s="147" t="s">
        <v>92</v>
      </c>
      <c r="AR13" s="145" t="s">
        <v>932</v>
      </c>
      <c r="AS13" s="145" t="s">
        <v>933</v>
      </c>
      <c r="AT13" s="147">
        <v>10000000</v>
      </c>
      <c r="AU13" s="145">
        <v>106</v>
      </c>
      <c r="AV13" s="146">
        <v>45224</v>
      </c>
      <c r="AW13" s="146"/>
      <c r="AX13" s="147">
        <v>1.4</v>
      </c>
      <c r="AY13" s="147" t="s">
        <v>92</v>
      </c>
      <c r="AZ13" s="146">
        <v>45407</v>
      </c>
      <c r="BA13" s="147" t="s">
        <v>816</v>
      </c>
      <c r="BB13" s="147" t="s">
        <v>92</v>
      </c>
      <c r="BC13" s="146">
        <v>45224</v>
      </c>
      <c r="BD13" s="147" t="s">
        <v>928</v>
      </c>
      <c r="BE13" s="146">
        <v>45224</v>
      </c>
      <c r="BF13" s="147" t="s">
        <v>542</v>
      </c>
      <c r="BG13" s="147" t="s">
        <v>934</v>
      </c>
      <c r="BH13" s="147" t="s">
        <v>935</v>
      </c>
      <c r="BI13" s="147" t="s">
        <v>532</v>
      </c>
      <c r="BJ13" s="147" t="s">
        <v>532</v>
      </c>
      <c r="BK13" s="147" t="s">
        <v>531</v>
      </c>
      <c r="BL13" s="147" t="s">
        <v>530</v>
      </c>
      <c r="BM13" s="147" t="s">
        <v>529</v>
      </c>
      <c r="BN13" s="147" t="s">
        <v>92</v>
      </c>
      <c r="BO13" s="147" t="s">
        <v>131</v>
      </c>
      <c r="BP13" s="147" t="s">
        <v>92</v>
      </c>
      <c r="BQ13" s="147" t="s">
        <v>92</v>
      </c>
      <c r="BR13" s="147" t="s">
        <v>242</v>
      </c>
      <c r="BS13" s="45"/>
      <c r="BT13" t="s">
        <v>7</v>
      </c>
      <c r="BU13" s="147" t="s">
        <v>19</v>
      </c>
      <c r="BV13" s="145" t="s">
        <v>820</v>
      </c>
    </row>
    <row r="14" spans="1:74" x14ac:dyDescent="0.25">
      <c r="A14" s="147" t="s">
        <v>753</v>
      </c>
      <c r="B14" s="147" t="s">
        <v>936</v>
      </c>
      <c r="C14" s="145" t="s">
        <v>821</v>
      </c>
      <c r="D14" s="146">
        <v>45217</v>
      </c>
      <c r="E14" s="147" t="s">
        <v>937</v>
      </c>
      <c r="F14" s="147" t="s">
        <v>535</v>
      </c>
      <c r="G14" s="147" t="s">
        <v>535</v>
      </c>
      <c r="H14" s="147" t="s">
        <v>535</v>
      </c>
      <c r="I14" s="147">
        <v>0.25700000000000001</v>
      </c>
      <c r="J14" s="147" t="s">
        <v>106</v>
      </c>
      <c r="K14" s="147" t="s">
        <v>938</v>
      </c>
      <c r="L14" s="145">
        <v>6.7</v>
      </c>
      <c r="M14" s="146">
        <v>45583</v>
      </c>
      <c r="N14" s="147" t="s">
        <v>110</v>
      </c>
      <c r="O14" s="147" t="s">
        <v>92</v>
      </c>
      <c r="P14" s="147" t="s">
        <v>92</v>
      </c>
      <c r="Q14" s="145"/>
      <c r="R14" s="147" t="s">
        <v>92</v>
      </c>
      <c r="S14" s="147" t="s">
        <v>579</v>
      </c>
      <c r="T14" s="147" t="s">
        <v>92</v>
      </c>
      <c r="U14" s="147" t="s">
        <v>537</v>
      </c>
      <c r="V14" s="145">
        <v>100</v>
      </c>
      <c r="W14" s="145"/>
      <c r="X14" s="147" t="s">
        <v>550</v>
      </c>
      <c r="Y14" s="147" t="s">
        <v>92</v>
      </c>
      <c r="Z14" s="147" t="s">
        <v>92</v>
      </c>
      <c r="AA14" s="145"/>
      <c r="AB14" s="145"/>
      <c r="AC14" s="145"/>
      <c r="AD14" s="145"/>
      <c r="AE14" s="147" t="s">
        <v>758</v>
      </c>
      <c r="AF14" s="147" t="s">
        <v>327</v>
      </c>
      <c r="AG14" s="147" t="s">
        <v>580</v>
      </c>
      <c r="AH14" s="147" t="s">
        <v>535</v>
      </c>
      <c r="AI14" s="147" t="s">
        <v>92</v>
      </c>
      <c r="AJ14" s="147" t="s">
        <v>92</v>
      </c>
      <c r="AK14" s="147" t="s">
        <v>84</v>
      </c>
      <c r="AL14" s="145" t="s">
        <v>1220</v>
      </c>
      <c r="AM14" s="147" t="s">
        <v>534</v>
      </c>
      <c r="AN14" s="147" t="s">
        <v>546</v>
      </c>
      <c r="AO14" s="145"/>
      <c r="AP14" s="147" t="s">
        <v>92</v>
      </c>
      <c r="AQ14" s="147" t="s">
        <v>92</v>
      </c>
      <c r="AR14" s="145" t="s">
        <v>92</v>
      </c>
      <c r="AS14" s="145" t="s">
        <v>759</v>
      </c>
      <c r="AT14" s="147">
        <v>1000</v>
      </c>
      <c r="AU14" s="145">
        <v>0.25700000000000001</v>
      </c>
      <c r="AV14" s="146">
        <v>45224</v>
      </c>
      <c r="AW14" s="146"/>
      <c r="AX14" s="147">
        <v>6.7</v>
      </c>
      <c r="AY14" s="147" t="s">
        <v>92</v>
      </c>
      <c r="AZ14" s="146">
        <v>45405</v>
      </c>
      <c r="BA14" s="147" t="s">
        <v>760</v>
      </c>
      <c r="BB14" s="147" t="s">
        <v>753</v>
      </c>
      <c r="BC14" s="146">
        <v>45224</v>
      </c>
      <c r="BD14" s="147" t="s">
        <v>92</v>
      </c>
      <c r="BE14" s="146">
        <v>45224</v>
      </c>
      <c r="BF14" s="147" t="s">
        <v>92</v>
      </c>
      <c r="BG14" s="147" t="s">
        <v>92</v>
      </c>
      <c r="BH14" s="147" t="s">
        <v>758</v>
      </c>
      <c r="BI14" s="147" t="s">
        <v>532</v>
      </c>
      <c r="BJ14" s="147" t="s">
        <v>532</v>
      </c>
      <c r="BK14" s="147" t="s">
        <v>531</v>
      </c>
      <c r="BL14" s="147" t="s">
        <v>530</v>
      </c>
      <c r="BM14" s="147" t="s">
        <v>761</v>
      </c>
      <c r="BN14" s="147" t="s">
        <v>92</v>
      </c>
      <c r="BO14" s="147" t="s">
        <v>131</v>
      </c>
      <c r="BP14" s="147" t="s">
        <v>92</v>
      </c>
      <c r="BQ14" s="147" t="s">
        <v>92</v>
      </c>
      <c r="BR14" s="147" t="s">
        <v>242</v>
      </c>
      <c r="BS14" s="45"/>
      <c r="BT14" t="s">
        <v>7</v>
      </c>
      <c r="BU14" s="147" t="s">
        <v>12</v>
      </c>
      <c r="BV14" s="145" t="s">
        <v>823</v>
      </c>
    </row>
    <row r="15" spans="1:74" x14ac:dyDescent="0.25">
      <c r="A15" s="147" t="s">
        <v>847</v>
      </c>
      <c r="B15" s="147" t="s">
        <v>940</v>
      </c>
      <c r="C15" s="145" t="s">
        <v>857</v>
      </c>
      <c r="D15" s="146">
        <v>45217</v>
      </c>
      <c r="E15" s="147" t="s">
        <v>941</v>
      </c>
      <c r="F15" s="147" t="s">
        <v>555</v>
      </c>
      <c r="G15" s="147" t="s">
        <v>554</v>
      </c>
      <c r="H15" s="147" t="s">
        <v>535</v>
      </c>
      <c r="I15" s="147">
        <v>16</v>
      </c>
      <c r="J15" s="147" t="s">
        <v>106</v>
      </c>
      <c r="K15" s="147" t="s">
        <v>942</v>
      </c>
      <c r="L15" s="145">
        <v>3.2</v>
      </c>
      <c r="M15" s="146">
        <v>45955</v>
      </c>
      <c r="N15" s="147" t="s">
        <v>943</v>
      </c>
      <c r="O15" s="147" t="s">
        <v>944</v>
      </c>
      <c r="P15" s="147" t="s">
        <v>945</v>
      </c>
      <c r="Q15" s="145">
        <v>35</v>
      </c>
      <c r="R15" s="147" t="s">
        <v>539</v>
      </c>
      <c r="S15" s="147" t="s">
        <v>538</v>
      </c>
      <c r="T15" s="147" t="s">
        <v>92</v>
      </c>
      <c r="U15" s="147" t="s">
        <v>537</v>
      </c>
      <c r="V15" s="145">
        <v>100</v>
      </c>
      <c r="W15" s="145"/>
      <c r="X15" s="147" t="s">
        <v>550</v>
      </c>
      <c r="Y15" s="147" t="s">
        <v>553</v>
      </c>
      <c r="Z15" s="147" t="s">
        <v>92</v>
      </c>
      <c r="AA15" s="145"/>
      <c r="AB15" s="145"/>
      <c r="AC15" s="145"/>
      <c r="AD15" s="145"/>
      <c r="AE15" s="147" t="s">
        <v>946</v>
      </c>
      <c r="AF15" s="147" t="s">
        <v>327</v>
      </c>
      <c r="AG15" s="147" t="s">
        <v>444</v>
      </c>
      <c r="AH15" s="147" t="s">
        <v>535</v>
      </c>
      <c r="AI15" s="147" t="s">
        <v>552</v>
      </c>
      <c r="AJ15" s="147" t="s">
        <v>312</v>
      </c>
      <c r="AK15" s="147" t="s">
        <v>84</v>
      </c>
      <c r="AL15" s="145" t="s">
        <v>1221</v>
      </c>
      <c r="AM15" s="147" t="s">
        <v>551</v>
      </c>
      <c r="AN15" s="147" t="s">
        <v>543</v>
      </c>
      <c r="AO15" s="145"/>
      <c r="AP15" s="147" t="s">
        <v>92</v>
      </c>
      <c r="AQ15" s="147" t="s">
        <v>92</v>
      </c>
      <c r="AR15" s="145" t="s">
        <v>947</v>
      </c>
      <c r="AS15" s="145" t="s">
        <v>948</v>
      </c>
      <c r="AT15" s="147">
        <v>10000</v>
      </c>
      <c r="AU15" s="145">
        <v>16</v>
      </c>
      <c r="AV15" s="146">
        <v>45224</v>
      </c>
      <c r="AW15" s="146"/>
      <c r="AX15" s="147">
        <v>3.2</v>
      </c>
      <c r="AY15" s="147" t="s">
        <v>92</v>
      </c>
      <c r="AZ15" s="146">
        <v>45407</v>
      </c>
      <c r="BA15" s="147" t="s">
        <v>949</v>
      </c>
      <c r="BB15" s="147" t="s">
        <v>92</v>
      </c>
      <c r="BC15" s="146">
        <v>45224</v>
      </c>
      <c r="BD15" s="147" t="s">
        <v>945</v>
      </c>
      <c r="BE15" s="146">
        <v>45224</v>
      </c>
      <c r="BF15" s="147" t="s">
        <v>92</v>
      </c>
      <c r="BG15" s="147" t="s">
        <v>950</v>
      </c>
      <c r="BH15" s="147" t="s">
        <v>951</v>
      </c>
      <c r="BI15" s="147" t="s">
        <v>532</v>
      </c>
      <c r="BJ15" s="147" t="s">
        <v>532</v>
      </c>
      <c r="BK15" s="147" t="s">
        <v>531</v>
      </c>
      <c r="BL15" s="147" t="s">
        <v>530</v>
      </c>
      <c r="BM15" s="147" t="s">
        <v>529</v>
      </c>
      <c r="BN15" s="147" t="s">
        <v>92</v>
      </c>
      <c r="BO15" s="147" t="s">
        <v>131</v>
      </c>
      <c r="BP15" s="147" t="s">
        <v>92</v>
      </c>
      <c r="BQ15" s="147" t="s">
        <v>92</v>
      </c>
      <c r="BR15" s="147" t="s">
        <v>242</v>
      </c>
      <c r="BS15" s="45"/>
      <c r="BT15" t="s">
        <v>7</v>
      </c>
      <c r="BU15" s="147" t="s">
        <v>12</v>
      </c>
      <c r="BV15" s="145" t="s">
        <v>860</v>
      </c>
    </row>
    <row r="16" spans="1:74" x14ac:dyDescent="0.25">
      <c r="A16" s="147" t="s">
        <v>847</v>
      </c>
      <c r="B16" s="147" t="s">
        <v>952</v>
      </c>
      <c r="C16" s="145" t="s">
        <v>854</v>
      </c>
      <c r="D16" s="146">
        <v>45217</v>
      </c>
      <c r="E16" s="147" t="s">
        <v>953</v>
      </c>
      <c r="F16" s="147" t="s">
        <v>555</v>
      </c>
      <c r="G16" s="147" t="s">
        <v>554</v>
      </c>
      <c r="H16" s="147" t="s">
        <v>535</v>
      </c>
      <c r="I16" s="147">
        <v>3</v>
      </c>
      <c r="J16" s="147" t="s">
        <v>111</v>
      </c>
      <c r="K16" s="147" t="s">
        <v>541</v>
      </c>
      <c r="L16" s="145">
        <v>4.125</v>
      </c>
      <c r="M16" s="146">
        <v>46320</v>
      </c>
      <c r="N16" s="147" t="s">
        <v>954</v>
      </c>
      <c r="O16" s="147" t="s">
        <v>955</v>
      </c>
      <c r="P16" s="147" t="s">
        <v>92</v>
      </c>
      <c r="Q16" s="145"/>
      <c r="R16" s="147" t="s">
        <v>539</v>
      </c>
      <c r="S16" s="147" t="s">
        <v>538</v>
      </c>
      <c r="T16" s="147" t="s">
        <v>92</v>
      </c>
      <c r="U16" s="147" t="s">
        <v>537</v>
      </c>
      <c r="V16" s="145">
        <v>99.745999999999995</v>
      </c>
      <c r="W16" s="145"/>
      <c r="X16" s="147" t="s">
        <v>550</v>
      </c>
      <c r="Y16" s="147" t="s">
        <v>553</v>
      </c>
      <c r="Z16" s="147" t="s">
        <v>92</v>
      </c>
      <c r="AA16" s="145"/>
      <c r="AB16" s="145"/>
      <c r="AC16" s="145"/>
      <c r="AD16" s="145"/>
      <c r="AE16" s="147" t="s">
        <v>956</v>
      </c>
      <c r="AF16" s="147" t="s">
        <v>327</v>
      </c>
      <c r="AG16" s="147" t="s">
        <v>444</v>
      </c>
      <c r="AH16" s="147" t="s">
        <v>535</v>
      </c>
      <c r="AI16" s="147" t="s">
        <v>552</v>
      </c>
      <c r="AJ16" s="147" t="s">
        <v>312</v>
      </c>
      <c r="AK16" s="147" t="s">
        <v>84</v>
      </c>
      <c r="AL16" s="145" t="s">
        <v>1085</v>
      </c>
      <c r="AM16" s="147" t="s">
        <v>551</v>
      </c>
      <c r="AN16" s="147" t="s">
        <v>543</v>
      </c>
      <c r="AO16" s="145"/>
      <c r="AP16" s="147" t="s">
        <v>92</v>
      </c>
      <c r="AQ16" s="147" t="s">
        <v>92</v>
      </c>
      <c r="AR16" s="145" t="s">
        <v>957</v>
      </c>
      <c r="AS16" s="145" t="s">
        <v>948</v>
      </c>
      <c r="AT16" s="147">
        <v>1000</v>
      </c>
      <c r="AU16" s="145">
        <v>3</v>
      </c>
      <c r="AV16" s="146">
        <v>45224</v>
      </c>
      <c r="AW16" s="146"/>
      <c r="AX16" s="147">
        <v>4.125</v>
      </c>
      <c r="AY16" s="147" t="s">
        <v>92</v>
      </c>
      <c r="AZ16" s="146">
        <v>45590</v>
      </c>
      <c r="BA16" s="147" t="s">
        <v>958</v>
      </c>
      <c r="BB16" s="147" t="s">
        <v>92</v>
      </c>
      <c r="BC16" s="146">
        <v>45224</v>
      </c>
      <c r="BD16" s="147" t="s">
        <v>959</v>
      </c>
      <c r="BE16" s="146">
        <v>45224</v>
      </c>
      <c r="BF16" s="147" t="s">
        <v>92</v>
      </c>
      <c r="BG16" s="147" t="s">
        <v>960</v>
      </c>
      <c r="BH16" s="147" t="s">
        <v>961</v>
      </c>
      <c r="BI16" s="147" t="s">
        <v>532</v>
      </c>
      <c r="BJ16" s="147" t="s">
        <v>532</v>
      </c>
      <c r="BK16" s="147" t="s">
        <v>531</v>
      </c>
      <c r="BL16" s="147" t="s">
        <v>530</v>
      </c>
      <c r="BM16" s="147" t="s">
        <v>529</v>
      </c>
      <c r="BN16" s="147" t="s">
        <v>92</v>
      </c>
      <c r="BO16" s="147" t="s">
        <v>545</v>
      </c>
      <c r="BP16" s="147" t="s">
        <v>92</v>
      </c>
      <c r="BQ16" s="147" t="s">
        <v>92</v>
      </c>
      <c r="BR16" s="147" t="s">
        <v>242</v>
      </c>
      <c r="BS16" s="45"/>
      <c r="BT16" t="s">
        <v>7</v>
      </c>
      <c r="BU16" s="147" t="s">
        <v>12</v>
      </c>
      <c r="BV16" s="145" t="s">
        <v>856</v>
      </c>
    </row>
    <row r="17" spans="1:74" x14ac:dyDescent="0.25">
      <c r="A17" s="147" t="s">
        <v>847</v>
      </c>
      <c r="B17" s="147" t="s">
        <v>962</v>
      </c>
      <c r="C17" s="145" t="s">
        <v>846</v>
      </c>
      <c r="D17" s="146">
        <v>45217</v>
      </c>
      <c r="E17" s="147" t="s">
        <v>963</v>
      </c>
      <c r="F17" s="147" t="s">
        <v>555</v>
      </c>
      <c r="G17" s="147" t="s">
        <v>554</v>
      </c>
      <c r="H17" s="147" t="s">
        <v>535</v>
      </c>
      <c r="I17" s="147">
        <v>5</v>
      </c>
      <c r="J17" s="147" t="s">
        <v>85</v>
      </c>
      <c r="K17" s="147" t="s">
        <v>541</v>
      </c>
      <c r="L17" s="145">
        <v>5.375</v>
      </c>
      <c r="M17" s="146">
        <v>46320</v>
      </c>
      <c r="N17" s="147" t="s">
        <v>964</v>
      </c>
      <c r="O17" s="147" t="s">
        <v>965</v>
      </c>
      <c r="P17" s="147" t="s">
        <v>966</v>
      </c>
      <c r="Q17" s="145">
        <v>45</v>
      </c>
      <c r="R17" s="147" t="s">
        <v>539</v>
      </c>
      <c r="S17" s="147" t="s">
        <v>538</v>
      </c>
      <c r="T17" s="147" t="s">
        <v>92</v>
      </c>
      <c r="U17" s="147" t="s">
        <v>537</v>
      </c>
      <c r="V17" s="145">
        <v>99.816999999999993</v>
      </c>
      <c r="W17" s="145">
        <v>-5.9999999999999995E-4</v>
      </c>
      <c r="X17" s="147" t="s">
        <v>550</v>
      </c>
      <c r="Y17" s="147" t="s">
        <v>553</v>
      </c>
      <c r="Z17" s="147" t="s">
        <v>92</v>
      </c>
      <c r="AA17" s="145"/>
      <c r="AB17" s="145"/>
      <c r="AC17" s="145"/>
      <c r="AD17" s="145"/>
      <c r="AE17" s="147" t="s">
        <v>967</v>
      </c>
      <c r="AF17" s="147" t="s">
        <v>327</v>
      </c>
      <c r="AG17" s="147" t="s">
        <v>444</v>
      </c>
      <c r="AH17" s="147" t="s">
        <v>535</v>
      </c>
      <c r="AI17" s="147" t="s">
        <v>552</v>
      </c>
      <c r="AJ17" s="147" t="s">
        <v>312</v>
      </c>
      <c r="AK17" s="147" t="s">
        <v>84</v>
      </c>
      <c r="AL17" s="145" t="s">
        <v>1085</v>
      </c>
      <c r="AM17" s="147" t="s">
        <v>551</v>
      </c>
      <c r="AN17" s="147" t="s">
        <v>543</v>
      </c>
      <c r="AO17" s="145"/>
      <c r="AP17" s="147" t="s">
        <v>92</v>
      </c>
      <c r="AQ17" s="147" t="s">
        <v>92</v>
      </c>
      <c r="AR17" s="145" t="s">
        <v>957</v>
      </c>
      <c r="AS17" s="145" t="s">
        <v>948</v>
      </c>
      <c r="AT17" s="147">
        <v>1000</v>
      </c>
      <c r="AU17" s="145">
        <v>5</v>
      </c>
      <c r="AV17" s="146">
        <v>45224</v>
      </c>
      <c r="AW17" s="146"/>
      <c r="AX17" s="147">
        <v>5.375</v>
      </c>
      <c r="AY17" s="147" t="s">
        <v>92</v>
      </c>
      <c r="AZ17" s="146">
        <v>45407</v>
      </c>
      <c r="BA17" s="147" t="s">
        <v>968</v>
      </c>
      <c r="BB17" s="147" t="s">
        <v>92</v>
      </c>
      <c r="BC17" s="146">
        <v>45224</v>
      </c>
      <c r="BD17" s="147" t="s">
        <v>969</v>
      </c>
      <c r="BE17" s="146">
        <v>45224</v>
      </c>
      <c r="BF17" s="147" t="s">
        <v>92</v>
      </c>
      <c r="BG17" s="147" t="s">
        <v>970</v>
      </c>
      <c r="BH17" s="147" t="s">
        <v>971</v>
      </c>
      <c r="BI17" s="147" t="s">
        <v>532</v>
      </c>
      <c r="BJ17" s="147" t="s">
        <v>532</v>
      </c>
      <c r="BK17" s="147" t="s">
        <v>531</v>
      </c>
      <c r="BL17" s="147" t="s">
        <v>530</v>
      </c>
      <c r="BM17" s="147" t="s">
        <v>529</v>
      </c>
      <c r="BN17" s="147" t="s">
        <v>92</v>
      </c>
      <c r="BO17" s="147" t="s">
        <v>131</v>
      </c>
      <c r="BP17" s="147" t="s">
        <v>92</v>
      </c>
      <c r="BQ17" s="147" t="s">
        <v>92</v>
      </c>
      <c r="BR17" s="147" t="s">
        <v>242</v>
      </c>
      <c r="BS17" s="45"/>
      <c r="BT17" t="s">
        <v>7</v>
      </c>
      <c r="BU17" s="147" t="s">
        <v>12</v>
      </c>
      <c r="BV17" s="145" t="s">
        <v>850</v>
      </c>
    </row>
    <row r="18" spans="1:74" x14ac:dyDescent="0.25">
      <c r="A18" s="147" t="s">
        <v>847</v>
      </c>
      <c r="B18" s="147" t="s">
        <v>972</v>
      </c>
      <c r="C18" s="145" t="s">
        <v>851</v>
      </c>
      <c r="D18" s="146">
        <v>45217</v>
      </c>
      <c r="E18" s="147" t="s">
        <v>973</v>
      </c>
      <c r="F18" s="147" t="s">
        <v>555</v>
      </c>
      <c r="G18" s="147" t="s">
        <v>554</v>
      </c>
      <c r="H18" s="147" t="s">
        <v>535</v>
      </c>
      <c r="I18" s="147">
        <v>10</v>
      </c>
      <c r="J18" s="147" t="s">
        <v>85</v>
      </c>
      <c r="K18" s="147" t="s">
        <v>541</v>
      </c>
      <c r="L18" s="145">
        <v>5.9454000000000002</v>
      </c>
      <c r="M18" s="146">
        <v>46320</v>
      </c>
      <c r="N18" s="147" t="s">
        <v>964</v>
      </c>
      <c r="O18" s="147" t="s">
        <v>974</v>
      </c>
      <c r="P18" s="147" t="s">
        <v>975</v>
      </c>
      <c r="Q18" s="145">
        <v>45</v>
      </c>
      <c r="R18" s="147" t="s">
        <v>539</v>
      </c>
      <c r="S18" s="147" t="s">
        <v>538</v>
      </c>
      <c r="T18" s="147" t="s">
        <v>92</v>
      </c>
      <c r="U18" s="147" t="s">
        <v>537</v>
      </c>
      <c r="V18" s="145">
        <v>100</v>
      </c>
      <c r="W18" s="145"/>
      <c r="X18" s="147" t="s">
        <v>550</v>
      </c>
      <c r="Y18" s="147" t="s">
        <v>553</v>
      </c>
      <c r="Z18" s="147" t="s">
        <v>92</v>
      </c>
      <c r="AA18" s="145"/>
      <c r="AB18" s="145"/>
      <c r="AC18" s="145"/>
      <c r="AD18" s="145"/>
      <c r="AE18" s="147" t="s">
        <v>976</v>
      </c>
      <c r="AF18" s="147" t="s">
        <v>327</v>
      </c>
      <c r="AG18" s="147" t="s">
        <v>444</v>
      </c>
      <c r="AH18" s="147" t="s">
        <v>535</v>
      </c>
      <c r="AI18" s="147" t="s">
        <v>552</v>
      </c>
      <c r="AJ18" s="147" t="s">
        <v>312</v>
      </c>
      <c r="AK18" s="147" t="s">
        <v>84</v>
      </c>
      <c r="AL18" s="145" t="s">
        <v>1085</v>
      </c>
      <c r="AM18" s="147" t="s">
        <v>551</v>
      </c>
      <c r="AN18" s="147" t="s">
        <v>543</v>
      </c>
      <c r="AO18" s="145"/>
      <c r="AP18" s="147" t="s">
        <v>92</v>
      </c>
      <c r="AQ18" s="147" t="s">
        <v>92</v>
      </c>
      <c r="AR18" s="145" t="s">
        <v>947</v>
      </c>
      <c r="AS18" s="145" t="s">
        <v>948</v>
      </c>
      <c r="AT18" s="147">
        <v>1000</v>
      </c>
      <c r="AU18" s="145">
        <v>10</v>
      </c>
      <c r="AV18" s="146">
        <v>45224</v>
      </c>
      <c r="AW18" s="146"/>
      <c r="AX18" s="147">
        <v>5.9454000000000002</v>
      </c>
      <c r="AY18" s="147" t="s">
        <v>977</v>
      </c>
      <c r="AZ18" s="146">
        <v>45316</v>
      </c>
      <c r="BA18" s="147" t="s">
        <v>978</v>
      </c>
      <c r="BB18" s="147" t="s">
        <v>92</v>
      </c>
      <c r="BC18" s="146">
        <v>45224</v>
      </c>
      <c r="BD18" s="147" t="s">
        <v>979</v>
      </c>
      <c r="BE18" s="146">
        <v>45224</v>
      </c>
      <c r="BF18" s="147" t="s">
        <v>92</v>
      </c>
      <c r="BG18" s="147" t="s">
        <v>980</v>
      </c>
      <c r="BH18" s="147" t="s">
        <v>981</v>
      </c>
      <c r="BI18" s="147" t="s">
        <v>532</v>
      </c>
      <c r="BJ18" s="147" t="s">
        <v>532</v>
      </c>
      <c r="BK18" s="147" t="s">
        <v>982</v>
      </c>
      <c r="BL18" s="147" t="s">
        <v>530</v>
      </c>
      <c r="BM18" s="147" t="s">
        <v>529</v>
      </c>
      <c r="BN18" s="147" t="s">
        <v>92</v>
      </c>
      <c r="BO18" s="147" t="s">
        <v>983</v>
      </c>
      <c r="BP18" s="147" t="s">
        <v>92</v>
      </c>
      <c r="BQ18" s="147" t="s">
        <v>92</v>
      </c>
      <c r="BR18" s="147" t="s">
        <v>242</v>
      </c>
      <c r="BS18" s="45"/>
      <c r="BT18" t="s">
        <v>7</v>
      </c>
      <c r="BU18" s="147" t="s">
        <v>12</v>
      </c>
      <c r="BV18" s="145" t="s">
        <v>853</v>
      </c>
    </row>
    <row r="19" spans="1:74" x14ac:dyDescent="0.25">
      <c r="A19" s="147" t="s">
        <v>692</v>
      </c>
      <c r="B19" s="147" t="s">
        <v>984</v>
      </c>
      <c r="C19" s="145" t="s">
        <v>831</v>
      </c>
      <c r="D19" s="146">
        <v>45217</v>
      </c>
      <c r="E19" s="147" t="s">
        <v>985</v>
      </c>
      <c r="F19" s="147" t="s">
        <v>986</v>
      </c>
      <c r="G19" s="147" t="s">
        <v>987</v>
      </c>
      <c r="H19" s="147" t="s">
        <v>535</v>
      </c>
      <c r="I19" s="147">
        <v>31.9</v>
      </c>
      <c r="J19" s="147" t="s">
        <v>106</v>
      </c>
      <c r="K19" s="147" t="s">
        <v>541</v>
      </c>
      <c r="L19" s="145">
        <v>3.5</v>
      </c>
      <c r="M19" s="146">
        <v>46320</v>
      </c>
      <c r="N19" s="147" t="s">
        <v>110</v>
      </c>
      <c r="O19" s="147" t="s">
        <v>92</v>
      </c>
      <c r="P19" s="147" t="s">
        <v>92</v>
      </c>
      <c r="Q19" s="145"/>
      <c r="R19" s="147" t="s">
        <v>539</v>
      </c>
      <c r="S19" s="147" t="s">
        <v>579</v>
      </c>
      <c r="T19" s="147" t="s">
        <v>92</v>
      </c>
      <c r="U19" s="147" t="s">
        <v>537</v>
      </c>
      <c r="V19" s="145">
        <v>100</v>
      </c>
      <c r="W19" s="145"/>
      <c r="X19" s="147" t="s">
        <v>921</v>
      </c>
      <c r="Y19" s="147" t="s">
        <v>988</v>
      </c>
      <c r="Z19" s="147" t="s">
        <v>92</v>
      </c>
      <c r="AA19" s="145"/>
      <c r="AB19" s="145"/>
      <c r="AC19" s="145"/>
      <c r="AD19" s="145"/>
      <c r="AE19" s="147" t="s">
        <v>989</v>
      </c>
      <c r="AF19" s="147" t="s">
        <v>327</v>
      </c>
      <c r="AG19" s="147" t="s">
        <v>990</v>
      </c>
      <c r="AH19" s="147" t="s">
        <v>535</v>
      </c>
      <c r="AI19" s="147" t="s">
        <v>92</v>
      </c>
      <c r="AJ19" s="147" t="s">
        <v>92</v>
      </c>
      <c r="AK19" s="147" t="s">
        <v>3</v>
      </c>
      <c r="AL19" s="145" t="s">
        <v>1085</v>
      </c>
      <c r="AM19" s="147" t="s">
        <v>991</v>
      </c>
      <c r="AN19" s="147" t="s">
        <v>543</v>
      </c>
      <c r="AO19" s="145"/>
      <c r="AP19" s="147" t="s">
        <v>92</v>
      </c>
      <c r="AQ19" s="147" t="s">
        <v>92</v>
      </c>
      <c r="AR19" s="145" t="s">
        <v>92</v>
      </c>
      <c r="AS19" s="145" t="s">
        <v>992</v>
      </c>
      <c r="AT19" s="147">
        <v>10000</v>
      </c>
      <c r="AU19" s="145">
        <v>31.9</v>
      </c>
      <c r="AV19" s="146">
        <v>45224</v>
      </c>
      <c r="AW19" s="146"/>
      <c r="AX19" s="147">
        <v>3.5</v>
      </c>
      <c r="AY19" s="147" t="s">
        <v>92</v>
      </c>
      <c r="AZ19" s="146">
        <v>45407</v>
      </c>
      <c r="BA19" s="147" t="s">
        <v>993</v>
      </c>
      <c r="BB19" s="147" t="s">
        <v>692</v>
      </c>
      <c r="BC19" s="146">
        <v>45224</v>
      </c>
      <c r="BD19" s="147" t="s">
        <v>92</v>
      </c>
      <c r="BE19" s="146">
        <v>45224</v>
      </c>
      <c r="BF19" s="147" t="s">
        <v>92</v>
      </c>
      <c r="BG19" s="147" t="s">
        <v>994</v>
      </c>
      <c r="BH19" s="147" t="s">
        <v>995</v>
      </c>
      <c r="BI19" s="147" t="s">
        <v>532</v>
      </c>
      <c r="BJ19" s="147" t="s">
        <v>532</v>
      </c>
      <c r="BK19" s="147" t="s">
        <v>531</v>
      </c>
      <c r="BL19" s="147" t="s">
        <v>530</v>
      </c>
      <c r="BM19" s="147" t="s">
        <v>529</v>
      </c>
      <c r="BN19" s="147" t="s">
        <v>92</v>
      </c>
      <c r="BO19" s="147" t="s">
        <v>131</v>
      </c>
      <c r="BP19" s="147" t="s">
        <v>92</v>
      </c>
      <c r="BQ19" s="147" t="s">
        <v>92</v>
      </c>
      <c r="BR19" s="147" t="s">
        <v>242</v>
      </c>
      <c r="BS19" s="45"/>
      <c r="BT19" t="s">
        <v>7</v>
      </c>
      <c r="BU19" s="147" t="s">
        <v>144</v>
      </c>
      <c r="BV19" s="145" t="s">
        <v>838</v>
      </c>
    </row>
    <row r="20" spans="1:74" x14ac:dyDescent="0.25">
      <c r="A20" s="147" t="s">
        <v>870</v>
      </c>
      <c r="B20" s="147" t="s">
        <v>996</v>
      </c>
      <c r="C20" s="145" t="s">
        <v>869</v>
      </c>
      <c r="D20" s="146">
        <v>45217</v>
      </c>
      <c r="E20" s="147" t="s">
        <v>997</v>
      </c>
      <c r="F20" s="147" t="s">
        <v>535</v>
      </c>
      <c r="G20" s="147" t="s">
        <v>535</v>
      </c>
      <c r="H20" s="147" t="s">
        <v>535</v>
      </c>
      <c r="I20" s="147">
        <v>3</v>
      </c>
      <c r="J20" s="147" t="s">
        <v>85</v>
      </c>
      <c r="K20" s="147" t="s">
        <v>541</v>
      </c>
      <c r="L20" s="145">
        <v>7.3</v>
      </c>
      <c r="M20" s="146">
        <v>46321</v>
      </c>
      <c r="N20" s="147" t="s">
        <v>540</v>
      </c>
      <c r="O20" s="147" t="s">
        <v>998</v>
      </c>
      <c r="P20" s="147" t="s">
        <v>999</v>
      </c>
      <c r="Q20" s="145">
        <v>40</v>
      </c>
      <c r="R20" s="147" t="s">
        <v>539</v>
      </c>
      <c r="S20" s="147" t="s">
        <v>538</v>
      </c>
      <c r="T20" s="147" t="s">
        <v>92</v>
      </c>
      <c r="U20" s="147" t="s">
        <v>537</v>
      </c>
      <c r="V20" s="145">
        <v>100</v>
      </c>
      <c r="W20" s="145"/>
      <c r="X20" s="147" t="s">
        <v>763</v>
      </c>
      <c r="Y20" s="147" t="s">
        <v>1000</v>
      </c>
      <c r="Z20" s="147" t="s">
        <v>1001</v>
      </c>
      <c r="AA20" s="145"/>
      <c r="AB20" s="145"/>
      <c r="AC20" s="145"/>
      <c r="AD20" s="145"/>
      <c r="AE20" s="147" t="s">
        <v>1002</v>
      </c>
      <c r="AF20" s="147" t="s">
        <v>327</v>
      </c>
      <c r="AG20" s="147" t="s">
        <v>772</v>
      </c>
      <c r="AH20" s="147" t="s">
        <v>535</v>
      </c>
      <c r="AI20" s="147" t="s">
        <v>409</v>
      </c>
      <c r="AJ20" s="147" t="s">
        <v>312</v>
      </c>
      <c r="AK20" s="147" t="s">
        <v>1</v>
      </c>
      <c r="AL20" s="145" t="s">
        <v>1085</v>
      </c>
      <c r="AM20" s="147" t="s">
        <v>534</v>
      </c>
      <c r="AN20" s="147" t="s">
        <v>546</v>
      </c>
      <c r="AO20" s="145"/>
      <c r="AP20" s="147" t="s">
        <v>92</v>
      </c>
      <c r="AQ20" s="147" t="s">
        <v>92</v>
      </c>
      <c r="AR20" s="145" t="s">
        <v>1003</v>
      </c>
      <c r="AS20" s="145" t="s">
        <v>1004</v>
      </c>
      <c r="AT20" s="147">
        <v>1000</v>
      </c>
      <c r="AU20" s="145">
        <v>3</v>
      </c>
      <c r="AV20" s="146">
        <v>45225</v>
      </c>
      <c r="AW20" s="146"/>
      <c r="AX20" s="147">
        <v>7.3</v>
      </c>
      <c r="AY20" s="147" t="s">
        <v>92</v>
      </c>
      <c r="AZ20" s="146">
        <v>45408</v>
      </c>
      <c r="BA20" s="147" t="s">
        <v>870</v>
      </c>
      <c r="BB20" s="147" t="s">
        <v>92</v>
      </c>
      <c r="BC20" s="146">
        <v>45225</v>
      </c>
      <c r="BD20" s="147" t="s">
        <v>999</v>
      </c>
      <c r="BE20" s="146">
        <v>45225</v>
      </c>
      <c r="BF20" s="147" t="s">
        <v>92</v>
      </c>
      <c r="BG20" s="147" t="s">
        <v>1005</v>
      </c>
      <c r="BH20" s="147" t="s">
        <v>1006</v>
      </c>
      <c r="BI20" s="147" t="s">
        <v>532</v>
      </c>
      <c r="BJ20" s="147" t="s">
        <v>532</v>
      </c>
      <c r="BK20" s="147" t="s">
        <v>531</v>
      </c>
      <c r="BL20" s="147" t="s">
        <v>530</v>
      </c>
      <c r="BM20" s="147" t="s">
        <v>529</v>
      </c>
      <c r="BN20" s="147" t="s">
        <v>92</v>
      </c>
      <c r="BO20" s="147" t="s">
        <v>131</v>
      </c>
      <c r="BP20" s="147" t="s">
        <v>92</v>
      </c>
      <c r="BQ20" s="147" t="s">
        <v>92</v>
      </c>
      <c r="BR20" s="147" t="s">
        <v>242</v>
      </c>
      <c r="BS20" s="45"/>
      <c r="BT20" t="s">
        <v>7</v>
      </c>
      <c r="BU20" s="147" t="s">
        <v>10</v>
      </c>
      <c r="BV20" s="145" t="s">
        <v>873</v>
      </c>
    </row>
    <row r="21" spans="1:74" x14ac:dyDescent="0.25">
      <c r="A21" s="147" t="s">
        <v>825</v>
      </c>
      <c r="B21" s="147" t="s">
        <v>1007</v>
      </c>
      <c r="C21" s="145" t="s">
        <v>824</v>
      </c>
      <c r="D21" s="146">
        <v>45217</v>
      </c>
      <c r="E21" s="147" t="s">
        <v>1008</v>
      </c>
      <c r="F21" s="147" t="s">
        <v>535</v>
      </c>
      <c r="G21" s="147" t="s">
        <v>535</v>
      </c>
      <c r="H21" s="147" t="s">
        <v>535</v>
      </c>
      <c r="I21" s="147">
        <v>1.7</v>
      </c>
      <c r="J21" s="147" t="s">
        <v>85</v>
      </c>
      <c r="K21" s="147" t="s">
        <v>541</v>
      </c>
      <c r="L21" s="145">
        <v>7</v>
      </c>
      <c r="M21" s="146">
        <v>46321</v>
      </c>
      <c r="N21" s="147" t="s">
        <v>540</v>
      </c>
      <c r="O21" s="147" t="s">
        <v>92</v>
      </c>
      <c r="P21" s="147" t="s">
        <v>92</v>
      </c>
      <c r="Q21" s="145"/>
      <c r="R21" s="147" t="s">
        <v>539</v>
      </c>
      <c r="S21" s="147" t="s">
        <v>579</v>
      </c>
      <c r="T21" s="147" t="s">
        <v>92</v>
      </c>
      <c r="U21" s="147" t="s">
        <v>537</v>
      </c>
      <c r="V21" s="145">
        <v>100</v>
      </c>
      <c r="W21" s="145"/>
      <c r="X21" s="147" t="s">
        <v>774</v>
      </c>
      <c r="Y21" s="147" t="s">
        <v>773</v>
      </c>
      <c r="Z21" s="147" t="s">
        <v>92</v>
      </c>
      <c r="AA21" s="145"/>
      <c r="AB21" s="145"/>
      <c r="AC21" s="145"/>
      <c r="AD21" s="145"/>
      <c r="AE21" s="147" t="s">
        <v>1009</v>
      </c>
      <c r="AF21" s="147" t="s">
        <v>327</v>
      </c>
      <c r="AG21" s="147" t="s">
        <v>1010</v>
      </c>
      <c r="AH21" s="147" t="s">
        <v>535</v>
      </c>
      <c r="AI21" s="147" t="s">
        <v>92</v>
      </c>
      <c r="AJ21" s="147" t="s">
        <v>92</v>
      </c>
      <c r="AK21" s="147" t="s">
        <v>2</v>
      </c>
      <c r="AL21" s="145" t="s">
        <v>1085</v>
      </c>
      <c r="AM21" s="147" t="s">
        <v>534</v>
      </c>
      <c r="AN21" s="147" t="s">
        <v>546</v>
      </c>
      <c r="AO21" s="145"/>
      <c r="AP21" s="147" t="s">
        <v>92</v>
      </c>
      <c r="AQ21" s="147" t="s">
        <v>92</v>
      </c>
      <c r="AR21" s="145" t="s">
        <v>92</v>
      </c>
      <c r="AS21" s="145" t="s">
        <v>1011</v>
      </c>
      <c r="AT21" s="147">
        <v>1000</v>
      </c>
      <c r="AU21" s="145">
        <v>1.7</v>
      </c>
      <c r="AV21" s="146">
        <v>45225</v>
      </c>
      <c r="AW21" s="146"/>
      <c r="AX21" s="147">
        <v>7</v>
      </c>
      <c r="AY21" s="147" t="s">
        <v>92</v>
      </c>
      <c r="AZ21" s="146">
        <v>45591</v>
      </c>
      <c r="BA21" s="147" t="s">
        <v>826</v>
      </c>
      <c r="BB21" s="147" t="s">
        <v>825</v>
      </c>
      <c r="BC21" s="146">
        <v>45225</v>
      </c>
      <c r="BD21" s="147" t="s">
        <v>92</v>
      </c>
      <c r="BE21" s="146">
        <v>45225</v>
      </c>
      <c r="BF21" s="147" t="s">
        <v>92</v>
      </c>
      <c r="BG21" s="147" t="s">
        <v>1012</v>
      </c>
      <c r="BH21" s="147" t="s">
        <v>1013</v>
      </c>
      <c r="BI21" s="147" t="s">
        <v>532</v>
      </c>
      <c r="BJ21" s="147" t="s">
        <v>532</v>
      </c>
      <c r="BK21" s="147" t="s">
        <v>531</v>
      </c>
      <c r="BL21" s="147" t="s">
        <v>530</v>
      </c>
      <c r="BM21" s="147" t="s">
        <v>529</v>
      </c>
      <c r="BN21" s="147" t="s">
        <v>92</v>
      </c>
      <c r="BO21" s="147" t="s">
        <v>545</v>
      </c>
      <c r="BP21" s="147" t="s">
        <v>92</v>
      </c>
      <c r="BQ21" s="147" t="s">
        <v>92</v>
      </c>
      <c r="BR21" s="147" t="s">
        <v>242</v>
      </c>
      <c r="BS21" s="45"/>
      <c r="BT21" t="s">
        <v>7</v>
      </c>
      <c r="BU21" s="147" t="s">
        <v>15</v>
      </c>
      <c r="BV21" s="145" t="s">
        <v>830</v>
      </c>
    </row>
    <row r="22" spans="1:74" x14ac:dyDescent="0.25">
      <c r="A22" s="147" t="s">
        <v>840</v>
      </c>
      <c r="B22" s="147" t="s">
        <v>1014</v>
      </c>
      <c r="C22" s="145" t="s">
        <v>839</v>
      </c>
      <c r="D22" s="146">
        <v>45217</v>
      </c>
      <c r="E22" s="147" t="s">
        <v>1015</v>
      </c>
      <c r="F22" s="147" t="s">
        <v>535</v>
      </c>
      <c r="G22" s="147" t="s">
        <v>535</v>
      </c>
      <c r="H22" s="147" t="s">
        <v>535</v>
      </c>
      <c r="I22" s="147">
        <v>0.6</v>
      </c>
      <c r="J22" s="147" t="s">
        <v>106</v>
      </c>
      <c r="K22" s="147" t="s">
        <v>549</v>
      </c>
      <c r="L22" s="145">
        <v>7.8</v>
      </c>
      <c r="M22" s="146">
        <v>45587</v>
      </c>
      <c r="N22" s="147" t="s">
        <v>547</v>
      </c>
      <c r="O22" s="147" t="s">
        <v>92</v>
      </c>
      <c r="P22" s="147" t="s">
        <v>1016</v>
      </c>
      <c r="Q22" s="145"/>
      <c r="R22" s="147" t="s">
        <v>539</v>
      </c>
      <c r="S22" s="147" t="s">
        <v>579</v>
      </c>
      <c r="T22" s="147" t="s">
        <v>92</v>
      </c>
      <c r="U22" s="147" t="s">
        <v>537</v>
      </c>
      <c r="V22" s="145">
        <v>100</v>
      </c>
      <c r="W22" s="145"/>
      <c r="X22" s="147" t="s">
        <v>763</v>
      </c>
      <c r="Y22" s="147" t="s">
        <v>1017</v>
      </c>
      <c r="Z22" s="147" t="s">
        <v>1018</v>
      </c>
      <c r="AA22" s="145"/>
      <c r="AB22" s="145"/>
      <c r="AC22" s="145"/>
      <c r="AD22" s="145"/>
      <c r="AE22" s="147" t="s">
        <v>1019</v>
      </c>
      <c r="AF22" s="147" t="s">
        <v>327</v>
      </c>
      <c r="AG22" s="147" t="s">
        <v>536</v>
      </c>
      <c r="AH22" s="147" t="s">
        <v>535</v>
      </c>
      <c r="AI22" s="147" t="s">
        <v>409</v>
      </c>
      <c r="AJ22" s="147" t="s">
        <v>92</v>
      </c>
      <c r="AK22" s="147" t="s">
        <v>1</v>
      </c>
      <c r="AL22" s="145" t="s">
        <v>939</v>
      </c>
      <c r="AM22" s="147" t="s">
        <v>534</v>
      </c>
      <c r="AN22" s="147" t="s">
        <v>546</v>
      </c>
      <c r="AO22" s="145"/>
      <c r="AP22" s="147" t="s">
        <v>92</v>
      </c>
      <c r="AQ22" s="147" t="s">
        <v>92</v>
      </c>
      <c r="AR22" s="145" t="s">
        <v>1021</v>
      </c>
      <c r="AS22" s="145" t="s">
        <v>1022</v>
      </c>
      <c r="AT22" s="147">
        <v>10000</v>
      </c>
      <c r="AU22" s="145">
        <v>0.6</v>
      </c>
      <c r="AV22" s="146">
        <v>45223</v>
      </c>
      <c r="AW22" s="146"/>
      <c r="AX22" s="147">
        <v>7.8</v>
      </c>
      <c r="AY22" s="147" t="s">
        <v>92</v>
      </c>
      <c r="AZ22" s="146">
        <v>45406</v>
      </c>
      <c r="BA22" s="147" t="s">
        <v>1023</v>
      </c>
      <c r="BB22" s="147" t="s">
        <v>840</v>
      </c>
      <c r="BC22" s="146">
        <v>45223</v>
      </c>
      <c r="BD22" s="147" t="s">
        <v>1024</v>
      </c>
      <c r="BE22" s="146">
        <v>45223</v>
      </c>
      <c r="BF22" s="147" t="s">
        <v>92</v>
      </c>
      <c r="BG22" s="147" t="s">
        <v>1025</v>
      </c>
      <c r="BH22" s="147" t="s">
        <v>1026</v>
      </c>
      <c r="BI22" s="147" t="s">
        <v>532</v>
      </c>
      <c r="BJ22" s="147" t="s">
        <v>532</v>
      </c>
      <c r="BK22" s="147" t="s">
        <v>531</v>
      </c>
      <c r="BL22" s="147" t="s">
        <v>530</v>
      </c>
      <c r="BM22" s="147" t="s">
        <v>529</v>
      </c>
      <c r="BN22" s="147" t="s">
        <v>92</v>
      </c>
      <c r="BO22" s="147" t="s">
        <v>131</v>
      </c>
      <c r="BP22" s="147" t="s">
        <v>92</v>
      </c>
      <c r="BQ22" s="147" t="s">
        <v>92</v>
      </c>
      <c r="BR22" s="147" t="s">
        <v>242</v>
      </c>
      <c r="BS22" s="45"/>
      <c r="BT22" t="s">
        <v>7</v>
      </c>
      <c r="BU22" s="147" t="s">
        <v>10</v>
      </c>
      <c r="BV22" s="145" t="s">
        <v>845</v>
      </c>
    </row>
    <row r="23" spans="1:74" x14ac:dyDescent="0.25">
      <c r="A23" s="147" t="s">
        <v>862</v>
      </c>
      <c r="B23" s="147" t="s">
        <v>1027</v>
      </c>
      <c r="C23" s="145" t="s">
        <v>861</v>
      </c>
      <c r="D23" s="146">
        <v>45217</v>
      </c>
      <c r="E23" s="147" t="s">
        <v>1028</v>
      </c>
      <c r="F23" s="147" t="s">
        <v>1029</v>
      </c>
      <c r="G23" s="147" t="s">
        <v>1030</v>
      </c>
      <c r="H23" s="147" t="s">
        <v>535</v>
      </c>
      <c r="I23" s="147">
        <v>2.1</v>
      </c>
      <c r="J23" s="147" t="s">
        <v>85</v>
      </c>
      <c r="K23" s="147" t="s">
        <v>541</v>
      </c>
      <c r="L23" s="145">
        <v>7</v>
      </c>
      <c r="M23" s="146">
        <v>46320</v>
      </c>
      <c r="N23" s="147" t="s">
        <v>547</v>
      </c>
      <c r="O23" s="147" t="s">
        <v>1031</v>
      </c>
      <c r="P23" s="147" t="s">
        <v>1032</v>
      </c>
      <c r="Q23" s="145">
        <v>60</v>
      </c>
      <c r="R23" s="147" t="s">
        <v>539</v>
      </c>
      <c r="S23" s="147" t="s">
        <v>1033</v>
      </c>
      <c r="T23" s="147" t="s">
        <v>92</v>
      </c>
      <c r="U23" s="147" t="s">
        <v>537</v>
      </c>
      <c r="V23" s="145">
        <v>100</v>
      </c>
      <c r="W23" s="145"/>
      <c r="X23" s="147" t="s">
        <v>763</v>
      </c>
      <c r="Y23" s="147" t="s">
        <v>1034</v>
      </c>
      <c r="Z23" s="147" t="s">
        <v>92</v>
      </c>
      <c r="AA23" s="145"/>
      <c r="AB23" s="145"/>
      <c r="AC23" s="145"/>
      <c r="AD23" s="145"/>
      <c r="AE23" s="147" t="s">
        <v>1035</v>
      </c>
      <c r="AF23" s="147" t="s">
        <v>327</v>
      </c>
      <c r="AG23" s="147" t="s">
        <v>772</v>
      </c>
      <c r="AH23" s="147" t="s">
        <v>535</v>
      </c>
      <c r="AI23" s="147" t="s">
        <v>552</v>
      </c>
      <c r="AJ23" s="147" t="s">
        <v>388</v>
      </c>
      <c r="AK23" s="147" t="s">
        <v>1</v>
      </c>
      <c r="AL23" s="145" t="s">
        <v>1085</v>
      </c>
      <c r="AM23" s="147" t="s">
        <v>534</v>
      </c>
      <c r="AN23" s="147" t="s">
        <v>543</v>
      </c>
      <c r="AO23" s="145"/>
      <c r="AP23" s="147" t="s">
        <v>92</v>
      </c>
      <c r="AQ23" s="147" t="s">
        <v>92</v>
      </c>
      <c r="AR23" s="145" t="s">
        <v>1036</v>
      </c>
      <c r="AS23" s="145" t="s">
        <v>1037</v>
      </c>
      <c r="AT23" s="147">
        <v>1000</v>
      </c>
      <c r="AU23" s="145">
        <v>2.1</v>
      </c>
      <c r="AV23" s="146">
        <v>45224</v>
      </c>
      <c r="AW23" s="146"/>
      <c r="AX23" s="147">
        <v>7</v>
      </c>
      <c r="AY23" s="147" t="s">
        <v>92</v>
      </c>
      <c r="AZ23" s="146">
        <v>45407</v>
      </c>
      <c r="BA23" s="147" t="s">
        <v>1038</v>
      </c>
      <c r="BB23" s="147" t="s">
        <v>92</v>
      </c>
      <c r="BC23" s="146">
        <v>45224</v>
      </c>
      <c r="BD23" s="147" t="s">
        <v>1032</v>
      </c>
      <c r="BE23" s="146">
        <v>45224</v>
      </c>
      <c r="BF23" s="147" t="s">
        <v>533</v>
      </c>
      <c r="BG23" s="147" t="s">
        <v>1039</v>
      </c>
      <c r="BH23" s="147" t="s">
        <v>1040</v>
      </c>
      <c r="BI23" s="147" t="s">
        <v>532</v>
      </c>
      <c r="BJ23" s="147" t="s">
        <v>532</v>
      </c>
      <c r="BK23" s="147" t="s">
        <v>531</v>
      </c>
      <c r="BL23" s="147" t="s">
        <v>530</v>
      </c>
      <c r="BM23" s="147" t="s">
        <v>529</v>
      </c>
      <c r="BN23" s="147" t="s">
        <v>92</v>
      </c>
      <c r="BO23" s="147" t="s">
        <v>131</v>
      </c>
      <c r="BP23" s="147" t="s">
        <v>862</v>
      </c>
      <c r="BQ23" s="147" t="s">
        <v>92</v>
      </c>
      <c r="BR23" s="147" t="s">
        <v>242</v>
      </c>
      <c r="BS23" s="45"/>
      <c r="BT23" t="s">
        <v>7</v>
      </c>
      <c r="BU23" s="147" t="s">
        <v>10</v>
      </c>
      <c r="BV23" s="145" t="s">
        <v>868</v>
      </c>
    </row>
    <row r="24" spans="1:74" x14ac:dyDescent="0.25">
      <c r="A24" s="147" t="s">
        <v>885</v>
      </c>
      <c r="B24" s="147" t="s">
        <v>1041</v>
      </c>
      <c r="C24" s="145" t="s">
        <v>884</v>
      </c>
      <c r="D24" s="146">
        <v>45216</v>
      </c>
      <c r="E24" s="147" t="s">
        <v>1042</v>
      </c>
      <c r="F24" s="147" t="s">
        <v>535</v>
      </c>
      <c r="G24" s="147" t="s">
        <v>535</v>
      </c>
      <c r="H24" s="147" t="s">
        <v>535</v>
      </c>
      <c r="I24" s="147">
        <v>45</v>
      </c>
      <c r="J24" s="147" t="s">
        <v>262</v>
      </c>
      <c r="K24" s="147" t="s">
        <v>541</v>
      </c>
      <c r="L24" s="145">
        <v>1.65</v>
      </c>
      <c r="M24" s="146">
        <v>46320</v>
      </c>
      <c r="N24" s="147" t="s">
        <v>547</v>
      </c>
      <c r="O24" s="147" t="s">
        <v>1043</v>
      </c>
      <c r="P24" s="147" t="s">
        <v>1044</v>
      </c>
      <c r="Q24" s="145">
        <v>15</v>
      </c>
      <c r="R24" s="147" t="s">
        <v>539</v>
      </c>
      <c r="S24" s="147" t="s">
        <v>544</v>
      </c>
      <c r="T24" s="147" t="s">
        <v>1045</v>
      </c>
      <c r="U24" s="147" t="s">
        <v>537</v>
      </c>
      <c r="V24" s="145">
        <v>100</v>
      </c>
      <c r="W24" s="145"/>
      <c r="X24" s="147" t="s">
        <v>556</v>
      </c>
      <c r="Y24" s="147" t="s">
        <v>1046</v>
      </c>
      <c r="Z24" s="147" t="s">
        <v>1047</v>
      </c>
      <c r="AA24" s="145"/>
      <c r="AB24" s="145"/>
      <c r="AC24" s="145"/>
      <c r="AD24" s="145"/>
      <c r="AE24" s="147" t="s">
        <v>1048</v>
      </c>
      <c r="AF24" s="147" t="s">
        <v>327</v>
      </c>
      <c r="AG24" s="147" t="s">
        <v>536</v>
      </c>
      <c r="AH24" s="147" t="s">
        <v>535</v>
      </c>
      <c r="AI24" s="147" t="s">
        <v>548</v>
      </c>
      <c r="AJ24" s="147" t="s">
        <v>92</v>
      </c>
      <c r="AK24" s="147" t="s">
        <v>1</v>
      </c>
      <c r="AL24" s="145" t="s">
        <v>1085</v>
      </c>
      <c r="AM24" s="147" t="s">
        <v>534</v>
      </c>
      <c r="AN24" s="147" t="s">
        <v>546</v>
      </c>
      <c r="AO24" s="145"/>
      <c r="AP24" s="147" t="s">
        <v>92</v>
      </c>
      <c r="AQ24" s="147" t="s">
        <v>92</v>
      </c>
      <c r="AR24" s="145" t="s">
        <v>1049</v>
      </c>
      <c r="AS24" s="145" t="s">
        <v>1050</v>
      </c>
      <c r="AT24" s="147">
        <v>10000000</v>
      </c>
      <c r="AU24" s="145">
        <v>45</v>
      </c>
      <c r="AV24" s="146">
        <v>45224</v>
      </c>
      <c r="AW24" s="146"/>
      <c r="AX24" s="147">
        <v>1.65</v>
      </c>
      <c r="AY24" s="147" t="s">
        <v>92</v>
      </c>
      <c r="AZ24" s="146">
        <v>45407</v>
      </c>
      <c r="BA24" s="147" t="s">
        <v>885</v>
      </c>
      <c r="BB24" s="147" t="s">
        <v>92</v>
      </c>
      <c r="BC24" s="146">
        <v>45224</v>
      </c>
      <c r="BD24" s="147" t="s">
        <v>1044</v>
      </c>
      <c r="BE24" s="146">
        <v>45224</v>
      </c>
      <c r="BF24" s="147" t="s">
        <v>542</v>
      </c>
      <c r="BG24" s="147" t="s">
        <v>1051</v>
      </c>
      <c r="BH24" s="147" t="s">
        <v>1052</v>
      </c>
      <c r="BI24" s="147" t="s">
        <v>532</v>
      </c>
      <c r="BJ24" s="147" t="s">
        <v>532</v>
      </c>
      <c r="BK24" s="147" t="s">
        <v>531</v>
      </c>
      <c r="BL24" s="147" t="s">
        <v>530</v>
      </c>
      <c r="BM24" s="147" t="s">
        <v>529</v>
      </c>
      <c r="BN24" s="147" t="s">
        <v>92</v>
      </c>
      <c r="BO24" s="147" t="s">
        <v>131</v>
      </c>
      <c r="BP24" s="147" t="s">
        <v>92</v>
      </c>
      <c r="BQ24" s="147" t="s">
        <v>92</v>
      </c>
      <c r="BR24" s="147" t="s">
        <v>242</v>
      </c>
      <c r="BS24" s="45"/>
      <c r="BT24" t="s">
        <v>7</v>
      </c>
      <c r="BU24" s="147" t="s">
        <v>17</v>
      </c>
      <c r="BV24" s="145" t="s">
        <v>889</v>
      </c>
    </row>
    <row r="25" spans="1:74" x14ac:dyDescent="0.25">
      <c r="A25" s="147" t="s">
        <v>879</v>
      </c>
      <c r="B25" s="147" t="s">
        <v>1053</v>
      </c>
      <c r="C25" s="145" t="s">
        <v>878</v>
      </c>
      <c r="D25" s="146">
        <v>45216</v>
      </c>
      <c r="E25" s="147" t="s">
        <v>1054</v>
      </c>
      <c r="F25" s="147" t="s">
        <v>535</v>
      </c>
      <c r="G25" s="147" t="s">
        <v>535</v>
      </c>
      <c r="H25" s="147" t="s">
        <v>535</v>
      </c>
      <c r="I25" s="147">
        <v>4.5</v>
      </c>
      <c r="J25" s="147" t="s">
        <v>106</v>
      </c>
      <c r="K25" s="147" t="s">
        <v>541</v>
      </c>
      <c r="L25" s="145">
        <v>4.5</v>
      </c>
      <c r="M25" s="146">
        <v>46319</v>
      </c>
      <c r="N25" s="147" t="s">
        <v>547</v>
      </c>
      <c r="O25" s="147" t="s">
        <v>92</v>
      </c>
      <c r="P25" s="147" t="s">
        <v>92</v>
      </c>
      <c r="Q25" s="145"/>
      <c r="R25" s="147" t="s">
        <v>539</v>
      </c>
      <c r="S25" s="147" t="s">
        <v>538</v>
      </c>
      <c r="T25" s="147" t="s">
        <v>92</v>
      </c>
      <c r="U25" s="147" t="s">
        <v>537</v>
      </c>
      <c r="V25" s="145">
        <v>100</v>
      </c>
      <c r="W25" s="145"/>
      <c r="X25" s="147" t="s">
        <v>556</v>
      </c>
      <c r="Y25" s="147" t="s">
        <v>1055</v>
      </c>
      <c r="Z25" s="147" t="s">
        <v>1056</v>
      </c>
      <c r="AA25" s="145"/>
      <c r="AB25" s="145"/>
      <c r="AC25" s="145"/>
      <c r="AD25" s="145"/>
      <c r="AE25" s="147" t="s">
        <v>1057</v>
      </c>
      <c r="AF25" s="147" t="s">
        <v>327</v>
      </c>
      <c r="AG25" s="147" t="s">
        <v>536</v>
      </c>
      <c r="AH25" s="147" t="s">
        <v>535</v>
      </c>
      <c r="AI25" s="147" t="s">
        <v>409</v>
      </c>
      <c r="AJ25" s="147" t="s">
        <v>92</v>
      </c>
      <c r="AK25" s="147" t="s">
        <v>1</v>
      </c>
      <c r="AL25" s="145" t="s">
        <v>1085</v>
      </c>
      <c r="AM25" s="147" t="s">
        <v>534</v>
      </c>
      <c r="AN25" s="147" t="s">
        <v>546</v>
      </c>
      <c r="AO25" s="145"/>
      <c r="AP25" s="147" t="s">
        <v>92</v>
      </c>
      <c r="AQ25" s="147" t="s">
        <v>92</v>
      </c>
      <c r="AR25" s="145" t="s">
        <v>1058</v>
      </c>
      <c r="AS25" s="145" t="s">
        <v>1059</v>
      </c>
      <c r="AT25" s="147">
        <v>10000</v>
      </c>
      <c r="AU25" s="145">
        <v>4.5</v>
      </c>
      <c r="AV25" s="146">
        <v>45223</v>
      </c>
      <c r="AW25" s="146"/>
      <c r="AX25" s="147">
        <v>4.5</v>
      </c>
      <c r="AY25" s="147" t="s">
        <v>92</v>
      </c>
      <c r="AZ25" s="146">
        <v>45406</v>
      </c>
      <c r="BA25" s="147" t="s">
        <v>879</v>
      </c>
      <c r="BB25" s="147" t="s">
        <v>92</v>
      </c>
      <c r="BC25" s="146">
        <v>45223</v>
      </c>
      <c r="BD25" s="147" t="s">
        <v>1060</v>
      </c>
      <c r="BE25" s="146">
        <v>45223</v>
      </c>
      <c r="BF25" s="147" t="s">
        <v>533</v>
      </c>
      <c r="BG25" s="147" t="s">
        <v>1061</v>
      </c>
      <c r="BH25" s="147" t="s">
        <v>1062</v>
      </c>
      <c r="BI25" s="147" t="s">
        <v>532</v>
      </c>
      <c r="BJ25" s="147" t="s">
        <v>532</v>
      </c>
      <c r="BK25" s="147" t="s">
        <v>531</v>
      </c>
      <c r="BL25" s="147" t="s">
        <v>530</v>
      </c>
      <c r="BM25" s="147" t="s">
        <v>529</v>
      </c>
      <c r="BN25" s="147" t="s">
        <v>92</v>
      </c>
      <c r="BO25" s="147" t="s">
        <v>131</v>
      </c>
      <c r="BP25" s="147" t="s">
        <v>92</v>
      </c>
      <c r="BQ25" s="147" t="s">
        <v>92</v>
      </c>
      <c r="BR25" s="147" t="s">
        <v>242</v>
      </c>
      <c r="BS25" s="45"/>
      <c r="BT25" t="s">
        <v>7</v>
      </c>
      <c r="BU25" s="147" t="s">
        <v>17</v>
      </c>
      <c r="BV25" s="145" t="s">
        <v>883</v>
      </c>
    </row>
    <row r="26" spans="1:74" x14ac:dyDescent="0.25">
      <c r="A26" s="147" t="s">
        <v>777</v>
      </c>
      <c r="B26" s="147" t="s">
        <v>1063</v>
      </c>
      <c r="C26" s="145" t="s">
        <v>905</v>
      </c>
      <c r="D26" s="146">
        <v>45215</v>
      </c>
      <c r="E26" s="147" t="s">
        <v>1064</v>
      </c>
      <c r="F26" s="147" t="s">
        <v>535</v>
      </c>
      <c r="G26" s="147" t="s">
        <v>535</v>
      </c>
      <c r="H26" s="147" t="s">
        <v>535</v>
      </c>
      <c r="I26" s="147">
        <v>0.3</v>
      </c>
      <c r="J26" s="147" t="s">
        <v>85</v>
      </c>
      <c r="K26" s="147" t="s">
        <v>541</v>
      </c>
      <c r="L26" s="145">
        <v>6.5</v>
      </c>
      <c r="M26" s="146">
        <v>46313</v>
      </c>
      <c r="N26" s="147" t="s">
        <v>540</v>
      </c>
      <c r="O26" s="147" t="s">
        <v>92</v>
      </c>
      <c r="P26" s="147" t="s">
        <v>1065</v>
      </c>
      <c r="Q26" s="145"/>
      <c r="R26" s="147" t="s">
        <v>539</v>
      </c>
      <c r="S26" s="147" t="s">
        <v>544</v>
      </c>
      <c r="T26" s="147" t="s">
        <v>1066</v>
      </c>
      <c r="U26" s="147" t="s">
        <v>537</v>
      </c>
      <c r="V26" s="145">
        <v>100</v>
      </c>
      <c r="W26" s="145"/>
      <c r="X26" s="147" t="s">
        <v>782</v>
      </c>
      <c r="Y26" s="147" t="s">
        <v>781</v>
      </c>
      <c r="Z26" s="147" t="s">
        <v>92</v>
      </c>
      <c r="AA26" s="145"/>
      <c r="AB26" s="145"/>
      <c r="AC26" s="145"/>
      <c r="AD26" s="145"/>
      <c r="AE26" s="147" t="s">
        <v>1067</v>
      </c>
      <c r="AF26" s="147" t="s">
        <v>327</v>
      </c>
      <c r="AG26" s="147" t="s">
        <v>536</v>
      </c>
      <c r="AH26" s="147" t="s">
        <v>535</v>
      </c>
      <c r="AI26" s="147" t="s">
        <v>409</v>
      </c>
      <c r="AJ26" s="147" t="s">
        <v>92</v>
      </c>
      <c r="AK26" s="147" t="s">
        <v>1</v>
      </c>
      <c r="AL26" s="145" t="s">
        <v>1222</v>
      </c>
      <c r="AM26" s="147" t="s">
        <v>534</v>
      </c>
      <c r="AN26" s="147" t="s">
        <v>780</v>
      </c>
      <c r="AO26" s="145"/>
      <c r="AP26" s="147" t="s">
        <v>92</v>
      </c>
      <c r="AQ26" s="147" t="s">
        <v>92</v>
      </c>
      <c r="AR26" s="145" t="s">
        <v>779</v>
      </c>
      <c r="AS26" s="145" t="s">
        <v>778</v>
      </c>
      <c r="AT26" s="147">
        <v>1000</v>
      </c>
      <c r="AU26" s="145">
        <v>0.3</v>
      </c>
      <c r="AV26" s="146">
        <v>45217</v>
      </c>
      <c r="AW26" s="146"/>
      <c r="AX26" s="147">
        <v>6.5</v>
      </c>
      <c r="AY26" s="147" t="s">
        <v>92</v>
      </c>
      <c r="AZ26" s="146">
        <v>45400</v>
      </c>
      <c r="BA26" s="147" t="s">
        <v>777</v>
      </c>
      <c r="BB26" s="147" t="s">
        <v>92</v>
      </c>
      <c r="BC26" s="146">
        <v>45217</v>
      </c>
      <c r="BD26" s="147" t="s">
        <v>1069</v>
      </c>
      <c r="BE26" s="146">
        <v>45217</v>
      </c>
      <c r="BF26" s="147" t="s">
        <v>542</v>
      </c>
      <c r="BG26" s="147" t="s">
        <v>1070</v>
      </c>
      <c r="BH26" s="147" t="s">
        <v>1071</v>
      </c>
      <c r="BI26" s="147" t="s">
        <v>532</v>
      </c>
      <c r="BJ26" s="147" t="s">
        <v>532</v>
      </c>
      <c r="BK26" s="147" t="s">
        <v>531</v>
      </c>
      <c r="BL26" s="147" t="s">
        <v>530</v>
      </c>
      <c r="BM26" s="147" t="s">
        <v>529</v>
      </c>
      <c r="BN26" s="147" t="s">
        <v>92</v>
      </c>
      <c r="BO26" s="147" t="s">
        <v>131</v>
      </c>
      <c r="BP26" s="147" t="s">
        <v>92</v>
      </c>
      <c r="BQ26" s="147" t="s">
        <v>92</v>
      </c>
      <c r="BR26" s="147" t="s">
        <v>242</v>
      </c>
      <c r="BS26" s="45"/>
      <c r="BT26" t="s">
        <v>7</v>
      </c>
      <c r="BU26" s="147" t="s">
        <v>20</v>
      </c>
      <c r="BV26" s="145" t="s">
        <v>907</v>
      </c>
    </row>
    <row r="27" spans="1:74" x14ac:dyDescent="0.25">
      <c r="A27" s="147" t="s">
        <v>753</v>
      </c>
      <c r="B27" s="147" t="s">
        <v>1072</v>
      </c>
      <c r="C27" s="145" t="s">
        <v>897</v>
      </c>
      <c r="D27" s="146">
        <v>45215</v>
      </c>
      <c r="E27" s="147" t="s">
        <v>1073</v>
      </c>
      <c r="F27" s="147" t="s">
        <v>535</v>
      </c>
      <c r="G27" s="147" t="s">
        <v>535</v>
      </c>
      <c r="H27" s="147" t="s">
        <v>535</v>
      </c>
      <c r="I27" s="147">
        <v>7.0000000000000007E-2</v>
      </c>
      <c r="J27" s="147" t="s">
        <v>109</v>
      </c>
      <c r="K27" s="147" t="s">
        <v>1074</v>
      </c>
      <c r="L27" s="145">
        <v>4.8</v>
      </c>
      <c r="M27" s="146">
        <v>45310</v>
      </c>
      <c r="N27" s="147" t="s">
        <v>110</v>
      </c>
      <c r="O27" s="147" t="s">
        <v>92</v>
      </c>
      <c r="P27" s="147" t="s">
        <v>92</v>
      </c>
      <c r="Q27" s="145"/>
      <c r="R27" s="147" t="s">
        <v>539</v>
      </c>
      <c r="S27" s="147" t="s">
        <v>579</v>
      </c>
      <c r="T27" s="147" t="s">
        <v>92</v>
      </c>
      <c r="U27" s="147" t="s">
        <v>537</v>
      </c>
      <c r="V27" s="145">
        <v>100</v>
      </c>
      <c r="W27" s="145"/>
      <c r="X27" s="147" t="s">
        <v>550</v>
      </c>
      <c r="Y27" s="147" t="s">
        <v>92</v>
      </c>
      <c r="Z27" s="147" t="s">
        <v>92</v>
      </c>
      <c r="AA27" s="145"/>
      <c r="AB27" s="145"/>
      <c r="AC27" s="145"/>
      <c r="AD27" s="145"/>
      <c r="AE27" s="147" t="s">
        <v>758</v>
      </c>
      <c r="AF27" s="147" t="s">
        <v>327</v>
      </c>
      <c r="AG27" s="147" t="s">
        <v>580</v>
      </c>
      <c r="AH27" s="147" t="s">
        <v>535</v>
      </c>
      <c r="AI27" s="147" t="s">
        <v>92</v>
      </c>
      <c r="AJ27" s="147" t="s">
        <v>92</v>
      </c>
      <c r="AK27" s="147" t="s">
        <v>84</v>
      </c>
      <c r="AL27" s="145" t="s">
        <v>1223</v>
      </c>
      <c r="AM27" s="147" t="s">
        <v>534</v>
      </c>
      <c r="AN27" s="147" t="s">
        <v>546</v>
      </c>
      <c r="AO27" s="145"/>
      <c r="AP27" s="147" t="s">
        <v>92</v>
      </c>
      <c r="AQ27" s="147" t="s">
        <v>92</v>
      </c>
      <c r="AR27" s="145" t="s">
        <v>92</v>
      </c>
      <c r="AS27" s="145" t="s">
        <v>759</v>
      </c>
      <c r="AT27" s="147">
        <v>7000000</v>
      </c>
      <c r="AU27" s="145">
        <v>7.0000000000000007E-2</v>
      </c>
      <c r="AV27" s="146">
        <v>45219</v>
      </c>
      <c r="AW27" s="146"/>
      <c r="AX27" s="147">
        <v>4.8</v>
      </c>
      <c r="AY27" s="147" t="s">
        <v>92</v>
      </c>
      <c r="AZ27" s="146">
        <v>45310</v>
      </c>
      <c r="BA27" s="147" t="s">
        <v>760</v>
      </c>
      <c r="BB27" s="147" t="s">
        <v>753</v>
      </c>
      <c r="BC27" s="146">
        <v>45219</v>
      </c>
      <c r="BD27" s="147" t="s">
        <v>92</v>
      </c>
      <c r="BE27" s="146">
        <v>45219</v>
      </c>
      <c r="BF27" s="147" t="s">
        <v>92</v>
      </c>
      <c r="BG27" s="147" t="s">
        <v>92</v>
      </c>
      <c r="BH27" s="147" t="s">
        <v>758</v>
      </c>
      <c r="BI27" s="147" t="s">
        <v>532</v>
      </c>
      <c r="BJ27" s="147" t="s">
        <v>532</v>
      </c>
      <c r="BK27" s="147" t="s">
        <v>531</v>
      </c>
      <c r="BL27" s="147" t="s">
        <v>530</v>
      </c>
      <c r="BM27" s="147" t="s">
        <v>529</v>
      </c>
      <c r="BN27" s="147" t="s">
        <v>92</v>
      </c>
      <c r="BO27" s="147" t="s">
        <v>92</v>
      </c>
      <c r="BP27" s="147" t="s">
        <v>92</v>
      </c>
      <c r="BQ27" s="147" t="s">
        <v>92</v>
      </c>
      <c r="BR27" s="147" t="s">
        <v>242</v>
      </c>
      <c r="BS27" s="45"/>
      <c r="BT27" t="s">
        <v>7</v>
      </c>
      <c r="BU27" s="147" t="s">
        <v>12</v>
      </c>
      <c r="BV27" s="145" t="s">
        <v>898</v>
      </c>
    </row>
    <row r="28" spans="1:74" x14ac:dyDescent="0.25">
      <c r="A28" s="147" t="s">
        <v>909</v>
      </c>
      <c r="B28" s="147" t="s">
        <v>1075</v>
      </c>
      <c r="C28" s="145" t="s">
        <v>908</v>
      </c>
      <c r="D28" s="146">
        <v>45215</v>
      </c>
      <c r="E28" s="147" t="s">
        <v>1076</v>
      </c>
      <c r="F28" s="147" t="s">
        <v>1077</v>
      </c>
      <c r="G28" s="147" t="s">
        <v>1078</v>
      </c>
      <c r="H28" s="147" t="s">
        <v>535</v>
      </c>
      <c r="I28" s="147">
        <v>17.75</v>
      </c>
      <c r="J28" s="147" t="s">
        <v>106</v>
      </c>
      <c r="K28" s="147" t="s">
        <v>541</v>
      </c>
      <c r="L28" s="145">
        <v>4</v>
      </c>
      <c r="M28" s="146">
        <v>46315</v>
      </c>
      <c r="N28" s="147" t="s">
        <v>540</v>
      </c>
      <c r="O28" s="147" t="s">
        <v>1079</v>
      </c>
      <c r="P28" s="147" t="s">
        <v>1080</v>
      </c>
      <c r="Q28" s="145">
        <v>20</v>
      </c>
      <c r="R28" s="147" t="s">
        <v>539</v>
      </c>
      <c r="S28" s="147" t="s">
        <v>538</v>
      </c>
      <c r="T28" s="147" t="s">
        <v>92</v>
      </c>
      <c r="U28" s="147" t="s">
        <v>537</v>
      </c>
      <c r="V28" s="145">
        <v>100</v>
      </c>
      <c r="W28" s="145"/>
      <c r="X28" s="147" t="s">
        <v>1081</v>
      </c>
      <c r="Y28" s="147" t="s">
        <v>1082</v>
      </c>
      <c r="Z28" s="147" t="s">
        <v>92</v>
      </c>
      <c r="AA28" s="145"/>
      <c r="AB28" s="145"/>
      <c r="AC28" s="145"/>
      <c r="AD28" s="145"/>
      <c r="AE28" s="147" t="s">
        <v>1083</v>
      </c>
      <c r="AF28" s="147" t="s">
        <v>327</v>
      </c>
      <c r="AG28" s="147" t="s">
        <v>1084</v>
      </c>
      <c r="AH28" s="147" t="s">
        <v>535</v>
      </c>
      <c r="AI28" s="147" t="s">
        <v>552</v>
      </c>
      <c r="AJ28" s="147" t="s">
        <v>785</v>
      </c>
      <c r="AK28" s="147" t="s">
        <v>1</v>
      </c>
      <c r="AL28" s="145" t="s">
        <v>1068</v>
      </c>
      <c r="AM28" s="147" t="s">
        <v>534</v>
      </c>
      <c r="AN28" s="147" t="s">
        <v>543</v>
      </c>
      <c r="AO28" s="145"/>
      <c r="AP28" s="147" t="s">
        <v>92</v>
      </c>
      <c r="AQ28" s="147" t="s">
        <v>92</v>
      </c>
      <c r="AR28" s="145" t="s">
        <v>1086</v>
      </c>
      <c r="AS28" s="145" t="s">
        <v>1087</v>
      </c>
      <c r="AT28" s="147">
        <v>10000</v>
      </c>
      <c r="AU28" s="145">
        <v>17.75</v>
      </c>
      <c r="AV28" s="146">
        <v>45219</v>
      </c>
      <c r="AW28" s="146"/>
      <c r="AX28" s="147">
        <v>4</v>
      </c>
      <c r="AY28" s="147" t="s">
        <v>92</v>
      </c>
      <c r="AZ28" s="146">
        <v>45402</v>
      </c>
      <c r="BA28" s="147" t="s">
        <v>909</v>
      </c>
      <c r="BB28" s="147" t="s">
        <v>92</v>
      </c>
      <c r="BC28" s="146">
        <v>45219</v>
      </c>
      <c r="BD28" s="147" t="s">
        <v>565</v>
      </c>
      <c r="BE28" s="146">
        <v>45219</v>
      </c>
      <c r="BF28" s="147" t="s">
        <v>533</v>
      </c>
      <c r="BG28" s="147" t="s">
        <v>1088</v>
      </c>
      <c r="BH28" s="147" t="s">
        <v>1089</v>
      </c>
      <c r="BI28" s="147" t="s">
        <v>532</v>
      </c>
      <c r="BJ28" s="147" t="s">
        <v>532</v>
      </c>
      <c r="BK28" s="147" t="s">
        <v>531</v>
      </c>
      <c r="BL28" s="147" t="s">
        <v>530</v>
      </c>
      <c r="BM28" s="147" t="s">
        <v>529</v>
      </c>
      <c r="BN28" s="147" t="s">
        <v>92</v>
      </c>
      <c r="BO28" s="147" t="s">
        <v>131</v>
      </c>
      <c r="BP28" s="147" t="s">
        <v>92</v>
      </c>
      <c r="BQ28" s="147" t="s">
        <v>92</v>
      </c>
      <c r="BR28" s="147" t="s">
        <v>242</v>
      </c>
      <c r="BS28" s="45"/>
      <c r="BT28" t="s">
        <v>7</v>
      </c>
      <c r="BU28" s="147" t="s">
        <v>8</v>
      </c>
      <c r="BV28" s="145" t="s">
        <v>913</v>
      </c>
    </row>
    <row r="29" spans="1:74" x14ac:dyDescent="0.25">
      <c r="A29" s="147" t="s">
        <v>900</v>
      </c>
      <c r="B29" s="147" t="s">
        <v>1090</v>
      </c>
      <c r="C29" s="145" t="s">
        <v>899</v>
      </c>
      <c r="D29" s="146">
        <v>45215</v>
      </c>
      <c r="E29" s="147" t="s">
        <v>1091</v>
      </c>
      <c r="F29" s="147" t="s">
        <v>535</v>
      </c>
      <c r="G29" s="147" t="s">
        <v>535</v>
      </c>
      <c r="H29" s="147" t="s">
        <v>535</v>
      </c>
      <c r="I29" s="147">
        <v>2.7</v>
      </c>
      <c r="J29" s="147" t="s">
        <v>106</v>
      </c>
      <c r="K29" s="147" t="s">
        <v>541</v>
      </c>
      <c r="L29" s="145">
        <v>7.8</v>
      </c>
      <c r="M29" s="146">
        <v>46319</v>
      </c>
      <c r="N29" s="147" t="s">
        <v>547</v>
      </c>
      <c r="O29" s="147" t="s">
        <v>92</v>
      </c>
      <c r="P29" s="147" t="s">
        <v>1092</v>
      </c>
      <c r="Q29" s="145"/>
      <c r="R29" s="147" t="s">
        <v>539</v>
      </c>
      <c r="S29" s="147" t="s">
        <v>579</v>
      </c>
      <c r="T29" s="147" t="s">
        <v>92</v>
      </c>
      <c r="U29" s="147" t="s">
        <v>537</v>
      </c>
      <c r="V29" s="145">
        <v>100</v>
      </c>
      <c r="W29" s="145"/>
      <c r="X29" s="147" t="s">
        <v>763</v>
      </c>
      <c r="Y29" s="147" t="s">
        <v>1093</v>
      </c>
      <c r="Z29" s="147" t="s">
        <v>1094</v>
      </c>
      <c r="AA29" s="145"/>
      <c r="AB29" s="145"/>
      <c r="AC29" s="145"/>
      <c r="AD29" s="145"/>
      <c r="AE29" s="147" t="s">
        <v>1095</v>
      </c>
      <c r="AF29" s="147" t="s">
        <v>327</v>
      </c>
      <c r="AG29" s="147" t="s">
        <v>536</v>
      </c>
      <c r="AH29" s="147" t="s">
        <v>535</v>
      </c>
      <c r="AI29" s="147" t="s">
        <v>409</v>
      </c>
      <c r="AJ29" s="147" t="s">
        <v>92</v>
      </c>
      <c r="AK29" s="147" t="s">
        <v>1</v>
      </c>
      <c r="AL29" s="145" t="s">
        <v>1085</v>
      </c>
      <c r="AM29" s="147" t="s">
        <v>534</v>
      </c>
      <c r="AN29" s="147" t="s">
        <v>546</v>
      </c>
      <c r="AO29" s="145"/>
      <c r="AP29" s="147" t="s">
        <v>92</v>
      </c>
      <c r="AQ29" s="147" t="s">
        <v>92</v>
      </c>
      <c r="AR29" s="145" t="s">
        <v>1096</v>
      </c>
      <c r="AS29" s="145" t="s">
        <v>1097</v>
      </c>
      <c r="AT29" s="147">
        <v>10000</v>
      </c>
      <c r="AU29" s="145">
        <v>2.7</v>
      </c>
      <c r="AV29" s="146">
        <v>45223</v>
      </c>
      <c r="AW29" s="146"/>
      <c r="AX29" s="147">
        <v>7.8</v>
      </c>
      <c r="AY29" s="147" t="s">
        <v>92</v>
      </c>
      <c r="AZ29" s="146">
        <v>45406</v>
      </c>
      <c r="BA29" s="147" t="s">
        <v>1098</v>
      </c>
      <c r="BB29" s="147" t="s">
        <v>900</v>
      </c>
      <c r="BC29" s="146">
        <v>45223</v>
      </c>
      <c r="BD29" s="147" t="s">
        <v>1016</v>
      </c>
      <c r="BE29" s="146">
        <v>45223</v>
      </c>
      <c r="BF29" s="147" t="s">
        <v>533</v>
      </c>
      <c r="BG29" s="147" t="s">
        <v>1099</v>
      </c>
      <c r="BH29" s="147" t="s">
        <v>1100</v>
      </c>
      <c r="BI29" s="147" t="s">
        <v>532</v>
      </c>
      <c r="BJ29" s="147" t="s">
        <v>532</v>
      </c>
      <c r="BK29" s="147" t="s">
        <v>531</v>
      </c>
      <c r="BL29" s="147" t="s">
        <v>530</v>
      </c>
      <c r="BM29" s="147" t="s">
        <v>529</v>
      </c>
      <c r="BN29" s="147" t="s">
        <v>92</v>
      </c>
      <c r="BO29" s="147" t="s">
        <v>131</v>
      </c>
      <c r="BP29" s="147" t="s">
        <v>92</v>
      </c>
      <c r="BQ29" s="147" t="s">
        <v>92</v>
      </c>
      <c r="BR29" s="147" t="s">
        <v>242</v>
      </c>
      <c r="BS29" s="45"/>
      <c r="BT29" t="s">
        <v>7</v>
      </c>
      <c r="BU29" s="147" t="s">
        <v>10</v>
      </c>
      <c r="BV29" s="145" t="s">
        <v>904</v>
      </c>
    </row>
  </sheetData>
  <phoneticPr fontId="33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Y32"/>
  <sheetViews>
    <sheetView workbookViewId="0">
      <selection activeCell="C12" sqref="C12"/>
    </sheetView>
  </sheetViews>
  <sheetFormatPr defaultRowHeight="15" x14ac:dyDescent="0.25"/>
  <cols>
    <col min="1" max="1" width="10.33203125" style="1" bestFit="1" customWidth="1"/>
    <col min="2" max="2" width="13.33203125" style="1" bestFit="1" customWidth="1"/>
    <col min="3" max="3" width="29.88671875" style="1" bestFit="1" customWidth="1"/>
    <col min="4" max="4" width="18.44140625" style="1" bestFit="1" customWidth="1"/>
    <col min="5" max="5" width="9.44140625" style="1" bestFit="1" customWidth="1"/>
    <col min="6" max="6" width="11.109375" style="1" bestFit="1" customWidth="1"/>
    <col min="7" max="7" width="14.44140625" style="1" bestFit="1" customWidth="1"/>
    <col min="8" max="8" width="12.109375" style="1" bestFit="1" customWidth="1"/>
    <col min="9" max="11" width="9.44140625" style="1" bestFit="1" customWidth="1"/>
    <col min="12" max="12" width="33" style="1" bestFit="1" customWidth="1"/>
    <col min="13" max="13" width="52.33203125" style="1" bestFit="1" customWidth="1"/>
    <col min="14" max="14" width="34.109375" style="1" bestFit="1" customWidth="1"/>
    <col min="15" max="16" width="10.33203125" style="1" bestFit="1" customWidth="1"/>
    <col min="17" max="17" width="11.109375" style="1" bestFit="1" customWidth="1"/>
    <col min="18" max="18" width="18.5546875" style="1" bestFit="1" customWidth="1"/>
    <col min="19" max="19" width="6.109375" style="1" bestFit="1" customWidth="1"/>
    <col min="20" max="20" width="7.77734375" style="1" bestFit="1" customWidth="1"/>
    <col min="21" max="21" width="12.21875" style="1" bestFit="1" customWidth="1"/>
    <col min="22" max="22" width="20.21875" style="1" bestFit="1" customWidth="1"/>
    <col min="23" max="23" width="20.109375" style="1" bestFit="1" customWidth="1"/>
    <col min="24" max="24" width="14" style="1" bestFit="1" customWidth="1"/>
    <col min="25" max="25" width="19.44140625" style="1" bestFit="1" customWidth="1"/>
    <col min="26" max="26" width="10.44140625" style="1" bestFit="1" customWidth="1"/>
    <col min="27" max="27" width="19.44140625" style="1" bestFit="1" customWidth="1"/>
    <col min="28" max="28" width="20.44140625" style="1" bestFit="1" customWidth="1"/>
    <col min="29" max="29" width="10.44140625" style="1" bestFit="1" customWidth="1"/>
    <col min="30" max="30" width="20.109375" style="1" bestFit="1" customWidth="1"/>
    <col min="31" max="31" width="17.44140625" style="1" bestFit="1" customWidth="1"/>
    <col min="32" max="32" width="10.44140625" style="1" bestFit="1" customWidth="1"/>
    <col min="33" max="33" width="17.44140625" style="1" bestFit="1" customWidth="1"/>
    <col min="34" max="34" width="13.33203125" style="1" bestFit="1" customWidth="1"/>
    <col min="35" max="35" width="10.21875" style="1" bestFit="1" customWidth="1"/>
    <col min="36" max="36" width="7.44140625" style="1" bestFit="1" customWidth="1"/>
    <col min="37" max="37" width="13.5546875" style="1" bestFit="1" customWidth="1"/>
    <col min="38" max="38" width="10.44140625" style="1" bestFit="1" customWidth="1"/>
    <col min="39" max="39" width="7.6640625" style="1" bestFit="1" customWidth="1"/>
    <col min="40" max="40" width="20.44140625" style="1" bestFit="1" customWidth="1"/>
    <col min="41" max="41" width="7.6640625" style="1" bestFit="1" customWidth="1"/>
    <col min="42" max="42" width="19.44140625" style="1" bestFit="1" customWidth="1"/>
    <col min="43" max="43" width="12.6640625" style="1" bestFit="1" customWidth="1"/>
    <col min="44" max="44" width="13.33203125" style="1" bestFit="1" customWidth="1"/>
    <col min="45" max="45" width="20.109375" style="1" bestFit="1" customWidth="1"/>
    <col min="46" max="46" width="20.21875" style="1" bestFit="1" customWidth="1"/>
    <col min="47" max="47" width="12.77734375" style="1" bestFit="1" customWidth="1"/>
    <col min="48" max="48" width="11.44140625" style="1" bestFit="1" customWidth="1"/>
    <col min="49" max="49" width="14.33203125" style="1" bestFit="1" customWidth="1"/>
    <col min="50" max="50" width="12.6640625" style="1" bestFit="1" customWidth="1"/>
    <col min="51" max="51" width="20.109375" style="1" bestFit="1" customWidth="1"/>
    <col min="52" max="52" width="21" style="1" bestFit="1" customWidth="1"/>
    <col min="53" max="53" width="12.21875" style="1" bestFit="1" customWidth="1"/>
    <col min="54" max="54" width="9.5546875" style="1" bestFit="1" customWidth="1"/>
    <col min="55" max="55" width="11.6640625" style="1" bestFit="1" customWidth="1"/>
    <col min="56" max="56" width="21" style="1" customWidth="1"/>
    <col min="57" max="57" width="11.6640625" style="1" customWidth="1"/>
    <col min="58" max="16384" width="8.88671875" style="1"/>
  </cols>
  <sheetData>
    <row r="1" spans="1:25" ht="67.5" customHeight="1" x14ac:dyDescent="0.25">
      <c r="A1" s="46" t="s">
        <v>563</v>
      </c>
    </row>
    <row r="5" spans="1:25" x14ac:dyDescent="0.25">
      <c r="A5" t="s">
        <v>49</v>
      </c>
      <c r="B5" t="s">
        <v>48</v>
      </c>
      <c r="C5" t="s">
        <v>94</v>
      </c>
      <c r="D5" t="s">
        <v>145</v>
      </c>
      <c r="E5" t="s">
        <v>135</v>
      </c>
      <c r="F5" t="s">
        <v>232</v>
      </c>
      <c r="G5" t="s">
        <v>261</v>
      </c>
      <c r="H5" t="s">
        <v>177</v>
      </c>
      <c r="I5" t="s">
        <v>119</v>
      </c>
      <c r="J5" t="s">
        <v>239</v>
      </c>
      <c r="K5" t="s">
        <v>69</v>
      </c>
      <c r="L5" t="s">
        <v>71</v>
      </c>
      <c r="M5" t="s">
        <v>72</v>
      </c>
      <c r="N5" t="s">
        <v>82</v>
      </c>
      <c r="O5" t="s">
        <v>67</v>
      </c>
      <c r="P5" t="s">
        <v>52</v>
      </c>
      <c r="Q5" t="s">
        <v>68</v>
      </c>
      <c r="R5" t="s">
        <v>120</v>
      </c>
      <c r="S5" t="s">
        <v>64</v>
      </c>
      <c r="T5" t="s">
        <v>59</v>
      </c>
      <c r="U5" t="s">
        <v>57</v>
      </c>
      <c r="V5" t="s">
        <v>481</v>
      </c>
      <c r="W5" t="s">
        <v>482</v>
      </c>
      <c r="X5" t="s">
        <v>557</v>
      </c>
      <c r="Y5" t="s">
        <v>140</v>
      </c>
    </row>
    <row r="6" spans="1:25" x14ac:dyDescent="0.25">
      <c r="A6" s="146">
        <v>45219</v>
      </c>
      <c r="B6" s="145" t="s">
        <v>1150</v>
      </c>
      <c r="C6" s="147" t="s">
        <v>590</v>
      </c>
      <c r="D6" s="148"/>
      <c r="E6" s="145" t="s">
        <v>83</v>
      </c>
      <c r="F6" s="147" t="s">
        <v>526</v>
      </c>
      <c r="G6" s="147" t="s">
        <v>526</v>
      </c>
      <c r="H6" s="145" t="s">
        <v>443</v>
      </c>
      <c r="I6" s="145"/>
      <c r="J6" s="145"/>
      <c r="K6" s="145" t="s">
        <v>92</v>
      </c>
      <c r="L6" s="145" t="s">
        <v>1151</v>
      </c>
      <c r="M6" s="145" t="s">
        <v>7</v>
      </c>
      <c r="N6" s="145" t="s">
        <v>92</v>
      </c>
      <c r="O6" s="146">
        <v>45225</v>
      </c>
      <c r="P6" s="146">
        <v>45408</v>
      </c>
      <c r="Q6" s="146"/>
      <c r="R6" s="147" t="s">
        <v>1152</v>
      </c>
      <c r="S6" s="147" t="s">
        <v>85</v>
      </c>
      <c r="T6" s="145"/>
      <c r="U6" s="147">
        <v>0.25</v>
      </c>
      <c r="V6" s="145" t="s">
        <v>1153</v>
      </c>
      <c r="W6" s="145" t="s">
        <v>443</v>
      </c>
      <c r="X6" s="149" t="s">
        <v>798</v>
      </c>
      <c r="Y6" s="145" t="s">
        <v>1154</v>
      </c>
    </row>
    <row r="7" spans="1:25" x14ac:dyDescent="0.25">
      <c r="A7" s="146">
        <v>45219</v>
      </c>
      <c r="B7" s="145" t="s">
        <v>1155</v>
      </c>
      <c r="C7" s="147" t="s">
        <v>1156</v>
      </c>
      <c r="D7" s="148"/>
      <c r="E7" s="145" t="s">
        <v>83</v>
      </c>
      <c r="F7" s="147" t="s">
        <v>526</v>
      </c>
      <c r="G7" s="147" t="s">
        <v>7</v>
      </c>
      <c r="H7" s="145" t="s">
        <v>1157</v>
      </c>
      <c r="I7" s="145"/>
      <c r="J7" s="145"/>
      <c r="K7" s="145" t="s">
        <v>92</v>
      </c>
      <c r="L7" s="145" t="s">
        <v>1158</v>
      </c>
      <c r="M7" s="145" t="s">
        <v>7</v>
      </c>
      <c r="N7" s="145" t="s">
        <v>1159</v>
      </c>
      <c r="O7" s="146">
        <v>45226</v>
      </c>
      <c r="P7" s="146">
        <v>45411</v>
      </c>
      <c r="Q7" s="146"/>
      <c r="R7" s="147" t="s">
        <v>1160</v>
      </c>
      <c r="S7" s="147" t="s">
        <v>85</v>
      </c>
      <c r="T7" s="145"/>
      <c r="U7" s="147">
        <v>0.2</v>
      </c>
      <c r="V7" s="145" t="s">
        <v>1161</v>
      </c>
      <c r="W7" s="145" t="s">
        <v>1162</v>
      </c>
      <c r="X7" s="149" t="s">
        <v>798</v>
      </c>
      <c r="Y7" s="145" t="s">
        <v>1163</v>
      </c>
    </row>
    <row r="8" spans="1:25" x14ac:dyDescent="0.25">
      <c r="A8" s="146">
        <v>45219</v>
      </c>
      <c r="B8" s="145" t="s">
        <v>1164</v>
      </c>
      <c r="C8" s="147" t="s">
        <v>1165</v>
      </c>
      <c r="D8" s="148"/>
      <c r="E8" s="145" t="s">
        <v>83</v>
      </c>
      <c r="F8" s="147" t="s">
        <v>250</v>
      </c>
      <c r="G8" s="147" t="s">
        <v>7</v>
      </c>
      <c r="H8" s="145" t="s">
        <v>83</v>
      </c>
      <c r="I8" s="145"/>
      <c r="J8" s="145"/>
      <c r="K8" s="145" t="s">
        <v>92</v>
      </c>
      <c r="L8" s="145" t="s">
        <v>1166</v>
      </c>
      <c r="M8" s="145" t="s">
        <v>7</v>
      </c>
      <c r="N8" s="145" t="s">
        <v>92</v>
      </c>
      <c r="O8" s="146">
        <v>45226</v>
      </c>
      <c r="P8" s="146">
        <v>46322</v>
      </c>
      <c r="Q8" s="146"/>
      <c r="R8" s="147" t="s">
        <v>1167</v>
      </c>
      <c r="S8" s="147" t="s">
        <v>85</v>
      </c>
      <c r="T8" s="145">
        <v>100</v>
      </c>
      <c r="U8" s="147">
        <v>1.1000000000000001</v>
      </c>
      <c r="V8" s="145" t="s">
        <v>92</v>
      </c>
      <c r="W8" s="145" t="s">
        <v>92</v>
      </c>
      <c r="X8" s="149" t="s">
        <v>798</v>
      </c>
      <c r="Y8" s="145" t="s">
        <v>1168</v>
      </c>
    </row>
    <row r="9" spans="1:25" x14ac:dyDescent="0.25">
      <c r="A9" s="146">
        <v>45219</v>
      </c>
      <c r="B9" s="145" t="s">
        <v>1169</v>
      </c>
      <c r="C9" s="147" t="s">
        <v>1170</v>
      </c>
      <c r="D9" s="148"/>
      <c r="E9" s="145" t="s">
        <v>527</v>
      </c>
      <c r="F9" s="147" t="s">
        <v>832</v>
      </c>
      <c r="G9" s="147" t="s">
        <v>7</v>
      </c>
      <c r="H9" s="145" t="s">
        <v>527</v>
      </c>
      <c r="I9" s="145"/>
      <c r="J9" s="145"/>
      <c r="K9" s="145" t="s">
        <v>92</v>
      </c>
      <c r="L9" s="145" t="s">
        <v>1171</v>
      </c>
      <c r="M9" s="145" t="s">
        <v>1172</v>
      </c>
      <c r="N9" s="145" t="s">
        <v>92</v>
      </c>
      <c r="O9" s="146">
        <v>45226</v>
      </c>
      <c r="P9" s="146">
        <v>46322</v>
      </c>
      <c r="Q9" s="146"/>
      <c r="R9" s="147" t="s">
        <v>1173</v>
      </c>
      <c r="S9" s="147" t="s">
        <v>85</v>
      </c>
      <c r="T9" s="145">
        <v>100</v>
      </c>
      <c r="U9" s="147">
        <v>2.8</v>
      </c>
      <c r="V9" s="145" t="s">
        <v>1174</v>
      </c>
      <c r="W9" s="145" t="s">
        <v>527</v>
      </c>
      <c r="X9" s="149" t="s">
        <v>798</v>
      </c>
      <c r="Y9" s="145" t="s">
        <v>1175</v>
      </c>
    </row>
    <row r="10" spans="1:25" x14ac:dyDescent="0.25">
      <c r="A10" s="146">
        <v>45219</v>
      </c>
      <c r="B10" s="145" t="s">
        <v>796</v>
      </c>
      <c r="C10" s="147" t="s">
        <v>753</v>
      </c>
      <c r="D10" s="148"/>
      <c r="E10" s="145" t="s">
        <v>83</v>
      </c>
      <c r="F10" s="147" t="s">
        <v>526</v>
      </c>
      <c r="G10" s="147" t="s">
        <v>7</v>
      </c>
      <c r="H10" s="145" t="s">
        <v>83</v>
      </c>
      <c r="I10" s="145"/>
      <c r="J10" s="145"/>
      <c r="K10" s="145" t="s">
        <v>92</v>
      </c>
      <c r="L10" s="145" t="s">
        <v>754</v>
      </c>
      <c r="M10" s="145" t="s">
        <v>755</v>
      </c>
      <c r="N10" s="145" t="s">
        <v>92</v>
      </c>
      <c r="O10" s="146">
        <v>45224</v>
      </c>
      <c r="P10" s="146">
        <v>45316</v>
      </c>
      <c r="Q10" s="146"/>
      <c r="R10" s="147" t="s">
        <v>797</v>
      </c>
      <c r="S10" s="147" t="s">
        <v>106</v>
      </c>
      <c r="T10" s="145">
        <v>100</v>
      </c>
      <c r="U10" s="147">
        <v>0.2</v>
      </c>
      <c r="V10" s="145" t="s">
        <v>756</v>
      </c>
      <c r="W10" s="145" t="s">
        <v>757</v>
      </c>
      <c r="X10" s="149" t="s">
        <v>798</v>
      </c>
      <c r="Y10" s="145" t="s">
        <v>799</v>
      </c>
    </row>
    <row r="11" spans="1:25" x14ac:dyDescent="0.25">
      <c r="A11" s="146">
        <v>45218</v>
      </c>
      <c r="B11" s="145" t="s">
        <v>800</v>
      </c>
      <c r="C11" s="147" t="s">
        <v>753</v>
      </c>
      <c r="D11" s="148"/>
      <c r="E11" s="145" t="s">
        <v>83</v>
      </c>
      <c r="F11" s="147" t="s">
        <v>526</v>
      </c>
      <c r="G11" s="147" t="s">
        <v>7</v>
      </c>
      <c r="H11" s="145" t="s">
        <v>83</v>
      </c>
      <c r="I11" s="145"/>
      <c r="J11" s="145"/>
      <c r="K11" s="145" t="s">
        <v>92</v>
      </c>
      <c r="L11" s="145" t="s">
        <v>754</v>
      </c>
      <c r="M11" s="145" t="s">
        <v>755</v>
      </c>
      <c r="N11" s="145" t="s">
        <v>92</v>
      </c>
      <c r="O11" s="146">
        <v>45224</v>
      </c>
      <c r="P11" s="146">
        <v>45316</v>
      </c>
      <c r="Q11" s="146"/>
      <c r="R11" s="147" t="s">
        <v>801</v>
      </c>
      <c r="S11" s="147" t="s">
        <v>109</v>
      </c>
      <c r="T11" s="145">
        <v>100</v>
      </c>
      <c r="U11" s="147">
        <v>0.05</v>
      </c>
      <c r="V11" s="145" t="s">
        <v>756</v>
      </c>
      <c r="W11" s="145" t="s">
        <v>757</v>
      </c>
      <c r="X11" s="149" t="s">
        <v>798</v>
      </c>
      <c r="Y11" s="145" t="s">
        <v>802</v>
      </c>
    </row>
    <row r="12" spans="1:25" x14ac:dyDescent="0.25">
      <c r="A12" s="146">
        <v>45218</v>
      </c>
      <c r="B12" s="145" t="s">
        <v>803</v>
      </c>
      <c r="C12" s="147" t="s">
        <v>574</v>
      </c>
      <c r="D12" s="148"/>
      <c r="E12" s="145" t="s">
        <v>83</v>
      </c>
      <c r="F12" s="147" t="s">
        <v>526</v>
      </c>
      <c r="G12" s="147" t="s">
        <v>7</v>
      </c>
      <c r="H12" s="145" t="s">
        <v>804</v>
      </c>
      <c r="I12" s="145"/>
      <c r="J12" s="145"/>
      <c r="K12" s="145" t="s">
        <v>92</v>
      </c>
      <c r="L12" s="145" t="s">
        <v>805</v>
      </c>
      <c r="M12" s="145" t="s">
        <v>7</v>
      </c>
      <c r="N12" s="145" t="s">
        <v>92</v>
      </c>
      <c r="O12" s="146">
        <v>45226</v>
      </c>
      <c r="P12" s="146">
        <v>45775</v>
      </c>
      <c r="Q12" s="146"/>
      <c r="R12" s="147" t="s">
        <v>806</v>
      </c>
      <c r="S12" s="147" t="s">
        <v>109</v>
      </c>
      <c r="T12" s="145">
        <v>100</v>
      </c>
      <c r="U12" s="147">
        <v>5</v>
      </c>
      <c r="V12" s="145" t="s">
        <v>807</v>
      </c>
      <c r="W12" s="145" t="s">
        <v>804</v>
      </c>
      <c r="X12" s="149" t="s">
        <v>798</v>
      </c>
      <c r="Y12" s="145" t="s">
        <v>808</v>
      </c>
    </row>
    <row r="13" spans="1:25" x14ac:dyDescent="0.25">
      <c r="A13" s="146">
        <v>45218</v>
      </c>
      <c r="B13" s="145" t="s">
        <v>809</v>
      </c>
      <c r="C13" s="147" t="s">
        <v>619</v>
      </c>
      <c r="D13" s="148"/>
      <c r="E13" s="145" t="s">
        <v>83</v>
      </c>
      <c r="F13" s="147" t="s">
        <v>573</v>
      </c>
      <c r="G13" s="147" t="s">
        <v>7</v>
      </c>
      <c r="H13" s="145" t="s">
        <v>1139</v>
      </c>
      <c r="I13" s="145"/>
      <c r="J13" s="145"/>
      <c r="K13" s="145" t="s">
        <v>92</v>
      </c>
      <c r="L13" s="145" t="s">
        <v>810</v>
      </c>
      <c r="M13" s="145" t="s">
        <v>811</v>
      </c>
      <c r="N13" s="145" t="s">
        <v>92</v>
      </c>
      <c r="O13" s="146">
        <v>45226</v>
      </c>
      <c r="P13" s="146">
        <v>45590</v>
      </c>
      <c r="Q13" s="146"/>
      <c r="R13" s="147" t="s">
        <v>812</v>
      </c>
      <c r="S13" s="147" t="s">
        <v>106</v>
      </c>
      <c r="T13" s="145">
        <v>100</v>
      </c>
      <c r="U13" s="147">
        <v>2</v>
      </c>
      <c r="V13" s="145" t="s">
        <v>813</v>
      </c>
      <c r="W13" s="145" t="s">
        <v>464</v>
      </c>
      <c r="X13" s="149" t="s">
        <v>798</v>
      </c>
      <c r="Y13" s="145" t="s">
        <v>814</v>
      </c>
    </row>
    <row r="14" spans="1:25" x14ac:dyDescent="0.25">
      <c r="A14" s="146">
        <v>45218</v>
      </c>
      <c r="B14" s="145" t="s">
        <v>815</v>
      </c>
      <c r="C14" s="147" t="s">
        <v>816</v>
      </c>
      <c r="D14" s="148"/>
      <c r="E14" s="145" t="s">
        <v>83</v>
      </c>
      <c r="F14" s="147" t="s">
        <v>250</v>
      </c>
      <c r="G14" s="147" t="s">
        <v>7</v>
      </c>
      <c r="H14" s="145" t="s">
        <v>83</v>
      </c>
      <c r="I14" s="145"/>
      <c r="J14" s="145"/>
      <c r="K14" s="145" t="s">
        <v>92</v>
      </c>
      <c r="L14" s="145" t="s">
        <v>817</v>
      </c>
      <c r="M14" s="145" t="s">
        <v>7</v>
      </c>
      <c r="N14" s="145" t="s">
        <v>92</v>
      </c>
      <c r="O14" s="146">
        <v>45224</v>
      </c>
      <c r="P14" s="146">
        <v>46320</v>
      </c>
      <c r="Q14" s="146"/>
      <c r="R14" s="147" t="s">
        <v>818</v>
      </c>
      <c r="S14" s="147" t="s">
        <v>262</v>
      </c>
      <c r="T14" s="145">
        <v>100</v>
      </c>
      <c r="U14" s="147">
        <v>106</v>
      </c>
      <c r="V14" s="145" t="s">
        <v>819</v>
      </c>
      <c r="W14" s="145" t="s">
        <v>83</v>
      </c>
      <c r="X14" s="149" t="s">
        <v>798</v>
      </c>
      <c r="Y14" s="145" t="s">
        <v>820</v>
      </c>
    </row>
    <row r="15" spans="1:25" x14ac:dyDescent="0.25">
      <c r="A15" s="146">
        <v>45217</v>
      </c>
      <c r="B15" s="145" t="s">
        <v>821</v>
      </c>
      <c r="C15" s="147" t="s">
        <v>753</v>
      </c>
      <c r="D15" s="148"/>
      <c r="E15" s="145" t="s">
        <v>83</v>
      </c>
      <c r="F15" s="147" t="s">
        <v>526</v>
      </c>
      <c r="G15" s="147" t="s">
        <v>7</v>
      </c>
      <c r="H15" s="145" t="s">
        <v>83</v>
      </c>
      <c r="I15" s="145"/>
      <c r="J15" s="145"/>
      <c r="K15" s="145" t="s">
        <v>92</v>
      </c>
      <c r="L15" s="145" t="s">
        <v>754</v>
      </c>
      <c r="M15" s="145" t="s">
        <v>755</v>
      </c>
      <c r="N15" s="145" t="s">
        <v>92</v>
      </c>
      <c r="O15" s="146">
        <v>45224</v>
      </c>
      <c r="P15" s="146">
        <v>45583</v>
      </c>
      <c r="Q15" s="146"/>
      <c r="R15" s="147" t="s">
        <v>822</v>
      </c>
      <c r="S15" s="147" t="s">
        <v>106</v>
      </c>
      <c r="T15" s="145">
        <v>100</v>
      </c>
      <c r="U15" s="147">
        <v>0.25700000000000001</v>
      </c>
      <c r="V15" s="145" t="s">
        <v>756</v>
      </c>
      <c r="W15" s="145" t="s">
        <v>757</v>
      </c>
      <c r="X15" s="149" t="s">
        <v>798</v>
      </c>
      <c r="Y15" s="145" t="s">
        <v>823</v>
      </c>
    </row>
    <row r="16" spans="1:25" x14ac:dyDescent="0.25">
      <c r="A16" s="146">
        <v>45217</v>
      </c>
      <c r="B16" s="145" t="s">
        <v>824</v>
      </c>
      <c r="C16" s="147" t="s">
        <v>825</v>
      </c>
      <c r="D16" s="148"/>
      <c r="E16" s="145" t="s">
        <v>83</v>
      </c>
      <c r="F16" s="147" t="s">
        <v>250</v>
      </c>
      <c r="G16" s="147" t="s">
        <v>7</v>
      </c>
      <c r="H16" s="145" t="s">
        <v>83</v>
      </c>
      <c r="I16" s="145"/>
      <c r="J16" s="145"/>
      <c r="K16" s="145" t="s">
        <v>92</v>
      </c>
      <c r="L16" s="145" t="s">
        <v>826</v>
      </c>
      <c r="M16" s="145" t="s">
        <v>827</v>
      </c>
      <c r="N16" s="145" t="s">
        <v>92</v>
      </c>
      <c r="O16" s="146">
        <v>45225</v>
      </c>
      <c r="P16" s="146">
        <v>46321</v>
      </c>
      <c r="Q16" s="146"/>
      <c r="R16" s="147" t="s">
        <v>828</v>
      </c>
      <c r="S16" s="147" t="s">
        <v>85</v>
      </c>
      <c r="T16" s="145">
        <v>100</v>
      </c>
      <c r="U16" s="147">
        <v>1.7</v>
      </c>
      <c r="V16" s="145" t="s">
        <v>829</v>
      </c>
      <c r="W16" s="145" t="s">
        <v>83</v>
      </c>
      <c r="X16" s="149" t="s">
        <v>798</v>
      </c>
      <c r="Y16" s="145" t="s">
        <v>830</v>
      </c>
    </row>
    <row r="17" spans="1:25" x14ac:dyDescent="0.25">
      <c r="A17" s="146">
        <v>45217</v>
      </c>
      <c r="B17" s="145" t="s">
        <v>831</v>
      </c>
      <c r="C17" s="147" t="s">
        <v>692</v>
      </c>
      <c r="D17" s="148"/>
      <c r="E17" s="145" t="s">
        <v>83</v>
      </c>
      <c r="F17" s="147" t="s">
        <v>832</v>
      </c>
      <c r="G17" s="147" t="s">
        <v>7</v>
      </c>
      <c r="H17" s="145" t="s">
        <v>837</v>
      </c>
      <c r="I17" s="145"/>
      <c r="J17" s="145"/>
      <c r="K17" s="145" t="s">
        <v>92</v>
      </c>
      <c r="L17" s="145" t="s">
        <v>833</v>
      </c>
      <c r="M17" s="145" t="s">
        <v>834</v>
      </c>
      <c r="N17" s="145" t="s">
        <v>92</v>
      </c>
      <c r="O17" s="146">
        <v>45224</v>
      </c>
      <c r="P17" s="146">
        <v>46320</v>
      </c>
      <c r="Q17" s="146"/>
      <c r="R17" s="147" t="s">
        <v>835</v>
      </c>
      <c r="S17" s="147" t="s">
        <v>106</v>
      </c>
      <c r="T17" s="145">
        <v>100</v>
      </c>
      <c r="U17" s="147">
        <v>31.9</v>
      </c>
      <c r="V17" s="145" t="s">
        <v>836</v>
      </c>
      <c r="W17" s="145" t="s">
        <v>837</v>
      </c>
      <c r="X17" s="149" t="s">
        <v>798</v>
      </c>
      <c r="Y17" s="145" t="s">
        <v>838</v>
      </c>
    </row>
    <row r="18" spans="1:25" x14ac:dyDescent="0.25">
      <c r="A18" s="146">
        <v>45217</v>
      </c>
      <c r="B18" s="145" t="s">
        <v>839</v>
      </c>
      <c r="C18" s="147" t="s">
        <v>840</v>
      </c>
      <c r="D18" s="148"/>
      <c r="E18" s="145" t="s">
        <v>83</v>
      </c>
      <c r="F18" s="147" t="s">
        <v>573</v>
      </c>
      <c r="G18" s="147" t="s">
        <v>7</v>
      </c>
      <c r="H18" s="145" t="s">
        <v>83</v>
      </c>
      <c r="I18" s="145"/>
      <c r="J18" s="145"/>
      <c r="K18" s="145" t="s">
        <v>92</v>
      </c>
      <c r="L18" s="145" t="s">
        <v>841</v>
      </c>
      <c r="M18" s="145" t="s">
        <v>842</v>
      </c>
      <c r="N18" s="145" t="s">
        <v>92</v>
      </c>
      <c r="O18" s="146">
        <v>45223</v>
      </c>
      <c r="P18" s="146">
        <v>45587</v>
      </c>
      <c r="Q18" s="146"/>
      <c r="R18" s="147" t="s">
        <v>843</v>
      </c>
      <c r="S18" s="147" t="s">
        <v>106</v>
      </c>
      <c r="T18" s="145">
        <v>100</v>
      </c>
      <c r="U18" s="147">
        <v>0.6</v>
      </c>
      <c r="V18" s="145" t="s">
        <v>844</v>
      </c>
      <c r="W18" s="145" t="s">
        <v>83</v>
      </c>
      <c r="X18" s="149" t="s">
        <v>798</v>
      </c>
      <c r="Y18" s="145" t="s">
        <v>845</v>
      </c>
    </row>
    <row r="19" spans="1:25" x14ac:dyDescent="0.25">
      <c r="A19" s="146">
        <v>45217</v>
      </c>
      <c r="B19" s="145" t="s">
        <v>846</v>
      </c>
      <c r="C19" s="147" t="s">
        <v>847</v>
      </c>
      <c r="D19" s="148"/>
      <c r="E19" s="145" t="s">
        <v>1176</v>
      </c>
      <c r="F19" s="147" t="s">
        <v>250</v>
      </c>
      <c r="G19" s="147" t="s">
        <v>7</v>
      </c>
      <c r="H19" s="145" t="s">
        <v>464</v>
      </c>
      <c r="I19" s="145"/>
      <c r="J19" s="145"/>
      <c r="K19" s="145" t="s">
        <v>92</v>
      </c>
      <c r="L19" s="145" t="s">
        <v>848</v>
      </c>
      <c r="M19" s="145" t="s">
        <v>7</v>
      </c>
      <c r="N19" s="145" t="s">
        <v>92</v>
      </c>
      <c r="O19" s="146">
        <v>45224</v>
      </c>
      <c r="P19" s="146">
        <v>46320</v>
      </c>
      <c r="Q19" s="146"/>
      <c r="R19" s="147" t="s">
        <v>849</v>
      </c>
      <c r="S19" s="147" t="s">
        <v>85</v>
      </c>
      <c r="T19" s="145">
        <v>99.817000000000007</v>
      </c>
      <c r="U19" s="147">
        <v>5</v>
      </c>
      <c r="V19" s="145" t="s">
        <v>813</v>
      </c>
      <c r="W19" s="145" t="s">
        <v>464</v>
      </c>
      <c r="X19" s="149" t="s">
        <v>859</v>
      </c>
      <c r="Y19" s="145" t="s">
        <v>850</v>
      </c>
    </row>
    <row r="20" spans="1:25" x14ac:dyDescent="0.25">
      <c r="A20" s="146">
        <v>45217</v>
      </c>
      <c r="B20" s="145" t="s">
        <v>851</v>
      </c>
      <c r="C20" s="147" t="s">
        <v>847</v>
      </c>
      <c r="D20" s="148"/>
      <c r="E20" s="145" t="s">
        <v>1176</v>
      </c>
      <c r="F20" s="147" t="s">
        <v>250</v>
      </c>
      <c r="G20" s="147" t="s">
        <v>7</v>
      </c>
      <c r="H20" s="145" t="s">
        <v>464</v>
      </c>
      <c r="I20" s="145">
        <v>60</v>
      </c>
      <c r="J20" s="145"/>
      <c r="K20" s="145" t="s">
        <v>92</v>
      </c>
      <c r="L20" s="145" t="s">
        <v>852</v>
      </c>
      <c r="M20" s="145" t="s">
        <v>7</v>
      </c>
      <c r="N20" s="145" t="s">
        <v>92</v>
      </c>
      <c r="O20" s="146">
        <v>45224</v>
      </c>
      <c r="P20" s="146">
        <v>46320</v>
      </c>
      <c r="Q20" s="146"/>
      <c r="R20" s="147" t="s">
        <v>1177</v>
      </c>
      <c r="S20" s="147" t="s">
        <v>85</v>
      </c>
      <c r="T20" s="145">
        <v>100</v>
      </c>
      <c r="U20" s="147">
        <v>10</v>
      </c>
      <c r="V20" s="145" t="s">
        <v>813</v>
      </c>
      <c r="W20" s="145" t="s">
        <v>464</v>
      </c>
      <c r="X20" s="149" t="s">
        <v>859</v>
      </c>
      <c r="Y20" s="145" t="s">
        <v>853</v>
      </c>
    </row>
    <row r="21" spans="1:25" x14ac:dyDescent="0.25">
      <c r="A21" s="146">
        <v>45217</v>
      </c>
      <c r="B21" s="145" t="s">
        <v>854</v>
      </c>
      <c r="C21" s="147" t="s">
        <v>847</v>
      </c>
      <c r="D21" s="148"/>
      <c r="E21" s="145" t="s">
        <v>1176</v>
      </c>
      <c r="F21" s="147" t="s">
        <v>250</v>
      </c>
      <c r="G21" s="147" t="s">
        <v>7</v>
      </c>
      <c r="H21" s="145" t="s">
        <v>464</v>
      </c>
      <c r="I21" s="145">
        <v>60</v>
      </c>
      <c r="J21" s="145"/>
      <c r="K21" s="145" t="s">
        <v>92</v>
      </c>
      <c r="L21" s="145" t="s">
        <v>848</v>
      </c>
      <c r="M21" s="145" t="s">
        <v>7</v>
      </c>
      <c r="N21" s="145" t="s">
        <v>92</v>
      </c>
      <c r="O21" s="146">
        <v>45224</v>
      </c>
      <c r="P21" s="146">
        <v>46320</v>
      </c>
      <c r="Q21" s="146"/>
      <c r="R21" s="147" t="s">
        <v>855</v>
      </c>
      <c r="S21" s="147" t="s">
        <v>111</v>
      </c>
      <c r="T21" s="145">
        <v>99.745999999999995</v>
      </c>
      <c r="U21" s="147">
        <v>3</v>
      </c>
      <c r="V21" s="145" t="s">
        <v>813</v>
      </c>
      <c r="W21" s="145" t="s">
        <v>464</v>
      </c>
      <c r="X21" s="149" t="s">
        <v>859</v>
      </c>
      <c r="Y21" s="145" t="s">
        <v>856</v>
      </c>
    </row>
    <row r="22" spans="1:25" x14ac:dyDescent="0.25">
      <c r="A22" s="146">
        <v>45217</v>
      </c>
      <c r="B22" s="145" t="s">
        <v>857</v>
      </c>
      <c r="C22" s="147" t="s">
        <v>847</v>
      </c>
      <c r="D22" s="148"/>
      <c r="E22" s="145" t="s">
        <v>1176</v>
      </c>
      <c r="F22" s="147" t="s">
        <v>250</v>
      </c>
      <c r="G22" s="147" t="s">
        <v>7</v>
      </c>
      <c r="H22" s="145" t="s">
        <v>464</v>
      </c>
      <c r="I22" s="145"/>
      <c r="J22" s="145"/>
      <c r="K22" s="145" t="s">
        <v>92</v>
      </c>
      <c r="L22" s="145" t="s">
        <v>848</v>
      </c>
      <c r="M22" s="145" t="s">
        <v>7</v>
      </c>
      <c r="N22" s="145" t="s">
        <v>92</v>
      </c>
      <c r="O22" s="146">
        <v>45224</v>
      </c>
      <c r="P22" s="146">
        <v>45955</v>
      </c>
      <c r="Q22" s="146"/>
      <c r="R22" s="147" t="s">
        <v>858</v>
      </c>
      <c r="S22" s="147" t="s">
        <v>106</v>
      </c>
      <c r="T22" s="145">
        <v>100</v>
      </c>
      <c r="U22" s="147">
        <v>16</v>
      </c>
      <c r="V22" s="145" t="s">
        <v>813</v>
      </c>
      <c r="W22" s="145" t="s">
        <v>464</v>
      </c>
      <c r="X22" s="149" t="s">
        <v>859</v>
      </c>
      <c r="Y22" s="145" t="s">
        <v>860</v>
      </c>
    </row>
    <row r="23" spans="1:25" x14ac:dyDescent="0.25">
      <c r="A23" s="146">
        <v>45217</v>
      </c>
      <c r="B23" s="145" t="s">
        <v>861</v>
      </c>
      <c r="C23" s="147" t="s">
        <v>862</v>
      </c>
      <c r="D23" s="148"/>
      <c r="E23" s="145" t="s">
        <v>83</v>
      </c>
      <c r="F23" s="147" t="s">
        <v>573</v>
      </c>
      <c r="G23" s="147" t="s">
        <v>7</v>
      </c>
      <c r="H23" s="145" t="s">
        <v>863</v>
      </c>
      <c r="I23" s="145"/>
      <c r="J23" s="145"/>
      <c r="K23" s="145" t="s">
        <v>92</v>
      </c>
      <c r="L23" s="145" t="s">
        <v>864</v>
      </c>
      <c r="M23" s="145" t="s">
        <v>7</v>
      </c>
      <c r="N23" s="145" t="s">
        <v>865</v>
      </c>
      <c r="O23" s="146">
        <v>45224</v>
      </c>
      <c r="P23" s="146">
        <v>46320</v>
      </c>
      <c r="Q23" s="146"/>
      <c r="R23" s="147" t="s">
        <v>828</v>
      </c>
      <c r="S23" s="147" t="s">
        <v>85</v>
      </c>
      <c r="T23" s="145">
        <v>100</v>
      </c>
      <c r="U23" s="147">
        <v>2.1</v>
      </c>
      <c r="V23" s="145" t="s">
        <v>866</v>
      </c>
      <c r="W23" s="145" t="s">
        <v>863</v>
      </c>
      <c r="X23" s="149" t="s">
        <v>867</v>
      </c>
      <c r="Y23" s="145" t="s">
        <v>868</v>
      </c>
    </row>
    <row r="24" spans="1:25" x14ac:dyDescent="0.25">
      <c r="A24" s="146">
        <v>45217</v>
      </c>
      <c r="B24" s="145" t="s">
        <v>869</v>
      </c>
      <c r="C24" s="147" t="s">
        <v>870</v>
      </c>
      <c r="D24" s="148"/>
      <c r="E24" s="145" t="s">
        <v>83</v>
      </c>
      <c r="F24" s="147" t="s">
        <v>250</v>
      </c>
      <c r="G24" s="147" t="s">
        <v>7</v>
      </c>
      <c r="H24" s="145" t="s">
        <v>83</v>
      </c>
      <c r="I24" s="145"/>
      <c r="J24" s="145"/>
      <c r="K24" s="145" t="s">
        <v>92</v>
      </c>
      <c r="L24" s="145" t="s">
        <v>871</v>
      </c>
      <c r="M24" s="145" t="s">
        <v>7</v>
      </c>
      <c r="N24" s="145" t="s">
        <v>92</v>
      </c>
      <c r="O24" s="146">
        <v>45225</v>
      </c>
      <c r="P24" s="146">
        <v>46321</v>
      </c>
      <c r="Q24" s="146"/>
      <c r="R24" s="147" t="s">
        <v>872</v>
      </c>
      <c r="S24" s="147" t="s">
        <v>85</v>
      </c>
      <c r="T24" s="145">
        <v>100</v>
      </c>
      <c r="U24" s="147">
        <v>3</v>
      </c>
      <c r="V24" s="145" t="s">
        <v>92</v>
      </c>
      <c r="W24" s="145" t="s">
        <v>92</v>
      </c>
      <c r="X24" s="149" t="s">
        <v>859</v>
      </c>
      <c r="Y24" s="145" t="s">
        <v>873</v>
      </c>
    </row>
    <row r="25" spans="1:25" x14ac:dyDescent="0.25">
      <c r="A25" s="146">
        <v>45216</v>
      </c>
      <c r="B25" s="145" t="s">
        <v>874</v>
      </c>
      <c r="C25" s="147" t="s">
        <v>574</v>
      </c>
      <c r="D25" s="148"/>
      <c r="E25" s="145" t="s">
        <v>875</v>
      </c>
      <c r="F25" s="147" t="s">
        <v>526</v>
      </c>
      <c r="G25" s="147" t="s">
        <v>7</v>
      </c>
      <c r="H25" s="145" t="s">
        <v>804</v>
      </c>
      <c r="I25" s="145"/>
      <c r="J25" s="145"/>
      <c r="K25" s="145" t="s">
        <v>92</v>
      </c>
      <c r="L25" s="145" t="s">
        <v>805</v>
      </c>
      <c r="M25" s="145" t="s">
        <v>7</v>
      </c>
      <c r="N25" s="145" t="s">
        <v>92</v>
      </c>
      <c r="O25" s="146">
        <v>45224</v>
      </c>
      <c r="P25" s="146">
        <v>45772</v>
      </c>
      <c r="Q25" s="146"/>
      <c r="R25" s="147" t="s">
        <v>876</v>
      </c>
      <c r="S25" s="147" t="s">
        <v>109</v>
      </c>
      <c r="T25" s="145">
        <v>100</v>
      </c>
      <c r="U25" s="147">
        <v>6</v>
      </c>
      <c r="V25" s="145" t="s">
        <v>807</v>
      </c>
      <c r="W25" s="145" t="s">
        <v>804</v>
      </c>
      <c r="X25" s="149" t="s">
        <v>798</v>
      </c>
      <c r="Y25" s="145" t="s">
        <v>877</v>
      </c>
    </row>
    <row r="26" spans="1:25" x14ac:dyDescent="0.25">
      <c r="A26" s="146">
        <v>45216</v>
      </c>
      <c r="B26" s="145" t="s">
        <v>878</v>
      </c>
      <c r="C26" s="147" t="s">
        <v>879</v>
      </c>
      <c r="D26" s="148"/>
      <c r="E26" s="145" t="s">
        <v>83</v>
      </c>
      <c r="F26" s="147" t="s">
        <v>250</v>
      </c>
      <c r="G26" s="147" t="s">
        <v>7</v>
      </c>
      <c r="H26" s="145" t="s">
        <v>83</v>
      </c>
      <c r="I26" s="145"/>
      <c r="J26" s="145"/>
      <c r="K26" s="145" t="s">
        <v>92</v>
      </c>
      <c r="L26" s="145" t="s">
        <v>880</v>
      </c>
      <c r="M26" s="145" t="s">
        <v>7</v>
      </c>
      <c r="N26" s="145" t="s">
        <v>92</v>
      </c>
      <c r="O26" s="146">
        <v>45223</v>
      </c>
      <c r="P26" s="146">
        <v>46319</v>
      </c>
      <c r="Q26" s="146"/>
      <c r="R26" s="147" t="s">
        <v>881</v>
      </c>
      <c r="S26" s="147" t="s">
        <v>106</v>
      </c>
      <c r="T26" s="145">
        <v>100</v>
      </c>
      <c r="U26" s="147">
        <v>4.5</v>
      </c>
      <c r="V26" s="145" t="s">
        <v>882</v>
      </c>
      <c r="W26" s="145" t="s">
        <v>83</v>
      </c>
      <c r="X26" s="149" t="s">
        <v>798</v>
      </c>
      <c r="Y26" s="145" t="s">
        <v>883</v>
      </c>
    </row>
    <row r="27" spans="1:25" x14ac:dyDescent="0.25">
      <c r="A27" s="146">
        <v>45216</v>
      </c>
      <c r="B27" s="145" t="s">
        <v>884</v>
      </c>
      <c r="C27" s="147" t="s">
        <v>885</v>
      </c>
      <c r="D27" s="148"/>
      <c r="E27" s="145" t="s">
        <v>83</v>
      </c>
      <c r="F27" s="147" t="s">
        <v>250</v>
      </c>
      <c r="G27" s="147" t="s">
        <v>7</v>
      </c>
      <c r="H27" s="145" t="s">
        <v>83</v>
      </c>
      <c r="I27" s="145"/>
      <c r="J27" s="145"/>
      <c r="K27" s="145" t="s">
        <v>92</v>
      </c>
      <c r="L27" s="145" t="s">
        <v>886</v>
      </c>
      <c r="M27" s="145" t="s">
        <v>7</v>
      </c>
      <c r="N27" s="145" t="s">
        <v>92</v>
      </c>
      <c r="O27" s="146">
        <v>45224</v>
      </c>
      <c r="P27" s="146">
        <v>46320</v>
      </c>
      <c r="Q27" s="146"/>
      <c r="R27" s="147" t="s">
        <v>887</v>
      </c>
      <c r="S27" s="147" t="s">
        <v>262</v>
      </c>
      <c r="T27" s="145">
        <v>100</v>
      </c>
      <c r="U27" s="147">
        <v>45</v>
      </c>
      <c r="V27" s="145" t="s">
        <v>888</v>
      </c>
      <c r="W27" s="145" t="s">
        <v>83</v>
      </c>
      <c r="X27" s="149" t="s">
        <v>798</v>
      </c>
      <c r="Y27" s="145" t="s">
        <v>889</v>
      </c>
    </row>
    <row r="28" spans="1:25" x14ac:dyDescent="0.25">
      <c r="A28" s="146">
        <v>45215</v>
      </c>
      <c r="B28" s="145" t="s">
        <v>890</v>
      </c>
      <c r="C28" s="147" t="s">
        <v>621</v>
      </c>
      <c r="D28" s="148"/>
      <c r="E28" s="145" t="s">
        <v>83</v>
      </c>
      <c r="F28" s="147" t="s">
        <v>526</v>
      </c>
      <c r="G28" s="147" t="s">
        <v>7</v>
      </c>
      <c r="H28" s="145" t="s">
        <v>895</v>
      </c>
      <c r="I28" s="145"/>
      <c r="J28" s="145"/>
      <c r="K28" s="145" t="s">
        <v>92</v>
      </c>
      <c r="L28" s="145" t="s">
        <v>891</v>
      </c>
      <c r="M28" s="145" t="s">
        <v>892</v>
      </c>
      <c r="N28" s="145" t="s">
        <v>92</v>
      </c>
      <c r="O28" s="146">
        <v>45225</v>
      </c>
      <c r="P28" s="146">
        <v>46321</v>
      </c>
      <c r="Q28" s="146"/>
      <c r="R28" s="147" t="s">
        <v>893</v>
      </c>
      <c r="S28" s="147" t="s">
        <v>109</v>
      </c>
      <c r="T28" s="145"/>
      <c r="U28" s="147">
        <v>2</v>
      </c>
      <c r="V28" s="145" t="s">
        <v>894</v>
      </c>
      <c r="W28" s="145" t="s">
        <v>895</v>
      </c>
      <c r="X28" s="149" t="s">
        <v>798</v>
      </c>
      <c r="Y28" s="145" t="s">
        <v>896</v>
      </c>
    </row>
    <row r="29" spans="1:25" x14ac:dyDescent="0.25">
      <c r="A29" s="146">
        <v>45215</v>
      </c>
      <c r="B29" s="145" t="s">
        <v>897</v>
      </c>
      <c r="C29" s="147" t="s">
        <v>753</v>
      </c>
      <c r="D29" s="148"/>
      <c r="E29" s="145" t="s">
        <v>83</v>
      </c>
      <c r="F29" s="147" t="s">
        <v>526</v>
      </c>
      <c r="G29" s="147" t="s">
        <v>7</v>
      </c>
      <c r="H29" s="145" t="s">
        <v>83</v>
      </c>
      <c r="I29" s="145"/>
      <c r="J29" s="145"/>
      <c r="K29" s="145" t="s">
        <v>92</v>
      </c>
      <c r="L29" s="145" t="s">
        <v>754</v>
      </c>
      <c r="M29" s="145" t="s">
        <v>755</v>
      </c>
      <c r="N29" s="145" t="s">
        <v>92</v>
      </c>
      <c r="O29" s="146">
        <v>45219</v>
      </c>
      <c r="P29" s="146">
        <v>45310</v>
      </c>
      <c r="Q29" s="146"/>
      <c r="R29" s="147" t="s">
        <v>525</v>
      </c>
      <c r="S29" s="147" t="s">
        <v>109</v>
      </c>
      <c r="T29" s="145">
        <v>100</v>
      </c>
      <c r="U29" s="147">
        <v>7.0000000000000007E-2</v>
      </c>
      <c r="V29" s="145" t="s">
        <v>756</v>
      </c>
      <c r="W29" s="145" t="s">
        <v>757</v>
      </c>
      <c r="X29" s="149" t="s">
        <v>798</v>
      </c>
      <c r="Y29" s="145" t="s">
        <v>898</v>
      </c>
    </row>
    <row r="30" spans="1:25" x14ac:dyDescent="0.25">
      <c r="A30" s="146">
        <v>45215</v>
      </c>
      <c r="B30" s="145" t="s">
        <v>899</v>
      </c>
      <c r="C30" s="147" t="s">
        <v>900</v>
      </c>
      <c r="D30" s="148"/>
      <c r="E30" s="145" t="s">
        <v>83</v>
      </c>
      <c r="F30" s="147" t="s">
        <v>901</v>
      </c>
      <c r="G30" s="147" t="s">
        <v>7</v>
      </c>
      <c r="H30" s="145" t="s">
        <v>83</v>
      </c>
      <c r="I30" s="145"/>
      <c r="J30" s="145"/>
      <c r="K30" s="145" t="s">
        <v>92</v>
      </c>
      <c r="L30" s="145" t="s">
        <v>902</v>
      </c>
      <c r="M30" s="145" t="s">
        <v>903</v>
      </c>
      <c r="N30" s="145" t="s">
        <v>92</v>
      </c>
      <c r="O30" s="146">
        <v>45223</v>
      </c>
      <c r="P30" s="146">
        <v>46319</v>
      </c>
      <c r="Q30" s="146"/>
      <c r="R30" s="147" t="s">
        <v>843</v>
      </c>
      <c r="S30" s="147" t="s">
        <v>106</v>
      </c>
      <c r="T30" s="145">
        <v>100</v>
      </c>
      <c r="U30" s="147">
        <v>2.7</v>
      </c>
      <c r="V30" s="145" t="s">
        <v>92</v>
      </c>
      <c r="W30" s="145" t="s">
        <v>92</v>
      </c>
      <c r="X30" s="149" t="s">
        <v>798</v>
      </c>
      <c r="Y30" s="145" t="s">
        <v>904</v>
      </c>
    </row>
    <row r="31" spans="1:25" x14ac:dyDescent="0.25">
      <c r="A31" s="146">
        <v>45215</v>
      </c>
      <c r="B31" s="145" t="s">
        <v>905</v>
      </c>
      <c r="C31" s="147" t="s">
        <v>777</v>
      </c>
      <c r="D31" s="148"/>
      <c r="E31" s="145" t="s">
        <v>83</v>
      </c>
      <c r="F31" s="147" t="s">
        <v>250</v>
      </c>
      <c r="G31" s="147" t="s">
        <v>7</v>
      </c>
      <c r="H31" s="145" t="s">
        <v>783</v>
      </c>
      <c r="I31" s="145"/>
      <c r="J31" s="145"/>
      <c r="K31" s="145" t="s">
        <v>92</v>
      </c>
      <c r="L31" s="145" t="s">
        <v>793</v>
      </c>
      <c r="M31" s="145" t="s">
        <v>7</v>
      </c>
      <c r="N31" s="145" t="s">
        <v>92</v>
      </c>
      <c r="O31" s="146">
        <v>45217</v>
      </c>
      <c r="P31" s="146">
        <v>46313</v>
      </c>
      <c r="Q31" s="146"/>
      <c r="R31" s="147" t="s">
        <v>906</v>
      </c>
      <c r="S31" s="147" t="s">
        <v>85</v>
      </c>
      <c r="T31" s="145">
        <v>100</v>
      </c>
      <c r="U31" s="147">
        <v>0.3</v>
      </c>
      <c r="V31" s="145" t="s">
        <v>792</v>
      </c>
      <c r="W31" s="145" t="s">
        <v>783</v>
      </c>
      <c r="X31" s="149" t="s">
        <v>798</v>
      </c>
      <c r="Y31" s="145" t="s">
        <v>907</v>
      </c>
    </row>
    <row r="32" spans="1:25" x14ac:dyDescent="0.25">
      <c r="A32" s="146">
        <v>45215</v>
      </c>
      <c r="B32" s="145" t="s">
        <v>908</v>
      </c>
      <c r="C32" s="147" t="s">
        <v>909</v>
      </c>
      <c r="D32" s="148"/>
      <c r="E32" s="145" t="s">
        <v>83</v>
      </c>
      <c r="F32" s="147" t="s">
        <v>250</v>
      </c>
      <c r="G32" s="147" t="s">
        <v>7</v>
      </c>
      <c r="H32" s="145" t="s">
        <v>527</v>
      </c>
      <c r="I32" s="145"/>
      <c r="J32" s="145"/>
      <c r="K32" s="145" t="s">
        <v>92</v>
      </c>
      <c r="L32" s="145" t="s">
        <v>910</v>
      </c>
      <c r="M32" s="145" t="s">
        <v>7</v>
      </c>
      <c r="N32" s="145" t="s">
        <v>92</v>
      </c>
      <c r="O32" s="146">
        <v>45219</v>
      </c>
      <c r="P32" s="146">
        <v>46315</v>
      </c>
      <c r="Q32" s="146"/>
      <c r="R32" s="147" t="s">
        <v>911</v>
      </c>
      <c r="S32" s="147" t="s">
        <v>106</v>
      </c>
      <c r="T32" s="145"/>
      <c r="U32" s="147">
        <v>17.75</v>
      </c>
      <c r="V32" s="145" t="s">
        <v>912</v>
      </c>
      <c r="W32" s="145" t="s">
        <v>527</v>
      </c>
      <c r="X32" s="149" t="s">
        <v>798</v>
      </c>
      <c r="Y32" s="145" t="s">
        <v>913</v>
      </c>
    </row>
  </sheetData>
  <phoneticPr fontId="33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35</vt:i4>
      </vt:variant>
    </vt:vector>
  </HeadingPairs>
  <TitlesOfParts>
    <vt:vector size="54" baseType="lpstr">
      <vt:lpstr>DOWNLOAD</vt:lpstr>
      <vt:lpstr>load</vt:lpstr>
      <vt:lpstr>DLD_Add</vt:lpstr>
      <vt:lpstr>REVIEW_LIST</vt:lpstr>
      <vt:lpstr>NWriter</vt:lpstr>
      <vt:lpstr>ToDM</vt:lpstr>
      <vt:lpstr>Charts</vt:lpstr>
      <vt:lpstr>wCurated</vt:lpstr>
      <vt:lpstr>wBISL</vt:lpstr>
      <vt:lpstr>WRITER</vt:lpstr>
      <vt:lpstr>ECON</vt:lpstr>
      <vt:lpstr>FUTURE</vt:lpstr>
      <vt:lpstr>wChart</vt:lpstr>
      <vt:lpstr>wCredit</vt:lpstr>
      <vt:lpstr>AddTap</vt:lpstr>
      <vt:lpstr>MDM</vt:lpstr>
      <vt:lpstr>WIP AddNew</vt:lpstr>
      <vt:lpstr>wDMI</vt:lpstr>
      <vt:lpstr>BBG</vt:lpstr>
      <vt:lpstr>MDM!Criteria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ESG</vt:lpstr>
      <vt:lpstr>GPS</vt:lpstr>
      <vt:lpstr>GPS_FileName</vt:lpstr>
      <vt:lpstr>IS_EXCH_FILTER</vt:lpstr>
      <vt:lpstr>Monday</vt:lpstr>
      <vt:lpstr>MultiSource</vt:lpstr>
      <vt:lpstr>Name</vt:lpstr>
      <vt:lpstr>UpdatorWeekly</vt:lpstr>
      <vt:lpstr>WeeklyFilter</vt:lpstr>
      <vt:lpstr>澳门Filter</vt:lpstr>
      <vt:lpstr>香港Filter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Caroline Yu 余烨洁</cp:lastModifiedBy>
  <cp:lastPrinted>2023-09-19T03:58:50Z</cp:lastPrinted>
  <dcterms:created xsi:type="dcterms:W3CDTF">2023-03-10T12:57:22Z</dcterms:created>
  <dcterms:modified xsi:type="dcterms:W3CDTF">2023-10-24T02:12:19Z</dcterms:modified>
</cp:coreProperties>
</file>